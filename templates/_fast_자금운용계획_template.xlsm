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1.xml" ContentType="application/vnd.openxmlformats-officedocument.spreadsheetml.comments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omments/comment3.xml" ContentType="application/vnd.openxmlformats-officedocument.spreadsheetml.comments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omments/comment5.xml" ContentType="application/vnd.openxmlformats-officedocument.spreadsheetml.comments+xml"/>
  <Override PartName="/xl/worksheets/sheet15.xml" ContentType="application/vnd.openxmlformats-officedocument.spreadsheetml.worksheet+xml"/>
  <Override PartName="/xl/comments/comment6.xml" ContentType="application/vnd.openxmlformats-officedocument.spreadsheetml.comments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57840" windowHeight="31920" tabRatio="600" firstSheet="0" activeTab="0" autoFilterDateGrouping="1"/>
  </bookViews>
  <sheets>
    <sheet xmlns:r="http://schemas.openxmlformats.org/officeDocument/2006/relationships" name="1-1" sheetId="1" state="visible" r:id="rId1"/>
    <sheet xmlns:r="http://schemas.openxmlformats.org/officeDocument/2006/relationships" name="1-2" sheetId="2" state="visible" r:id="rId2"/>
    <sheet xmlns:r="http://schemas.openxmlformats.org/officeDocument/2006/relationships" name="2-1" sheetId="3" state="visible" r:id="rId3"/>
    <sheet xmlns:r="http://schemas.openxmlformats.org/officeDocument/2006/relationships" name="2-2" sheetId="4" state="visible" r:id="rId4"/>
    <sheet xmlns:r="http://schemas.openxmlformats.org/officeDocument/2006/relationships" name="3p" sheetId="5" state="visible" r:id="rId5"/>
    <sheet xmlns:r="http://schemas.openxmlformats.org/officeDocument/2006/relationships" name="연간" sheetId="6" state="visible" r:id="rId6"/>
    <sheet xmlns:r="http://schemas.openxmlformats.org/officeDocument/2006/relationships" name="6월데이터" sheetId="7" state="visible" r:id="rId7"/>
    <sheet xmlns:r="http://schemas.openxmlformats.org/officeDocument/2006/relationships" name="7월데이터" sheetId="8" state="visible" r:id="rId8"/>
    <sheet xmlns:r="http://schemas.openxmlformats.org/officeDocument/2006/relationships" name="2022년 자금실적" sheetId="9" state="hidden" r:id="rId9"/>
    <sheet xmlns:r="http://schemas.openxmlformats.org/officeDocument/2006/relationships" name="2025년 자금실적" sheetId="10" state="visible" r:id="rId10"/>
    <sheet xmlns:r="http://schemas.openxmlformats.org/officeDocument/2006/relationships" name="2024년 자금실적" sheetId="11" state="hidden" r:id="rId11"/>
    <sheet xmlns:r="http://schemas.openxmlformats.org/officeDocument/2006/relationships" name="2026년 자금실적" sheetId="12" state="visible" r:id="rId12"/>
    <sheet xmlns:r="http://schemas.openxmlformats.org/officeDocument/2006/relationships" name="요약" sheetId="13" state="visible" r:id="rId13"/>
    <sheet xmlns:r="http://schemas.openxmlformats.org/officeDocument/2006/relationships" name="카탈리스터-연결(미법포함)" sheetId="14" state="hidden" r:id="rId14"/>
    <sheet xmlns:r="http://schemas.openxmlformats.org/officeDocument/2006/relationships" name="카탈리스터-별도" sheetId="15" state="visible" r:id="rId15"/>
    <sheet xmlns:r="http://schemas.openxmlformats.org/officeDocument/2006/relationships" name="PPT (2)" sheetId="16" state="visible" r:id="rId16"/>
    <sheet xmlns:r="http://schemas.openxmlformats.org/officeDocument/2006/relationships" name="2023년 자금실적" sheetId="17" state="hidden" r:id="rId17"/>
    <sheet xmlns:r="http://schemas.openxmlformats.org/officeDocument/2006/relationships" name="ppt보고용-5" sheetId="18" state="hidden" r:id="rId18"/>
    <sheet xmlns:r="http://schemas.openxmlformats.org/officeDocument/2006/relationships" name="ppt보고용-6" sheetId="19" state="hidden" r:id="rId19"/>
  </sheets>
  <externalReferences>
    <externalReference xmlns:r="http://schemas.openxmlformats.org/officeDocument/2006/relationships" r:id="rId20"/>
    <externalReference xmlns:r="http://schemas.openxmlformats.org/officeDocument/2006/relationships" r:id="rId21"/>
    <externalReference xmlns:r="http://schemas.openxmlformats.org/officeDocument/2006/relationships" r:id="rId22"/>
    <externalReference xmlns:r="http://schemas.openxmlformats.org/officeDocument/2006/relationships" r:id="rId23"/>
    <externalReference xmlns:r="http://schemas.openxmlformats.org/officeDocument/2006/relationships" r:id="rId24"/>
    <externalReference xmlns:r="http://schemas.openxmlformats.org/officeDocument/2006/relationships" r:id="rId25"/>
    <externalReference xmlns:r="http://schemas.openxmlformats.org/officeDocument/2006/relationships" r:id="rId26"/>
  </externalReferences>
  <definedNames>
    <definedName name="____o2" hidden="1">'[1]#REF'!$A$206:$Q$214</definedName>
    <definedName name="___o2" hidden="1">'[1]#REF'!$A$206:$Q$214</definedName>
    <definedName name="__123Graph_A" hidden="1">#REF!</definedName>
    <definedName name="_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_o2" hidden="1">'[1]#REF'!$A$206:$Q$214</definedName>
    <definedName name="__wrn3" hidden="1">{#N/A,#N/A,FALSE,"Aging Summary";#N/A,#N/A,FALSE,"Ratio Analysis";#N/A,#N/A,FALSE,"Test 120 Day Accts";#N/A,#N/A,FALSE,"Tickmarks"}</definedName>
    <definedName name="_15" hidden="1">{#N/A,#N/A,TRUE,"Summary";#N/A,#N/A,TRUE,"Financials"}</definedName>
    <definedName name="_16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17" hidden="1">{#N/A,#N/A,TRUE,"Summary";#N/A,#N/A,TRUE,"Financials";#N/A,#N/A,TRUE,"Assumptions";#N/A,#N/A,TRUE,"Pro Forma";#N/A,#N/A,TRUE,"Debt";#N/A,#N/A,TRUE,"Amortization";#N/A,#N/A,TRUE,"GG Returns"}</definedName>
    <definedName name="_18" hidden="1">{#N/A,#N/A,TRUE,"Summary";#N/A,#N/A,TRUE,"Assumptions";#N/A,#N/A,TRUE,"Comparison";#N/A,#N/A,TRUE,"Financials";#N/A,#N/A,TRUE,"Plan v. Act"}</definedName>
    <definedName name="_21" hidden="1">{#N/A,#N/A,TRUE,"Summary";#N/A,#N/A,TRUE,"Financials"}</definedName>
    <definedName name="_2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23" hidden="1">{#N/A,#N/A,TRUE,"Summary";#N/A,#N/A,TRUE,"Financials";#N/A,#N/A,TRUE,"Assumptions";#N/A,#N/A,TRUE,"Pro Forma";#N/A,#N/A,TRUE,"Debt";#N/A,#N/A,TRUE,"Amortization";#N/A,#N/A,TRUE,"GG Returns"}</definedName>
    <definedName name="_235" hidden="1">{#N/A,#N/A,TRUE,"Summary";#N/A,#N/A,TRUE,"Financials";#N/A,#N/A,TRUE,"Assumptions";#N/A,#N/A,TRUE,"Pro Forma";#N/A,#N/A,TRUE,"Debt";#N/A,#N/A,TRUE,"Amortization";#N/A,#N/A,TRUE,"GG Returns"}</definedName>
    <definedName name="_24" hidden="1">{#N/A,#N/A,TRUE,"Summary";#N/A,#N/A,TRUE,"Assumptions";#N/A,#N/A,TRUE,"Comparison";#N/A,#N/A,TRUE,"Financials";#N/A,#N/A,TRUE,"Plan v. Act"}</definedName>
    <definedName name="_cp2000" hidden="1">{"CEOReportPart1",#N/A,FALSE,"Quarterly";"CEOReportPart2",#N/A,FALSE,"Quarterly";"CEOReportPart3",#N/A,FALSE,"Allocations"}</definedName>
    <definedName name="_cp20000" hidden="1">{"CEOReportPart1",#N/A,FALSE,"Quarterly";"CEOReportPart2",#N/A,FALSE,"Quarterly";"CEOReportPart3",#N/A,FALSE,"Allocations"}</definedName>
    <definedName name="_Fill" hidden="1">[4]현금흐름표!#REF!</definedName>
    <definedName name="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k1" hidden="1">[1]ST!#REF!</definedName>
    <definedName name="_k2" hidden="1">[1]ST!#REF!</definedName>
    <definedName name="_Key1" hidden="1">[4]Sheet3!$F$45</definedName>
    <definedName name="_Key2" hidden="1">[1]Sheet2!#REF!</definedName>
    <definedName name="_Key3" hidden="1">#REF!</definedName>
    <definedName name="_KTM10" hidden="1">{#N/A,#N/A,FALSE,"현장 NCR 분석";#N/A,#N/A,FALSE,"현장품질감사";#N/A,#N/A,FALSE,"현장품질감사"}</definedName>
    <definedName name="_o2" hidden="1">'[1]#REF'!$A$206:$Q$214</definedName>
    <definedName name="_o3" hidden="1">'[1]#REF'!$A$206:$Q$214</definedName>
    <definedName name="_oo" hidden="1">'[1]#REF'!#REF!</definedName>
    <definedName name="_oo1" hidden="1">'[1]#REF'!#REF!</definedName>
    <definedName name="_op" hidden="1">[1]ST!#REF!</definedName>
    <definedName name="_op1" hidden="1">[1]ST!#REF!</definedName>
    <definedName name="_Order1" hidden="1">0</definedName>
    <definedName name="_Order2" hidden="1">255</definedName>
    <definedName name="_s1" hidden="1">'[1]#REF'!$A$206:$Q$214</definedName>
    <definedName name="_s2" hidden="1">'[1]#REF'!$A$206:$Q$214</definedName>
    <definedName name="_Sort" hidden="1">[1]Sheet3!$A$206:$Q$214</definedName>
    <definedName name="_Table1_In1" hidden="1">[4]Sheet3!$F$45</definedName>
    <definedName name="_Table1_Out" hidden="1">[4]Sheet3!$F$45</definedName>
    <definedName name="_ui" hidden="1">'[1]#REF'!$A$206:$Q$214</definedName>
    <definedName name="_ui1" hidden="1">'[1]#REF'!$A$206:$Q$214</definedName>
    <definedName name="_wrn.Aging._.and._.Trend._.Analysis" hidden="1">{#N/A,#N/A,FALSE,"Aging Summary";#N/A,#N/A,FALSE,"Ratio Analysis";#N/A,#N/A,FALSE,"Test 120 Day Accts";#N/A,#N/A,FALSE,"Tickmarks"}</definedName>
    <definedName name="_wrn3" hidden="1">{#N/A,#N/A,FALSE,"Aging Summary";#N/A,#N/A,FALSE,"Ratio Analysis";#N/A,#N/A,FALSE,"Test 120 Day Accts";#N/A,#N/A,FALSE,"Tickmarks"}</definedName>
    <definedName name="_xleta.SUM" hidden="1" xlm="1">#NAME?</definedName>
    <definedName name="_xlpm.a" hidden="1" xlm="1">#NAME?</definedName>
    <definedName name="_xlpm.b" hidden="1" xlm="1">#NAME?</definedName>
    <definedName name="_xlpm.값" hidden="1" xlm="1">#NAME?</definedName>
    <definedName name="_xlpm.결과" hidden="1" xlm="1">#NAME?</definedName>
    <definedName name="_xlpm.고유그룹" hidden="1" xlm="1">#NAME?</definedName>
    <definedName name="_xlpm.그룹" hidden="1" xlm="1">#NAME?</definedName>
    <definedName name="_xlpm.대상값들" hidden="1" xlm="1">#NAME?</definedName>
    <definedName name="_xlpm.대표적요" hidden="1" xlm="1">#NAME?</definedName>
    <definedName name="_xlpm.숫자열" hidden="1" xlm="1">#NAME?</definedName>
    <definedName name="_xlpm.원값범위" hidden="1" xlm="1">#NAME?</definedName>
    <definedName name="_xlpm.적" hidden="1" xlm="1">#NAME?</definedName>
    <definedName name="_xlpm.적요범위" hidden="1" xlm="1">#NAME?</definedName>
    <definedName name="_xlpm.적요열" hidden="1" xlm="1">#NAME?</definedName>
    <definedName name="_xlpm.제외조건" hidden="1" xlm="1">#NAME?</definedName>
    <definedName name="_xlpm.최대값" hidden="1" xlm="1">#NAME?</definedName>
    <definedName name="_xlpm.필터행" hidden="1" xlm="1">#NAME?</definedName>
    <definedName name="_xlpm.합계값" hidden="1" xlm="1">#NAME?</definedName>
    <definedName name="_xlpm.항" hidden="1" xlm="1">#NAME?</definedName>
    <definedName name="_xlpm.항목1" hidden="1" xlm="1">#NAME?</definedName>
    <definedName name="_xlpm.항목범위" hidden="1" xlm="1">#NAME?</definedName>
    <definedName name="_xlpm.항목열" hidden="1" xlm="1">#NAME?</definedName>
    <definedName name="_xlpm.해당값들" hidden="1" xlm="1">#NAME?</definedName>
    <definedName name="_xlpm.해당적요" hidden="1" xlm="1">#NAME?</definedName>
    <definedName name="_xlpm.행" hidden="1" xlm="1">#NAME?</definedName>
    <definedName name="_xlpm.환" hidden="1" xlm="1">#NAME?</definedName>
    <definedName name="_xlpm.환종1" hidden="1" xlm="1">#NAME?</definedName>
    <definedName name="_xlpm.환종범위" hidden="1" xlm="1">#NAME?</definedName>
    <definedName name="_xlpm.환종열" hidden="1" xlm="1">#NAME?</definedName>
    <definedName name="aa" hidden="1">{#N/A,#N/A,FALSE,"JULY WCE";#N/A,#N/A,FALSE,"Central - Doug July";#N/A,#N/A,FALSE,"East - Dave July";#N/A,#N/A,FALSE,"West - Lee - July"}</definedName>
    <definedName name="aaa" hidden="1">{"CSN M Detail",#N/A,FALSE,"Sch M Detail"}</definedName>
    <definedName name="AS2HasNoAutoHeaderFooter" hidden="1">" "</definedName>
    <definedName name="AS2TickmarkLS" hidden="1">#REF!</definedName>
    <definedName name="asdf" hidden="1">#REF!</definedName>
    <definedName name="ASSUMPTIONS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bak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bbb" hidden="1">{"CSN M Detail",#N/A,FALSE,"Sch M Detail"}</definedName>
    <definedName name="bbbb" hidden="1">{#N/A,#N/A,FALSE,"JULY WCE";#N/A,#N/A,FALSE,"Central - Doug July";#N/A,#N/A,FALSE,"East - Dave July";#N/A,#N/A,FALSE,"West - Lee - July"}</definedName>
    <definedName name="CAP1B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cpm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cpq" hidden="1">{"Quarterly",#N/A,FALSE,"Quarterly"}</definedName>
    <definedName name="cps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cpy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ee" hidden="1">[4]ST!#REF!</definedName>
    <definedName name="eee.ooo" hidden="1">{"CSN M Detail",#N/A,FALSE,"Sch M Detail"}</definedName>
    <definedName name="eee.ppp" hidden="1">{"CSN M Detail",#N/A,FALSE,"Sch M Detail"}</definedName>
    <definedName name="EV__CVPARAMS__" hidden="1">"Report!$B$31:$C$40;"</definedName>
    <definedName name="EV__EVCOM_OPTIONS__" hidden="1">8</definedName>
    <definedName name="EV__EXPOPTIONS__" hidden="1">0</definedName>
    <definedName name="EV__LASTREFTIME__" hidden="1">"2009-11-17 오후 1:06:31"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134217783</definedName>
    <definedName name="EV__WBVERSION__" hidden="1">0</definedName>
    <definedName name="FDA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ff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GGG" hidden="1">[1]ST!#REF!</definedName>
    <definedName name="HQ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HTML1_1" hidden="1">"[수주관리98.xls]회선현황!$A$5:$O$53"</definedName>
    <definedName name="HTML10_1" hidden="1">"'[수주관리98.xls]2월1주차'!$A$1:$P$31"</definedName>
    <definedName name="HTML11_1" hidden="1">"'[수주관리98.xls]2월2주차'!$A$1:$P$21"</definedName>
    <definedName name="HTML12_1" hidden="1">"'[수주관리98.xls]2월2주차'!$A$1:$P$34"</definedName>
    <definedName name="HTML13_1" hidden="1">"'[수주관리98.xls]2월2주차'!$A$1:$P$19"</definedName>
    <definedName name="HTML14_1" hidden="1">"'[수주관리98.xls]2월2주차'!$A$1:$P$17"</definedName>
    <definedName name="HTML15_1" hidden="1">"'[수주관리98.xls]2월3주차'!$A$1:$P$20"</definedName>
    <definedName name="HTML16_1" hidden="1">"'[수주통합관리98_2_21.xls]2월3주차'!$A$1:$I$89"</definedName>
    <definedName name="HTML17_1" hidden="1">"'[수주통합관리98_2_21.xls]2월3주차'!$A$4:$H$30"</definedName>
    <definedName name="HTML18_1" hidden="1">"'[수주통합관리98_2_21.xls]2월3주차'!$A$32:$I$58"</definedName>
    <definedName name="HTML19_1" hidden="1">"'[수주통합관리98_2_21.xls]2월3주차'!$A$63:$F$89"</definedName>
    <definedName name="HTML2_1" hidden="1">"[수주관리98.xls]일일현황!$A$1:$L$10"</definedName>
    <definedName name="HTML20_1" hidden="1">"'[수주통합관리98_2_25.xls]2월4주차'!$A$71:$F$97"</definedName>
    <definedName name="HTML21_1" hidden="1">"'[수주통합관리98_2_25.xls]2월4주차'!$A$4:$H$29"</definedName>
    <definedName name="HTML22_1" hidden="1">"'[수주통합관리98_2_25.xls]2월4주차'!$A$31:$I$66"</definedName>
    <definedName name="HTML23_1" hidden="1">"[수주통합관리98_2_25.xls]보고양식!$A$32:$I$68"</definedName>
    <definedName name="HTML24_1" hidden="1">"[수주통합관리98_2_25.xls]보고양식!$A$73:$F$98"</definedName>
    <definedName name="HTML25_1" hidden="1">"[수주통합관리98_2_25.xls]보고양식!$A$4:$I$29"</definedName>
    <definedName name="HTML26_1" hidden="1">"[수주통합관리98_2_25.xls]보고양식!$A$31:$K$80"</definedName>
    <definedName name="HTML27_1" hidden="1">"[수주통합관리98_2_25.xls]보고양식!$B$84:$G$109"</definedName>
    <definedName name="HTML28_1" hidden="1">"[수주통합관리98_3_2.xls]보고양식!$B$92:$G$117"</definedName>
    <definedName name="HTML29_1" hidden="1">"[수주통합관리98_3_2.xls]보고양식!$A$31:$K$88"</definedName>
    <definedName name="HTML3_1" hidden="1">"[수주관리98.xls]일일현황!$A$1:$N$9"</definedName>
    <definedName name="HTML30_1" hidden="1">"'[사본 - 영업통합관리(수주.매출).xls]보고양식'!$A$114:$K$131"</definedName>
    <definedName name="HTML4_1" hidden="1">"[수주관리98.xls]영업!$A$1:$N$15"</definedName>
    <definedName name="HTML5_1" hidden="1">"[수주관리98.xls]영업!$A$1:$N$29"</definedName>
    <definedName name="HTML6_1" hidden="1">"'[수주관리98.xls]2월'!$A$1:$P$48"</definedName>
    <definedName name="HTML7_1" hidden="1">"'[수주관리98.xls]2월'!$A$3:$P$30"</definedName>
    <definedName name="HTML8_1" hidden="1">"'[수주관리98.xls]2월'!$A$1:$P$30"</definedName>
    <definedName name="HTML9_1" hidden="1">"'[수주관리98.xls]2월'!$A$1:$P$19"</definedName>
    <definedName name="ibv" hidden="1">'[1]#REF'!$A$206:$Q$214</definedName>
    <definedName name="inv" hidden="1">[1]ST!#REF!</definedName>
    <definedName name="j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csq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DCS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KIECO" hidden="1">[1]ST!#REF!</definedName>
    <definedName name="kkk.pp" hidden="1">{"Ofcr Comp WP",#N/A,FALSE,"Ofcr Comp"}</definedName>
    <definedName name="kkkkk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ll.pp" hidden="1">{"SchMpg1",#N/A,FALSE,"TR Sch M";"SchMpg2",#N/A,FALSE,"TR Sch M"}</definedName>
    <definedName name="lll.ll" hidden="1">{"SchMpg1",#N/A,FALSE,"TR Sch M";"SchMpg2",#N/A,FALSE,"TR Sch M"}</definedName>
    <definedName name="mlr" hidden="1">{#N/A,#N/A,FALSE,"JULY WCE";#N/A,#N/A,FALSE,"Central - Doug July";#N/A,#N/A,FALSE,"East - Dave July";#N/A,#N/A,FALSE,"West - Lee - July"}</definedName>
    <definedName name="mon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monst" hidden="1">{#N/A,#N/A,FALSE,"Cvr";#N/A,#N/A,FALSE,"P&amp;L summ2";#N/A,#N/A,FALSE,"CFO ";#N/A,#N/A,FALSE,"P&amp;L by BU";#N/A,#N/A,FALSE,"BS (Hardcoded)";#N/A,#N/A,FALSE,"CF-Hardcode";#N/A,#N/A,FALSE,"Highlights"}</definedName>
    <definedName name="oo" hidden="1">'[1]#REF'!#REF!</definedName>
    <definedName name="op" hidden="1">[1]ST!#REF!</definedName>
    <definedName name="phil" hidden="1">{#N/A,#N/A,TRUE,"Summary";#N/A,#N/A,TRUE,"Assumptions";#N/A,#N/A,TRUE,"Comparison";#N/A,#N/A,TRUE,"Financials";#N/A,#N/A,TRUE,"Plan v. Act"}</definedName>
    <definedName name="pots" hidden="1">{"Ofcr Comp Stmt 4",#N/A,FALSE,"Ofcr Comp"}</definedName>
    <definedName name="pro" hidden="1">{#N/A,#N/A,FALSE,"PROJSUM";#N/A,#N/A,FALSE,"1450";#N/A,#N/A,FALSE,"2430";#N/A,#N/A,FALSE,"2700"}</definedName>
    <definedName name="qqqqqq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qua" hidden="1">{"Quarterly",#N/A,FALSE,"Quarterly"}</definedName>
    <definedName name="ReportGroup" hidden="1">0</definedName>
    <definedName name="RevModel2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rlghlrwpvnc" hidden="1">{"'경비내역'!$E$11"}</definedName>
    <definedName name="RRR" hidden="1">#REF!</definedName>
    <definedName name="SAPBEXdnldView" hidden="1">"44TIHISKDVAESWFGXCYF719ND"</definedName>
    <definedName name="sha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SSS" hidden="1">#REF!</definedName>
    <definedName name="test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test3" hidden="1">{#N/A,#N/A,TRUE,"Summary";#N/A,#N/A,TRUE,"Financials";#N/A,#N/A,TRUE,"Assumptions";#N/A,#N/A,TRUE,"Pro Forma";#N/A,#N/A,TRUE,"Debt";#N/A,#N/A,TRUE,"Amortization";#N/A,#N/A,TRUE,"GG Returns"}</definedName>
    <definedName name="test4" hidden="1">{#N/A,#N/A,TRUE,"Summary";#N/A,#N/A,TRUE,"Assumptions";#N/A,#N/A,TRUE,"Comparison";#N/A,#N/A,TRUE,"Financials";#N/A,#N/A,TRUE,"Plan v. Act"}</definedName>
    <definedName name="ui" hidden="1">'[1]#REF'!$A$206:$Q$214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ew" hidden="1">'[4]Adj(Actual_Summary_July)'!$F$45</definedName>
    <definedName name="wrn" hidden="1">{"CEOReportPart1",#N/A,FALSE,"Quarterly";"CEOReportPart2",#N/A,FALSE,"Quarterly";"CEOReportPart3",#N/A,FALSE,"Allocations"}</definedName>
    <definedName name="wrn.1996._.Budget._.Support._.Schedules." hidden="1">{#N/A,#N/A,FALSE,"Revenue";#N/A,#N/A,FALSE,"Scientific Consult and Collabor";#N/A,#N/A,FALSE,"Development costs";#N/A,#N/A,FALSE,"Lab Supl. Alloc";#N/A,#N/A,FALSE,"Facilities Expense";#N/A,#N/A,FALSE,"Equip Exp";#N/A,#N/A,FALSE,"T&amp;E";#N/A,#N/A,FALSE,"Prof fees";#N/A,#N/A,FALSE,"Capex accounts";#N/A,#N/A,FALSE,"Capex list"}</definedName>
    <definedName name="wrn.ACCTRECONS." hidden="1">{#N/A,#N/A,FALSE,"1110";#N/A,#N/A,FALSE,"1120";#N/A,#N/A,FALSE,"1140";#N/A,#N/A,FALSE,"1150";#N/A,#N/A,FALSE,"chalmers";#N/A,#N/A,FALSE,"gentner";#N/A,#N/A,FALSE,"1230";#N/A,#N/A,FALSE,"PPD INS";#N/A,#N/A,FALSE,"1260";#N/A,#N/A,FALSE,"PPD SVC";#N/A,#N/A,FALSE,"1950";#N/A,#N/A,FALSE,"1960";#N/A,#N/A,FALSE,"2040";#N/A,#N/A,FALSE,"2165";#N/A,#N/A,FALSE,"2200";#N/A,#N/A,FALSE,"2300-2590";#N/A,#N/A,FALSE,"2410";#N/A,#N/A,FALSE,"2600";#N/A,#N/A,FALSE,"3030";#N/A,#N/A,FALSE,"3-31 Adj";#N/A,#N/A,FALSE,"3800";#N/A,#N/A,FALSE,"3850 (REG D)";#N/A,#N/A,FALSE,"3850 (IPO)";#N/A,#N/A,FALSE,"3910-1000";#N/A,#N/A,FALSE,"3950";#N/A,#N/A,FALSE,"3-31 Adj";#N/A,#N/A,FALSE,"Consult and Colab";#N/A,#N/A,FALSE,"Seminars and Cont Ed";#N/A,#N/A,FALSE,"LEASES"}</definedName>
    <definedName name="wrn.ACHESON94TAXRETURN.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{#N/A,#N/A,FALSE,"מאזן";#N/A,#N/A,FALSE,"רווהפ";#N/A,#N/A,FALSE,"שינויים בהון";#N/A,#N/A,FALSE,"תזרים";#N/A,#N/A,FALSE,"נספח - התאמות";#N/A,#N/A,FALSE,"ני""ע לתזרים";#N/A,#N/A,FALSE,"פירוטים לדוחות"}</definedName>
    <definedName name="wrn.All._.Sheets.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rn.ASN." hidden="1">{#N/A,#N/A,FALSE,"ASN YTD";#N/A,#N/A,FALSE,"122 DOS MD HP HMO";#N/A,#N/A,FALSE,"122 UR MD HP HMO";#N/A,#N/A,FALSE,"123 DOS MD HP TPA";#N/A,#N/A,FALSE,"123 UR MD HP TPA";#N/A,#N/A,FALSE,"124 DOS MD HP Medicaid";#N/A,#N/A,FALSE,"124 UR MD HP Medicaid";#N/A,#N/A,FALSE,"131 DOS MD HP HMO-OON";#N/A,#N/A,FALSE,"131 UR MD HP HMO-OON";#N/A,#N/A,FALSE,"133 DOS MD HP WC";#N/A,#N/A,FALSE,"133 UR MD HP WC";#N/A,#N/A,FALSE,"135 DOS MD HP TPA-OON";#N/A,#N/A,FALSE,"135 UR MD HP TPA-OON";#N/A,#N/A,FALSE,"136 DOS MD HP Medicaid-OON";#N/A,#N/A,FALSE,"136 UR MD HP Medicaid-OON";#N/A,#N/A,FALSE,"141 DOS MD HP POS OON";#N/A,#N/A,FALSE,"141 UR MD HP POS OON";#N/A,#N/A,FALSE,"142 DOS MD HP Indemnity";#N/A,#N/A,FALSE,"142 UR MD HP Indemnity"}</definedName>
    <definedName name="wrn.ASO." hidden="1">{"ASO 1996",#N/A,FALSE,"DOS YTD";#N/A,#N/A,FALSE,"19-20-21-39-47 DOS MetLife";#N/A,#N/A,FALSE,"19-20-21-39-47 UR MetLife";#N/A,#N/A,FALSE,"24 DOS PacifiCare of CA PPO";#N/A,#N/A,FALSE,"24 UR PacifiCare of CA PPO";#N/A,#N/A,FALSE,"25 DOS Lincoln Hospital";#N/A,#N/A,FALSE,"25 UR Lincoln Hospital";#N/A,#N/A,FALSE,"31 DOS Blue Cross Rural";#N/A,#N/A,FALSE,"31 UR Blue Cross Rural";#N/A,#N/A,FALSE,"40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Nationwide";#N/A,#N/A,FALSE,"102 DOS CIGNA for Seniors";#N/A,#N/A,FALSE,"102 UR CIGNA for Seniors";#N/A,#N/A,FALSE,"111 DOS Prudential PG&amp;E";#N/A,#N/A,FALSE,"111 UR Prudential PG&amp;E";#N/A,#N/A,FALSE,"114 DOS CA Firefighters";#N/A,#N/A,FALSE,"114 UR CA Firefighters";#N/A,#N/A,FALSE,"121 DOS HPR Plus";#N/A,#N/A,FALSE,"121 UR HPR Plus";#N/A,#N/A,FALSE,"163 DOS Sceet-Blue Cross";#N/A,#N/A,FALSE,"163 UR Sceet-Blue Cross";#N/A,#N/A,FALSE,"164 DOS Prudential Healthcare";#N/A,#N/A,FALSE,"164 UR Prudential Healthcare"}</definedName>
    <definedName name="wrn.ASO1." hidden="1">{"ASO",#N/A,FALSE,"1995 YTD";#N/A,#N/A,FALSE,"20-39-47 DOS MetLife";#N/A,#N/A,FALSE,"20-39-47 UR MetLife";#N/A,#N/A,FALSE,"25 DOS Lincoln Hospital";#N/A,#N/A,FALSE,"25 UR Lincoln Hospital";#N/A,#N/A,FALSE,"31 DOS Blue Cross Rural";#N/A,#N/A,FALSE,"31 UR Blue Cross Rural";#N/A,#N/A,FALSE,"33 DOS Pacificare";#N/A,#N/A,FALSE,"33 UR PacifiCare";#N/A,#N/A,FALSE,"40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Trust";#N/A,#N/A,FALSE,"50 DOS CIGNA AZ Flex";#N/A,#N/A,FALSE,"50 UR CIGNA AZ Flex";#N/A,#N/A,FALSE,"51 DOS Mid Americare";#N/A,#N/A,FALSE,"51 UR Mid Americare";#N/A,#N/A,FALSE,"60 DOS Prudential";#N/A,#N/A,FALSE,"60 UR Prudential";#N/A,#N/A,FALSE,"62 DOS NWNL";#N/A,#N/A,FALSE,"62 UR NWNL";#N/A,#N/A,FALSE,"63 DOS Samaritan Plus";#N/A,#N/A,FALSE,"63 UR Samaritan Plus";#N/A,#N/A,FALSE,"64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Nationwide";#N/A,#N/A,FALSE,"90 DOS Aetna PPO";#N/A,#N/A,FALSE,"90 UR Aetna PPO";#N/A,#N/A,FALSE,"91 DOS Aetna POS";#N/A,#N/A,FALSE,"91 UR Aetna POS";#N/A,#N/A,FALSE,"94 DOS Aetna Amdahl";#N/A,#N/A,FALSE,"94 UR Aetna Amdahl";#N/A,#N/A,FALSE,"102 DOS CIGNA for Seniors";#N/A,#N/A,FALSE,"102 UR CIGNA for Seniors";#N/A,#N/A,FALSE,"111 DOS Prudential PG&amp;E";#N/A,#N/A,FALSE,"111 UR Prudential PG&amp;E";#N/A,#N/A,FALSE,"114 DOS CA Firefighters";#N/A,#N/A,FALSE,"114 UR CA Firefighters"}</definedName>
    <definedName name="wrn.BT._.Sch._.M._.Detail." hidden="1">{"Sch M Detail",#N/A,FALSE,"Sch M Detail"}</definedName>
    <definedName name="wrn.Capitated." hidden="1">{"HMO",#N/A,FALSE,"1995 YTD";#N/A,#N/A,FALSE,"1995 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HMO"}</definedName>
    <definedName name="wrn.CEOReport." hidden="1">{"CEOReportPart1",#N/A,FALSE,"Quarterly";"CEOReportPart2",#N/A,FALSE,"Quarterly";"CEOReportPart3",#N/A,FALSE,"Allocations"}</definedName>
    <definedName name="wrn.CIC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onsbud." hidden="1">{#N/A,#N/A,FALSE,"INC STMT";#N/A,#N/A,FALSE,"SOCF";#N/A,#N/A,FALSE,"OTHER"}</definedName>
    <definedName name="wrn.contributory._.asset._.charges." hidden="1">{"contributory1",#N/A,FALSE,"Contributory Assets Detail";"contributory2",#N/A,FALSE,"Contributory Assets Detail"}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p1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1quarterly" hidden="1">{"Quarterly",#N/A,FALSE,"Quarterly"}</definedName>
    <definedName name="wrn.cp1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1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2ceoreport" hidden="1">{"CEOReportPart1",#N/A,FALSE,"Quarterly";"CEOReportPart2",#N/A,FALSE,"Quarterly";"CEOReportPart3",#N/A,FALSE,"Allocations"}</definedName>
    <definedName name="wrn.cp2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2quarterly" hidden="1">{"Quarterly",#N/A,FALSE,"Quarterly"}</definedName>
    <definedName name="wrn.cp2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2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3.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3ceoreport" hidden="1">{"CEOReportPart1",#N/A,FALSE,"Quarterly";"CEOReportPart2",#N/A,FALSE,"Quarterly";"CEOReportPart3",#N/A,FALSE,"Allocations"}</definedName>
    <definedName name="wrn.cp3quarterly" hidden="1">{"Quarterly",#N/A,FALSE,"Quarterly"}</definedName>
    <definedName name="wrn.cp3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3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ceoreport" hidden="1">{"CEOReportPart1",#N/A,FALSE,"Quarterly";"CEOReportPart2",#N/A,FALSE,"Quarterly";"CEOReportPart3",#N/A,FALSE,"Allocations"}</definedName>
    <definedName name="wrn.cp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quarterly" hidden="1">{"Quarterly",#N/A,FALSE,"Quarterly"}</definedName>
    <definedName name="wrn.cp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riteria.95p." hidden="1">{#N/A,#N/A,FALSE,"1.CRITERIA";#N/A,#N/A,FALSE,"2.IS";#N/A,#N/A,FALSE,"3.BS";#N/A,#N/A,FALSE,"4.PER PL";#N/A,#N/A,FALSE,"5.INVESTMENT";#N/A,#N/A,FALSE,"6.공문";#N/A,#N/A,FALSE,"7.netinvest"}</definedName>
    <definedName name="wrn.CSN._.M._.Detail." hidden="1">{"CSN M Detail",#N/A,FALSE,"Sch M Detail"}</definedName>
    <definedName name="wrn.Customer_base." hidden="1">{"customer base",#N/A,FALSE,"customer_base";"customer base perf estimates",#N/A,FALSE,"customer_base"}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Fcst._.by._.Mon." hidden="1">{"Fcst by Mon Full",#N/A,FALSE,"Tot PalmPalm";"Fcst by Mon Full",#N/A,FALSE,"Tot Device";"Fcst by Mon Full",#N/A,FALSE,"Platform";"Fcst by Mon Full",#N/A,FALSE,"Palm.Net";"Fcst by Mon Full",#N/A,FALSE,"Elim"}</definedName>
    <definedName name="wrn.Fcst._.by._.Qtr." hidden="1">{"Fcst by Qtr Full",#N/A,FALSE,"Tot PalmPalm";"Fcst by Qtr Full",#N/A,FALSE,"Tot Device";"Fcst by Qtr Full",#N/A,FALSE,"Platform";"Fcst by Qtr Full",#N/A,FALSE,"Palm.Net";"Fcst by Qtr Full",#N/A,FALSE,"Elim"}</definedName>
    <definedName name="wrn.Fed._.4797." hidden="1">{"Fed 4797",#N/A,FALSE,"4797"}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HMO." hidden="1">{#N/A,#N/A,FALSE,"DOS YTD";#N/A,#N/A,FALSE,"UR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HMO";#N/A,#N/A,FALSE,"115 DOS Kaiser No CA";#N/A,#N/A,FALSE,"115 UR Kaiser No CA";#N/A,#N/A,FALSE,"116 DOS Kaiser So CA";#N/A,#N/A,FALSE,"116 UR Kaiser So CA";#N/A,#N/A,FALSE,"117 DOS Blue Shield";#N/A,#N/A,FALSE,"117 UR Blue Shield";#N/A,#N/A,FALSE,"118 DOS HP of the Redwoods";#N/A,#N/A,FALSE,"118 UR HP of the Redwoods";#N/A,#N/A,FALSE,"120 DOS HPR Medi Prime";#N/A,#N/A,FALSE,"120 UR HPR Medi Prime";#N/A,#N/A,FALSE,"126 DOS Pru Sr Plan No CA";#N/A,#N/A,FALSE,"126 UR Pru Sr Plan No CA";#N/A,#N/A,FALSE,"127 DOS Pru Sr Plan So CA";#N/A,#N/A,FALSE,"127 UR Pru Sr Plan So CA";#N/A,#N/A,FALSE,"137 DOS Aetna MC II";#N/A,#N/A,FALSE,"137 UR Aetna MC II"}</definedName>
    <definedName name="wrn.IFF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IMPRESSION._.DOC.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wrn.IMPRESSION._.RP2.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jck94TAXRETURN.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uly." hidden="1">{#N/A,#N/A,FALSE,"JULY WCE";#N/A,#N/A,FALSE,"Central - Doug July";#N/A,#N/A,FALSE,"East - Dave July";#N/A,#N/A,FALSE,"West - Lee - July"}</definedName>
    <definedName name="wrn.June." hidden="1">{#N/A,#N/A,FALSE,"Central - Doug June";#N/A,#N/A,FALSE,"East - Dave June";#N/A,#N/A,FALSE,"West - Lee - June";#N/A,#N/A,FALSE,"JUNE WCE"}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Monthly.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Monthly._.ST." hidden="1">{#N/A,#N/A,FALSE,"Cvr";#N/A,#N/A,FALSE,"P&amp;L summ2";#N/A,#N/A,FALSE,"CFO ";#N/A,#N/A,FALSE,"P&amp;L by BU";#N/A,#N/A,FALSE,"BS (Hardcoded)";#N/A,#N/A,FALSE,"CF-Hardcode";#N/A,#N/A,FALSE,"Highlights"}</definedName>
    <definedName name="wrn.Neurocrine._.1995._.Dept.._.Budgets." hidden="1">{#N/A,#N/A,TRUE,"Consolidated";#N/A,#N/A,TRUE,"Consolidating";#N/A,#N/A,TRUE,"Corp. Admin";#N/A,#N/A,TRUE,"R&amp;D Admin.";#N/A,#N/A,TRUE,"Immunology";#N/A,#N/A,TRUE,"Neuroscience";#N/A,#N/A,TRUE,"Molec. Bio.";#N/A,#N/A,TRUE,"Peptide Chem.";#N/A,#N/A,TRUE,"Med. Chem.";#N/A,#N/A,TRUE,"Development"}</definedName>
    <definedName name="wrn.Ofcr._.Comp._.Stmt._.4." hidden="1">{"Ofcr Comp Stmt 4",#N/A,FALSE,"Ofcr Comp"}</definedName>
    <definedName name="wrn.Ofcr._.Comp._.WP." hidden="1">{"Ofcr Comp WP",#N/A,FALSE,"Ofcr Comp"}</definedName>
    <definedName name="wrn.Olk._.by._.Qtr." hidden="1">{"Olk by Qtr Full",#N/A,FALSE,"Tot PalmPalm";"Olk by Qtr Full",#N/A,FALSE,"Tot Device";"Olk by Qtr Full",#N/A,FALSE,"Platform";"Olk by Qtr Full",#N/A,FALSE,"Palm.Net";"Olk by Qtr Full",#N/A,FALSE,"Elim"}</definedName>
    <definedName name="wrn.Opportunity._.Assessment." hidden="1">{#N/A,#N/A,TRUE,"Summary";#N/A,#N/A,TRUE,"Assumptions";#N/A,#N/A,TRUE,"Comparison";#N/A,#N/A,TRUE,"Financials";#N/A,#N/A,TRUE,"Plan v. Act"}</definedName>
    <definedName name="wrn.PAIM._.TAX._.PRO.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rint._.All." hidden="1">{#N/A,#N/A,FALSE,"JUNE WCE";#N/A,#N/A,FALSE,"Central - Doug June";#N/A,#N/A,FALSE,"East - Dave June";#N/A,#N/A,FALSE,"West - Lee - June";#N/A,#N/A,FALSE,"JULY WCE";#N/A,#N/A,FALSE,"Central - Doug July";#N/A,#N/A,FALSE,"East - Dave July";#N/A,#N/A,FALSE,"West - Lee - July";#N/A,#N/A,FALSE,"Utilization"}</definedName>
    <definedName name="wrn.print._.all._.sheets.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wrn.PROJECT._.SUMMARY." hidden="1">{#N/A,#N/A,FALSE,"PROJSUM";#N/A,#N/A,FALSE,"1450";#N/A,#N/A,FALSE,"2430";#N/A,#N/A,FALSE,"2700"}</definedName>
    <definedName name="wrn.Quarterly." hidden="1">{"Payroll Qtr 94",#N/A,FALSE,"Personnel Expenses";"Payroll Qtr 95",#N/A,FALSE,"Personnel Expenses";"Payroll Qtr 96",#N/A,FALSE,"Personnel Expenses";"Relo Qtr 95",#N/A,FALSE,"Personnel Expenses";"Relo Qtr 96",#N/A,FALSE,"Personnel Expenses";"Statistics Qtr 94",#N/A,FALSE,"Personnel Expenses";"Statistics Qtr 95",#N/A,FALSE,"Personnel Expenses";"Statistics Qtr 96",#N/A,FALSE,"Personnel Expenses";"Summary Qtr 94",#N/A,FALSE,"Personnel Expenses";"Summary Qtr 95",#N/A,FALSE,"Personnel Expenses";"Summary Qtr 96",#N/A,FALSE,"Personnel Expenses"}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SAA94TAX.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chM." hidden="1">{"SchMpg1",#N/A,FALSE,"TR Sch M";"SchMpg2",#N/A,FALSE,"TR Sch M"}</definedName>
    <definedName name="wrn.shareholder.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summary._.schedules." hidden="1">{"summary1",#N/A,FALSE,"Summary of Values";"summary2",#N/A,FALSE,"Summary of Values"}</definedName>
    <definedName name="wrn.SummaryReport." hidden="1">{"Header",#N/A,TRUE,"Summary";"ProjectInfo",#N/A,TRUE,"Total Value"}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rademark._.and._.trade._.name." hidden="1">{"trademark1",#N/A,FALSE,"Trademark(s) and Trade Name(s)"}</definedName>
    <definedName name="wrn.wara." hidden="1">{"weighted average returns",#N/A,FALSE,"WACC and WARA"}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P._.4797." hidden="1">{"WP 4797",#N/A,FALSE,"4797"}</definedName>
    <definedName name="wrn.WW._.M._.Detail." hidden="1">{"WW M Detail",#N/A,FALSE,"Sch M Detail"}</definedName>
    <definedName name="wrn.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간단한세무조정계산서.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급여인상안." hidden="1">{#N/A,#N/A,FALSE,"계약직(여)"}</definedName>
    <definedName name="wrn.부문손익." hidden="1">{#N/A,#N/A,FALSE,"매출이익"}</definedName>
    <definedName name="wrn.세무조정계산서.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조흥94세무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채권채무조회서." hidden="1">{#N/A,#N/A,FALSE,"채권채무";#N/A,#N/A,FALSE,"control sheet"}</definedName>
    <definedName name="wrn.현장._.NCR._.분석." hidden="1">{#N/A,#N/A,FALSE,"현장 NCR 분석";#N/A,#N/A,FALSE,"현장품질감사";#N/A,#N/A,FALSE,"현장품질감사"}</definedName>
    <definedName name="wrn1.all._Sheets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ww.wki" hidden="1">{"CSN M Detail",#N/A,FALSE,"Sch M Detail"}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Row" hidden="1">#REF!</definedName>
    <definedName name="XRefCopy2Row" hidden="1">#REF!</definedName>
    <definedName name="XRefCopy3" hidden="1">#REF!</definedName>
    <definedName name="XRefCopy30Row" hidden="1">#REF!</definedName>
    <definedName name="XRefCopy31Row" hidden="1">#REF!</definedName>
    <definedName name="XRefCopy32Row" hidden="1">#REF!</definedName>
    <definedName name="XRefCopy33Row" hidden="1">#REF!</definedName>
    <definedName name="XRefCopy34Row" hidden="1">#REF!</definedName>
    <definedName name="XRefCopy35Row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Row" hidden="1">#REF!</definedName>
    <definedName name="XRefPaste42Row" hidden="1">#REF!</definedName>
    <definedName name="XRefPaste43" hidden="1">#REF!</definedName>
    <definedName name="XRefPaste43Row" hidden="1">#REF!</definedName>
    <definedName name="XRefPaste44Row" hidden="1">#REF!</definedName>
    <definedName name="XRefPaste45Row" hidden="1">#REF!</definedName>
    <definedName name="XRefPaste46Row" hidden="1">#REF!</definedName>
    <definedName name="XRefPaste47Row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xx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ye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ㄱㄱㄱ" hidden="1">{#N/A,#N/A,FALSE,"1.CRITERIA";#N/A,#N/A,FALSE,"2.IS";#N/A,#N/A,FALSE,"3.BS";#N/A,#N/A,FALSE,"4.PER PL";#N/A,#N/A,FALSE,"5.INVESTMENT";#N/A,#N/A,FALSE,"6.공문";#N/A,#N/A,FALSE,"7.netinvest"}</definedName>
    <definedName name="가가" hidden="1">{#N/A,#N/A,FALSE,"1.CRITERIA";#N/A,#N/A,FALSE,"2.IS";#N/A,#N/A,FALSE,"3.BS";#N/A,#N/A,FALSE,"4.PER PL";#N/A,#N/A,FALSE,"5.INVESTMENT";#N/A,#N/A,FALSE,"6.공문";#N/A,#N/A,FALSE,"7.netinvest"}</definedName>
    <definedName name="가나" hidden="1">{#N/A,#N/A,FALSE,"1.CRITERIA";#N/A,#N/A,FALSE,"2.IS";#N/A,#N/A,FALSE,"3.BS";#N/A,#N/A,FALSE,"4.PER PL";#N/A,#N/A,FALSE,"5.INVESTMENT";#N/A,#N/A,FALSE,"6.공문";#N/A,#N/A,FALSE,"7.netinvest"}</definedName>
    <definedName name="가나라" hidden="1">{#N/A,#N/A,FALSE,"1.CRITERIA";#N/A,#N/A,FALSE,"2.IS";#N/A,#N/A,FALSE,"3.BS";#N/A,#N/A,FALSE,"4.PER PL";#N/A,#N/A,FALSE,"5.INVESTMENT";#N/A,#N/A,FALSE,"6.공문";#N/A,#N/A,FALSE,"7.netinvest"}</definedName>
    <definedName name="가다" hidden="1">{#N/A,#N/A,FALSE,"1.CRITERIA";#N/A,#N/A,FALSE,"2.IS";#N/A,#N/A,FALSE,"3.BS";#N/A,#N/A,FALSE,"4.PER PL";#N/A,#N/A,FALSE,"5.INVESTMENT";#N/A,#N/A,FALSE,"6.공문";#N/A,#N/A,FALSE,"7.netinvest"}</definedName>
    <definedName name="가라" hidden="1">{#N/A,#N/A,FALSE,"1.CRITERIA";#N/A,#N/A,FALSE,"2.IS";#N/A,#N/A,FALSE,"3.BS";#N/A,#N/A,FALSE,"4.PER PL";#N/A,#N/A,FALSE,"5.INVESTMENT";#N/A,#N/A,FALSE,"6.공문";#N/A,#N/A,FALSE,"7.netinvest"}</definedName>
    <definedName name="가아" hidden="1">{#N/A,#N/A,FALSE,"1.CRITERIA";#N/A,#N/A,FALSE,"2.IS";#N/A,#N/A,FALSE,"3.BS";#N/A,#N/A,FALSE,"4.PER PL";#N/A,#N/A,FALSE,"5.INVESTMENT";#N/A,#N/A,FALSE,"6.공문";#N/A,#N/A,FALSE,"7.netinvest"}</definedName>
    <definedName name="가아노" hidden="1">{#N/A,#N/A,FALSE,"1.CRITERIA";#N/A,#N/A,FALSE,"2.IS";#N/A,#N/A,FALSE,"3.BS";#N/A,#N/A,FALSE,"4.PER PL";#N/A,#N/A,FALSE,"5.INVESTMENT";#N/A,#N/A,FALSE,"6.공문";#N/A,#N/A,FALSE,"7.netinvest"}</definedName>
    <definedName name="가아다" hidden="1">{#N/A,#N/A,FALSE,"1.CRITERIA";#N/A,#N/A,FALSE,"2.IS";#N/A,#N/A,FALSE,"3.BS";#N/A,#N/A,FALSE,"4.PER PL";#N/A,#N/A,FALSE,"5.INVESTMENT";#N/A,#N/A,FALSE,"6.공문";#N/A,#N/A,FALSE,"7.netinvest"}</definedName>
    <definedName name="가아차" hidden="1">{#N/A,#N/A,FALSE,"1.CRITERIA";#N/A,#N/A,FALSE,"2.IS";#N/A,#N/A,FALSE,"3.BS";#N/A,#N/A,FALSE,"4.PER PL";#N/A,#N/A,FALSE,"5.INVESTMENT";#N/A,#N/A,FALSE,"6.공문";#N/A,#N/A,FALSE,"7.netinvest"}</definedName>
    <definedName name="가오" hidden="1">{#N/A,#N/A,FALSE,"1.CRITERIA";#N/A,#N/A,FALSE,"2.IS";#N/A,#N/A,FALSE,"3.BS";#N/A,#N/A,FALSE,"4.PER PL";#N/A,#N/A,FALSE,"5.INVESTMENT";#N/A,#N/A,FALSE,"6.공문";#N/A,#N/A,FALSE,"7.netinvest"}</definedName>
    <definedName name="가오나" hidden="1">{#N/A,#N/A,FALSE,"1.CRITERIA";#N/A,#N/A,FALSE,"2.IS";#N/A,#N/A,FALSE,"3.BS";#N/A,#N/A,FALSE,"4.PER PL";#N/A,#N/A,FALSE,"5.INVESTMENT";#N/A,#N/A,FALSE,"6.공문";#N/A,#N/A,FALSE,"7.netinvest"}</definedName>
    <definedName name="가오아" hidden="1">{#N/A,#N/A,FALSE,"1.CRITERIA";#N/A,#N/A,FALSE,"2.IS";#N/A,#N/A,FALSE,"3.BS";#N/A,#N/A,FALSE,"4.PER PL";#N/A,#N/A,FALSE,"5.INVESTMENT";#N/A,#N/A,FALSE,"6.공문";#N/A,#N/A,FALSE,"7.netinvest"}</definedName>
    <definedName name="가카" hidden="1">{#N/A,#N/A,FALSE,"1.CRITERIA";#N/A,#N/A,FALSE,"2.IS";#N/A,#N/A,FALSE,"3.BS";#N/A,#N/A,FALSE,"4.PER PL";#N/A,#N/A,FALSE,"5.INVESTMENT";#N/A,#N/A,FALSE,"6.공문";#N/A,#N/A,FALSE,"7.netinvest"}</definedName>
    <definedName name="가타" hidden="1">{#N/A,#N/A,FALSE,"1.CRITERIA";#N/A,#N/A,FALSE,"2.IS";#N/A,#N/A,FALSE,"3.BS";#N/A,#N/A,FALSE,"4.PER PL";#N/A,#N/A,FALSE,"5.INVESTMENT";#N/A,#N/A,FALSE,"6.공문";#N/A,#N/A,FALSE,"7.netinvest"}</definedName>
    <definedName name="갈" hidden="1">{#N/A,#N/A,FALSE,"1.CRITERIA";#N/A,#N/A,FALSE,"2.IS";#N/A,#N/A,FALSE,"3.BS";#N/A,#N/A,FALSE,"4.PER PL";#N/A,#N/A,FALSE,"5.INVESTMENT";#N/A,#N/A,FALSE,"6.공문";#N/A,#N/A,FALSE,"7.netinvest"}</definedName>
    <definedName name="강" hidden="1">{#N/A,#N/A,FALSE,"1.CRITERIA";#N/A,#N/A,FALSE,"2.IS";#N/A,#N/A,FALSE,"3.BS";#N/A,#N/A,FALSE,"4.PER PL";#N/A,#N/A,FALSE,"5.INVESTMENT";#N/A,#N/A,FALSE,"6.공문";#N/A,#N/A,FALSE,"7.netinvest"}</definedName>
    <definedName name="거" hidden="1">{#N/A,#N/A,FALSE,"1.CRITERIA";#N/A,#N/A,FALSE,"2.IS";#N/A,#N/A,FALSE,"3.BS";#N/A,#N/A,FALSE,"4.PER PL";#N/A,#N/A,FALSE,"5.INVESTMENT";#N/A,#N/A,FALSE,"6.공문";#N/A,#N/A,FALSE,"7.netinvest"}</definedName>
    <definedName name="거이" hidden="1">{#N/A,#N/A,FALSE,"1.CRITERIA";#N/A,#N/A,FALSE,"2.IS";#N/A,#N/A,FALSE,"3.BS";#N/A,#N/A,FALSE,"4.PER PL";#N/A,#N/A,FALSE,"5.INVESTMENT";#N/A,#N/A,FALSE,"6.공문";#N/A,#N/A,FALSE,"7.netinvest"}</definedName>
    <definedName name="결손금" hidden="1">{#N/A,#N/A,FALSE,"Aging Summary";#N/A,#N/A,FALSE,"Ratio Analysis";#N/A,#N/A,FALSE,"Test 120 Day Accts";#N/A,#N/A,FALSE,"Tickmarks"}</definedName>
    <definedName name="계산" hidden="1">{#N/A,#N/A,FALSE,"1.CRITERIA";#N/A,#N/A,FALSE,"2.IS";#N/A,#N/A,FALSE,"3.BS";#N/A,#N/A,FALSE,"4.PER PL";#N/A,#N/A,FALSE,"5.INVESTMENT";#N/A,#N/A,FALSE,"6.공문";#N/A,#N/A,FALSE,"7.netinvest"}</definedName>
    <definedName name="계약" hidden="1">{#N/A,#N/A,FALSE,"계약직(여)"}</definedName>
    <definedName name="계정과목별합계" comment="계정과목 범위, 환종범위, 금액 범위를 입력하면 자동 계산">_xlfn.LAMBDA(_xlpm.항목범위,_xlpm.환종범위,_xlpm.원값범위,   _xlfn.LET(     _xlpm.값, IFERROR(VALUE(_xlpm.원값범위), 0),     _xlpm.제외조건, (_xlpm.항목범위="금융상품")+(_xlpm.항목범위="보통예금")+(_xlpm.항목범위="구분"),     _xlpm.필터행, _xlfn._xlws.FILTER(_xlfn.HSTACK(_xlpm.항목범위, _xlpm.환종범위, _xlpm.값), (_xlpm.값&lt;&gt;0)*(NOT(_xlpm.제외조건))),     _xlpm.항목열, INDEX(_xlpm.필터행,,1),     _xlpm.환종열, INDEX(_xlpm.필터행,,2),     _xlpm.숫자열, INDEX(_xlpm.필터행,,3),     _xlpm.그룹, _xlfn.HSTACK(_xlpm.항목열, _xlpm.환종열),     _xlpm.고유그룹, IFERROR(_xlfn.UNIQUE(_xlpm.그룹), {"",""}),     _xlpm.합계값, _xlfn.BYROW(_xlpm.고유그룹, _xlfn.LAMBDA(_xlpm.행,       _xlfn.LET(         _xlpm.항, INDEX(_xlpm.행,,1),         _xlpm.환, INDEX(_xlpm.행,,2),         _xlpm.해당값들, _xlfn._xlws.FILTER(_xlpm.숫자열, (_xlpm.항목열=_xlpm.항)*(_xlpm.환종열=_xlpm.환)),         IFERROR(SUM(_xlpm.해당값들), 0)       )     )),     _xlpm.결과, _xlfn.HSTACK(_xlpm.고유그룹, _xlpm.합계값),     _xlfn._xlws.SORT(_xlpm.결과, 3, -1)   ) )</definedName>
    <definedName name="공모23" hidden="1">{#N/A,#N/A,FALSE,"현장 NCR 분석";#N/A,#N/A,FALSE,"현장품질감사";#N/A,#N/A,FALSE,"현장품질감사"}</definedName>
    <definedName name="공모24" hidden="1">{#N/A,#N/A,FALSE,"현장 NCR 분석";#N/A,#N/A,FALSE,"현장품질감사";#N/A,#N/A,FALSE,"현장품질감사"}</definedName>
    <definedName name="공장지원" hidden="1">[1]ST!#REF!</definedName>
    <definedName name="공장지원팀" hidden="1">#REF!</definedName>
    <definedName name="관_마케팅" hidden="1">{"'경비내역'!$E$11"}</definedName>
    <definedName name="국제거래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급여인상안" hidden="1">{#N/A,#N/A,FALSE,"계약직(여)"}</definedName>
    <definedName name="기" hidden="1">{#N/A,#N/A,FALSE,"1.CRITERIA";#N/A,#N/A,FALSE,"2.IS";#N/A,#N/A,FALSE,"3.BS";#N/A,#N/A,FALSE,"4.PER PL";#N/A,#N/A,FALSE,"5.INVESTMENT";#N/A,#N/A,FALSE,"6.공문";#N/A,#N/A,FALSE,"7.netinvest"}</definedName>
    <definedName name="기아" hidden="1">{#N/A,#N/A,FALSE,"1.CRITERIA";#N/A,#N/A,FALSE,"2.IS";#N/A,#N/A,FALSE,"3.BS";#N/A,#N/A,FALSE,"4.PER PL";#N/A,#N/A,FALSE,"5.INVESTMENT";#N/A,#N/A,FALSE,"6.공문";#N/A,#N/A,FALSE,"7.netinvest"}</definedName>
    <definedName name="기아차" hidden="1">{#N/A,#N/A,FALSE,"1.CRITERIA";#N/A,#N/A,FALSE,"2.IS";#N/A,#N/A,FALSE,"3.BS";#N/A,#N/A,FALSE,"4.PER PL";#N/A,#N/A,FALSE,"5.INVESTMENT";#N/A,#N/A,FALSE,"6.공문";#N/A,#N/A,FALSE,"7.netinvest"}</definedName>
    <definedName name="기타의당좌자산" hidden="1">{"'통신지'!$A$1:$J$41"}</definedName>
    <definedName name="ㄴㅇ라" hidden="1">{#N/A,#N/A,FALSE,"계약직(여)"}</definedName>
    <definedName name="나다라" hidden="1">{#N/A,#N/A,FALSE,"1.CRITERIA";#N/A,#N/A,FALSE,"2.IS";#N/A,#N/A,FALSE,"3.BS";#N/A,#N/A,FALSE,"4.PER PL";#N/A,#N/A,FALSE,"5.INVESTMENT";#N/A,#N/A,FALSE,"6.공문";#N/A,#N/A,FALSE,"7.netinvest"}</definedName>
    <definedName name="내" hidden="1">{#N/A,#N/A,FALSE,"1.CRITERIA";#N/A,#N/A,FALSE,"2.IS";#N/A,#N/A,FALSE,"3.BS";#N/A,#N/A,FALSE,"4.PER PL";#N/A,#N/A,FALSE,"5.INVESTMENT";#N/A,#N/A,FALSE,"6.공문";#N/A,#N/A,FALSE,"7.netinvest"}</definedName>
    <definedName name="너" hidden="1">{#N/A,#N/A,FALSE,"1.CRITERIA";#N/A,#N/A,FALSE,"2.IS";#N/A,#N/A,FALSE,"3.BS";#N/A,#N/A,FALSE,"4.PER PL";#N/A,#N/A,FALSE,"5.INVESTMENT";#N/A,#N/A,FALSE,"6.공문";#N/A,#N/A,FALSE,"7.netinvest"}</definedName>
    <definedName name="녀" hidden="1">{#N/A,#N/A,FALSE,"1.CRITERIA";#N/A,#N/A,FALSE,"2.IS";#N/A,#N/A,FALSE,"3.BS";#N/A,#N/A,FALSE,"4.PER PL";#N/A,#N/A,FALSE,"5.INVESTMENT";#N/A,#N/A,FALSE,"6.공문";#N/A,#N/A,FALSE,"7.netinvest"}</definedName>
    <definedName name="ㄷㅋㄳㅋㄱ" hidden="1">{"'경비내역'!$E$11"}</definedName>
    <definedName name="다바" hidden="1">{#N/A,#N/A,FALSE,"1.CRITERIA";#N/A,#N/A,FALSE,"2.IS";#N/A,#N/A,FALSE,"3.BS";#N/A,#N/A,FALSE,"4.PER PL";#N/A,#N/A,FALSE,"5.INVESTMENT";#N/A,#N/A,FALSE,"6.공문";#N/A,#N/A,FALSE,"7.netinvest"}</definedName>
    <definedName name="닥터수수료" hidden="1">{"'경비내역'!$E$11"}</definedName>
    <definedName name="도" hidden="1">{#N/A,#N/A,FALSE,"1.CRITERIA";#N/A,#N/A,FALSE,"2.IS";#N/A,#N/A,FALSE,"3.BS";#N/A,#N/A,FALSE,"4.PER PL";#N/A,#N/A,FALSE,"5.INVESTMENT";#N/A,#N/A,FALSE,"6.공문";#N/A,#N/A,FALSE,"7.netinvest"}</definedName>
    <definedName name="돠" hidden="1">{#N/A,#N/A,FALSE,"1.CRITERIA";#N/A,#N/A,FALSE,"2.IS";#N/A,#N/A,FALSE,"3.BS";#N/A,#N/A,FALSE,"4.PER PL";#N/A,#N/A,FALSE,"5.INVESTMENT";#N/A,#N/A,FALSE,"6.공문";#N/A,#N/A,FALSE,"7.netinvest"}</definedName>
    <definedName name="디" hidden="1">{#N/A,#N/A,FALSE,"1.CRITERIA";#N/A,#N/A,FALSE,"2.IS";#N/A,#N/A,FALSE,"3.BS";#N/A,#N/A,FALSE,"4.PER PL";#N/A,#N/A,FALSE,"5.INVESTMENT";#N/A,#N/A,FALSE,"6.공문";#N/A,#N/A,FALSE,"7.netinvest"}</definedName>
    <definedName name="라아아" hidden="1">{#N/A,#N/A,FALSE,"1.CRITERIA";#N/A,#N/A,FALSE,"2.IS";#N/A,#N/A,FALSE,"3.BS";#N/A,#N/A,FALSE,"4.PER PL";#N/A,#N/A,FALSE,"5.INVESTMENT";#N/A,#N/A,FALSE,"6.공문";#N/A,#N/A,FALSE,"7.netinvest"}</definedName>
    <definedName name="랴" hidden="1">{#N/A,#N/A,FALSE,"1.CRITERIA";#N/A,#N/A,FALSE,"2.IS";#N/A,#N/A,FALSE,"3.BS";#N/A,#N/A,FALSE,"4.PER PL";#N/A,#N/A,FALSE,"5.INVESTMENT";#N/A,#N/A,FALSE,"6.공문";#N/A,#N/A,FALSE,"7.netinvest"}</definedName>
    <definedName name="로" hidden="1">{#N/A,#N/A,FALSE,"1.CRITERIA";#N/A,#N/A,FALSE,"2.IS";#N/A,#N/A,FALSE,"3.BS";#N/A,#N/A,FALSE,"4.PER PL";#N/A,#N/A,FALSE,"5.INVESTMENT";#N/A,#N/A,FALSE,"6.공문";#N/A,#N/A,FALSE,"7.netinvest"}</definedName>
    <definedName name="류" hidden="1">{#N/A,#N/A,FALSE,"1.CRITERIA";#N/A,#N/A,FALSE,"2.IS";#N/A,#N/A,FALSE,"3.BS";#N/A,#N/A,FALSE,"4.PER PL";#N/A,#N/A,FALSE,"5.INVESTMENT";#N/A,#N/A,FALSE,"6.공문";#N/A,#N/A,FALSE,"7.netinvest"}</definedName>
    <definedName name="ㅁㄷㅅㅅㅈ3" hidden="1">{"'경비내역'!$E$11"}</definedName>
    <definedName name="ㅁㅁ" hidden="1">#REF!</definedName>
    <definedName name="ㅁㅂㅁㅂㅂㅁㅁㅂ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마" hidden="1">{#N/A,#N/A,FALSE,"1.CRITERIA";#N/A,#N/A,FALSE,"2.IS";#N/A,#N/A,FALSE,"3.BS";#N/A,#N/A,FALSE,"4.PER PL";#N/A,#N/A,FALSE,"5.INVESTMENT";#N/A,#N/A,FALSE,"6.공문";#N/A,#N/A,FALSE,"7.netinvest"}</definedName>
    <definedName name="마마" hidden="1">{#N/A,#N/A,FALSE,"1.CRITERIA";#N/A,#N/A,FALSE,"2.IS";#N/A,#N/A,FALSE,"3.BS";#N/A,#N/A,FALSE,"4.PER PL";#N/A,#N/A,FALSE,"5.INVESTMENT";#N/A,#N/A,FALSE,"6.공문";#N/A,#N/A,FALSE,"7.netinvest"}</definedName>
    <definedName name="마마오" hidden="1">{#N/A,#N/A,FALSE,"1.CRITERIA";#N/A,#N/A,FALSE,"2.IS";#N/A,#N/A,FALSE,"3.BS";#N/A,#N/A,FALSE,"4.PER PL";#N/A,#N/A,FALSE,"5.INVESTMENT";#N/A,#N/A,FALSE,"6.공문";#N/A,#N/A,FALSE,"7.netinvest"}</definedName>
    <definedName name="마마이" hidden="1">{#N/A,#N/A,FALSE,"1.CRITERIA";#N/A,#N/A,FALSE,"2.IS";#N/A,#N/A,FALSE,"3.BS";#N/A,#N/A,FALSE,"4.PER PL";#N/A,#N/A,FALSE,"5.INVESTMENT";#N/A,#N/A,FALSE,"6.공문";#N/A,#N/A,FALSE,"7.netinvest"}</definedName>
    <definedName name="마아" hidden="1">{#N/A,#N/A,FALSE,"1.CRITERIA";#N/A,#N/A,FALSE,"2.IS";#N/A,#N/A,FALSE,"3.BS";#N/A,#N/A,FALSE,"4.PER PL";#N/A,#N/A,FALSE,"5.INVESTMENT";#N/A,#N/A,FALSE,"6.공문";#N/A,#N/A,FALSE,"7.netinvest"}</definedName>
    <definedName name="매" hidden="1">{#N/A,#N/A,FALSE,"1.CRITERIA";#N/A,#N/A,FALSE,"2.IS";#N/A,#N/A,FALSE,"3.BS";#N/A,#N/A,FALSE,"4.PER PL";#N/A,#N/A,FALSE,"5.INVESTMENT";#N/A,#N/A,FALSE,"6.공문";#N/A,#N/A,FALSE,"7.netinvest"}</definedName>
    <definedName name="매축액2" hidden="1">{#N/A,#N/A,FALSE,"1.CRITERIA";#N/A,#N/A,FALSE,"2.IS";#N/A,#N/A,FALSE,"3.BS";#N/A,#N/A,FALSE,"4.PER PL";#N/A,#N/A,FALSE,"5.INVESTMENT";#N/A,#N/A,FALSE,"6.공문";#N/A,#N/A,FALSE,"7.netinvest"}</definedName>
    <definedName name="매출액2" hidden="1">{#N/A,#N/A,FALSE,"1.CRITERIA";#N/A,#N/A,FALSE,"2.IS";#N/A,#N/A,FALSE,"3.BS";#N/A,#N/A,FALSE,"4.PER PL";#N/A,#N/A,FALSE,"5.INVESTMENT";#N/A,#N/A,FALSE,"6.공문";#N/A,#N/A,FALSE,"7.netinvest"}</definedName>
    <definedName name="머머" hidden="1">{#N/A,#N/A,FALSE,"1.CRITERIA";#N/A,#N/A,FALSE,"2.IS";#N/A,#N/A,FALSE,"3.BS";#N/A,#N/A,FALSE,"4.PER PL";#N/A,#N/A,FALSE,"5.INVESTMENT";#N/A,#N/A,FALSE,"6.공문";#N/A,#N/A,FALSE,"7.netinvest"}</definedName>
    <definedName name="며며" hidden="1">{#N/A,#N/A,FALSE,"1.CRITERIA";#N/A,#N/A,FALSE,"2.IS";#N/A,#N/A,FALSE,"3.BS";#N/A,#N/A,FALSE,"4.PER PL";#N/A,#N/A,FALSE,"5.INVESTMENT";#N/A,#N/A,FALSE,"6.공문";#N/A,#N/A,FALSE,"7.netinvest"}</definedName>
    <definedName name="모리" hidden="1">{#N/A,#N/A,FALSE,"1.CRITERIA";#N/A,#N/A,FALSE,"2.IS";#N/A,#N/A,FALSE,"3.BS";#N/A,#N/A,FALSE,"4.PER PL";#N/A,#N/A,FALSE,"5.INVESTMENT";#N/A,#N/A,FALSE,"6.공문";#N/A,#N/A,FALSE,"7.netinvest"}</definedName>
    <definedName name="모모" hidden="1">{#N/A,#N/A,FALSE,"1.CRITERIA";#N/A,#N/A,FALSE,"2.IS";#N/A,#N/A,FALSE,"3.BS";#N/A,#N/A,FALSE,"4.PER PL";#N/A,#N/A,FALSE,"5.INVESTMENT";#N/A,#N/A,FALSE,"6.공문";#N/A,#N/A,FALSE,"7.netinvest"}</definedName>
    <definedName name="뫌" hidden="1">{#N/A,#N/A,FALSE,"1.CRITERIA";#N/A,#N/A,FALSE,"2.IS";#N/A,#N/A,FALSE,"3.BS";#N/A,#N/A,FALSE,"4.PER PL";#N/A,#N/A,FALSE,"5.INVESTMENT";#N/A,#N/A,FALSE,"6.공문";#N/A,#N/A,FALSE,"7.netinvest"}</definedName>
    <definedName name="무무" hidden="1">{#N/A,#N/A,FALSE,"1.CRITERIA";#N/A,#N/A,FALSE,"2.IS";#N/A,#N/A,FALSE,"3.BS";#N/A,#N/A,FALSE,"4.PER PL";#N/A,#N/A,FALSE,"5.INVESTMENT";#N/A,#N/A,FALSE,"6.공문";#N/A,#N/A,FALSE,"7.netinvest"}</definedName>
    <definedName name="뮤뮤" hidden="1">{#N/A,#N/A,FALSE,"1.CRITERIA";#N/A,#N/A,FALSE,"2.IS";#N/A,#N/A,FALSE,"3.BS";#N/A,#N/A,FALSE,"4.PER PL";#N/A,#N/A,FALSE,"5.INVESTMENT";#N/A,#N/A,FALSE,"6.공문";#N/A,#N/A,FALSE,"7.netinvest"}</definedName>
    <definedName name="미라" hidden="1">{#N/A,#N/A,FALSE,"1.CRITERIA";#N/A,#N/A,FALSE,"2.IS";#N/A,#N/A,FALSE,"3.BS";#N/A,#N/A,FALSE,"4.PER PL";#N/A,#N/A,FALSE,"5.INVESTMENT";#N/A,#N/A,FALSE,"6.공문";#N/A,#N/A,FALSE,"7.netinvest"}</definedName>
    <definedName name="미래_웰빙판매" hidden="1">{"'경비내역'!$E$11"}</definedName>
    <definedName name="미로" hidden="1">{#N/A,#N/A,FALSE,"1.CRITERIA";#N/A,#N/A,FALSE,"2.IS";#N/A,#N/A,FALSE,"3.BS";#N/A,#N/A,FALSE,"4.PER PL";#N/A,#N/A,FALSE,"5.INVESTMENT";#N/A,#N/A,FALSE,"6.공문";#N/A,#N/A,FALSE,"7.netinvest"}</definedName>
    <definedName name="미로어" hidden="1">{#N/A,#N/A,FALSE,"1.CRITERIA";#N/A,#N/A,FALSE,"2.IS";#N/A,#N/A,FALSE,"3.BS";#N/A,#N/A,FALSE,"4.PER PL";#N/A,#N/A,FALSE,"5.INVESTMENT";#N/A,#N/A,FALSE,"6.공문";#N/A,#N/A,FALSE,"7.netinvest"}</definedName>
    <definedName name="미료" hidden="1">{#N/A,#N/A,FALSE,"1.CRITERIA";#N/A,#N/A,FALSE,"2.IS";#N/A,#N/A,FALSE,"3.BS";#N/A,#N/A,FALSE,"4.PER PL";#N/A,#N/A,FALSE,"5.INVESTMENT";#N/A,#N/A,FALSE,"6.공문";#N/A,#N/A,FALSE,"7.netinvest"}</definedName>
    <definedName name="미미" hidden="1">{#N/A,#N/A,FALSE,"1.CRITERIA";#N/A,#N/A,FALSE,"2.IS";#N/A,#N/A,FALSE,"3.BS";#N/A,#N/A,FALSE,"4.PER PL";#N/A,#N/A,FALSE,"5.INVESTMENT";#N/A,#N/A,FALSE,"6.공문";#N/A,#N/A,FALSE,"7.netinvest"}</definedName>
    <definedName name="미수금" hidden="1">{#N/A,#N/A,FALSE,"1.CRITERIA";#N/A,#N/A,FALSE,"2.IS";#N/A,#N/A,FALSE,"3.BS";#N/A,#N/A,FALSE,"4.PER PL";#N/A,#N/A,FALSE,"5.INVESTMENT";#N/A,#N/A,FALSE,"6.공문";#N/A,#N/A,FALSE,"7.netinvest"}</definedName>
    <definedName name="미수수익" hidden="1">{"'보고양식'!$A$58:$K$111"}</definedName>
    <definedName name="바가" hidden="1">{#N/A,#N/A,FALSE,"1.CRITERIA";#N/A,#N/A,FALSE,"2.IS";#N/A,#N/A,FALSE,"3.BS";#N/A,#N/A,FALSE,"4.PER PL";#N/A,#N/A,FALSE,"5.INVESTMENT";#N/A,#N/A,FALSE,"6.공문";#N/A,#N/A,FALSE,"7.netinvest"}</definedName>
    <definedName name="바나" hidden="1">{#N/A,#N/A,FALSE,"1.CRITERIA";#N/A,#N/A,FALSE,"2.IS";#N/A,#N/A,FALSE,"3.BS";#N/A,#N/A,FALSE,"4.PER PL";#N/A,#N/A,FALSE,"5.INVESTMENT";#N/A,#N/A,FALSE,"6.공문";#N/A,#N/A,FALSE,"7.netinvest"}</definedName>
    <definedName name="바다올" hidden="1">{#N/A,#N/A,FALSE,"1.CRITERIA";#N/A,#N/A,FALSE,"2.IS";#N/A,#N/A,FALSE,"3.BS";#N/A,#N/A,FALSE,"4.PER PL";#N/A,#N/A,FALSE,"5.INVESTMENT";#N/A,#N/A,FALSE,"6.공문";#N/A,#N/A,FALSE,"7.netinvest"}</definedName>
    <definedName name="바라" hidden="1">{#N/A,#N/A,FALSE,"1.CRITERIA";#N/A,#N/A,FALSE,"2.IS";#N/A,#N/A,FALSE,"3.BS";#N/A,#N/A,FALSE,"4.PER PL";#N/A,#N/A,FALSE,"5.INVESTMENT";#N/A,#N/A,FALSE,"6.공문";#N/A,#N/A,FALSE,"7.netinvest"}</definedName>
    <definedName name="바라오" hidden="1">{#N/A,#N/A,FALSE,"1.CRITERIA";#N/A,#N/A,FALSE,"2.IS";#N/A,#N/A,FALSE,"3.BS";#N/A,#N/A,FALSE,"4.PER PL";#N/A,#N/A,FALSE,"5.INVESTMENT";#N/A,#N/A,FALSE,"6.공문";#N/A,#N/A,FALSE,"7.netinvest"}</definedName>
    <definedName name="바로" hidden="1">{#N/A,#N/A,FALSE,"1.CRITERIA";#N/A,#N/A,FALSE,"2.IS";#N/A,#N/A,FALSE,"3.BS";#N/A,#N/A,FALSE,"4.PER PL";#N/A,#N/A,FALSE,"5.INVESTMENT";#N/A,#N/A,FALSE,"6.공문";#N/A,#N/A,FALSE,"7.netinvest"}</definedName>
    <definedName name="바바" hidden="1">{#N/A,#N/A,FALSE,"1.CRITERIA";#N/A,#N/A,FALSE,"2.IS";#N/A,#N/A,FALSE,"3.BS";#N/A,#N/A,FALSE,"4.PER PL";#N/A,#N/A,FALSE,"5.INVESTMENT";#N/A,#N/A,FALSE,"6.공문";#N/A,#N/A,FALSE,"7.netinvest"}</definedName>
    <definedName name="바아" hidden="1">{#N/A,#N/A,FALSE,"1.CRITERIA";#N/A,#N/A,FALSE,"2.IS";#N/A,#N/A,FALSE,"3.BS";#N/A,#N/A,FALSE,"4.PER PL";#N/A,#N/A,FALSE,"5.INVESTMENT";#N/A,#N/A,FALSE,"6.공문";#N/A,#N/A,FALSE,"7.netinvest"}</definedName>
    <definedName name="바아가" hidden="1">{#N/A,#N/A,FALSE,"1.CRITERIA";#N/A,#N/A,FALSE,"2.IS";#N/A,#N/A,FALSE,"3.BS";#N/A,#N/A,FALSE,"4.PER PL";#N/A,#N/A,FALSE,"5.INVESTMENT";#N/A,#N/A,FALSE,"6.공문";#N/A,#N/A,FALSE,"7.netinvest"}</definedName>
    <definedName name="바아가오" hidden="1">{#N/A,#N/A,FALSE,"1.CRITERIA";#N/A,#N/A,FALSE,"2.IS";#N/A,#N/A,FALSE,"3.BS";#N/A,#N/A,FALSE,"4.PER PL";#N/A,#N/A,FALSE,"5.INVESTMENT";#N/A,#N/A,FALSE,"6.공문";#N/A,#N/A,FALSE,"7.netinvest"}</definedName>
    <definedName name="바아고" hidden="1">{#N/A,#N/A,FALSE,"1.CRITERIA";#N/A,#N/A,FALSE,"2.IS";#N/A,#N/A,FALSE,"3.BS";#N/A,#N/A,FALSE,"4.PER PL";#N/A,#N/A,FALSE,"5.INVESTMENT";#N/A,#N/A,FALSE,"6.공문";#N/A,#N/A,FALSE,"7.netinvest"}</definedName>
    <definedName name="바이" hidden="1">{#N/A,#N/A,FALSE,"1.CRITERIA";#N/A,#N/A,FALSE,"2.IS";#N/A,#N/A,FALSE,"3.BS";#N/A,#N/A,FALSE,"4.PER PL";#N/A,#N/A,FALSE,"5.INVESTMENT";#N/A,#N/A,FALSE,"6.공문";#N/A,#N/A,FALSE,"7.netinvest"}</definedName>
    <definedName name="박" hidden="1">{#N/A,#N/A,FALSE,"1.CRITERIA";#N/A,#N/A,FALSE,"2.IS";#N/A,#N/A,FALSE,"3.BS";#N/A,#N/A,FALSE,"4.PER PL";#N/A,#N/A,FALSE,"5.INVESTMENT";#N/A,#N/A,FALSE,"6.공문";#N/A,#N/A,FALSE,"7.netinvest"}</definedName>
    <definedName name="발" hidden="1">{#N/A,#N/A,FALSE,"1.CRITERIA";#N/A,#N/A,FALSE,"2.IS";#N/A,#N/A,FALSE,"3.BS";#N/A,#N/A,FALSE,"4.PER PL";#N/A,#N/A,FALSE,"5.INVESTMENT";#N/A,#N/A,FALSE,"6.공문";#N/A,#N/A,FALSE,"7.netinvest"}</definedName>
    <definedName name="방판일시불" hidden="1">{"'경비내역'!$E$11"}</definedName>
    <definedName name="배" hidden="1">{#N/A,#N/A,FALSE,"1.CRITERIA";#N/A,#N/A,FALSE,"2.IS";#N/A,#N/A,FALSE,"3.BS";#N/A,#N/A,FALSE,"4.PER PL";#N/A,#N/A,FALSE,"5.INVESTMENT";#N/A,#N/A,FALSE,"6.공문";#N/A,#N/A,FALSE,"7.netinvest"}</definedName>
    <definedName name="버버" hidden="1">{#N/A,#N/A,FALSE,"1.CRITERIA";#N/A,#N/A,FALSE,"2.IS";#N/A,#N/A,FALSE,"3.BS";#N/A,#N/A,FALSE,"4.PER PL";#N/A,#N/A,FALSE,"5.INVESTMENT";#N/A,#N/A,FALSE,"6.공문";#N/A,#N/A,FALSE,"7.netinvest"}</definedName>
    <definedName name="베" hidden="1">{#N/A,#N/A,FALSE,"1.CRITERIA";#N/A,#N/A,FALSE,"2.IS";#N/A,#N/A,FALSE,"3.BS";#N/A,#N/A,FALSE,"4.PER PL";#N/A,#N/A,FALSE,"5.INVESTMENT";#N/A,#N/A,FALSE,"6.공문";#N/A,#N/A,FALSE,"7.netinvest"}</definedName>
    <definedName name="보" hidden="1">{#N/A,#N/A,FALSE,"1.CRITERIA";#N/A,#N/A,FALSE,"2.IS";#N/A,#N/A,FALSE,"3.BS";#N/A,#N/A,FALSE,"4.PER PL";#N/A,#N/A,FALSE,"5.INVESTMENT";#N/A,#N/A,FALSE,"6.공문";#N/A,#N/A,FALSE,"7.netinvest"}</definedName>
    <definedName name="보라차" hidden="1">{#N/A,#N/A,FALSE,"1.CRITERIA";#N/A,#N/A,FALSE,"2.IS";#N/A,#N/A,FALSE,"3.BS";#N/A,#N/A,FALSE,"4.PER PL";#N/A,#N/A,FALSE,"5.INVESTMENT";#N/A,#N/A,FALSE,"6.공문";#N/A,#N/A,FALSE,"7.netinvest"}</definedName>
    <definedName name="보아리" hidden="1">{#N/A,#N/A,FALSE,"1.CRITERIA";#N/A,#N/A,FALSE,"2.IS";#N/A,#N/A,FALSE,"3.BS";#N/A,#N/A,FALSE,"4.PER PL";#N/A,#N/A,FALSE,"5.INVESTMENT";#N/A,#N/A,FALSE,"6.공문";#N/A,#N/A,FALSE,"7.netinvest"}</definedName>
    <definedName name="보이" hidden="1">{#N/A,#N/A,FALSE,"1.CRITERIA";#N/A,#N/A,FALSE,"2.IS";#N/A,#N/A,FALSE,"3.BS";#N/A,#N/A,FALSE,"4.PER PL";#N/A,#N/A,FALSE,"5.INVESTMENT";#N/A,#N/A,FALSE,"6.공문";#N/A,#N/A,FALSE,"7.netinvest"}</definedName>
    <definedName name="보이아" hidden="1">{#N/A,#N/A,FALSE,"1.CRITERIA";#N/A,#N/A,FALSE,"2.IS";#N/A,#N/A,FALSE,"3.BS";#N/A,#N/A,FALSE,"4.PER PL";#N/A,#N/A,FALSE,"5.INVESTMENT";#N/A,#N/A,FALSE,"6.공문";#N/A,#N/A,FALSE,"7.netinvest"}</definedName>
    <definedName name="볼" hidden="1">{#N/A,#N/A,FALSE,"1.CRITERIA";#N/A,#N/A,FALSE,"2.IS";#N/A,#N/A,FALSE,"3.BS";#N/A,#N/A,FALSE,"4.PER PL";#N/A,#N/A,FALSE,"5.INVESTMENT";#N/A,#N/A,FALSE,"6.공문";#N/A,#N/A,FALSE,"7.netinvest"}</definedName>
    <definedName name="봐" hidden="1">{#N/A,#N/A,FALSE,"1.CRITERIA";#N/A,#N/A,FALSE,"2.IS";#N/A,#N/A,FALSE,"3.BS";#N/A,#N/A,FALSE,"4.PER PL";#N/A,#N/A,FALSE,"5.INVESTMENT";#N/A,#N/A,FALSE,"6.공문";#N/A,#N/A,FALSE,"7.netinvest"}</definedName>
    <definedName name="비" hidden="1">{#N/A,#N/A,FALSE,"1.CRITERIA";#N/A,#N/A,FALSE,"2.IS";#N/A,#N/A,FALSE,"3.BS";#N/A,#N/A,FALSE,"4.PER PL";#N/A,#N/A,FALSE,"5.INVESTMENT";#N/A,#N/A,FALSE,"6.공문";#N/A,#N/A,FALSE,"7.netinvest"}</definedName>
    <definedName name="빙수" hidden="1">{#N/A,#N/A,FALSE,"1.CRITERIA";#N/A,#N/A,FALSE,"2.IS";#N/A,#N/A,FALSE,"3.BS";#N/A,#N/A,FALSE,"4.PER PL";#N/A,#N/A,FALSE,"5.INVESTMENT";#N/A,#N/A,FALSE,"6.공문";#N/A,#N/A,FALSE,"7.netinvest"}</definedName>
    <definedName name="사업" hidden="1">{"'경비내역'!$E$11"}</definedName>
    <definedName name="사원미지급" hidden="1">{#N/A,#N/A,FALSE,"1.CRITERIA";#N/A,#N/A,FALSE,"2.IS";#N/A,#N/A,FALSE,"3.BS";#N/A,#N/A,FALSE,"4.PER PL";#N/A,#N/A,FALSE,"5.INVESTMENT";#N/A,#N/A,FALSE,"6.공문";#N/A,#N/A,FALSE,"7.netinvest"}</definedName>
    <definedName name="산출내역" hidden="1">[1]ST!#REF!</definedName>
    <definedName name="산출내역1" hidden="1">'[1]#REF'!$A$206:$Q$214</definedName>
    <definedName name="서이" hidden="1">{#N/A,#N/A,FALSE,"1.CRITERIA";#N/A,#N/A,FALSE,"2.IS";#N/A,#N/A,FALSE,"3.BS";#N/A,#N/A,FALSE,"4.PER PL";#N/A,#N/A,FALSE,"5.INVESTMENT";#N/A,#N/A,FALSE,"6.공문";#N/A,#N/A,FALSE,"7.netinvest"}</definedName>
    <definedName name="선급금" hidden="1">{#N/A,#N/A,FALSE,"1.CRITERIA";#N/A,#N/A,FALSE,"2.IS";#N/A,#N/A,FALSE,"3.BS";#N/A,#N/A,FALSE,"4.PER PL";#N/A,#N/A,FALSE,"5.INVESTMENT";#N/A,#N/A,FALSE,"6.공문";#N/A,#N/A,FALSE,"7.netinvest"}</definedName>
    <definedName name="손실" hidden="1">{#N/A,#N/A,FALSE,"1.CRITERIA";#N/A,#N/A,FALSE,"2.IS";#N/A,#N/A,FALSE,"3.BS";#N/A,#N/A,FALSE,"4.PER PL";#N/A,#N/A,FALSE,"5.INVESTMENT";#N/A,#N/A,FALSE,"6.공문";#N/A,#N/A,FALSE,"7.netinvest"}</definedName>
    <definedName name="수정사항집계표" hidden="1">[4]dummy!#REF!</definedName>
    <definedName name="시간외근무_인사" hidden="1">'[1]#REF'!#REF!</definedName>
    <definedName name="아" hidden="1">{#N/A,#N/A,FALSE,"1.CRITERIA";#N/A,#N/A,FALSE,"2.IS";#N/A,#N/A,FALSE,"3.BS";#N/A,#N/A,FALSE,"4.PER PL";#N/A,#N/A,FALSE,"5.INVESTMENT";#N/A,#N/A,FALSE,"6.공문";#N/A,#N/A,FALSE,"7.netinvest"}</definedName>
    <definedName name="아아아" hidden="1">{#N/A,#N/A,FALSE,"1.CRITERIA";#N/A,#N/A,FALSE,"2.IS";#N/A,#N/A,FALSE,"3.BS";#N/A,#N/A,FALSE,"4.PER PL";#N/A,#N/A,FALSE,"5.INVESTMENT";#N/A,#N/A,FALSE,"6.공문";#N/A,#N/A,FALSE,"7.netinvest"}</definedName>
    <definedName name="아이" hidden="1">{#N/A,#N/A,FALSE,"1.CRITERIA";#N/A,#N/A,FALSE,"2.IS";#N/A,#N/A,FALSE,"3.BS";#N/A,#N/A,FALSE,"4.PER PL";#N/A,#N/A,FALSE,"5.INVESTMENT";#N/A,#N/A,FALSE,"6.공문";#N/A,#N/A,FALSE,"7.netinvest"}</definedName>
    <definedName name="안" hidden="1">[4]현금흐름표!$F$45</definedName>
    <definedName name="여이" hidden="1">{#N/A,#N/A,FALSE,"1.CRITERIA";#N/A,#N/A,FALSE,"2.IS";#N/A,#N/A,FALSE,"3.BS";#N/A,#N/A,FALSE,"4.PER PL";#N/A,#N/A,FALSE,"5.INVESTMENT";#N/A,#N/A,FALSE,"6.공문";#N/A,#N/A,FALSE,"7.netinvest"}</definedName>
    <definedName name="영" hidden="1">{#N/A,#N/A,FALSE,"1.CRITERIA";#N/A,#N/A,FALSE,"2.IS";#N/A,#N/A,FALSE,"3.BS";#N/A,#N/A,FALSE,"4.PER PL";#N/A,#N/A,FALSE,"5.INVESTMENT";#N/A,#N/A,FALSE,"6.공문";#N/A,#N/A,FALSE,"7.netinvest"}</definedName>
    <definedName name="영업" hidden="1">{#N/A,#N/A,FALSE,"1.CRITERIA";#N/A,#N/A,FALSE,"2.IS";#N/A,#N/A,FALSE,"3.BS";#N/A,#N/A,FALSE,"4.PER PL";#N/A,#N/A,FALSE,"5.INVESTMENT";#N/A,#N/A,FALSE,"6.공문";#N/A,#N/A,FALSE,"7.netinvest"}</definedName>
    <definedName name="영업5" hidden="1">{"'경비내역'!$E$11"}</definedName>
    <definedName name="영업수" hidden="1">{#N/A,#N/A,FALSE,"1.CRITERIA";#N/A,#N/A,FALSE,"2.IS";#N/A,#N/A,FALSE,"3.BS";#N/A,#N/A,FALSE,"4.PER PL";#N/A,#N/A,FALSE,"5.INVESTMENT";#N/A,#N/A,FALSE,"6.공문";#N/A,#N/A,FALSE,"7.netinvest"}</definedName>
    <definedName name="영업수익" hidden="1">{#N/A,#N/A,FALSE,"1.CRITERIA";#N/A,#N/A,FALSE,"2.IS";#N/A,#N/A,FALSE,"3.BS";#N/A,#N/A,FALSE,"4.PER PL";#N/A,#N/A,FALSE,"5.INVESTMENT";#N/A,#N/A,FALSE,"6.공문";#N/A,#N/A,FALSE,"7.netinvest"}</definedName>
    <definedName name="영업외수익" hidden="1">{#N/A,#N/A,FALSE,"1.CRITERIA";#N/A,#N/A,FALSE,"2.IS";#N/A,#N/A,FALSE,"3.BS";#N/A,#N/A,FALSE,"4.PER PL";#N/A,#N/A,FALSE,"5.INVESTMENT";#N/A,#N/A,FALSE,"6.공문";#N/A,#N/A,FALSE,"7.netinvest"}</definedName>
    <definedName name="예금" hidden="1">{#N/A,#N/A,FALSE,"1.CRITERIA";#N/A,#N/A,FALSE,"2.IS";#N/A,#N/A,FALSE,"3.BS";#N/A,#N/A,FALSE,"4.PER PL";#N/A,#N/A,FALSE,"5.INVESTMENT";#N/A,#N/A,FALSE,"6.공문";#N/A,#N/A,FALSE,"7.netinvest"}</definedName>
    <definedName name="오" hidden="1">{#N/A,#N/A,FALSE,"1.CRITERIA";#N/A,#N/A,FALSE,"2.IS";#N/A,#N/A,FALSE,"3.BS";#N/A,#N/A,FALSE,"4.PER PL";#N/A,#N/A,FALSE,"5.INVESTMENT";#N/A,#N/A,FALSE,"6.공문";#N/A,#N/A,FALSE,"7.netinvest"}</definedName>
    <definedName name="외예금" hidden="1">{#N/A,#N/A,FALSE,"1.CRITERIA";#N/A,#N/A,FALSE,"2.IS";#N/A,#N/A,FALSE,"3.BS";#N/A,#N/A,FALSE,"4.PER PL";#N/A,#N/A,FALSE,"5.INVESTMENT";#N/A,#N/A,FALSE,"6.공문";#N/A,#N/A,FALSE,"7.netinvest"}</definedName>
    <definedName name="요" hidden="1">{#N/A,#N/A,FALSE,"1.CRITERIA";#N/A,#N/A,FALSE,"2.IS";#N/A,#N/A,FALSE,"3.BS";#N/A,#N/A,FALSE,"4.PER PL";#N/A,#N/A,FALSE,"5.INVESTMENT";#N/A,#N/A,FALSE,"6.공문";#N/A,#N/A,FALSE,"7.netinvest"}</definedName>
    <definedName name="요약fs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원가" hidden="1">{#N/A,#N/A,FALSE,"1.CRITERIA";#N/A,#N/A,FALSE,"2.IS";#N/A,#N/A,FALSE,"3.BS";#N/A,#N/A,FALSE,"4.PER PL";#N/A,#N/A,FALSE,"5.INVESTMENT";#N/A,#N/A,FALSE,"6.공문";#N/A,#N/A,FALSE,"7.netinvest"}</definedName>
    <definedName name="원가분석" hidden="1">{#N/A,#N/A,FALSE,"1.CRITERIA";#N/A,#N/A,FALSE,"2.IS";#N/A,#N/A,FALSE,"3.BS";#N/A,#N/A,FALSE,"4.PER PL";#N/A,#N/A,FALSE,"5.INVESTMENT";#N/A,#N/A,FALSE,"6.공문";#N/A,#N/A,FALSE,"7.netinvest"}</definedName>
    <definedName name="월" hidden="1">{#N/A,#N/A,FALSE,"1.CRITERIA";#N/A,#N/A,FALSE,"2.IS";#N/A,#N/A,FALSE,"3.BS";#N/A,#N/A,FALSE,"4.PER PL";#N/A,#N/A,FALSE,"5.INVESTMENT";#N/A,#N/A,FALSE,"6.공문";#N/A,#N/A,FALSE,"7.netinvest"}</definedName>
    <definedName name="월말" hidden="1">{#N/A,#N/A,FALSE,"1.CRITERIA";#N/A,#N/A,FALSE,"2.IS";#N/A,#N/A,FALSE,"3.BS";#N/A,#N/A,FALSE,"4.PER PL";#N/A,#N/A,FALSE,"5.INVESTMENT";#N/A,#N/A,FALSE,"6.공문";#N/A,#N/A,FALSE,"7.netinvest"}</definedName>
    <definedName name="월별" hidden="1">{#N/A,#N/A,FALSE,"1.CRITERIA";#N/A,#N/A,FALSE,"2.IS";#N/A,#N/A,FALSE,"3.BS";#N/A,#N/A,FALSE,"4.PER PL";#N/A,#N/A,FALSE,"5.INVESTMENT";#N/A,#N/A,FALSE,"6.공문";#N/A,#N/A,FALSE,"7.netinvest"}</definedName>
    <definedName name="월별영업비용" hidden="1">{#N/A,#N/A,FALSE,"1.CRITERIA";#N/A,#N/A,FALSE,"2.IS";#N/A,#N/A,FALSE,"3.BS";#N/A,#N/A,FALSE,"4.PER PL";#N/A,#N/A,FALSE,"5.INVESTMENT";#N/A,#N/A,FALSE,"6.공문";#N/A,#N/A,FALSE,"7.netinvest"}</definedName>
    <definedName name="유가증권" hidden="1">{#N/A,#N/A,FALSE,"Aging Summary";#N/A,#N/A,FALSE,"Ratio Analysis";#N/A,#N/A,FALSE,"Test 120 Day Accts";#N/A,#N/A,FALSE,"Tickmarks"}</definedName>
    <definedName name="유동자금실적_EXP_ORDER" comment="실적시트 - 지출/수입 내역의 값이 0이 아닌 것들을 내림차순하여 정리">_xlfn.LET(   _xlpm.항목범위, '6월데이터'!XEV1048576:XEV500,   _xlpm.환종범위, '6월데이터'!XEY1048576:XEY500,   _xlpm.원값범위, '6월데이터'!XFA1048576:XFA500,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동자금실적_INC_ORDER">_xlfn.LET(   _xlpm.항목범위, '6월데이터'!XEZ1048576:XEZ496,   _xlpm.환종범위, '6월데이터'!XFC1048576:XFC496,   _xlpm.원값범위, '6월데이터'!XFD1048576:XFD496, 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_xlfn.UNIQUE(_xlpm.그룹),   _xlpm.최대값,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IFERROR(MAX(_xlpm.해당값들), 0)     )   )),   _xlpm.결과, _xlfn.HSTACK(_xlpm.고유그룹, _xlpm.최대값),   _xlfn._xlws.SORT(_xlpm.결과, 3, -1) )</definedName>
    <definedName name="유동자금실적_지출">_xlfn.LET(   _xlpm.항목범위, '6월데이터'!XEV1048576:XEV500,   _xlpm.환종범위, '6월데이터'!XEY1048576:XEY500,   _xlpm.원값범위, '6월데이터'!XFA1048576:XFA500,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이" hidden="1">{#N/A,#N/A,FALSE,"1.CRITERIA";#N/A,#N/A,FALSE,"2.IS";#N/A,#N/A,FALSE,"3.BS";#N/A,#N/A,FALSE,"4.PER PL";#N/A,#N/A,FALSE,"5.INVESTMENT";#N/A,#N/A,FALSE,"6.공문";#N/A,#N/A,FALSE,"7.netinvest"}</definedName>
    <definedName name="윤정문" hidden="1">[1]Sheet2!#REF!</definedName>
    <definedName name="이익잉여금처분계산서" hidden="1">{#N/A,#N/A,FALSE,"현장 NCR 분석";#N/A,#N/A,FALSE,"현장품질감사";#N/A,#N/A,FALSE,"현장품질감사"}</definedName>
    <definedName name="인사" hidden="1">#REF!</definedName>
    <definedName name="인사팀" hidden="1">[1]Sheet2!#REF!</definedName>
    <definedName name="인원충원사유" hidden="1">{#N/A,#N/A,FALSE,"계약직(여)"}</definedName>
    <definedName name="임차총현황" hidden="1">{"'경비내역'!$E$11"}</definedName>
    <definedName name="잡손실" hidden="1">{#N/A,#N/A,FALSE,"1.CRITERIA";#N/A,#N/A,FALSE,"2.IS";#N/A,#N/A,FALSE,"3.BS";#N/A,#N/A,FALSE,"4.PER PL";#N/A,#N/A,FALSE,"5.INVESTMENT";#N/A,#N/A,FALSE,"6.공문";#N/A,#N/A,FALSE,"7.netinvest"}</definedName>
    <definedName name="잡이익" hidden="1">{#N/A,#N/A,FALSE,"1.CRITERIA";#N/A,#N/A,FALSE,"2.IS";#N/A,#N/A,FALSE,"3.BS";#N/A,#N/A,FALSE,"4.PER PL";#N/A,#N/A,FALSE,"5.INVESTMENT";#N/A,#N/A,FALSE,"6.공문";#N/A,#N/A,FALSE,"7.netinvest"}</definedName>
    <definedName name="재무" hidden="1">[4]현금흐름표!#REF!</definedName>
    <definedName name="정비확정" hidden="1">'[1]#REF'!$A$206:$Q$214</definedName>
    <definedName name="제조" hidden="1">{#N/A,#N/A,FALSE,"1.CRITERIA";#N/A,#N/A,FALSE,"2.IS";#N/A,#N/A,FALSE,"3.BS";#N/A,#N/A,FALSE,"4.PER PL";#N/A,#N/A,FALSE,"5.INVESTMENT";#N/A,#N/A,FALSE,"6.공문";#N/A,#N/A,FALSE,"7.netinvest"}</definedName>
    <definedName name="제출용" hidden="1">{"'경비내역'!$E$11"}</definedName>
    <definedName name="조" hidden="1">{#N/A,#N/A,FALSE,"1.CRITERIA";#N/A,#N/A,FALSE,"2.IS";#N/A,#N/A,FALSE,"3.BS";#N/A,#N/A,FALSE,"4.PER PL";#N/A,#N/A,FALSE,"5.INVESTMENT";#N/A,#N/A,FALSE,"6.공문";#N/A,#N/A,FALSE,"7.netinvest"}</definedName>
    <definedName name="조정표지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증감분석" hidden="1">{"'경비내역'!$E$11"}</definedName>
    <definedName name="증감분석_1" hidden="1">{"'경비내역'!$E$11"}</definedName>
    <definedName name="차" hidden="1">{#N/A,#N/A,FALSE,"1.CRITERIA";#N/A,#N/A,FALSE,"2.IS";#N/A,#N/A,FALSE,"3.BS";#N/A,#N/A,FALSE,"4.PER PL";#N/A,#N/A,FALSE,"5.INVESTMENT";#N/A,#N/A,FALSE,"6.공문";#N/A,#N/A,FALSE,"7.netinvest"}</definedName>
    <definedName name="초임금비교" hidden="1">{#N/A,#N/A,FALSE,"계약직(여)"}</definedName>
    <definedName name="초임급" hidden="1">{#N/A,#N/A,FALSE,"계약직(여)"}</definedName>
    <definedName name="총괄" hidden="1">{#N/A,#N/A,TRUE,"1호 과표세액";#N/A,#N/A,TRUE,"6호 첨부(익)";#N/A,#N/A,TRUE,"6-3호 퇴충";#N/A,#N/A,TRUE,"PL";#N/A,#N/A,TRUE,"BS";#N/A,#N/A,TRUE,"RE";#N/A,#N/A,TRUE,"표지"}</definedName>
    <definedName name="총임차현황2월말" hidden="1">{"'경비내역'!$E$11"}</definedName>
    <definedName name="촤" hidden="1">{#N/A,#N/A,FALSE,"1.CRITERIA";#N/A,#N/A,FALSE,"2.IS";#N/A,#N/A,FALSE,"3.BS";#N/A,#N/A,FALSE,"4.PER PL";#N/A,#N/A,FALSE,"5.INVESTMENT";#N/A,#N/A,FALSE,"6.공문";#N/A,#N/A,FALSE,"7.netinvest"}</definedName>
    <definedName name="카러" hidden="1">{#N/A,#N/A,FALSE,"1.CRITERIA";#N/A,#N/A,FALSE,"2.IS";#N/A,#N/A,FALSE,"3.BS";#N/A,#N/A,FALSE,"4.PER PL";#N/A,#N/A,FALSE,"5.INVESTMENT";#N/A,#N/A,FALSE,"6.공문";#N/A,#N/A,FALSE,"7.netinvest"}</definedName>
    <definedName name="커머" hidden="1">{#N/A,#N/A,FALSE,"1.CRITERIA";#N/A,#N/A,FALSE,"2.IS";#N/A,#N/A,FALSE,"3.BS";#N/A,#N/A,FALSE,"4.PER PL";#N/A,#N/A,FALSE,"5.INVESTMENT";#N/A,#N/A,FALSE,"6.공문";#N/A,#N/A,FALSE,"7.netinvest"}</definedName>
    <definedName name="컼커" hidden="1">{#N/A,#N/A,FALSE,"1.CRITERIA";#N/A,#N/A,FALSE,"2.IS";#N/A,#N/A,FALSE,"3.BS";#N/A,#N/A,FALSE,"4.PER PL";#N/A,#N/A,FALSE,"5.INVESTMENT";#N/A,#N/A,FALSE,"6.공문";#N/A,#N/A,FALSE,"7.netinvest"}</definedName>
    <definedName name="코" hidden="1">{#N/A,#N/A,FALSE,"1.CRITERIA";#N/A,#N/A,FALSE,"2.IS";#N/A,#N/A,FALSE,"3.BS";#N/A,#N/A,FALSE,"4.PER PL";#N/A,#N/A,FALSE,"5.INVESTMENT";#N/A,#N/A,FALSE,"6.공문";#N/A,#N/A,FALSE,"7.netinvest"}</definedName>
    <definedName name="키" hidden="1">{#N/A,#N/A,FALSE,"1.CRITERIA";#N/A,#N/A,FALSE,"2.IS";#N/A,#N/A,FALSE,"3.BS";#N/A,#N/A,FALSE,"4.PER PL";#N/A,#N/A,FALSE,"5.INVESTMENT";#N/A,#N/A,FALSE,"6.공문";#N/A,#N/A,FALSE,"7.netinvest"}</definedName>
    <definedName name="퇴충명세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특정" hidden="1">{#N/A,#N/A,FALSE,"1.CRITERIA";#N/A,#N/A,FALSE,"2.IS";#N/A,#N/A,FALSE,"3.BS";#N/A,#N/A,FALSE,"4.PER PL";#N/A,#N/A,FALSE,"5.INVESTMENT";#N/A,#N/A,FALSE,"6.공문";#N/A,#N/A,FALSE,"7.netinvest"}</definedName>
    <definedName name="파" hidden="1">{#N/A,#N/A,FALSE,"1.CRITERIA";#N/A,#N/A,FALSE,"2.IS";#N/A,#N/A,FALSE,"3.BS";#N/A,#N/A,FALSE,"4.PER PL";#N/A,#N/A,FALSE,"5.INVESTMENT";#N/A,#N/A,FALSE,"6.공문";#N/A,#N/A,FALSE,"7.netinvest"}</definedName>
    <definedName name="파아라" hidden="1">{#N/A,#N/A,FALSE,"1.CRITERIA";#N/A,#N/A,FALSE,"2.IS";#N/A,#N/A,FALSE,"3.BS";#N/A,#N/A,FALSE,"4.PER PL";#N/A,#N/A,FALSE,"5.INVESTMENT";#N/A,#N/A,FALSE,"6.공문";#N/A,#N/A,FALSE,"7.netinvest"}</definedName>
    <definedName name="파하" hidden="1">{#N/A,#N/A,FALSE,"1.CRITERIA";#N/A,#N/A,FALSE,"2.IS";#N/A,#N/A,FALSE,"3.BS";#N/A,#N/A,FALSE,"4.PER PL";#N/A,#N/A,FALSE,"5.INVESTMENT";#N/A,#N/A,FALSE,"6.공문";#N/A,#N/A,FALSE,"7.netinvest"}</definedName>
    <definedName name="퍄" hidden="1">{#N/A,#N/A,FALSE,"1.CRITERIA";#N/A,#N/A,FALSE,"2.IS";#N/A,#N/A,FALSE,"3.BS";#N/A,#N/A,FALSE,"4.PER PL";#N/A,#N/A,FALSE,"5.INVESTMENT";#N/A,#N/A,FALSE,"6.공문";#N/A,#N/A,FALSE,"7.netinvest"}</definedName>
    <definedName name="페" hidden="1">{#N/A,#N/A,FALSE,"1.CRITERIA";#N/A,#N/A,FALSE,"2.IS";#N/A,#N/A,FALSE,"3.BS";#N/A,#N/A,FALSE,"4.PER PL";#N/A,#N/A,FALSE,"5.INVESTMENT";#N/A,#N/A,FALSE,"6.공문";#N/A,#N/A,FALSE,"7.netinvest"}</definedName>
    <definedName name="펴" hidden="1">{#N/A,#N/A,FALSE,"1.CRITERIA";#N/A,#N/A,FALSE,"2.IS";#N/A,#N/A,FALSE,"3.BS";#N/A,#N/A,FALSE,"4.PER PL";#N/A,#N/A,FALSE,"5.INVESTMENT";#N/A,#N/A,FALSE,"6.공문";#N/A,#N/A,FALSE,"7.netinvest"}</definedName>
    <definedName name="포" hidden="1">{#N/A,#N/A,FALSE,"1.CRITERIA";#N/A,#N/A,FALSE,"2.IS";#N/A,#N/A,FALSE,"3.BS";#N/A,#N/A,FALSE,"4.PER PL";#N/A,#N/A,FALSE,"5.INVESTMENT";#N/A,#N/A,FALSE,"6.공문";#N/A,#N/A,FALSE,"7.netinvest"}</definedName>
    <definedName name="표지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표지조정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하" hidden="1">{#N/A,#N/A,FALSE,"1.CRITERIA";#N/A,#N/A,FALSE,"2.IS";#N/A,#N/A,FALSE,"3.BS";#N/A,#N/A,FALSE,"4.PER PL";#N/A,#N/A,FALSE,"5.INVESTMENT";#N/A,#N/A,FALSE,"6.공문";#N/A,#N/A,FALSE,"7.netinvest"}</definedName>
    <definedName name="햐" hidden="1">{#N/A,#N/A,FALSE,"1.CRITERIA";#N/A,#N/A,FALSE,"2.IS";#N/A,#N/A,FALSE,"3.BS";#N/A,#N/A,FALSE,"4.PER PL";#N/A,#N/A,FALSE,"5.INVESTMENT";#N/A,#N/A,FALSE,"6.공문";#N/A,#N/A,FALSE,"7.netinvest"}</definedName>
    <definedName name="혀" hidden="1">{#N/A,#N/A,FALSE,"1.CRITERIA";#N/A,#N/A,FALSE,"2.IS";#N/A,#N/A,FALSE,"3.BS";#N/A,#N/A,FALSE,"4.PER PL";#N/A,#N/A,FALSE,"5.INVESTMENT";#N/A,#N/A,FALSE,"6.공문";#N/A,#N/A,FALSE,"7.netinvest"}</definedName>
    <definedName name="현금등가물" hidden="1">{#N/A,#N/A,FALSE,"Aging Summary";#N/A,#N/A,FALSE,"Ratio Analysis";#N/A,#N/A,FALSE,"Test 120 Day Accts";#N/A,#N/A,FALSE,"Tickmarks"}</definedName>
    <definedName name="현금정산" hidden="1">{#N/A,#N/A,FALSE,"Aging Summary";#N/A,#N/A,FALSE,"Ratio Analysis";#N/A,#N/A,FALSE,"Test 120 Day Accts";#N/A,#N/A,FALSE,"Tickmarks"}</definedName>
    <definedName name="현금흐름" hidden="1">{#N/A,#N/A,FALSE,"Aging Summary";#N/A,#N/A,FALSE,"Ratio Analysis";#N/A,#N/A,FALSE,"Test 120 Day Accts";#N/A,#N/A,FALSE,"Tickmarks"}</definedName>
    <definedName name="호" hidden="1">{#N/A,#N/A,FALSE,"1.CRITERIA";#N/A,#N/A,FALSE,"2.IS";#N/A,#N/A,FALSE,"3.BS";#N/A,#N/A,FALSE,"4.PER PL";#N/A,#N/A,FALSE,"5.INVESTMENT";#N/A,#N/A,FALSE,"6.공문";#N/A,#N/A,FALSE,"7.netinvest"}</definedName>
    <definedName name="회계팀_수정분" hidden="1">[1]Sheet2!#REF!</definedName>
    <definedName name="효" hidden="1">{#N/A,#N/A,FALSE,"1.CRITERIA";#N/A,#N/A,FALSE,"2.IS";#N/A,#N/A,FALSE,"3.BS";#N/A,#N/A,FALSE,"4.PER PL";#N/A,#N/A,FALSE,"5.INVESTMENT";#N/A,#N/A,FALSE,"6.공문";#N/A,#N/A,FALSE,"7.netinvest"}</definedName>
    <definedName name="후" hidden="1">{#N/A,#N/A,FALSE,"1.CRITERIA";#N/A,#N/A,FALSE,"2.IS";#N/A,#N/A,FALSE,"3.BS";#N/A,#N/A,FALSE,"4.PER PL";#N/A,#N/A,FALSE,"5.INVESTMENT";#N/A,#N/A,FALSE,"6.공문";#N/A,#N/A,FALSE,"7.netinvest"}</definedName>
    <definedName name="휴" hidden="1">{#N/A,#N/A,FALSE,"1.CRITERIA";#N/A,#N/A,FALSE,"2.IS";#N/A,#N/A,FALSE,"3.BS";#N/A,#N/A,FALSE,"4.PER PL";#N/A,#N/A,FALSE,"5.INVESTMENT";#N/A,#N/A,FALSE,"6.공문";#N/A,#N/A,FALSE,"7.netinvest"}</definedName>
    <definedName name="흐" hidden="1">{#N/A,#N/A,FALSE,"1.CRITERIA";#N/A,#N/A,FALSE,"2.IS";#N/A,#N/A,FALSE,"3.BS";#N/A,#N/A,FALSE,"4.PER PL";#N/A,#N/A,FALSE,"5.INVESTMENT";#N/A,#N/A,FALSE,"6.공문";#N/A,#N/A,FALSE,"7.netinvest"}</definedName>
    <definedName name="ㅏㅏ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ㅐ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ㅓㅗㅓㅗㅓㅗ" hidden="1">'[4]CF_Current_Detail(July)'!$F$45</definedName>
    <definedName name="_xlnm.Print_Area" localSheetId="0">'1-1'!$A$1:$J$15</definedName>
    <definedName name="ee" localSheetId="1" hidden="1">[4]ST!#REF!</definedName>
    <definedName name="inv" localSheetId="1" hidden="1">[1]ST!#REF!</definedName>
    <definedName name="KIECO" localSheetId="1" hidden="1">[1]ST!#REF!</definedName>
    <definedName name="SSS" localSheetId="1" hidden="1">#REF!</definedName>
    <definedName name="공장지원" localSheetId="1" hidden="1">[1]ST!#REF!</definedName>
    <definedName name="공장지원팀" localSheetId="1" hidden="1">#REF!</definedName>
    <definedName name="ㅁㅁ" localSheetId="1" hidden="1">#REF!</definedName>
    <definedName name="산출내역" localSheetId="1" hidden="1">[1]ST!#REF!</definedName>
    <definedName name="수정사항집계표" localSheetId="1" hidden="1">[4]dummy!#REF!</definedName>
    <definedName name="시간외근무_인사" localSheetId="1" hidden="1">'[1]#REF'!#REF!</definedName>
    <definedName name="윤정문" localSheetId="1" hidden="1">[1]Sheet2!#REF!</definedName>
    <definedName name="인사" localSheetId="1" hidden="1">#REF!</definedName>
    <definedName name="인사팀" localSheetId="1" hidden="1">[1]Sheet2!#REF!</definedName>
    <definedName name="재무" localSheetId="1" hidden="1">[4]현금흐름표!#REF!</definedName>
    <definedName name="회계팀_수정분" localSheetId="1" hidden="1">[1]Sheet2!#REF!</definedName>
    <definedName name="ee" localSheetId="2" hidden="1">[4]ST!#REF!</definedName>
    <definedName name="inv" localSheetId="2" hidden="1">[1]ST!#REF!</definedName>
    <definedName name="KIECO" localSheetId="2" hidden="1">[1]ST!#REF!</definedName>
    <definedName name="SSS" localSheetId="2" hidden="1">#REF!</definedName>
    <definedName name="공장지원" localSheetId="2" hidden="1">[1]ST!#REF!</definedName>
    <definedName name="공장지원팀" localSheetId="2" hidden="1">#REF!</definedName>
    <definedName name="ㅁㅁ" localSheetId="2" hidden="1">#REF!</definedName>
    <definedName name="산출내역" localSheetId="2" hidden="1">[1]ST!#REF!</definedName>
    <definedName name="수정사항집계표" localSheetId="2" hidden="1">[4]dummy!#REF!</definedName>
    <definedName name="시간외근무_인사" localSheetId="2" hidden="1">'[1]#REF'!#REF!</definedName>
    <definedName name="윤정문" localSheetId="2" hidden="1">[1]Sheet2!#REF!</definedName>
    <definedName name="인사" localSheetId="2" hidden="1">#REF!</definedName>
    <definedName name="인사팀" localSheetId="2" hidden="1">[1]Sheet2!#REF!</definedName>
    <definedName name="재무" localSheetId="2" hidden="1">[4]현금흐름표!#REF!</definedName>
    <definedName name="회계팀_수정분" localSheetId="2" hidden="1">[1]Sheet2!#REF!</definedName>
    <definedName name="_xlnm.Print_Area" localSheetId="4">'3p'!$A$1:$N$49</definedName>
    <definedName name="_xlnm.Print_Area" localSheetId="5">'연간'!$A$1:$AW$44</definedName>
    <definedName name="_xlnm._FilterDatabase" localSheetId="6" hidden="1">'6월데이터'!$A$3:$G$90</definedName>
    <definedName name="_xlnm._FilterDatabase" localSheetId="7" hidden="1">'7월데이터'!$A$3:$G$278</definedName>
    <definedName name="___in7" localSheetId="8">[2]Disclaimer!#REF!</definedName>
    <definedName name="___mds_first_cell___" localSheetId="8">[3]Condition!#REF!</definedName>
    <definedName name="___mds_view_data___" localSheetId="8">[3]Condition!#REF!</definedName>
    <definedName name="__in7" localSheetId="8">[2]Disclaimer!#REF!</definedName>
    <definedName name="_Fill" localSheetId="8" hidden="1">[4]현금흐름표!#REF!</definedName>
    <definedName name="_in7" localSheetId="8">[2]Disclaimer!#REF!</definedName>
    <definedName name="_k1" localSheetId="8" hidden="1">[1]ST!#REF!</definedName>
    <definedName name="_k2" localSheetId="8" hidden="1">[1]ST!#REF!</definedName>
    <definedName name="_Key2" localSheetId="8" hidden="1">[1]Sheet2!#REF!</definedName>
    <definedName name="_oo" localSheetId="8" hidden="1">'[1]#REF'!#REF!</definedName>
    <definedName name="_oo1" localSheetId="8" hidden="1">'[1]#REF'!#REF!</definedName>
    <definedName name="_op" localSheetId="8" hidden="1">[1]ST!#REF!</definedName>
    <definedName name="_op1" localSheetId="8" hidden="1">[1]ST!#REF!</definedName>
    <definedName name="aaa" localSheetId="8">#REF!</definedName>
    <definedName name="balance_04" localSheetId="8">#REF!</definedName>
    <definedName name="cap_act01" localSheetId="8">#REF!</definedName>
    <definedName name="cap_act01_cum" localSheetId="8">#REF!</definedName>
    <definedName name="cap_act02" localSheetId="8">#REF!</definedName>
    <definedName name="cap_act02_cum" localSheetId="8">#REF!</definedName>
    <definedName name="cap_bud01" localSheetId="8">#REF!</definedName>
    <definedName name="cap_bud01_cum" localSheetId="8">#REF!</definedName>
    <definedName name="cap_bud02" localSheetId="8">#REF!</definedName>
    <definedName name="cap_bud02_cum" localSheetId="8">#REF!</definedName>
    <definedName name="cap_US_act01" localSheetId="8">#REF!</definedName>
    <definedName name="cap_US_act01_cum" localSheetId="8">#REF!</definedName>
    <definedName name="cap_US_bud01" localSheetId="8">#REF!</definedName>
    <definedName name="cap_US_bud01_cum" localSheetId="8">#REF!</definedName>
    <definedName name="_xlnm.Database" localSheetId="8">'[2]#REF'!#REF!</definedName>
    <definedName name="Depo" localSheetId="8">#REF!</definedName>
    <definedName name="detail_act01" localSheetId="8">#REF!</definedName>
    <definedName name="detail_bud01" localSheetId="8">#REF!</definedName>
    <definedName name="ee" localSheetId="8" hidden="1">[4]ST!#REF!</definedName>
    <definedName name="execsumm" localSheetId="8">#REF!</definedName>
    <definedName name="GGG" localSheetId="8" hidden="1">[1]ST!#REF!</definedName>
    <definedName name="H00_CEO" localSheetId="8">#REF!</definedName>
    <definedName name="H10_재부장" localSheetId="8">#REF!</definedName>
    <definedName name="H11_기획" localSheetId="8">#REF!</definedName>
    <definedName name="H12_금융" localSheetId="8">#REF!</definedName>
    <definedName name="H13_회계" localSheetId="8">#REF!</definedName>
    <definedName name="H14_구매" localSheetId="8">#REF!</definedName>
    <definedName name="H20_운부장" localSheetId="8">#REF!</definedName>
    <definedName name="H21_Genco" localSheetId="8">#REF!</definedName>
    <definedName name="H22_영업" localSheetId="8">#REF!</definedName>
    <definedName name="H23_인사" localSheetId="8">#REF!</definedName>
    <definedName name="H3300_인사팀" localSheetId="8">#REF!</definedName>
    <definedName name="HM_공통" localSheetId="8">#REF!</definedName>
    <definedName name="hnh" localSheetId="8">#REF!</definedName>
    <definedName name="Impres_titres_MI" localSheetId="8">#REF!</definedName>
    <definedName name="inc_act" localSheetId="8">#REF!</definedName>
    <definedName name="inc_act_cum" localSheetId="8">#REF!</definedName>
    <definedName name="inc_act01" localSheetId="8">#REF!</definedName>
    <definedName name="inc_act01_cum" localSheetId="8">#REF!</definedName>
    <definedName name="inc_bud_cum" localSheetId="8">#REF!</definedName>
    <definedName name="inc_bud01" localSheetId="8">#REF!</definedName>
    <definedName name="inc_bud01_cum" localSheetId="8">#REF!</definedName>
    <definedName name="inc_bud01Feb" localSheetId="8">#REF!</definedName>
    <definedName name="inc_bud01Feb_cum" localSheetId="8">#REF!</definedName>
    <definedName name="inc_US_act01" localSheetId="8">#REF!</definedName>
    <definedName name="inc_US_act01_cum" localSheetId="8">#REF!</definedName>
    <definedName name="inc_US_bud01" localSheetId="8">#REF!</definedName>
    <definedName name="inc_US_bud01_cum" localSheetId="8">#REF!</definedName>
    <definedName name="inv" localSheetId="8" hidden="1">[1]ST!#REF!</definedName>
    <definedName name="MIX_P" localSheetId="8">#REF!</definedName>
    <definedName name="MIX_R" localSheetId="8">#REF!</definedName>
    <definedName name="mn" localSheetId="8">#REF!</definedName>
    <definedName name="month" localSheetId="8">#REF!</definedName>
    <definedName name="month_01" localSheetId="8">#REF!</definedName>
    <definedName name="oo" localSheetId="8" hidden="1">'[1]#REF'!#REF!</definedName>
    <definedName name="op" localSheetId="8" hidden="1">[1]ST!#REF!</definedName>
    <definedName name="oper_act" localSheetId="8">#REF!</definedName>
    <definedName name="oper_act_cum" localSheetId="8">#REF!</definedName>
    <definedName name="oper_bud_cum" localSheetId="8">#REF!</definedName>
    <definedName name="opr_act01" localSheetId="8">#REF!</definedName>
    <definedName name="opr_act01_cum" localSheetId="8">#REF!</definedName>
    <definedName name="opr_bud01" localSheetId="8">#REF!</definedName>
    <definedName name="opr_bud01_cum" localSheetId="8">#REF!</definedName>
    <definedName name="opr_bud01Feb" localSheetId="8">#REF!</definedName>
    <definedName name="opr_bud01Feb_cum" localSheetId="8">#REF!</definedName>
    <definedName name="opr_US_act01" localSheetId="8">#REF!</definedName>
    <definedName name="opr_US_act01_cum" localSheetId="8">#REF!</definedName>
    <definedName name="opr_US_bud01" localSheetId="8">#REF!</definedName>
    <definedName name="opr_US_bud01_cum" localSheetId="8">#REF!</definedName>
    <definedName name="P10_발부장" localSheetId="8">#REF!</definedName>
    <definedName name="P11_공지" localSheetId="8">#REF!</definedName>
    <definedName name="P12_발전" localSheetId="8">#REF!</definedName>
    <definedName name="P13_정비" localSheetId="8">#REF!</definedName>
    <definedName name="P20_기부장" localSheetId="8">#REF!</definedName>
    <definedName name="P21_기지" localSheetId="8">#REF!</definedName>
    <definedName name="P22_엔지" localSheetId="8">#REF!</definedName>
    <definedName name="P23_교육" localSheetId="8">#REF!</definedName>
    <definedName name="P6120_공지" localSheetId="8">#REF!</definedName>
    <definedName name="P6120_공지팀" localSheetId="8">#REF!</definedName>
    <definedName name="P6320_정비" localSheetId="8">#REF!</definedName>
    <definedName name="P6330_기계과" localSheetId="8">#REF!</definedName>
    <definedName name="PH14_자재" localSheetId="8">#REF!</definedName>
    <definedName name="PM_공통" localSheetId="8">#REF!</definedName>
    <definedName name="print" localSheetId="8">#REF!</definedName>
    <definedName name="Print_" localSheetId="8">#REF!</definedName>
    <definedName name="PRINT_AREA_MI" localSheetId="8">#REF!</definedName>
    <definedName name="Print_Titl" localSheetId="8">'[5]고액조정리스트(나)'!#REF!</definedName>
    <definedName name="Print_Title" localSheetId="8">'[5]고액조정리스트(나)'!#REF!</definedName>
    <definedName name="PRINT_TITTLE" localSheetId="8">#REF!</definedName>
    <definedName name="PRINT2" localSheetId="8">#REF!</definedName>
    <definedName name="Projection" localSheetId="8">#REF!</definedName>
    <definedName name="questions" localSheetId="8">#REF!</definedName>
    <definedName name="SSS" localSheetId="8" hidden="1">#REF!</definedName>
    <definedName name="SUMM" localSheetId="8">#REF!</definedName>
    <definedName name="unitus" localSheetId="8">[6]Disclaimer!#REF!</definedName>
    <definedName name="yyyy" localSheetId="8">#REF!</definedName>
    <definedName name="공장지원" localSheetId="8" hidden="1">[1]ST!#REF!</definedName>
    <definedName name="공장지원팀" localSheetId="8" hidden="1">#REF!</definedName>
    <definedName name="구댜" localSheetId="8">#REF!</definedName>
    <definedName name="그대" localSheetId="8">#REF!</definedName>
    <definedName name="내역2001" localSheetId="8">#REF!</definedName>
    <definedName name="년95" localSheetId="8">#REF!</definedName>
    <definedName name="데이타의_복사본" localSheetId="8">#REF!</definedName>
    <definedName name="ㅁㅁ" localSheetId="8" hidden="1">#REF!</definedName>
    <definedName name="산출내역" localSheetId="8" hidden="1">[1]ST!#REF!</definedName>
    <definedName name="산출내역2001" localSheetId="8">#REF!</definedName>
    <definedName name="선택영역" localSheetId="8">#REF!</definedName>
    <definedName name="수정사항집계표" localSheetId="8" hidden="1">[4]dummy!#REF!</definedName>
    <definedName name="외화예금" localSheetId="8">#REF!</definedName>
    <definedName name="외환수시" localSheetId="8">#REF!</definedName>
    <definedName name="월별" localSheetId="8">#REF!</definedName>
    <definedName name="윤정문" localSheetId="8" hidden="1">[1]Sheet2!#REF!</definedName>
    <definedName name="인사" localSheetId="8" hidden="1">#REF!</definedName>
    <definedName name="인사팀" localSheetId="8" hidden="1">[1]Sheet2!#REF!</definedName>
    <definedName name="차입금" localSheetId="8">'[2]#REF'!#REF!</definedName>
    <definedName name="최준구" localSheetId="8">#REF!</definedName>
    <definedName name="콜론" localSheetId="8">#REF!</definedName>
    <definedName name="ㅍㅇㅊ" localSheetId="8">'[2]#REF'!#REF!</definedName>
    <definedName name="ㅡㄹ" localSheetId="8">[7]Condition!#REF!</definedName>
    <definedName name="_xlnm.Print_Area" localSheetId="8">'2022년 자금실적'!$A$1:$T$41</definedName>
    <definedName name="_Fill" localSheetId="9" hidden="1">[4]현금흐름표!#REF!</definedName>
    <definedName name="_k1" localSheetId="9" hidden="1">[1]ST!#REF!</definedName>
    <definedName name="_k2" localSheetId="9" hidden="1">[1]ST!#REF!</definedName>
    <definedName name="_Key2" localSheetId="9" hidden="1">[1]Sheet2!#REF!</definedName>
    <definedName name="_oo" localSheetId="9" hidden="1">'[1]#REF'!#REF!</definedName>
    <definedName name="_oo1" localSheetId="9" hidden="1">'[1]#REF'!#REF!</definedName>
    <definedName name="_op" localSheetId="9" hidden="1">[1]ST!#REF!</definedName>
    <definedName name="_op1" localSheetId="9" hidden="1">[1]ST!#REF!</definedName>
    <definedName name="ee" localSheetId="9" hidden="1">[4]ST!#REF!</definedName>
    <definedName name="GGG" localSheetId="9" hidden="1">[1]ST!#REF!</definedName>
    <definedName name="inv" localSheetId="9" hidden="1">[1]ST!#REF!</definedName>
    <definedName name="oo" localSheetId="9" hidden="1">'[1]#REF'!#REF!</definedName>
    <definedName name="op" localSheetId="9" hidden="1">[1]ST!#REF!</definedName>
    <definedName name="SSS" localSheetId="9" hidden="1">#REF!</definedName>
    <definedName name="공장지원" localSheetId="9" hidden="1">[1]ST!#REF!</definedName>
    <definedName name="공장지원팀" localSheetId="9" hidden="1">#REF!</definedName>
    <definedName name="ㅁㅁ" localSheetId="9" hidden="1">#REF!</definedName>
    <definedName name="산출내역" localSheetId="9" hidden="1">[1]ST!#REF!</definedName>
    <definedName name="수정사항집계표" localSheetId="9" hidden="1">[4]dummy!#REF!</definedName>
    <definedName name="윤정문" localSheetId="9" hidden="1">[1]Sheet2!#REF!</definedName>
    <definedName name="인사" localSheetId="9" hidden="1">#REF!</definedName>
    <definedName name="인사팀" localSheetId="9" hidden="1">[1]Sheet2!#REF!</definedName>
    <definedName name="_Fill" localSheetId="10" hidden="1">[4]현금흐름표!#REF!</definedName>
    <definedName name="_k1" localSheetId="10" hidden="1">[1]ST!#REF!</definedName>
    <definedName name="_k2" localSheetId="10" hidden="1">[1]ST!#REF!</definedName>
    <definedName name="_Key2" localSheetId="10" hidden="1">[1]Sheet2!#REF!</definedName>
    <definedName name="_oo" localSheetId="10" hidden="1">'[1]#REF'!#REF!</definedName>
    <definedName name="_oo1" localSheetId="10" hidden="1">'[1]#REF'!#REF!</definedName>
    <definedName name="_op" localSheetId="10" hidden="1">[1]ST!#REF!</definedName>
    <definedName name="_op1" localSheetId="10" hidden="1">[1]ST!#REF!</definedName>
    <definedName name="ee" localSheetId="10" hidden="1">[4]ST!#REF!</definedName>
    <definedName name="GGG" localSheetId="10" hidden="1">[1]ST!#REF!</definedName>
    <definedName name="inv" localSheetId="10" hidden="1">[1]ST!#REF!</definedName>
    <definedName name="oo" localSheetId="10" hidden="1">'[1]#REF'!#REF!</definedName>
    <definedName name="op" localSheetId="10" hidden="1">[1]ST!#REF!</definedName>
    <definedName name="SSS" localSheetId="10" hidden="1">#REF!</definedName>
    <definedName name="공장지원" localSheetId="10" hidden="1">[1]ST!#REF!</definedName>
    <definedName name="공장지원팀" localSheetId="10" hidden="1">#REF!</definedName>
    <definedName name="ㅁㅁ" localSheetId="10" hidden="1">#REF!</definedName>
    <definedName name="산출내역" localSheetId="10" hidden="1">[1]ST!#REF!</definedName>
    <definedName name="수정사항집계표" localSheetId="10" hidden="1">[4]dummy!#REF!</definedName>
    <definedName name="윤정문" localSheetId="10" hidden="1">[1]Sheet2!#REF!</definedName>
    <definedName name="인사" localSheetId="10" hidden="1">#REF!</definedName>
    <definedName name="인사팀" localSheetId="10" hidden="1">[1]Sheet2!#REF!</definedName>
    <definedName name="_Fill" localSheetId="11" hidden="1">[4]현금흐름표!#REF!</definedName>
    <definedName name="_k1" localSheetId="11" hidden="1">[1]ST!#REF!</definedName>
    <definedName name="_k2" localSheetId="11" hidden="1">[1]ST!#REF!</definedName>
    <definedName name="_Key2" localSheetId="11" hidden="1">[1]Sheet2!#REF!</definedName>
    <definedName name="_oo" localSheetId="11" hidden="1">'[1]#REF'!#REF!</definedName>
    <definedName name="_oo1" localSheetId="11" hidden="1">'[1]#REF'!#REF!</definedName>
    <definedName name="_op" localSheetId="11" hidden="1">[1]ST!#REF!</definedName>
    <definedName name="_op1" localSheetId="11" hidden="1">[1]ST!#REF!</definedName>
    <definedName name="ee" localSheetId="11" hidden="1">[4]ST!#REF!</definedName>
    <definedName name="GGG" localSheetId="11" hidden="1">[1]ST!#REF!</definedName>
    <definedName name="inv" localSheetId="11" hidden="1">[1]ST!#REF!</definedName>
    <definedName name="oo" localSheetId="11" hidden="1">'[1]#REF'!#REF!</definedName>
    <definedName name="op" localSheetId="11" hidden="1">[1]ST!#REF!</definedName>
    <definedName name="SSS" localSheetId="11" hidden="1">#REF!</definedName>
    <definedName name="공장지원" localSheetId="11" hidden="1">[1]ST!#REF!</definedName>
    <definedName name="공장지원팀" localSheetId="11" hidden="1">#REF!</definedName>
    <definedName name="ㅁㅁ" localSheetId="11" hidden="1">#REF!</definedName>
    <definedName name="산출내역" localSheetId="11" hidden="1">[1]ST!#REF!</definedName>
    <definedName name="수정사항집계표" localSheetId="11" hidden="1">[4]dummy!#REF!</definedName>
    <definedName name="윤정문" localSheetId="11" hidden="1">[1]Sheet2!#REF!</definedName>
    <definedName name="인사" localSheetId="11" hidden="1">#REF!</definedName>
    <definedName name="인사팀" localSheetId="11" hidden="1">[1]Sheet2!#REF!</definedName>
    <definedName name="_xlnm.Print_Area" localSheetId="12">'요약'!$A$1:$J$16</definedName>
    <definedName name="_Fill" localSheetId="13" hidden="1">#REF!</definedName>
    <definedName name="_Key1" localSheetId="13" hidden="1">#REF!</definedName>
    <definedName name="_Key2" localSheetId="13" hidden="1">#REF!</definedName>
    <definedName name="_Sort" localSheetId="13" hidden="1">#REF!</definedName>
    <definedName name="_Fill" localSheetId="14" hidden="1">#REF!</definedName>
    <definedName name="_Key1" localSheetId="14" hidden="1">#REF!</definedName>
    <definedName name="_Key2" localSheetId="14" hidden="1">#REF!</definedName>
    <definedName name="_Sort" localSheetId="14" hidden="1">#REF!</definedName>
    <definedName name="_Fill" localSheetId="16" hidden="1">[4]현금흐름표!#REF!</definedName>
    <definedName name="_k1" localSheetId="16" hidden="1">[1]ST!#REF!</definedName>
    <definedName name="_k2" localSheetId="16" hidden="1">[1]ST!#REF!</definedName>
    <definedName name="_Key2" localSheetId="16" hidden="1">[1]Sheet2!#REF!</definedName>
    <definedName name="_oo" localSheetId="16" hidden="1">'[1]#REF'!#REF!</definedName>
    <definedName name="_oo1" localSheetId="16" hidden="1">'[1]#REF'!#REF!</definedName>
    <definedName name="_op" localSheetId="16" hidden="1">[1]ST!#REF!</definedName>
    <definedName name="_op1" localSheetId="16" hidden="1">[1]ST!#REF!</definedName>
    <definedName name="ee" localSheetId="16" hidden="1">[4]ST!#REF!</definedName>
    <definedName name="GGG" localSheetId="16" hidden="1">[1]ST!#REF!</definedName>
    <definedName name="inv" localSheetId="16" hidden="1">[1]ST!#REF!</definedName>
    <definedName name="oo" localSheetId="16" hidden="1">'[1]#REF'!#REF!</definedName>
    <definedName name="op" localSheetId="16" hidden="1">[1]ST!#REF!</definedName>
    <definedName name="SSS" localSheetId="16" hidden="1">#REF!</definedName>
    <definedName name="공장지원" localSheetId="16" hidden="1">[1]ST!#REF!</definedName>
    <definedName name="공장지원팀" localSheetId="16" hidden="1">#REF!</definedName>
    <definedName name="ㅁㅁ" localSheetId="16" hidden="1">#REF!</definedName>
    <definedName name="산출내역" localSheetId="16" hidden="1">[1]ST!#REF!</definedName>
    <definedName name="수정사항집계표" localSheetId="16" hidden="1">[4]dummy!#REF!</definedName>
    <definedName name="윤정문" localSheetId="16" hidden="1">[1]Sheet2!#REF!</definedName>
    <definedName name="인사" localSheetId="16" hidden="1">#REF!</definedName>
    <definedName name="인사팀" localSheetId="16" hidden="1">[1]Sheet2!#REF!</definedName>
    <definedName name="_xlnm.Print_Area" localSheetId="18">'ppt보고용-6'!$A$1:$N$41</definedName>
  </definedNames>
  <calcPr calcId="191029" fullCalcOnLoad="1"/>
</workbook>
</file>

<file path=xl/styles.xml><?xml version="1.0" encoding="utf-8"?>
<styleSheet xmlns="http://schemas.openxmlformats.org/spreadsheetml/2006/main">
  <numFmts count="58">
    <numFmt numFmtId="164" formatCode="#,##0_ "/>
    <numFmt numFmtId="165" formatCode="_-* #,##0_-;\-* #,##0_-;_-* &quot;-&quot;_-;_-@_-"/>
    <numFmt numFmtId="166" formatCode="_-[$€-2]\ * #,##0.00_-;\-[$€-2]\ * #,##0.00_-;_-[$€-2]\ * &quot;-&quot;??_-;_-@_-"/>
    <numFmt numFmtId="167" formatCode="_-* #,##0.0_-;\-* #,##0.0_-;_-* &quot;-&quot;_-;_-@_-"/>
    <numFmt numFmtId="168" formatCode="#,##0.0_ "/>
    <numFmt numFmtId="169" formatCode="_-* #,##0.00_-;\-* #,##0.00_-;_-* &quot;-&quot;??_-;_-@_-"/>
    <numFmt numFmtId="170" formatCode="_-* #,##0.00_-;\-* #,##0.00_-;_-* &quot;-&quot;_-;_-@_-"/>
    <numFmt numFmtId="171" formatCode="_-* #,##0.0000_-;\-* #,##0.0000_-;_-* &quot;-&quot;??_-;_-@_-"/>
    <numFmt numFmtId="172" formatCode="_-[$¥-411]* #,##0.00_-;\-[$¥-411]* #,##0.00_-;_-[$¥-411]* &quot;-&quot;??_-;_-@_-"/>
    <numFmt numFmtId="173" formatCode="[Red]\+#,##0.0_ ;[Blue]\-#,##0.0\ "/>
    <numFmt numFmtId="174" formatCode="#,##0.0"/>
    <numFmt numFmtId="175" formatCode="0.0"/>
    <numFmt numFmtId="176" formatCode="0.0%"/>
    <numFmt numFmtId="177" formatCode="_-* #,##0_-;\-* #,##0_-;_-* &quot;-&quot;??_-;_-@_-"/>
    <numFmt numFmtId="178" formatCode="_-* #,##0.0000000_-;\-* #,##0.0000000_-;_-* &quot;-&quot;??_-;_-@_-"/>
    <numFmt numFmtId="179" formatCode="_-* #,##0.000000_-;\-* #,##0.000000_-;_-* &quot;-&quot;??_-;_-@_-"/>
    <numFmt numFmtId="180" formatCode="_-* #,##0.0_-;\-* #,##0.0_-;_-* &quot;-&quot;?_-;_-@_-"/>
    <numFmt numFmtId="181" formatCode="#,##0_ ;[Red]\-#,##0\ "/>
    <numFmt numFmtId="182" formatCode="yyyy/mm/dd\ \(aaa\)"/>
    <numFmt numFmtId="183" formatCode="#,##0.0;[Blue]\(#,##0.0\)"/>
    <numFmt numFmtId="184" formatCode="[Red]\+#,##0.0;[Blue]\-#,##0.0"/>
    <numFmt numFmtId="185" formatCode="#,##0.00000000_ ;[Red]\-#,##0.00000000\ "/>
    <numFmt numFmtId="186" formatCode="#,##0.0000000000;[Blue]\(#,##0.0000000000\)"/>
    <numFmt numFmtId="187" formatCode="0.000000000000E+00"/>
    <numFmt numFmtId="188" formatCode="_-* #,##0.00000000_-;\-* #,##0.00000000_-;_-* &quot;-&quot;_-;_-@_-"/>
    <numFmt numFmtId="189" formatCode="#,##0.000_ ;[Red]\-#,##0.000\ "/>
    <numFmt numFmtId="190" formatCode="_-* #,##0.00000_-;\-* #,##0.00000_-;_-* &quot;-&quot;_-;_-@_-"/>
    <numFmt numFmtId="191" formatCode="#,##0_);\(#,##0\)"/>
    <numFmt numFmtId="192" formatCode="#,##0.0_);\(#,##0.0\)"/>
    <numFmt numFmtId="193" formatCode="#,##0.0_);\(#,##0.0\);&quot;-&quot;"/>
    <numFmt numFmtId="194" formatCode="#,##0_);\-#,##0;&quot;-&quot;"/>
    <numFmt numFmtId="195" formatCode="#,##0_);\(#,##0\);&quot;-&quot;"/>
    <numFmt numFmtId="196" formatCode="#,##0.000"/>
    <numFmt numFmtId="197" formatCode="0.0000"/>
    <numFmt numFmtId="198" formatCode="#,##0\ ;[Blue]\(#,##0\)\ ;&quot;-&quot;"/>
    <numFmt numFmtId="199" formatCode="#,##0.000_ "/>
    <numFmt numFmtId="200" formatCode="0.000000000_ "/>
    <numFmt numFmtId="201" formatCode="[Red]\+#,##0.0\ ;[Blue]\-#,##0.0\ ;&quot;-&quot;"/>
    <numFmt numFmtId="202" formatCode="[Red]\+#,##0\ ;[Blue]\-#,##0\ ;&quot;-&quot;"/>
    <numFmt numFmtId="203" formatCode="_-* #,##0.0000000_-;\-* #,##0.0000000_-;_-* &quot;-&quot;_-;_-@_-"/>
    <numFmt numFmtId="204" formatCode="m&quot;월&quot;\ d&quot;일&quot;"/>
    <numFmt numFmtId="205" formatCode="[Red]\+#,##0.0\ ;[Blue]\-#,##0.0\ "/>
    <numFmt numFmtId="206" formatCode="#,##0.0\ ;\-#,##0.0\ ;&quot;-&quot;\ "/>
    <numFmt numFmtId="207" formatCode="#,##0\ ;\-#,##0\ ;&quot;-&quot;\ "/>
    <numFmt numFmtId="208" formatCode="#,##0.\ ;\-#,##0\ ;&quot;-&quot;\ "/>
    <numFmt numFmtId="209" formatCode="_-* #,##0.000_-;\-* #,##0.000_-;_-* &quot;-&quot;_-;_-@_-"/>
    <numFmt numFmtId="210" formatCode="#,##0;[Red]\-#,##0;\-"/>
    <numFmt numFmtId="211" formatCode="yyyy\/mm"/>
    <numFmt numFmtId="212" formatCode="yy\/mm"/>
    <numFmt numFmtId="213" formatCode="#,##0.000000000000000_ "/>
    <numFmt numFmtId="214" formatCode="\+#,##0.0\ ;\-#,##0.0\ ;&quot;-&quot;"/>
    <numFmt numFmtId="215" formatCode="#,##0.0_ &quot;억&quot;"/>
    <numFmt numFmtId="216" formatCode="#,##0;[Blue]\(#,##0\)"/>
    <numFmt numFmtId="217" formatCode="_-&quot;$&quot;* #,##0.00_-;\-&quot;$&quot;* #,##0.00_-;_-&quot;$&quot;* &quot;-&quot;??_-;_-@_-"/>
    <numFmt numFmtId="218" formatCode="&quot;¥&quot;#,##0_);[Red]\(&quot;¥&quot;#,##0\)"/>
    <numFmt numFmtId="219" formatCode="[$₩-412]#,##0"/>
    <numFmt numFmtId="220" formatCode="&quot;¥&quot;#,##0;[Red]&quot;¥&quot;\-#,##0"/>
    <numFmt numFmtId="221" formatCode="_(&quot;$&quot;* #,##0.00_);_(&quot;$&quot;* \(#,##0.00\);_(&quot;$&quot;* &quot;-&quot;??_);_(@_)"/>
  </numFmts>
  <fonts count="155">
    <font>
      <name val="맑은 고딕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color theme="1"/>
      <sz val="7"/>
      <scheme val="minor"/>
    </font>
    <font>
      <name val="맑은 고딕"/>
      <charset val="129"/>
      <family val="3"/>
      <sz val="8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rgb="FF000000"/>
      <sz val="7"/>
      <scheme val="minor"/>
    </font>
    <font>
      <name val="맑은 고딕"/>
      <charset val="129"/>
      <family val="3"/>
      <sz val="7"/>
      <scheme val="minor"/>
    </font>
    <font>
      <name val="맑은 고딕"/>
      <charset val="129"/>
      <family val="3"/>
      <b val="1"/>
      <color rgb="FFFF0000"/>
      <sz val="7"/>
      <scheme val="minor"/>
    </font>
    <font>
      <name val="맑은 고딕"/>
      <charset val="129"/>
      <family val="3"/>
      <b val="1"/>
      <sz val="7"/>
      <scheme val="minor"/>
    </font>
    <font>
      <name val="맑은 고딕"/>
      <charset val="129"/>
      <family val="3"/>
      <sz val="10"/>
      <scheme val="minor"/>
    </font>
    <font>
      <name val="맑은 고딕"/>
      <charset val="129"/>
      <family val="2"/>
      <color theme="10"/>
      <sz val="11"/>
      <u val="single"/>
      <scheme val="minor"/>
    </font>
    <font>
      <name val="맑은 고딕"/>
      <charset val="129"/>
      <family val="3"/>
      <sz val="9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sz val="12"/>
      <scheme val="minor"/>
    </font>
    <font>
      <name val="맑은 고딕"/>
      <charset val="129"/>
      <family val="3"/>
      <b val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color theme="1"/>
      <sz val="10"/>
      <scheme val="major"/>
    </font>
    <font>
      <name val="맑은 고딕"/>
      <charset val="129"/>
      <family val="3"/>
      <color rgb="FF000000"/>
      <sz val="10"/>
      <scheme val="major"/>
    </font>
    <font>
      <name val="맑은 고딕"/>
      <charset val="129"/>
      <family val="3"/>
      <b val="1"/>
      <color rgb="FF0101BF"/>
      <sz val="10"/>
      <scheme val="major"/>
    </font>
    <font>
      <name val="맑은 고딕"/>
      <charset val="129"/>
      <family val="3"/>
      <b val="1"/>
      <color rgb="FFFF0000"/>
      <sz val="10"/>
      <scheme val="major"/>
    </font>
    <font>
      <name val="맑은 고딕"/>
      <charset val="129"/>
      <family val="3"/>
      <b val="1"/>
      <color rgb="FF000000"/>
      <sz val="10"/>
      <scheme val="major"/>
    </font>
    <font>
      <name val="맑은 고딕"/>
      <charset val="129"/>
      <family val="3"/>
      <sz val="10"/>
      <scheme val="major"/>
    </font>
    <font>
      <name val="맑은 고딕"/>
      <charset val="129"/>
      <family val="3"/>
      <b val="1"/>
      <color theme="1"/>
      <sz val="10"/>
      <scheme val="major"/>
    </font>
    <font>
      <name val="Arial"/>
      <family val="2"/>
      <sz val="10"/>
    </font>
    <font>
      <name val="맑은 고딕"/>
      <charset val="129"/>
      <family val="3"/>
      <b val="1"/>
      <color rgb="FF000000"/>
      <sz val="10"/>
    </font>
    <font>
      <name val="맑은 고딕"/>
      <charset val="129"/>
      <family val="3"/>
      <color theme="1"/>
      <sz val="10"/>
    </font>
    <font>
      <name val="맑은 고딕"/>
      <charset val="129"/>
      <family val="3"/>
      <color rgb="FF000000"/>
      <sz val="10"/>
    </font>
    <font>
      <name val="맑은 고딕"/>
      <charset val="129"/>
      <family val="3"/>
      <b val="1"/>
      <color rgb="FF0000FF"/>
      <sz val="10"/>
    </font>
    <font>
      <name val="맑은 고딕"/>
      <charset val="129"/>
      <family val="3"/>
      <b val="1"/>
      <color theme="1"/>
      <sz val="10"/>
    </font>
    <font>
      <name val="맑은 고딕"/>
      <charset val="129"/>
      <family val="3"/>
      <sz val="10"/>
    </font>
    <font>
      <name val="맑은 고딕"/>
      <charset val="129"/>
      <family val="3"/>
      <b val="1"/>
      <color rgb="FF1D02BE"/>
      <sz val="10"/>
    </font>
    <font>
      <name val="맑은 고딕"/>
      <charset val="129"/>
      <family val="3"/>
      <b val="1"/>
      <color theme="1"/>
      <sz val="7"/>
      <scheme val="minor"/>
    </font>
    <font>
      <name val="맑은 고딕"/>
      <charset val="129"/>
      <family val="3"/>
      <b val="1"/>
      <color theme="1"/>
      <sz val="7"/>
    </font>
    <font>
      <name val="맑은 고딕"/>
      <charset val="129"/>
      <family val="3"/>
      <b val="1"/>
      <color theme="1"/>
      <sz val="9.1"/>
    </font>
    <font>
      <name val="맑은 고딕"/>
      <charset val="129"/>
      <family val="3"/>
      <b val="1"/>
      <color theme="0"/>
      <sz val="7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2"/>
      <b val="1"/>
      <color theme="3"/>
      <sz val="15"/>
      <scheme val="minor"/>
    </font>
    <font>
      <name val="맑은 고딕"/>
      <charset val="129"/>
      <family val="2"/>
      <b val="1"/>
      <color theme="3"/>
      <sz val="13"/>
      <scheme val="minor"/>
    </font>
    <font>
      <name val="맑은 고딕"/>
      <charset val="129"/>
      <family val="2"/>
      <b val="1"/>
      <color theme="3"/>
      <sz val="11"/>
      <scheme val="minor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2"/>
      <color rgb="FF9C0006"/>
      <sz val="11"/>
      <scheme val="minor"/>
    </font>
    <font>
      <name val="맑은 고딕"/>
      <charset val="129"/>
      <family val="2"/>
      <color rgb="FF3F3F76"/>
      <sz val="11"/>
      <scheme val="minor"/>
    </font>
    <font>
      <name val="맑은 고딕"/>
      <charset val="129"/>
      <family val="2"/>
      <b val="1"/>
      <color rgb="FF3F3F3F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A7D00"/>
      <sz val="11"/>
      <scheme val="minor"/>
    </font>
    <font>
      <name val="맑은 고딕"/>
      <charset val="129"/>
      <family val="2"/>
      <b val="1"/>
      <color theme="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i val="1"/>
      <color rgb="FF7F7F7F"/>
      <sz val="11"/>
      <scheme val="minor"/>
    </font>
    <font>
      <name val="맑은 고딕"/>
      <charset val="129"/>
      <family val="2"/>
      <b val="1"/>
      <color theme="1"/>
      <sz val="11"/>
      <scheme val="minor"/>
    </font>
    <font>
      <name val="맑은 고딕"/>
      <charset val="129"/>
      <family val="2"/>
      <color theme="0"/>
      <sz val="11"/>
      <scheme val="minor"/>
    </font>
    <font>
      <name val="돋움"/>
      <charset val="129"/>
      <family val="3"/>
      <sz val="11"/>
    </font>
    <font>
      <name val="Arial"/>
      <family val="2"/>
      <color rgb="FF000000"/>
      <sz val="10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0"/>
      <sz val="8.800000000000001"/>
      <u val="single"/>
    </font>
    <font>
      <name val="맑은 고딕"/>
      <charset val="128"/>
      <family val="3"/>
      <color theme="1"/>
      <sz val="11"/>
      <scheme val="minor"/>
    </font>
    <font>
      <name val="맑은 고딕"/>
      <charset val="129"/>
      <family val="2"/>
      <color rgb="FF9C6500"/>
      <sz val="11"/>
      <scheme val="minor"/>
    </font>
    <font>
      <name val="Calibri"/>
      <family val="2"/>
      <color rgb="FF000000"/>
      <sz val="11"/>
    </font>
    <font>
      <name val="맑은 고딕"/>
      <charset val="136"/>
      <family val="2"/>
      <color rgb="FFFF0000"/>
      <sz val="12"/>
      <scheme val="minor"/>
    </font>
    <font>
      <name val="맑은 고딕"/>
      <charset val="129"/>
      <family val="2"/>
      <b val="1"/>
      <color theme="3"/>
      <sz val="18"/>
      <scheme val="major"/>
    </font>
    <font>
      <name val="Arial"/>
      <family val="2"/>
      <color theme="10"/>
      <sz val="10"/>
      <u val="single"/>
    </font>
    <font>
      <name val="맑은 고딕"/>
      <family val="2"/>
      <color theme="1"/>
      <sz val="12"/>
      <scheme val="minor"/>
    </font>
    <font>
      <name val="ＭＳ Ｐゴシック"/>
      <charset val="128"/>
      <family val="2"/>
      <sz val="11"/>
    </font>
    <font>
      <name val="맑은 고딕"/>
      <charset val="129"/>
      <family val="2"/>
      <color rgb="FF333333"/>
      <sz val="11"/>
      <scheme val="minor"/>
    </font>
    <font>
      <name val="Arial"/>
      <family val="2"/>
      <color indexed="8"/>
      <sz val="10"/>
    </font>
    <font>
      <name val="맑은 고딕"/>
      <charset val="128"/>
      <family val="2"/>
      <color theme="1"/>
      <sz val="11"/>
      <scheme val="minor"/>
    </font>
    <font>
      <name val="ＭＳ Ｐゴシック"/>
      <charset val="128"/>
      <family val="3"/>
      <sz val="11"/>
    </font>
    <font>
      <name val="맑은 고딕"/>
      <charset val="128"/>
      <family val="3"/>
      <color theme="0"/>
      <sz val="11"/>
      <scheme val="minor"/>
    </font>
    <font>
      <name val="맑은 고딕"/>
      <charset val="128"/>
      <family val="3"/>
      <b val="1"/>
      <color theme="3"/>
      <sz val="18"/>
      <scheme val="major"/>
    </font>
    <font>
      <name val="맑은 고딕"/>
      <charset val="128"/>
      <family val="3"/>
      <b val="1"/>
      <color theme="0"/>
      <sz val="11"/>
      <scheme val="minor"/>
    </font>
    <font>
      <name val="맑은 고딕"/>
      <charset val="128"/>
      <family val="3"/>
      <color rgb="FF9C6500"/>
      <sz val="11"/>
      <scheme val="minor"/>
    </font>
    <font>
      <name val="맑은 고딕"/>
      <charset val="128"/>
      <family val="3"/>
      <color rgb="FFFA7D00"/>
      <sz val="11"/>
      <scheme val="minor"/>
    </font>
    <font>
      <name val="맑은 고딕"/>
      <charset val="128"/>
      <family val="3"/>
      <color rgb="FF9C0006"/>
      <sz val="11"/>
      <scheme val="minor"/>
    </font>
    <font>
      <name val="맑은 고딕"/>
      <charset val="128"/>
      <family val="3"/>
      <b val="1"/>
      <color rgb="FFFA7D00"/>
      <sz val="11"/>
      <scheme val="minor"/>
    </font>
    <font>
      <name val="맑은 고딕"/>
      <charset val="128"/>
      <family val="3"/>
      <color rgb="FFFF0000"/>
      <sz val="11"/>
      <scheme val="minor"/>
    </font>
    <font>
      <name val="맑은 고딕"/>
      <charset val="128"/>
      <family val="3"/>
      <b val="1"/>
      <color theme="3"/>
      <sz val="15"/>
      <scheme val="minor"/>
    </font>
    <font>
      <name val="맑은 고딕"/>
      <charset val="128"/>
      <family val="3"/>
      <b val="1"/>
      <color theme="3"/>
      <sz val="13"/>
      <scheme val="minor"/>
    </font>
    <font>
      <name val="맑은 고딕"/>
      <charset val="128"/>
      <family val="3"/>
      <b val="1"/>
      <color theme="3"/>
      <sz val="11"/>
      <scheme val="minor"/>
    </font>
    <font>
      <name val="맑은 고딕"/>
      <charset val="128"/>
      <family val="3"/>
      <b val="1"/>
      <color theme="1"/>
      <sz val="11"/>
      <scheme val="minor"/>
    </font>
    <font>
      <name val="맑은 고딕"/>
      <charset val="128"/>
      <family val="3"/>
      <b val="1"/>
      <color rgb="FF3F3F3F"/>
      <sz val="11"/>
      <scheme val="minor"/>
    </font>
    <font>
      <name val="맑은 고딕"/>
      <charset val="128"/>
      <family val="3"/>
      <i val="1"/>
      <color rgb="FF7F7F7F"/>
      <sz val="11"/>
      <scheme val="minor"/>
    </font>
    <font>
      <name val="맑은 고딕"/>
      <charset val="128"/>
      <family val="3"/>
      <color rgb="FF3F3F76"/>
      <sz val="11"/>
      <scheme val="minor"/>
    </font>
    <font>
      <name val="맑은 고딕"/>
      <charset val="128"/>
      <family val="3"/>
      <color rgb="FF006100"/>
      <sz val="11"/>
      <scheme val="minor"/>
    </font>
    <font>
      <name val="맑은 고딕"/>
      <charset val="136"/>
      <family val="2"/>
      <color theme="1"/>
      <sz val="12"/>
      <scheme val="minor"/>
    </font>
    <font>
      <name val="맑은 고딕"/>
      <charset val="129"/>
      <family val="3"/>
      <color rgb="FF000000"/>
      <sz val="10"/>
      <scheme val="minor"/>
    </font>
    <font>
      <name val="Arial"/>
      <family val="2"/>
      <sz val="18"/>
    </font>
    <font>
      <name val="맑은 고딕"/>
      <charset val="129"/>
      <family val="3"/>
      <b val="1"/>
      <color rgb="FF0101BF"/>
      <sz val="10"/>
    </font>
    <font>
      <name val="맑은 고딕"/>
      <charset val="129"/>
      <family val="3"/>
      <b val="1"/>
      <color theme="1"/>
      <sz val="13"/>
      <scheme val="minor"/>
    </font>
    <font>
      <name val="맑은 고딕"/>
      <charset val="129"/>
      <family val="3"/>
      <b val="1"/>
      <color rgb="FF000000"/>
      <sz val="9"/>
      <scheme val="major"/>
    </font>
    <font>
      <name val="맑은 고딕"/>
      <charset val="129"/>
      <family val="3"/>
      <b val="1"/>
      <sz val="10"/>
      <scheme val="major"/>
    </font>
    <font>
      <name val="맑은 고딕"/>
      <charset val="129"/>
      <family val="3"/>
      <b val="1"/>
      <color rgb="FFFF0000"/>
      <sz val="10"/>
    </font>
    <font>
      <name val="맑은 고딕"/>
      <charset val="129"/>
      <family val="3"/>
      <color rgb="FF0000FF"/>
      <sz val="10"/>
      <scheme val="maj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rgb="FF000000"/>
      <sz val="8.5"/>
    </font>
    <font>
      <name val="맑은 고딕"/>
      <charset val="129"/>
      <family val="3"/>
      <b val="1"/>
      <color rgb="FF000000"/>
      <sz val="8.5"/>
    </font>
    <font>
      <name val="맑은 고딕"/>
      <charset val="129"/>
      <family val="3"/>
      <b val="1"/>
      <color rgb="FF000000"/>
      <sz val="8"/>
    </font>
    <font>
      <name val="맑은 고딕"/>
      <charset val="129"/>
      <family val="3"/>
      <color rgb="FF000000"/>
      <sz val="8"/>
    </font>
    <font>
      <name val="맑은 고딕"/>
      <charset val="129"/>
      <family val="3"/>
      <sz val="9"/>
      <u val="single"/>
    </font>
    <font>
      <name val="Arial"/>
      <family val="2"/>
      <sz val="9"/>
    </font>
    <font>
      <name val="맑은 고딕"/>
      <charset val="129"/>
      <family val="3"/>
      <color theme="2"/>
      <sz val="9"/>
    </font>
    <font>
      <name val="Arial"/>
      <charset val="129"/>
      <family val="2"/>
      <sz val="9"/>
    </font>
    <font>
      <name val="맑은 고딕"/>
      <charset val="129"/>
      <family val="3"/>
      <b val="1"/>
      <color theme="1"/>
      <sz val="14"/>
      <scheme val="minor"/>
    </font>
    <font>
      <name val="맑은 고딕"/>
      <charset val="129"/>
      <family val="3"/>
      <color theme="1"/>
      <sz val="14"/>
      <scheme val="minor"/>
    </font>
    <font>
      <name val="맑은 고딕"/>
      <charset val="129"/>
      <family val="3"/>
      <color theme="1"/>
      <sz val="11"/>
      <scheme val="minor"/>
    </font>
    <font>
      <name val="나눔바른고딕"/>
      <charset val="128"/>
      <family val="2"/>
      <sz val="6"/>
    </font>
    <font>
      <name val="맑은 고딕"/>
      <charset val="129"/>
      <family val="3"/>
      <color theme="0" tint="-0.499984740745262"/>
      <sz val="10"/>
    </font>
    <font>
      <name val="돋움"/>
      <charset val="129"/>
      <family val="3"/>
      <sz val="8"/>
    </font>
    <font>
      <name val="맑은 고딕"/>
      <charset val="129"/>
      <family val="3"/>
      <b val="1"/>
      <sz val="10"/>
    </font>
    <font>
      <name val="맑은 고딕"/>
      <charset val="129"/>
      <family val="3"/>
      <b val="1"/>
      <color rgb="FF0000FF"/>
      <sz val="8"/>
    </font>
    <font>
      <name val="Arial"/>
      <family val="2"/>
      <color rgb="FF000000"/>
      <sz val="8"/>
    </font>
    <font>
      <name val="맑은 고딕"/>
      <charset val="129"/>
      <family val="3"/>
      <b val="1"/>
      <color rgb="FFFF0000"/>
      <sz val="8"/>
    </font>
    <font>
      <name val="맑은 고딕"/>
      <charset val="129"/>
      <family val="3"/>
      <color rgb="FF0000FF"/>
      <sz val="8"/>
    </font>
    <font>
      <name val="맑은 고딕"/>
      <charset val="129"/>
      <family val="3"/>
      <color rgb="FF000000"/>
      <sz val="7.5"/>
    </font>
    <font>
      <name val="맑은 고딕"/>
      <charset val="129"/>
      <family val="3"/>
      <b val="1"/>
      <color rgb="FF000000"/>
      <sz val="7.5"/>
    </font>
    <font>
      <name val="맑은 고딕"/>
      <charset val="129"/>
      <family val="3"/>
      <b val="1"/>
      <color rgb="FF000000"/>
      <sz val="6"/>
    </font>
    <font>
      <name val="맑은 고딕"/>
      <charset val="129"/>
      <family val="3"/>
      <color rgb="FF000000"/>
      <sz val="6"/>
    </font>
    <font>
      <name val="맑은 고딕"/>
      <charset val="129"/>
      <family val="3"/>
      <color rgb="FF0000FF"/>
      <sz val="7.5"/>
    </font>
    <font>
      <name val="맑은 고딕"/>
      <charset val="129"/>
      <family val="3"/>
      <color rgb="FF0000FF"/>
      <sz val="6"/>
    </font>
    <font>
      <name val="맑은 고딕"/>
      <charset val="129"/>
      <family val="3"/>
      <b val="1"/>
      <color rgb="FF0101BF"/>
      <sz val="8"/>
      <scheme val="major"/>
    </font>
    <font>
      <name val="맑은 고딕"/>
      <charset val="129"/>
      <family val="3"/>
      <b val="1"/>
      <color rgb="FFFF0000"/>
      <sz val="8"/>
      <scheme val="major"/>
    </font>
    <font>
      <name val="맑은 고딕"/>
      <charset val="129"/>
      <family val="3"/>
      <b val="1"/>
      <color rgb="FF000000"/>
      <sz val="8"/>
      <scheme val="major"/>
    </font>
    <font>
      <name val="Arial"/>
      <family val="2"/>
      <sz val="8"/>
    </font>
    <font>
      <name val="맑은 고딕"/>
      <charset val="129"/>
      <family val="3"/>
      <color rgb="FF000000"/>
      <sz val="8"/>
      <scheme val="major"/>
    </font>
    <font>
      <name val="맑은 고딕"/>
      <charset val="129"/>
      <family val="3"/>
      <color theme="1"/>
      <sz val="8"/>
      <scheme val="major"/>
    </font>
    <font>
      <name val="맑은 고딕"/>
      <charset val="129"/>
      <family val="2"/>
      <color theme="1"/>
      <sz val="10"/>
    </font>
    <font>
      <name val="맑은 고딕"/>
      <charset val="129"/>
      <family val="2"/>
      <color theme="1" tint="0.499984740745262"/>
      <sz val="8"/>
    </font>
    <font>
      <name val="맑은 고딕"/>
      <charset val="129"/>
      <family val="2"/>
      <b val="1"/>
      <color theme="0"/>
      <sz val="8"/>
    </font>
    <font>
      <name val="맑은 고딕"/>
      <charset val="129"/>
      <family val="3"/>
      <b val="1"/>
      <color theme="0"/>
      <sz val="10"/>
    </font>
    <font>
      <name val="맑은 고딕"/>
      <charset val="129"/>
      <family val="3"/>
      <b val="1"/>
      <color rgb="FFFFC000"/>
      <sz val="10"/>
    </font>
    <font>
      <name val="맑은 고딕"/>
      <charset val="129"/>
      <family val="2"/>
      <sz val="8"/>
    </font>
    <font>
      <name val="맑은 고딕"/>
      <charset val="129"/>
      <family val="3"/>
      <b val="1"/>
      <sz val="8"/>
      <scheme val="major"/>
    </font>
    <font>
      <name val="맑은 고딕"/>
      <charset val="129"/>
      <family val="3"/>
      <b val="1"/>
      <color theme="1"/>
      <sz val="8"/>
    </font>
    <font>
      <name val="맑은 고딕"/>
      <charset val="129"/>
      <family val="3"/>
      <color indexed="8"/>
      <sz val="8"/>
      <scheme val="major"/>
    </font>
    <font>
      <name val="맑은 고딕"/>
      <charset val="129"/>
      <family val="3"/>
      <color theme="1"/>
      <sz val="8"/>
    </font>
    <font>
      <name val="맑은 고딕"/>
      <charset val="129"/>
      <family val="2"/>
      <color theme="1"/>
      <sz val="8"/>
    </font>
    <font>
      <name val="맑은 고딕"/>
      <charset val="129"/>
      <family val="3"/>
      <color rgb="FFFF0000"/>
      <sz val="8"/>
    </font>
    <font>
      <name val="맑은 고딕"/>
      <charset val="129"/>
      <family val="3"/>
      <color rgb="FFFF0000"/>
      <sz val="9"/>
    </font>
    <font>
      <name val="맑은 고딕"/>
      <charset val="129"/>
      <family val="3"/>
      <color rgb="FFFF0000"/>
      <sz val="10"/>
    </font>
    <font>
      <name val="맑은 고딕"/>
      <charset val="129"/>
      <family val="2"/>
      <color theme="1"/>
      <sz val="9"/>
    </font>
    <font>
      <name val="맑은 고딕"/>
      <charset val="129"/>
      <family val="3"/>
      <color theme="1"/>
      <sz val="9"/>
    </font>
    <font>
      <name val="맑은 고딕"/>
      <charset val="129"/>
      <family val="3"/>
      <b val="1"/>
      <color theme="1"/>
      <sz val="9"/>
    </font>
    <font>
      <name val="맑은 고딕"/>
      <charset val="129"/>
      <family val="2"/>
      <color theme="1"/>
      <sz val="7.5"/>
      <scheme val="minor"/>
    </font>
    <font>
      <name val="맑은 고딕"/>
      <charset val="129"/>
      <family val="3"/>
      <color rgb="FF000000"/>
      <sz val="9"/>
      <scheme val="major"/>
    </font>
    <font>
      <name val="맑은 고딕"/>
      <family val="2"/>
      <color theme="10"/>
      <sz val="11"/>
      <u val="single"/>
      <scheme val="minor"/>
    </font>
    <font>
      <name val="맑은 고딕"/>
      <family val="2"/>
      <color theme="10"/>
      <sz val="10"/>
      <u val="single"/>
      <scheme val="minor"/>
    </font>
    <font>
      <name val="맑은 고딕"/>
      <charset val="129"/>
      <family val="3"/>
      <b val="1"/>
      <color rgb="FF000000"/>
      <sz val="7"/>
      <scheme val="minor"/>
    </font>
  </fonts>
  <fills count="66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DEADA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88DE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5" tint="0.5999938962981048"/>
        <bgColor indexed="64"/>
      </patternFill>
    </fill>
  </fills>
  <borders count="52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FF0000"/>
      </right>
      <top/>
      <bottom/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/>
      <bottom style="dotted">
        <color rgb="FF000000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/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/>
      <diagonal/>
    </border>
    <border>
      <left style="thin">
        <color rgb="FF000000"/>
      </left>
      <right style="medium">
        <color rgb="FFFF0000"/>
      </right>
      <top style="thin">
        <color rgb="FF000000"/>
      </top>
      <bottom/>
      <diagonal/>
    </border>
    <border>
      <left style="medium">
        <color rgb="FFFF0000"/>
      </left>
      <right/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thin">
        <color rgb="FF000000"/>
      </right>
      <top/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medium">
        <color rgb="FFFF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dotted">
        <color rgb="FF000000"/>
      </top>
      <bottom style="thin">
        <color indexed="64"/>
      </bottom>
      <diagonal/>
    </border>
    <border>
      <left style="medium">
        <color rgb="FFFF0000"/>
      </left>
      <right style="thin">
        <color rgb="FF000000"/>
      </right>
      <top style="dotted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FF0000"/>
      </left>
      <right style="thin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thin">
        <color indexed="64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medium">
        <color rgb="FFFF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auto="1"/>
      </right>
      <top/>
      <bottom/>
      <diagonal/>
    </border>
    <border>
      <left style="thin">
        <color auto="1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auto="1"/>
      </right>
      <top/>
      <bottom style="dotted">
        <color rgb="FF000000"/>
      </bottom>
      <diagonal/>
    </border>
    <border>
      <left style="thin">
        <color indexed="64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/>
      <bottom style="dotted">
        <color rgb="FF7F7F7F"/>
      </bottom>
      <diagonal/>
    </border>
    <border>
      <left style="dotted">
        <color rgb="FF000000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000000"/>
      </right>
      <top style="dotted">
        <color rgb="FF7F7F7F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 style="thin">
        <color rgb="FF595959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rgb="FF595959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medium">
        <color rgb="FFFF0000"/>
      </bottom>
      <diagonal/>
    </border>
    <border>
      <left style="thick">
        <color rgb="FFC00000"/>
      </left>
      <right/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7F7F7F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7F7F7F"/>
      </bottom>
      <diagonal/>
    </border>
    <border>
      <left style="thin">
        <color rgb="FF000000"/>
      </left>
      <right/>
      <top style="dotted">
        <color rgb="FF7F7F7F"/>
      </top>
      <bottom/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dotted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/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/>
      <diagonal/>
    </border>
    <border>
      <left style="thin">
        <color rgb="FF00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/>
      <diagonal/>
    </border>
    <border>
      <left style="medium">
        <color rgb="FFFF0000"/>
      </left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thin">
        <color rgb="FF000000"/>
      </bottom>
      <diagonal/>
    </border>
    <border>
      <left style="thin">
        <color indexed="64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dotted">
        <color auto="1"/>
      </left>
      <right style="thin">
        <color indexed="64"/>
      </right>
      <top style="thin">
        <color rgb="FF000000"/>
      </top>
      <bottom style="dotted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/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dotted">
        <color rgb="FF000000"/>
      </top>
      <bottom style="medium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thin">
        <color rgb="FF000000"/>
      </top>
      <bottom/>
      <diagonal/>
    </border>
    <border>
      <left/>
      <right style="medium">
        <color rgb="FFFF0000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rgb="FF000000"/>
      </right>
      <top/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/>
      <top style="thin">
        <color rgb="FF000000"/>
      </top>
      <bottom style="medium">
        <color theme="0" tint="-0.499984740745262"/>
      </bottom>
      <diagonal/>
    </border>
    <border>
      <left style="thin">
        <color indexed="64"/>
      </left>
      <right/>
      <top style="hair">
        <color indexed="64"/>
      </top>
      <bottom style="medium">
        <color theme="0" tint="-0.499984740745262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dotted">
        <color rgb="FF000000"/>
      </top>
      <bottom/>
      <diagonal/>
    </border>
    <border>
      <left style="hair">
        <color indexed="64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hair">
        <color rgb="FF000000"/>
      </top>
      <bottom/>
      <diagonal/>
    </border>
    <border>
      <left style="hair">
        <color indexed="64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rgb="FF000000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auto="1"/>
      </left>
      <right/>
      <top/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tted">
        <color indexed="64"/>
      </right>
      <top style="dotted">
        <color rgb="FF000000"/>
      </top>
      <bottom/>
      <diagonal/>
    </border>
    <border>
      <left style="dotted">
        <color indexed="64"/>
      </left>
      <right style="thin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rgb="FF000000"/>
      </bottom>
      <diagonal/>
    </border>
    <border>
      <left style="dotted">
        <color indexed="64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indexed="64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/>
      <top/>
      <bottom style="thin">
        <color rgb="FF000000"/>
      </bottom>
      <diagonal/>
    </border>
    <border>
      <left style="hair">
        <color indexed="64"/>
      </left>
      <right/>
      <top style="dotted">
        <color rgb="FF000000"/>
      </top>
      <bottom/>
      <diagonal/>
    </border>
    <border>
      <left style="hair">
        <color indexed="64"/>
      </left>
      <right/>
      <top style="hair">
        <color rgb="FF000000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rgb="FF000000"/>
      </top>
      <bottom/>
      <diagonal/>
    </border>
    <border>
      <left style="hair">
        <color indexed="64"/>
      </left>
      <right/>
      <top/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dotted">
        <color rgb="FF000000"/>
      </top>
      <bottom/>
      <diagonal/>
    </border>
    <border>
      <left style="hair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medium">
        <color rgb="FFFFFFF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medium">
        <color rgb="FFFFFFF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medium">
        <color rgb="FFFFFFF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/>
      <diagonal/>
    </border>
    <border>
      <left style="thin">
        <color rgb="FF7F7F7F"/>
      </left>
      <right style="medium">
        <color rgb="FFFFFFFF"/>
      </right>
      <top/>
      <bottom/>
      <diagonal/>
    </border>
    <border>
      <left style="thin">
        <color rgb="FF7F7F7F"/>
      </left>
      <right style="medium">
        <color rgb="FFFFFFFF"/>
      </right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/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dotted">
        <color rgb="FF7F7F7F"/>
      </bottom>
      <diagonal/>
    </border>
    <border>
      <left/>
      <right style="thin">
        <color rgb="FF7F7F7F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thin">
        <color rgb="FF7F7F7F"/>
      </bottom>
      <diagonal/>
    </border>
    <border>
      <left style="dotted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medium">
        <color rgb="FFFFFFFF"/>
      </bottom>
      <diagonal/>
    </border>
    <border>
      <left/>
      <right/>
      <top style="thin">
        <color rgb="FF7F7F7F"/>
      </top>
      <bottom style="medium">
        <color rgb="FFFFFFFF"/>
      </bottom>
      <diagonal/>
    </border>
    <border>
      <left/>
      <right style="thin">
        <color rgb="FF7F7F7F"/>
      </right>
      <top style="thin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dotted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/>
      <diagonal/>
    </border>
    <border>
      <left style="medium">
        <color rgb="FFFFFFFF"/>
      </left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/>
      <top style="dotted">
        <color rgb="FF7F7F7F"/>
      </top>
      <bottom style="medium">
        <color rgb="FFFFFFFF"/>
      </bottom>
      <diagonal/>
    </border>
    <border>
      <left/>
      <right/>
      <top style="dotted">
        <color rgb="FF7F7F7F"/>
      </top>
      <bottom style="medium">
        <color rgb="FFFFFFFF"/>
      </bottom>
      <diagonal/>
    </border>
    <border>
      <left/>
      <right style="thin">
        <color rgb="FF7F7F7F"/>
      </right>
      <top style="dotted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/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 style="thin">
        <color rgb="FF7F7F7F"/>
      </bottom>
      <diagonal/>
    </border>
    <border>
      <left/>
      <right/>
      <top style="medium">
        <color rgb="FFFFFFFF"/>
      </top>
      <bottom style="thin">
        <color rgb="FF7F7F7F"/>
      </bottom>
      <diagonal/>
    </border>
    <border>
      <left/>
      <right style="thin">
        <color rgb="FF7F7F7F"/>
      </right>
      <top style="medium">
        <color rgb="FFFFFFF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/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dotted">
        <color rgb="FF7F7F7F"/>
      </right>
      <top/>
      <bottom/>
      <diagonal/>
    </border>
    <border>
      <left style="medium">
        <color rgb="FFFFFFFF"/>
      </left>
      <right style="dotted">
        <color rgb="FF7F7F7F"/>
      </right>
      <top/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/>
      <top style="dotted">
        <color rgb="FF7F7F7F"/>
      </top>
      <bottom/>
      <diagonal/>
    </border>
    <border>
      <left style="dotted">
        <color rgb="FF7F7F7F"/>
      </left>
      <right style="thin">
        <color rgb="FF7F7F7F"/>
      </right>
      <top/>
      <bottom/>
      <diagonal/>
    </border>
    <border>
      <left style="dotted">
        <color rgb="FF7F7F7F"/>
      </left>
      <right/>
      <top/>
      <bottom/>
      <diagonal/>
    </border>
    <border>
      <left style="thin">
        <color rgb="FF7F7F7F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7F7F7F"/>
      </right>
      <top/>
      <bottom/>
      <diagonal/>
    </border>
    <border>
      <left style="thin">
        <color rgb="FF7F7F7F"/>
      </left>
      <right style="dotted">
        <color rgb="FF000000"/>
      </right>
      <top/>
      <bottom/>
      <diagonal/>
    </border>
    <border>
      <left style="thin">
        <color rgb="FF7F7F7F"/>
      </left>
      <right/>
      <top/>
      <bottom/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/>
      <diagonal/>
    </border>
    <border>
      <left style="thin">
        <color rgb="FF7F7F7F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/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/>
      <bottom/>
      <diagonal/>
    </border>
    <border>
      <left/>
      <right style="dotted">
        <color rgb="FF7F7F7F"/>
      </right>
      <top/>
      <bottom/>
      <diagonal/>
    </border>
    <border>
      <left style="dotted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/>
      <bottom style="dotted">
        <color rgb="FF7F7F7F"/>
      </bottom>
      <diagonal/>
    </border>
    <border>
      <left/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dotted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dotted">
        <color rgb="FF000000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thin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/>
      <right style="thin">
        <color rgb="FF7F7F7F"/>
      </right>
      <top style="medium">
        <color rgb="FFFFFFFF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00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/>
      <bottom style="thin">
        <color rgb="FF000000"/>
      </bottom>
      <diagonal/>
    </border>
    <border>
      <left/>
      <right style="thin">
        <color rgb="FF7F7F7F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00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000000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/>
      <top style="thin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/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thin">
        <color rgb="FF7F7F7F"/>
      </bottom>
      <diagonal/>
    </border>
    <border>
      <left/>
      <right/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/>
      <top style="thin">
        <color rgb="FF7F7F7F"/>
      </top>
      <bottom/>
      <diagonal/>
    </border>
    <border>
      <left style="medium">
        <color rgb="FFFF0000"/>
      </left>
      <right/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/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/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/>
      <diagonal/>
    </border>
    <border>
      <left style="medium">
        <color rgb="FFFF0000"/>
      </left>
      <right/>
      <top style="dotted">
        <color rgb="FF7F7F7F"/>
      </top>
      <bottom/>
      <diagonal/>
    </border>
    <border>
      <left/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medium">
        <color rgb="FFFF0000"/>
      </bottom>
      <diagonal/>
    </border>
    <border>
      <left/>
      <right style="dotted">
        <color rgb="FF7F7F7F"/>
      </right>
      <top style="thin">
        <color rgb="FF7F7F7F"/>
      </top>
      <bottom/>
      <diagonal/>
    </border>
    <border>
      <left style="dotted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595959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595959"/>
      </bottom>
      <diagonal/>
    </border>
    <border>
      <left style="thin">
        <color rgb="FF7F7F7F"/>
      </left>
      <right/>
      <top style="dotted">
        <color rgb="FF7F7F7F"/>
      </top>
      <bottom style="thin">
        <color rgb="FF595959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/>
      <diagonal/>
    </border>
    <border>
      <left/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7F7F7F"/>
      </right>
      <top/>
      <bottom/>
      <diagonal/>
    </border>
    <border>
      <left style="thin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 style="thin">
        <color rgb="FF7F7F7F"/>
      </bottom>
      <diagonal/>
    </border>
    <border>
      <left/>
      <right/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/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/>
      <diagonal/>
    </border>
    <border>
      <left style="medium">
        <color rgb="FFFF0000"/>
      </left>
      <right style="dotted">
        <color rgb="FF7F7F7F"/>
      </right>
      <top/>
      <bottom/>
      <diagonal/>
    </border>
    <border>
      <left style="medium">
        <color rgb="FFFF0000"/>
      </left>
      <right style="thin">
        <color rgb="FF7F7F7F"/>
      </right>
      <top/>
      <bottom/>
      <diagonal/>
    </border>
    <border>
      <left/>
      <right/>
      <top/>
      <bottom style="dotted">
        <color rgb="FF7F7F7F"/>
      </bottom>
      <diagonal/>
    </border>
    <border>
      <left/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7F7F7F"/>
      </right>
      <top/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dotted">
        <color rgb="FF7F7F7F"/>
      </bottom>
      <diagonal/>
    </border>
    <border>
      <left/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7F7F7F"/>
      </right>
      <top style="dotted">
        <color rgb="FF7F7F7F"/>
      </top>
      <bottom/>
      <diagonal/>
    </border>
    <border>
      <left style="dotted">
        <color rgb="FF7F7F7F"/>
      </left>
      <right/>
      <top style="dotted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dotted">
        <color rgb="FF000000"/>
      </top>
      <bottom/>
      <diagonal/>
    </border>
    <border>
      <left style="hair">
        <color rgb="FF000000"/>
      </left>
      <right style="hair">
        <color indexed="64"/>
      </right>
      <top style="hair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/>
      <bottom/>
      <diagonal/>
    </border>
    <border>
      <left style="hair">
        <color rgb="FF000000"/>
      </left>
      <right style="hair">
        <color indexed="64"/>
      </right>
      <top/>
      <bottom style="hair">
        <color rgb="FF00000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dotted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theme="0" tint="-0.499984740745262"/>
      </bottom>
      <diagonal/>
    </border>
    <border>
      <left/>
      <right/>
      <top style="thin">
        <color rgb="FF000000"/>
      </top>
      <bottom style="medium">
        <color theme="0" tint="-0.499984740745262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tted">
        <color rgb="FF7F7F7F"/>
      </left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 style="thin">
        <color rgb="FF000000"/>
      </right>
      <top/>
      <bottom style="dotted">
        <color rgb="FF7F7F7F"/>
      </bottom>
      <diagonal/>
    </border>
    <border>
      <left style="dotted">
        <color rgb="FF7F7F7F"/>
      </left>
      <right style="thin">
        <color rgb="FF000000"/>
      </right>
      <top style="dotted">
        <color rgb="FF7F7F7F"/>
      </top>
      <bottom/>
      <diagonal/>
    </border>
    <border>
      <left/>
      <right style="medium">
        <color rgb="FFFF0000"/>
      </right>
      <top style="thin">
        <color rgb="FF7F7F7F"/>
      </top>
      <bottom/>
      <diagonal/>
    </border>
    <border>
      <left style="medium">
        <color rgb="FFFFFFFF"/>
      </left>
      <right style="thin">
        <color rgb="FF7F7F7F"/>
      </right>
      <top style="thin">
        <color rgb="FF7F7F7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/>
      <diagonal/>
    </border>
    <border>
      <left style="thin">
        <color rgb="FF7F7F7F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rgb="FF000000"/>
      </right>
      <top style="thin">
        <color rgb="FF7F7F7F"/>
      </top>
      <bottom/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/>
      <diagonal/>
    </border>
    <border>
      <left style="medium">
        <color rgb="FFFFFFFF"/>
      </left>
      <right style="thin">
        <color rgb="FF7F7F7F"/>
      </right>
      <top/>
      <bottom style="thin">
        <color rgb="FF7F7F7F"/>
      </bottom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 style="thin">
        <color rgb="FF7F7F7F"/>
      </bottom>
      <diagonal/>
    </border>
  </borders>
  <cellStyleXfs count="1">
    <xf numFmtId="0" fontId="43" fillId="0" borderId="0"/>
  </cellStyleXfs>
  <cellXfs count="3073">
    <xf numFmtId="0" fontId="0" fillId="0" borderId="0" pivotButton="0" quotePrefix="0" xfId="0"/>
    <xf numFmtId="0" fontId="6" fillId="0" borderId="0" applyAlignment="1" pivotButton="0" quotePrefix="0" xfId="1">
      <alignment vertical="center"/>
    </xf>
    <xf numFmtId="164" fontId="6" fillId="0" borderId="0" applyAlignment="1" pivotButton="0" quotePrefix="0" xfId="1">
      <alignment vertical="center"/>
    </xf>
    <xf numFmtId="165" fontId="6" fillId="0" borderId="0" applyAlignment="1" pivotButton="0" quotePrefix="0" xfId="1">
      <alignment vertical="center"/>
    </xf>
    <xf numFmtId="166" fontId="6" fillId="0" borderId="0" applyAlignment="1" pivotButton="0" quotePrefix="0" xfId="1">
      <alignment vertical="center"/>
    </xf>
    <xf numFmtId="167" fontId="6" fillId="0" borderId="0" applyAlignment="1" pivotButton="0" quotePrefix="0" xfId="2">
      <alignment vertical="center"/>
    </xf>
    <xf numFmtId="3" fontId="6" fillId="0" borderId="0" applyAlignment="1" pivotButton="0" quotePrefix="0" xfId="1">
      <alignment vertical="center"/>
    </xf>
    <xf numFmtId="0" fontId="6" fillId="0" borderId="1" applyAlignment="1" pivotButton="0" quotePrefix="0" xfId="1">
      <alignment vertical="center" wrapText="1"/>
    </xf>
    <xf numFmtId="164" fontId="9" fillId="0" borderId="1" applyAlignment="1" pivotButton="0" quotePrefix="0" xfId="2">
      <alignment horizontal="right" vertical="center" readingOrder="1"/>
    </xf>
    <xf numFmtId="164" fontId="9" fillId="0" borderId="5" applyAlignment="1" pivotButton="0" quotePrefix="0" xfId="2">
      <alignment horizontal="right" vertical="center" readingOrder="1"/>
    </xf>
    <xf numFmtId="0" fontId="9" fillId="0" borderId="2" applyAlignment="1" pivotButton="0" quotePrefix="0" xfId="1">
      <alignment vertical="center" readingOrder="1"/>
    </xf>
    <xf numFmtId="0" fontId="9" fillId="0" borderId="7" applyAlignment="1" pivotButton="0" quotePrefix="0" xfId="1">
      <alignment vertical="center" readingOrder="1"/>
    </xf>
    <xf numFmtId="0" fontId="10" fillId="0" borderId="1" applyAlignment="1" pivotButton="0" quotePrefix="0" xfId="1">
      <alignment vertical="center" wrapText="1"/>
    </xf>
    <xf numFmtId="0" fontId="10" fillId="0" borderId="10" applyAlignment="1" pivotButton="0" quotePrefix="0" xfId="1">
      <alignment vertical="center" wrapText="1"/>
    </xf>
    <xf numFmtId="164" fontId="9" fillId="0" borderId="10" applyAlignment="1" pivotButton="0" quotePrefix="0" xfId="2">
      <alignment horizontal="right" vertical="center" readingOrder="1"/>
    </xf>
    <xf numFmtId="0" fontId="9" fillId="0" borderId="13" applyAlignment="1" pivotButton="0" quotePrefix="0" xfId="1">
      <alignment vertical="center" readingOrder="1"/>
    </xf>
    <xf numFmtId="0" fontId="9" fillId="0" borderId="14" applyAlignment="1" pivotButton="0" quotePrefix="0" xfId="1">
      <alignment vertical="center" readingOrder="1"/>
    </xf>
    <xf numFmtId="164" fontId="9" fillId="0" borderId="15" applyAlignment="1" pivotButton="0" quotePrefix="0" xfId="2">
      <alignment horizontal="right" vertical="center" readingOrder="1"/>
    </xf>
    <xf numFmtId="0" fontId="9" fillId="0" borderId="18" applyAlignment="1" pivotButton="0" quotePrefix="0" xfId="1">
      <alignment vertical="center" readingOrder="1"/>
    </xf>
    <xf numFmtId="0" fontId="9" fillId="0" borderId="0" applyAlignment="1" pivotButton="0" quotePrefix="0" xfId="1">
      <alignment vertical="center" readingOrder="1"/>
    </xf>
    <xf numFmtId="0" fontId="11" fillId="0" borderId="20" applyAlignment="1" pivotButton="0" quotePrefix="0" xfId="1">
      <alignment vertical="center" wrapText="1"/>
    </xf>
    <xf numFmtId="164" fontId="9" fillId="0" borderId="23" applyAlignment="1" pivotButton="0" quotePrefix="0" xfId="2">
      <alignment horizontal="right" vertical="center" readingOrder="1"/>
    </xf>
    <xf numFmtId="0" fontId="11" fillId="0" borderId="24" applyAlignment="1" pivotButton="0" quotePrefix="0" xfId="1">
      <alignment vertical="center" readingOrder="1"/>
    </xf>
    <xf numFmtId="0" fontId="11" fillId="0" borderId="25" applyAlignment="1" pivotButton="0" quotePrefix="0" xfId="1">
      <alignment vertical="center" readingOrder="1"/>
    </xf>
    <xf numFmtId="0" fontId="12" fillId="0" borderId="25" applyAlignment="1" pivotButton="0" quotePrefix="0" xfId="1">
      <alignment vertical="center" readingOrder="1"/>
    </xf>
    <xf numFmtId="0" fontId="10" fillId="0" borderId="26" applyAlignment="1" pivotButton="0" quotePrefix="0" xfId="1">
      <alignment horizontal="left" vertical="center" wrapText="1" readingOrder="1"/>
    </xf>
    <xf numFmtId="0" fontId="9" fillId="0" borderId="19" applyAlignment="1" pivotButton="0" quotePrefix="0" xfId="1">
      <alignment vertical="center" readingOrder="1"/>
    </xf>
    <xf numFmtId="0" fontId="6" fillId="0" borderId="10" applyAlignment="1" pivotButton="0" quotePrefix="0" xfId="1">
      <alignment vertical="center"/>
    </xf>
    <xf numFmtId="0" fontId="10" fillId="0" borderId="20" applyAlignment="1" pivotButton="0" quotePrefix="0" xfId="1">
      <alignment vertical="center" wrapText="1"/>
    </xf>
    <xf numFmtId="0" fontId="9" fillId="0" borderId="24" applyAlignment="1" pivotButton="0" quotePrefix="0" xfId="1">
      <alignment vertical="center" readingOrder="1"/>
    </xf>
    <xf numFmtId="0" fontId="9" fillId="0" borderId="25" applyAlignment="1" pivotButton="0" quotePrefix="0" xfId="1">
      <alignment vertical="center" readingOrder="1"/>
    </xf>
    <xf numFmtId="164" fontId="9" fillId="0" borderId="10" applyAlignment="1" pivotButton="0" quotePrefix="0" xfId="2">
      <alignment vertical="center" readingOrder="1"/>
    </xf>
    <xf numFmtId="0" fontId="10" fillId="0" borderId="14" applyAlignment="1" pivotButton="0" quotePrefix="0" xfId="1">
      <alignment vertical="center"/>
    </xf>
    <xf numFmtId="0" fontId="10" fillId="0" borderId="27" applyAlignment="1" pivotButton="0" quotePrefix="0" xfId="1">
      <alignment vertical="center"/>
    </xf>
    <xf numFmtId="0" fontId="10" fillId="0" borderId="28" applyAlignment="1" pivotButton="0" quotePrefix="0" xfId="1">
      <alignment vertical="center"/>
    </xf>
    <xf numFmtId="0" fontId="10" fillId="0" borderId="26" applyAlignment="1" pivotButton="0" quotePrefix="0" xfId="1">
      <alignment vertical="center" wrapText="1"/>
    </xf>
    <xf numFmtId="164" fontId="9" fillId="0" borderId="26" applyAlignment="1" pivotButton="0" quotePrefix="0" xfId="2">
      <alignment vertical="center" readingOrder="1"/>
    </xf>
    <xf numFmtId="0" fontId="9" fillId="0" borderId="27" applyAlignment="1" pivotButton="0" quotePrefix="0" xfId="1">
      <alignment vertical="center" readingOrder="1"/>
    </xf>
    <xf numFmtId="164" fontId="9" fillId="0" borderId="15" applyAlignment="1" pivotButton="0" quotePrefix="0" xfId="2">
      <alignment vertical="center" readingOrder="1"/>
    </xf>
    <xf numFmtId="164" fontId="9" fillId="0" borderId="31" applyAlignment="1" pivotButton="0" quotePrefix="0" xfId="2">
      <alignment horizontal="right" vertical="center" readingOrder="1"/>
    </xf>
    <xf numFmtId="0" fontId="9" fillId="0" borderId="16" applyAlignment="1" pivotButton="0" quotePrefix="0" xfId="1">
      <alignment vertical="center" readingOrder="1"/>
    </xf>
    <xf numFmtId="164" fontId="9" fillId="0" borderId="34" applyAlignment="1" pivotButton="0" quotePrefix="0" xfId="2">
      <alignment vertical="center" readingOrder="1"/>
    </xf>
    <xf numFmtId="0" fontId="9" fillId="0" borderId="37" applyAlignment="1" pivotButton="0" quotePrefix="0" xfId="1">
      <alignment vertical="center" readingOrder="1"/>
    </xf>
    <xf numFmtId="164" fontId="9" fillId="0" borderId="26" applyAlignment="1" pivotButton="0" quotePrefix="0" xfId="2">
      <alignment horizontal="right" vertical="center" readingOrder="1"/>
    </xf>
    <xf numFmtId="0" fontId="9" fillId="0" borderId="29" applyAlignment="1" pivotButton="0" quotePrefix="0" xfId="1">
      <alignment vertical="center" readingOrder="1"/>
    </xf>
    <xf numFmtId="0" fontId="10" fillId="0" borderId="26" applyAlignment="1" pivotButton="0" quotePrefix="0" xfId="1">
      <alignment horizontal="left" vertical="center" readingOrder="1"/>
    </xf>
    <xf numFmtId="164" fontId="9" fillId="0" borderId="34" applyAlignment="1" pivotButton="0" quotePrefix="0" xfId="2">
      <alignment horizontal="right" vertical="center" readingOrder="1"/>
    </xf>
    <xf numFmtId="0" fontId="9" fillId="0" borderId="35" applyAlignment="1" pivotButton="0" quotePrefix="0" xfId="1">
      <alignment vertical="center" readingOrder="1"/>
    </xf>
    <xf numFmtId="0" fontId="10" fillId="0" borderId="26" applyAlignment="1" pivotButton="0" quotePrefix="1" xfId="1">
      <alignment horizontal="left" vertical="center" wrapText="1"/>
    </xf>
    <xf numFmtId="165" fontId="10" fillId="0" borderId="26" applyAlignment="1" pivotButton="0" quotePrefix="1" xfId="2">
      <alignment horizontal="left" vertical="center" readingOrder="1"/>
    </xf>
    <xf numFmtId="0" fontId="6" fillId="0" borderId="26" applyAlignment="1" pivotButton="0" quotePrefix="0" xfId="1">
      <alignment horizontal="left" vertical="center" wrapText="1" readingOrder="1"/>
    </xf>
    <xf numFmtId="0" fontId="9" fillId="0" borderId="38" applyAlignment="1" pivotButton="0" quotePrefix="0" xfId="1">
      <alignment horizontal="left" vertical="center" readingOrder="1"/>
    </xf>
    <xf numFmtId="0" fontId="9" fillId="0" borderId="28" applyAlignment="1" pivotButton="0" quotePrefix="0" xfId="1">
      <alignment horizontal="left" vertical="center" readingOrder="1"/>
    </xf>
    <xf numFmtId="0" fontId="9" fillId="3" borderId="12" applyAlignment="1" pivotButton="0" quotePrefix="0" xfId="1">
      <alignment horizontal="center" vertical="center" wrapText="1" readingOrder="1"/>
    </xf>
    <xf numFmtId="0" fontId="9" fillId="3" borderId="2" applyAlignment="1" pivotButton="0" quotePrefix="0" xfId="1">
      <alignment horizontal="center" vertical="center" wrapText="1" readingOrder="1"/>
    </xf>
    <xf numFmtId="0" fontId="9" fillId="3" borderId="9" applyAlignment="1" pivotButton="0" quotePrefix="0" xfId="1">
      <alignment horizontal="center" vertical="center" wrapText="1" readingOrder="1"/>
    </xf>
    <xf numFmtId="0" fontId="9" fillId="3" borderId="10" applyAlignment="1" pivotButton="0" quotePrefix="0" xfId="1">
      <alignment horizontal="center" vertical="center" wrapText="1" readingOrder="1"/>
    </xf>
    <xf numFmtId="0" fontId="9" fillId="3" borderId="6" applyAlignment="1" pivotButton="0" quotePrefix="0" xfId="1">
      <alignment horizontal="center" vertical="center" wrapText="1" readingOrder="1"/>
    </xf>
    <xf numFmtId="168" fontId="6" fillId="0" borderId="0" applyAlignment="1" pivotButton="0" quotePrefix="0" xfId="1">
      <alignment vertical="center"/>
    </xf>
    <xf numFmtId="0" fontId="6" fillId="0" borderId="0" applyAlignment="1" pivotButton="0" quotePrefix="0" xfId="1">
      <alignment horizontal="right" vertical="center"/>
    </xf>
    <xf numFmtId="0" fontId="13" fillId="0" borderId="0" applyAlignment="1" pivotButton="0" quotePrefix="0" xfId="1">
      <alignment vertical="center"/>
    </xf>
    <xf numFmtId="0" fontId="13" fillId="0" borderId="0" applyAlignment="1" pivotButton="0" quotePrefix="0" xfId="1">
      <alignment horizontal="right" vertical="center"/>
    </xf>
    <xf numFmtId="0" fontId="13" fillId="0" borderId="0" applyAlignment="1" pivotButton="0" quotePrefix="0" xfId="1">
      <alignment horizontal="center" vertical="center"/>
    </xf>
    <xf numFmtId="0" fontId="13" fillId="0" borderId="0" applyAlignment="1" pivotButton="0" quotePrefix="0" xfId="1">
      <alignment horizontal="left" vertical="center"/>
    </xf>
    <xf numFmtId="165" fontId="13" fillId="0" borderId="0" applyAlignment="1" pivotButton="0" quotePrefix="0" xfId="2">
      <alignment vertical="center"/>
    </xf>
    <xf numFmtId="169" fontId="13" fillId="0" borderId="0" applyAlignment="1" pivotButton="0" quotePrefix="0" xfId="1">
      <alignment vertical="center"/>
    </xf>
    <xf numFmtId="165" fontId="13" fillId="0" borderId="0" applyAlignment="1" pivotButton="0" quotePrefix="0" xfId="2">
      <alignment horizontal="center" vertical="center"/>
    </xf>
    <xf numFmtId="170" fontId="13" fillId="0" borderId="0" applyAlignment="1" pivotButton="0" quotePrefix="0" xfId="2">
      <alignment horizontal="center" vertical="center"/>
    </xf>
    <xf numFmtId="170" fontId="13" fillId="0" borderId="0" applyAlignment="1" pivotButton="0" quotePrefix="0" xfId="2">
      <alignment vertical="center"/>
    </xf>
    <xf numFmtId="171" fontId="13" fillId="0" borderId="0" applyAlignment="1" pivotButton="0" quotePrefix="0" xfId="1">
      <alignment vertical="center"/>
    </xf>
    <xf numFmtId="165" fontId="13" fillId="0" borderId="0" applyAlignment="1" pivotButton="0" quotePrefix="0" xfId="1">
      <alignment vertical="center"/>
    </xf>
    <xf numFmtId="172" fontId="13" fillId="0" borderId="0" applyAlignment="1" pivotButton="0" quotePrefix="0" xfId="2">
      <alignment vertical="center"/>
    </xf>
    <xf numFmtId="172" fontId="13" fillId="0" borderId="0" applyAlignment="1" pivotButton="0" quotePrefix="0" xfId="2">
      <alignment horizontal="center" vertical="center"/>
    </xf>
    <xf numFmtId="0" fontId="13" fillId="0" borderId="0" applyAlignment="1" pivotButton="0" quotePrefix="0" xfId="3">
      <alignment horizontal="left" vertical="center"/>
    </xf>
    <xf numFmtId="165" fontId="13" fillId="0" borderId="0" applyAlignment="1" pivotButton="0" quotePrefix="0" xfId="1">
      <alignment horizontal="right" vertical="center"/>
    </xf>
    <xf numFmtId="0" fontId="15" fillId="0" borderId="0" applyAlignment="1" pivotButton="0" quotePrefix="0" xfId="1">
      <alignment horizontal="center" vertical="center"/>
    </xf>
    <xf numFmtId="169" fontId="13" fillId="0" borderId="0" applyAlignment="1" pivotButton="0" quotePrefix="0" xfId="1">
      <alignment horizontal="right" vertical="center"/>
    </xf>
    <xf numFmtId="0" fontId="16" fillId="0" borderId="0" applyAlignment="1" pivotButton="0" quotePrefix="0" xfId="1">
      <alignment horizontal="center" vertical="center"/>
    </xf>
    <xf numFmtId="0" fontId="13" fillId="4" borderId="0" applyAlignment="1" pivotButton="0" quotePrefix="0" xfId="1">
      <alignment horizontal="center" vertical="center"/>
    </xf>
    <xf numFmtId="165" fontId="13" fillId="4" borderId="0" applyAlignment="1" pivotButton="0" quotePrefix="0" xfId="2">
      <alignment horizontal="center" vertical="center"/>
    </xf>
    <xf numFmtId="165" fontId="13" fillId="0" borderId="0" applyAlignment="1" pivotButton="0" quotePrefix="0" xfId="1">
      <alignment horizontal="left" vertical="center"/>
    </xf>
    <xf numFmtId="165" fontId="13" fillId="0" borderId="0" applyAlignment="1" pivotButton="0" quotePrefix="0" xfId="1">
      <alignment horizontal="center" vertical="center"/>
    </xf>
    <xf numFmtId="0" fontId="17" fillId="0" borderId="0" applyAlignment="1" pivotButton="0" quotePrefix="0" xfId="1">
      <alignment vertical="center"/>
    </xf>
    <xf numFmtId="4" fontId="17" fillId="0" borderId="0" applyAlignment="1" pivotButton="0" quotePrefix="0" xfId="1">
      <alignment vertical="center"/>
    </xf>
    <xf numFmtId="0" fontId="17" fillId="0" borderId="0" applyAlignment="1" pivotButton="0" quotePrefix="0" xfId="1">
      <alignment horizontal="right" vertical="center"/>
    </xf>
    <xf numFmtId="0" fontId="17" fillId="0" borderId="0" applyAlignment="1" pivotButton="0" quotePrefix="0" xfId="1">
      <alignment horizontal="center" vertical="center"/>
    </xf>
    <xf numFmtId="165" fontId="17" fillId="0" borderId="0" applyAlignment="1" pivotButton="0" quotePrefix="0" xfId="2">
      <alignment horizontal="left" vertical="center"/>
    </xf>
    <xf numFmtId="165" fontId="17" fillId="0" borderId="0" applyAlignment="1" pivotButton="0" quotePrefix="0" xfId="2">
      <alignment horizontal="center" vertical="center"/>
    </xf>
    <xf numFmtId="0" fontId="17" fillId="0" borderId="0" applyAlignment="1" pivotButton="0" quotePrefix="0" xfId="1">
      <alignment horizontal="left" vertical="center"/>
    </xf>
    <xf numFmtId="0" fontId="16" fillId="0" borderId="0" applyAlignment="1" pivotButton="0" quotePrefix="0" xfId="1">
      <alignment vertical="center"/>
    </xf>
    <xf numFmtId="165" fontId="16" fillId="0" borderId="0" applyAlignment="1" pivotButton="0" quotePrefix="0" xfId="2">
      <alignment vertical="center"/>
    </xf>
    <xf numFmtId="165" fontId="13" fillId="0" borderId="0" applyAlignment="1" pivotButton="0" quotePrefix="0" xfId="2">
      <alignment vertical="center"/>
    </xf>
    <xf numFmtId="165" fontId="16" fillId="0" borderId="0" applyAlignment="1" pivotButton="0" quotePrefix="0" xfId="2">
      <alignment vertical="center"/>
    </xf>
    <xf numFmtId="165" fontId="18" fillId="0" borderId="0" applyAlignment="1" pivotButton="0" quotePrefix="0" xfId="2">
      <alignment vertical="center"/>
    </xf>
    <xf numFmtId="0" fontId="19" fillId="0" borderId="0" applyAlignment="1" pivotButton="0" quotePrefix="0" xfId="1">
      <alignment horizontal="center" vertical="center"/>
    </xf>
    <xf numFmtId="0" fontId="16" fillId="0" borderId="0" applyAlignment="1" pivotButton="0" quotePrefix="0" xfId="1">
      <alignment horizontal="right" vertical="center"/>
    </xf>
    <xf numFmtId="0" fontId="19" fillId="4" borderId="0" applyAlignment="1" pivotButton="0" quotePrefix="0" xfId="1">
      <alignment horizontal="center" vertical="center"/>
    </xf>
    <xf numFmtId="0" fontId="21" fillId="0" borderId="0" applyAlignment="1" pivotButton="0" quotePrefix="0" xfId="1">
      <alignment horizontal="right" vertical="center"/>
    </xf>
    <xf numFmtId="170" fontId="16" fillId="0" borderId="0" applyAlignment="1" pivotButton="0" quotePrefix="0" xfId="2">
      <alignment vertical="center"/>
    </xf>
    <xf numFmtId="4" fontId="22" fillId="0" borderId="0" applyAlignment="1" pivotButton="0" quotePrefix="0" xfId="1">
      <alignment vertical="center"/>
    </xf>
    <xf numFmtId="165" fontId="21" fillId="4" borderId="0" applyAlignment="1" pivotButton="0" quotePrefix="0" xfId="2">
      <alignment horizontal="right" vertical="center"/>
    </xf>
    <xf numFmtId="0" fontId="23" fillId="0" borderId="0" applyAlignment="1" pivotButton="0" quotePrefix="0" xfId="1">
      <alignment horizontal="left" vertical="center"/>
    </xf>
    <xf numFmtId="0" fontId="24" fillId="0" borderId="0" applyAlignment="1" pivotButton="0" quotePrefix="0" xfId="1">
      <alignment vertical="center"/>
    </xf>
    <xf numFmtId="0" fontId="25" fillId="6" borderId="1" applyAlignment="1" pivotButton="0" quotePrefix="0" xfId="1">
      <alignment horizontal="left" vertical="center" readingOrder="1"/>
    </xf>
    <xf numFmtId="173" fontId="26" fillId="5" borderId="42" applyAlignment="1" pivotButton="0" quotePrefix="0" xfId="1">
      <alignment horizontal="right" vertical="center" readingOrder="1"/>
    </xf>
    <xf numFmtId="0" fontId="29" fillId="0" borderId="20" applyAlignment="1" pivotButton="0" quotePrefix="0" xfId="1">
      <alignment vertical="center" wrapText="1"/>
    </xf>
    <xf numFmtId="173" fontId="26" fillId="0" borderId="42" applyAlignment="1" pivotButton="0" quotePrefix="0" xfId="1">
      <alignment horizontal="right" vertical="center" readingOrder="1"/>
    </xf>
    <xf numFmtId="0" fontId="29" fillId="0" borderId="20" applyAlignment="1" pivotButton="0" quotePrefix="0" xfId="1">
      <alignment vertical="center"/>
    </xf>
    <xf numFmtId="168" fontId="24" fillId="0" borderId="8" applyAlignment="1" pivotButton="0" quotePrefix="0" xfId="1">
      <alignment horizontal="right" vertical="center" readingOrder="1"/>
    </xf>
    <xf numFmtId="173" fontId="28" fillId="0" borderId="54" applyAlignment="1" pivotButton="0" quotePrefix="0" xfId="1">
      <alignment horizontal="right" vertical="center" readingOrder="1"/>
    </xf>
    <xf numFmtId="168" fontId="25" fillId="0" borderId="55" applyAlignment="1" pivotButton="0" quotePrefix="0" xfId="1">
      <alignment horizontal="right" vertical="center" readingOrder="1"/>
    </xf>
    <xf numFmtId="173" fontId="27" fillId="0" borderId="56" applyAlignment="1" pivotButton="0" quotePrefix="0" xfId="1">
      <alignment horizontal="right" vertical="center" readingOrder="1"/>
    </xf>
    <xf numFmtId="168" fontId="25" fillId="0" borderId="48" applyAlignment="1" pivotButton="0" quotePrefix="0" xfId="1">
      <alignment horizontal="right" vertical="center" readingOrder="1"/>
    </xf>
    <xf numFmtId="173" fontId="27" fillId="0" borderId="54" applyAlignment="1" pivotButton="0" quotePrefix="0" xfId="1">
      <alignment horizontal="right" vertical="center" readingOrder="1"/>
    </xf>
    <xf numFmtId="174" fontId="24" fillId="0" borderId="0" applyAlignment="1" pivotButton="0" quotePrefix="0" xfId="1">
      <alignment vertical="center"/>
    </xf>
    <xf numFmtId="0" fontId="25" fillId="3" borderId="1" applyAlignment="1" pivotButton="0" quotePrefix="0" xfId="1">
      <alignment horizontal="center" vertical="center" readingOrder="1"/>
    </xf>
    <xf numFmtId="0" fontId="25" fillId="3" borderId="42" applyAlignment="1" pivotButton="0" quotePrefix="0" xfId="1">
      <alignment horizontal="center" vertical="center" readingOrder="1"/>
    </xf>
    <xf numFmtId="0" fontId="28" fillId="3" borderId="51" applyAlignment="1" pivotButton="0" quotePrefix="0" xfId="1">
      <alignment horizontal="center" vertical="center" readingOrder="1"/>
    </xf>
    <xf numFmtId="0" fontId="30" fillId="0" borderId="0" applyAlignment="1" pivotButton="0" quotePrefix="0" xfId="1">
      <alignment vertical="center"/>
    </xf>
    <xf numFmtId="0" fontId="20" fillId="0" borderId="0" applyAlignment="1" pivotButton="0" quotePrefix="0" xfId="1">
      <alignment vertical="center"/>
    </xf>
    <xf numFmtId="0" fontId="31" fillId="3" borderId="10" applyAlignment="1" pivotButton="0" quotePrefix="0" xfId="1">
      <alignment vertical="center"/>
    </xf>
    <xf numFmtId="175" fontId="32" fillId="3" borderId="59" applyAlignment="1" pivotButton="0" quotePrefix="0" xfId="1">
      <alignment horizontal="right" vertical="center" readingOrder="1"/>
    </xf>
    <xf numFmtId="176" fontId="33" fillId="3" borderId="60" applyAlignment="1" pivotButton="0" quotePrefix="0" xfId="1">
      <alignment horizontal="right" vertical="center" readingOrder="1"/>
    </xf>
    <xf numFmtId="176" fontId="34" fillId="3" borderId="12" applyAlignment="1" pivotButton="0" quotePrefix="0" xfId="1">
      <alignment horizontal="right" vertical="center" readingOrder="1"/>
    </xf>
    <xf numFmtId="168" fontId="33" fillId="0" borderId="47" applyAlignment="1" pivotButton="0" quotePrefix="0" xfId="1">
      <alignment horizontal="right" vertical="center" readingOrder="1"/>
    </xf>
    <xf numFmtId="168" fontId="34" fillId="0" borderId="36" applyAlignment="1" pivotButton="0" quotePrefix="0" xfId="1">
      <alignment horizontal="right" vertical="center" readingOrder="1"/>
    </xf>
    <xf numFmtId="0" fontId="34" fillId="0" borderId="66" applyAlignment="1" pivotButton="0" quotePrefix="0" xfId="1">
      <alignment horizontal="left" vertical="center" readingOrder="1"/>
    </xf>
    <xf numFmtId="0" fontId="32" fillId="0" borderId="28" applyAlignment="1" pivotButton="0" quotePrefix="0" xfId="1">
      <alignment horizontal="left" vertical="center" readingOrder="1"/>
    </xf>
    <xf numFmtId="168" fontId="33" fillId="0" borderId="48" applyAlignment="1" pivotButton="0" quotePrefix="0" xfId="1">
      <alignment horizontal="right" vertical="center" readingOrder="1"/>
    </xf>
    <xf numFmtId="168" fontId="34" fillId="0" borderId="49" applyAlignment="1" pivotButton="0" quotePrefix="0" xfId="1">
      <alignment horizontal="right" vertical="center" readingOrder="1"/>
    </xf>
    <xf numFmtId="0" fontId="34" fillId="0" borderId="57" applyAlignment="1" pivotButton="0" quotePrefix="0" xfId="1">
      <alignment horizontal="left" vertical="center" readingOrder="1"/>
    </xf>
    <xf numFmtId="0" fontId="32" fillId="0" borderId="58" applyAlignment="1" pivotButton="0" quotePrefix="0" xfId="1">
      <alignment horizontal="left" vertical="center" readingOrder="1"/>
    </xf>
    <xf numFmtId="168" fontId="36" fillId="0" borderId="67" applyAlignment="1" pivotButton="0" quotePrefix="0" xfId="1">
      <alignment horizontal="right" vertical="center" readingOrder="1"/>
    </xf>
    <xf numFmtId="168" fontId="32" fillId="0" borderId="12" applyAlignment="1" pivotButton="0" quotePrefix="0" xfId="1">
      <alignment horizontal="right" vertical="center" readingOrder="1"/>
    </xf>
    <xf numFmtId="0" fontId="32" fillId="0" borderId="0" applyAlignment="1" pivotButton="0" quotePrefix="0" xfId="1">
      <alignment vertical="center" readingOrder="1"/>
    </xf>
    <xf numFmtId="0" fontId="32" fillId="0" borderId="25" applyAlignment="1" pivotButton="0" quotePrefix="0" xfId="1">
      <alignment vertical="center" readingOrder="1"/>
    </xf>
    <xf numFmtId="168" fontId="34" fillId="0" borderId="47" applyAlignment="1" pivotButton="0" quotePrefix="0" xfId="1">
      <alignment vertical="center" readingOrder="1"/>
    </xf>
    <xf numFmtId="168" fontId="34" fillId="0" borderId="36" applyAlignment="1" pivotButton="0" quotePrefix="0" xfId="1">
      <alignment vertical="center" readingOrder="1"/>
    </xf>
    <xf numFmtId="0" fontId="34" fillId="0" borderId="66" applyAlignment="1" pivotButton="0" quotePrefix="0" xfId="1">
      <alignment vertical="center" readingOrder="1"/>
    </xf>
    <xf numFmtId="168" fontId="34" fillId="0" borderId="55" applyAlignment="1" pivotButton="0" quotePrefix="0" xfId="1">
      <alignment vertical="center" readingOrder="1"/>
    </xf>
    <xf numFmtId="168" fontId="34" fillId="0" borderId="30" applyAlignment="1" pivotButton="0" quotePrefix="0" xfId="1">
      <alignment vertical="center" readingOrder="1"/>
    </xf>
    <xf numFmtId="0" fontId="34" fillId="0" borderId="40" applyAlignment="1" pivotButton="0" quotePrefix="0" xfId="1">
      <alignment vertical="center" readingOrder="1"/>
    </xf>
    <xf numFmtId="168" fontId="34" fillId="0" borderId="48" applyAlignment="1" pivotButton="0" quotePrefix="0" xfId="1">
      <alignment vertical="center" readingOrder="1"/>
    </xf>
    <xf numFmtId="168" fontId="34" fillId="0" borderId="49" applyAlignment="1" pivotButton="0" quotePrefix="0" xfId="1">
      <alignment vertical="center" readingOrder="1"/>
    </xf>
    <xf numFmtId="0" fontId="34" fillId="0" borderId="57" applyAlignment="1" pivotButton="0" quotePrefix="0" xfId="1">
      <alignment vertical="center" readingOrder="1"/>
    </xf>
    <xf numFmtId="0" fontId="34" fillId="3" borderId="1" applyAlignment="1" pivotButton="0" quotePrefix="0" xfId="1">
      <alignment horizontal="center" vertical="center" readingOrder="1"/>
    </xf>
    <xf numFmtId="0" fontId="34" fillId="3" borderId="42" applyAlignment="1" pivotButton="0" quotePrefix="0" xfId="1">
      <alignment horizontal="center" vertical="center" readingOrder="1"/>
    </xf>
    <xf numFmtId="0" fontId="34" fillId="3" borderId="51" applyAlignment="1" pivotButton="0" quotePrefix="0" xfId="1">
      <alignment horizontal="center" vertical="center" readingOrder="1"/>
    </xf>
    <xf numFmtId="0" fontId="34" fillId="3" borderId="8" applyAlignment="1" pivotButton="0" quotePrefix="0" xfId="1">
      <alignment horizontal="center" vertical="center" readingOrder="1"/>
    </xf>
    <xf numFmtId="0" fontId="20" fillId="0" borderId="0" applyAlignment="1" pivotButton="0" quotePrefix="0" xfId="1">
      <alignment horizontal="right" vertical="center"/>
    </xf>
    <xf numFmtId="0" fontId="20" fillId="6" borderId="0" applyAlignment="1" pivotButton="0" quotePrefix="0" xfId="1">
      <alignment vertical="center"/>
    </xf>
    <xf numFmtId="168" fontId="32" fillId="0" borderId="68" applyAlignment="1" pivotButton="0" quotePrefix="0" xfId="1">
      <alignment horizontal="right" vertical="center" readingOrder="1"/>
    </xf>
    <xf numFmtId="0" fontId="19" fillId="0" borderId="0" applyAlignment="1" pivotButton="0" quotePrefix="0" xfId="1">
      <alignment vertical="center"/>
    </xf>
    <xf numFmtId="0" fontId="39" fillId="0" borderId="0" applyAlignment="1" pivotButton="0" quotePrefix="0" xfId="1">
      <alignment vertical="center"/>
    </xf>
    <xf numFmtId="164" fontId="42" fillId="0" borderId="0" applyAlignment="1" pivotButton="0" quotePrefix="0" xfId="1">
      <alignment vertical="center"/>
    </xf>
    <xf numFmtId="164" fontId="39" fillId="0" borderId="0" applyAlignment="1" pivotButton="0" quotePrefix="0" xfId="1">
      <alignment vertical="center"/>
    </xf>
    <xf numFmtId="164" fontId="9" fillId="0" borderId="69" applyAlignment="1" pivotButton="0" quotePrefix="0" xfId="2">
      <alignment horizontal="right" vertical="center" readingOrder="1"/>
    </xf>
    <xf numFmtId="164" fontId="9" fillId="0" borderId="70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horizontal="right" vertical="center" readingOrder="1"/>
    </xf>
    <xf numFmtId="0" fontId="9" fillId="0" borderId="26" applyAlignment="1" pivotButton="0" quotePrefix="0" xfId="1">
      <alignment horizontal="left" vertical="center" wrapText="1" readingOrder="1"/>
    </xf>
    <xf numFmtId="0" fontId="6" fillId="0" borderId="26" applyAlignment="1" pivotButton="0" quotePrefix="0" xfId="1">
      <alignment vertical="center"/>
    </xf>
    <xf numFmtId="0" fontId="10" fillId="0" borderId="20" applyAlignment="1" pivotButton="0" quotePrefix="0" xfId="1">
      <alignment horizontal="left" vertical="center" wrapText="1" readingOrder="1"/>
    </xf>
    <xf numFmtId="0" fontId="10" fillId="0" borderId="10" applyAlignment="1" pivotButton="0" quotePrefix="0" xfId="1">
      <alignment horizontal="left" vertical="center" wrapText="1" readingOrder="1"/>
    </xf>
    <xf numFmtId="177" fontId="9" fillId="0" borderId="26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vertical="center" readingOrder="1"/>
    </xf>
    <xf numFmtId="177" fontId="9" fillId="0" borderId="15" applyAlignment="1" pivotButton="0" quotePrefix="0" xfId="2">
      <alignment horizontal="right" vertical="center" readingOrder="1"/>
    </xf>
    <xf numFmtId="177" fontId="9" fillId="0" borderId="10" applyAlignment="1" pivotButton="0" quotePrefix="0" xfId="2">
      <alignment horizontal="right" vertical="center" readingOrder="1"/>
    </xf>
    <xf numFmtId="164" fontId="9" fillId="0" borderId="73" applyAlignment="1" pivotButton="0" quotePrefix="0" xfId="2">
      <alignment horizontal="right" vertical="center" readingOrder="1"/>
    </xf>
    <xf numFmtId="164" fontId="9" fillId="0" borderId="74" applyAlignment="1" pivotButton="0" quotePrefix="0" xfId="2">
      <alignment horizontal="right" vertical="center" readingOrder="1"/>
    </xf>
    <xf numFmtId="164" fontId="9" fillId="0" borderId="75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horizontal="right" vertical="center" readingOrder="1"/>
    </xf>
    <xf numFmtId="168" fontId="9" fillId="0" borderId="41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vertical="center" readingOrder="1"/>
    </xf>
    <xf numFmtId="168" fontId="9" fillId="0" borderId="40" applyAlignment="1" pivotButton="0" quotePrefix="0" xfId="2">
      <alignment horizontal="right" vertical="center" readingOrder="1"/>
    </xf>
    <xf numFmtId="177" fontId="9" fillId="0" borderId="77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vertical="center" readingOrder="1"/>
    </xf>
    <xf numFmtId="164" fontId="9" fillId="0" borderId="19" applyAlignment="1" pivotButton="0" quotePrefix="0" xfId="2">
      <alignment horizontal="right" vertical="center" readingOrder="1"/>
    </xf>
    <xf numFmtId="164" fontId="9" fillId="0" borderId="27" applyAlignment="1" pivotButton="0" quotePrefix="0" xfId="2">
      <alignment horizontal="right" vertical="center" readingOrder="1"/>
    </xf>
    <xf numFmtId="164" fontId="9" fillId="0" borderId="37" applyAlignment="1" pivotButton="0" quotePrefix="0" xfId="2">
      <alignment horizontal="right" vertical="center" readingOrder="1"/>
    </xf>
    <xf numFmtId="177" fontId="9" fillId="0" borderId="78" applyAlignment="1" pivotButton="0" quotePrefix="0" xfId="2">
      <alignment horizontal="right" vertical="center" readingOrder="1"/>
    </xf>
    <xf numFmtId="164" fontId="9" fillId="0" borderId="77" applyAlignment="1" pivotButton="0" quotePrefix="0" xfId="2">
      <alignment vertical="center" readingOrder="1"/>
    </xf>
    <xf numFmtId="164" fontId="9" fillId="0" borderId="40" applyAlignment="1" pivotButton="0" quotePrefix="0" xfId="2">
      <alignment horizontal="right" vertical="center" readingOrder="1"/>
    </xf>
    <xf numFmtId="164" fontId="9" fillId="0" borderId="66" applyAlignment="1" pivotButton="0" quotePrefix="0" xfId="2">
      <alignment horizontal="right" vertical="center" readingOrder="1"/>
    </xf>
    <xf numFmtId="177" fontId="9" fillId="0" borderId="39" applyAlignment="1" pivotButton="0" quotePrefix="0" xfId="2">
      <alignment horizontal="right" vertical="center" readingOrder="1"/>
    </xf>
    <xf numFmtId="177" fontId="9" fillId="0" borderId="79" applyAlignment="1" pivotButton="0" quotePrefix="0" xfId="2">
      <alignment horizontal="right" vertical="center" readingOrder="1"/>
    </xf>
    <xf numFmtId="164" fontId="9" fillId="0" borderId="41" applyAlignment="1" pivotButton="0" quotePrefix="0" xfId="2">
      <alignment horizontal="right" vertical="center" readingOrder="1"/>
    </xf>
    <xf numFmtId="164" fontId="9" fillId="0" borderId="80" applyAlignment="1" pivotButton="0" quotePrefix="0" xfId="2">
      <alignment horizontal="right" vertical="center" readingOrder="1"/>
    </xf>
    <xf numFmtId="164" fontId="9" fillId="2" borderId="80" applyAlignment="1" pivotButton="0" quotePrefix="0" xfId="2">
      <alignment horizontal="right" vertical="center" readingOrder="1"/>
    </xf>
    <xf numFmtId="0" fontId="9" fillId="3" borderId="87" applyAlignment="1" pivotButton="0" quotePrefix="0" xfId="1">
      <alignment horizontal="center" vertical="center" wrapText="1" readingOrder="1"/>
    </xf>
    <xf numFmtId="164" fontId="9" fillId="0" borderId="7" applyAlignment="1" pivotButton="0" quotePrefix="0" xfId="2">
      <alignment horizontal="right" vertical="center" readingOrder="1"/>
    </xf>
    <xf numFmtId="164" fontId="9" fillId="0" borderId="88" applyAlignment="1" pivotButton="0" quotePrefix="0" xfId="2">
      <alignment horizontal="right" vertical="center" readingOrder="1"/>
    </xf>
    <xf numFmtId="177" fontId="9" fillId="0" borderId="0" applyAlignment="1" pivotButton="0" quotePrefix="0" xfId="2">
      <alignment horizontal="right" vertical="center" readingOrder="1"/>
    </xf>
    <xf numFmtId="164" fontId="9" fillId="0" borderId="69" applyAlignment="1" pivotButton="0" quotePrefix="0" xfId="2">
      <alignment vertical="center" readingOrder="1"/>
    </xf>
    <xf numFmtId="164" fontId="9" fillId="0" borderId="70" applyAlignment="1" pivotButton="0" quotePrefix="0" xfId="2">
      <alignment vertical="center" readingOrder="1"/>
    </xf>
    <xf numFmtId="177" fontId="9" fillId="0" borderId="18" applyAlignment="1" pivotButton="0" quotePrefix="0" xfId="2">
      <alignment horizontal="right" vertical="center" readingOrder="1"/>
    </xf>
    <xf numFmtId="177" fontId="9" fillId="0" borderId="13" applyAlignment="1" pivotButton="0" quotePrefix="0" xfId="2">
      <alignment horizontal="right" vertical="center" readingOrder="1"/>
    </xf>
    <xf numFmtId="164" fontId="9" fillId="0" borderId="13" applyAlignment="1" pivotButton="0" quotePrefix="0" xfId="2">
      <alignment horizontal="right" vertical="center" readingOrder="1"/>
    </xf>
    <xf numFmtId="0" fontId="9" fillId="3" borderId="92" applyAlignment="1" pivotButton="0" quotePrefix="0" xfId="1">
      <alignment horizontal="center" vertical="center" wrapText="1" readingOrder="1"/>
    </xf>
    <xf numFmtId="0" fontId="9" fillId="3" borderId="93" applyAlignment="1" pivotButton="0" quotePrefix="0" xfId="1">
      <alignment horizontal="center" vertical="center" wrapText="1" readingOrder="1"/>
    </xf>
    <xf numFmtId="164" fontId="9" fillId="0" borderId="94" applyAlignment="1" pivotButton="0" quotePrefix="0" xfId="2">
      <alignment horizontal="right" vertical="center" readingOrder="1"/>
    </xf>
    <xf numFmtId="164" fontId="9" fillId="0" borderId="95" applyAlignment="1" pivotButton="0" quotePrefix="0" xfId="2">
      <alignment horizontal="right" vertical="center" readingOrder="1"/>
    </xf>
    <xf numFmtId="164" fontId="9" fillId="0" borderId="96" applyAlignment="1" pivotButton="0" quotePrefix="0" xfId="2">
      <alignment horizontal="right" vertical="center" readingOrder="1"/>
    </xf>
    <xf numFmtId="164" fontId="9" fillId="0" borderId="97" applyAlignment="1" pivotButton="0" quotePrefix="0" xfId="2">
      <alignment horizontal="right" vertical="center" readingOrder="1"/>
    </xf>
    <xf numFmtId="164" fontId="9" fillId="0" borderId="98" applyAlignment="1" pivotButton="0" quotePrefix="0" xfId="2">
      <alignment horizontal="right" vertical="center" readingOrder="1"/>
    </xf>
    <xf numFmtId="165" fontId="9" fillId="0" borderId="73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horizontal="right" vertical="center" readingOrder="1"/>
    </xf>
    <xf numFmtId="177" fontId="9" fillId="0" borderId="100" applyAlignment="1" pivotButton="0" quotePrefix="0" xfId="2">
      <alignment horizontal="right" vertical="center" readingOrder="1"/>
    </xf>
    <xf numFmtId="164" fontId="9" fillId="0" borderId="101" applyAlignment="1" pivotButton="0" quotePrefix="0" xfId="2">
      <alignment horizontal="right" vertical="center" readingOrder="1"/>
    </xf>
    <xf numFmtId="164" fontId="6" fillId="0" borderId="101" applyAlignment="1" pivotButton="0" quotePrefix="0" xfId="2">
      <alignment horizontal="right" vertical="center" readingOrder="1"/>
    </xf>
    <xf numFmtId="177" fontId="9" fillId="0" borderId="102" applyAlignment="1" pivotButton="0" quotePrefix="0" xfId="2">
      <alignment horizontal="right" vertical="center" readingOrder="1"/>
    </xf>
    <xf numFmtId="164" fontId="9" fillId="0" borderId="103" applyAlignment="1" pivotButton="0" quotePrefix="0" xfId="2">
      <alignment horizontal="right" vertical="center" readingOrder="1"/>
    </xf>
    <xf numFmtId="164" fontId="9" fillId="0" borderId="104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vertical="center" readingOrder="1"/>
    </xf>
    <xf numFmtId="164" fontId="9" fillId="0" borderId="73" applyAlignment="1" pivotButton="0" quotePrefix="0" xfId="2">
      <alignment vertical="center" readingOrder="1"/>
    </xf>
    <xf numFmtId="164" fontId="9" fillId="0" borderId="100" applyAlignment="1" pivotButton="0" quotePrefix="0" xfId="2">
      <alignment vertical="center" readingOrder="1"/>
    </xf>
    <xf numFmtId="164" fontId="9" fillId="0" borderId="102" applyAlignment="1" pivotButton="0" quotePrefix="0" xfId="2">
      <alignment vertical="center" readingOrder="1"/>
    </xf>
    <xf numFmtId="177" fontId="9" fillId="0" borderId="73" applyAlignment="1" pivotButton="0" quotePrefix="0" xfId="2">
      <alignment horizontal="right" vertical="center" readingOrder="1"/>
    </xf>
    <xf numFmtId="164" fontId="9" fillId="0" borderId="102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vertical="center" readingOrder="1"/>
    </xf>
    <xf numFmtId="164" fontId="9" fillId="0" borderId="93" applyAlignment="1" pivotButton="0" quotePrefix="0" xfId="2">
      <alignment horizontal="right" vertical="center" readingOrder="1"/>
    </xf>
    <xf numFmtId="177" fontId="9" fillId="2" borderId="74" applyAlignment="1" pivotButton="0" quotePrefix="0" xfId="2">
      <alignment horizontal="right" vertical="center" readingOrder="1"/>
    </xf>
    <xf numFmtId="164" fontId="9" fillId="0" borderId="105" applyAlignment="1" pivotButton="0" quotePrefix="0" xfId="2">
      <alignment horizontal="right" vertical="center" readingOrder="1"/>
    </xf>
    <xf numFmtId="164" fontId="10" fillId="0" borderId="106" applyAlignment="1" pivotButton="0" quotePrefix="0" xfId="2">
      <alignment horizontal="right" vertical="center" readingOrder="1"/>
    </xf>
    <xf numFmtId="164" fontId="9" fillId="0" borderId="107" applyAlignment="1" pivotButton="0" quotePrefix="0" xfId="2">
      <alignment horizontal="right" vertical="center" readingOrder="1"/>
    </xf>
    <xf numFmtId="178" fontId="13" fillId="0" borderId="0" applyAlignment="1" pivotButton="0" quotePrefix="0" xfId="1">
      <alignment vertical="center"/>
    </xf>
    <xf numFmtId="179" fontId="13" fillId="0" borderId="0" applyAlignment="1" pivotButton="0" quotePrefix="0" xfId="1">
      <alignment vertical="center"/>
    </xf>
    <xf numFmtId="4" fontId="13" fillId="0" borderId="0" applyAlignment="1" pivotButton="0" quotePrefix="0" xfId="1">
      <alignment horizontal="right" vertical="center"/>
    </xf>
    <xf numFmtId="180" fontId="13" fillId="0" borderId="0" applyAlignment="1" pivotButton="0" quotePrefix="0" xfId="1">
      <alignment vertical="center"/>
    </xf>
    <xf numFmtId="0" fontId="24" fillId="0" borderId="0" applyAlignment="1" pivotButton="0" quotePrefix="0" xfId="1">
      <alignment horizontal="right" vertical="center"/>
    </xf>
    <xf numFmtId="0" fontId="25" fillId="0" borderId="26" applyAlignment="1" pivotButton="0" quotePrefix="0" xfId="36">
      <alignment horizontal="left" vertical="center" wrapText="1" readingOrder="1"/>
    </xf>
    <xf numFmtId="0" fontId="29" fillId="0" borderId="15" applyAlignment="1" pivotButton="0" quotePrefix="0" xfId="36">
      <alignment horizontal="left" vertical="center" readingOrder="1"/>
    </xf>
    <xf numFmtId="0" fontId="16" fillId="0" borderId="0" applyAlignment="1" pivotButton="0" quotePrefix="0" xfId="60305">
      <alignment vertical="center"/>
    </xf>
    <xf numFmtId="0" fontId="16" fillId="0" borderId="0" applyAlignment="1" pivotButton="0" quotePrefix="0" xfId="60305">
      <alignment horizontal="right" vertical="center"/>
    </xf>
    <xf numFmtId="0" fontId="91" fillId="3" borderId="6" applyAlignment="1" pivotButton="0" quotePrefix="0" xfId="60305">
      <alignment horizontal="center" vertical="center" readingOrder="1"/>
    </xf>
    <xf numFmtId="0" fontId="91" fillId="3" borderId="5" applyAlignment="1" pivotButton="0" quotePrefix="0" xfId="60305">
      <alignment horizontal="center" vertical="center" readingOrder="1"/>
    </xf>
    <xf numFmtId="0" fontId="91" fillId="3" borderId="117" applyAlignment="1" pivotButton="0" quotePrefix="0" xfId="60305">
      <alignment horizontal="center" vertical="center" readingOrder="1"/>
    </xf>
    <xf numFmtId="0" fontId="91" fillId="38" borderId="7" applyAlignment="1" pivotButton="0" quotePrefix="0" xfId="60305">
      <alignment vertical="center" readingOrder="1"/>
    </xf>
    <xf numFmtId="168" fontId="91" fillId="38" borderId="5" applyAlignment="1" pivotButton="0" quotePrefix="0" xfId="60305">
      <alignment horizontal="right" vertical="center" readingOrder="1"/>
    </xf>
    <xf numFmtId="0" fontId="13" fillId="0" borderId="20" applyAlignment="1" pivotButton="0" quotePrefix="0" xfId="60305">
      <alignment vertical="center"/>
    </xf>
    <xf numFmtId="0" fontId="91" fillId="0" borderId="25" applyAlignment="1" pivotButton="0" quotePrefix="0" xfId="60305">
      <alignment horizontal="left" vertical="center" readingOrder="1"/>
    </xf>
    <xf numFmtId="0" fontId="34" fillId="0" borderId="26" applyAlignment="1" pivotButton="0" quotePrefix="0" xfId="60305">
      <alignment horizontal="left" vertical="center" readingOrder="1"/>
    </xf>
    <xf numFmtId="0" fontId="91" fillId="0" borderId="0" applyAlignment="1" pivotButton="0" quotePrefix="0" xfId="60305">
      <alignment horizontal="left" vertical="center" readingOrder="1"/>
    </xf>
    <xf numFmtId="0" fontId="13" fillId="0" borderId="26" applyAlignment="1" pivotButton="0" quotePrefix="0" xfId="60305">
      <alignment vertical="center"/>
    </xf>
    <xf numFmtId="0" fontId="91" fillId="39" borderId="64" applyAlignment="1" pivotButton="0" quotePrefix="0" xfId="60305">
      <alignment vertical="center" readingOrder="1"/>
    </xf>
    <xf numFmtId="0" fontId="91" fillId="5" borderId="133" applyAlignment="1" pivotButton="0" quotePrefix="0" xfId="60305">
      <alignment vertical="center" readingOrder="1"/>
    </xf>
    <xf numFmtId="0" fontId="91" fillId="0" borderId="135" applyAlignment="1" pivotButton="0" quotePrefix="0" xfId="60305">
      <alignment vertical="center" readingOrder="1"/>
    </xf>
    <xf numFmtId="164" fontId="91" fillId="0" borderId="121" applyAlignment="1" pivotButton="0" quotePrefix="0" xfId="60305">
      <alignment horizontal="right" vertical="center" readingOrder="1"/>
    </xf>
    <xf numFmtId="164" fontId="91" fillId="0" borderId="122" applyAlignment="1" pivotButton="0" quotePrefix="0" xfId="60305">
      <alignment horizontal="right" vertical="center" readingOrder="1"/>
    </xf>
    <xf numFmtId="0" fontId="91" fillId="0" borderId="64" applyAlignment="1" pivotButton="0" quotePrefix="0" xfId="60305">
      <alignment vertical="center" readingOrder="1"/>
    </xf>
    <xf numFmtId="0" fontId="34" fillId="0" borderId="136" applyAlignment="1" pivotButton="0" quotePrefix="0" xfId="60305">
      <alignment horizontal="left" vertical="center" readingOrder="1"/>
    </xf>
    <xf numFmtId="0" fontId="91" fillId="5" borderId="135" applyAlignment="1" pivotButton="0" quotePrefix="0" xfId="60305">
      <alignment vertical="center" readingOrder="1"/>
    </xf>
    <xf numFmtId="0" fontId="34" fillId="0" borderId="138" applyAlignment="1" pivotButton="0" quotePrefix="0" xfId="60305">
      <alignment horizontal="left" vertical="center" readingOrder="1"/>
    </xf>
    <xf numFmtId="0" fontId="34" fillId="0" borderId="141" applyAlignment="1" pivotButton="0" quotePrefix="0" xfId="60305">
      <alignment horizontal="left" vertical="center" readingOrder="1"/>
    </xf>
    <xf numFmtId="0" fontId="91" fillId="40" borderId="44" applyAlignment="1" pivotButton="0" quotePrefix="0" xfId="60305">
      <alignment vertical="center" readingOrder="1"/>
    </xf>
    <xf numFmtId="168" fontId="91" fillId="40" borderId="143" applyAlignment="1" pivotButton="0" quotePrefix="0" xfId="60305">
      <alignment horizontal="right" vertical="center" readingOrder="1"/>
    </xf>
    <xf numFmtId="0" fontId="91" fillId="0" borderId="1" applyAlignment="1" pivotButton="0" quotePrefix="0" xfId="60305">
      <alignment horizontal="left" vertical="center" readingOrder="1"/>
    </xf>
    <xf numFmtId="164" fontId="91" fillId="0" borderId="0" applyAlignment="1" pivotButton="0" quotePrefix="0" xfId="60305">
      <alignment horizontal="right" vertical="center" readingOrder="1"/>
    </xf>
    <xf numFmtId="0" fontId="91" fillId="3" borderId="25" applyAlignment="1" pivotButton="0" quotePrefix="0" xfId="60305">
      <alignment vertical="center" readingOrder="1"/>
    </xf>
    <xf numFmtId="0" fontId="91" fillId="3" borderId="13" applyAlignment="1" pivotButton="0" quotePrefix="0" xfId="60305">
      <alignment vertical="center" readingOrder="1"/>
    </xf>
    <xf numFmtId="168" fontId="91" fillId="38" borderId="6" applyAlignment="1" pivotButton="0" quotePrefix="0" xfId="60305">
      <alignment horizontal="right" vertical="center" readingOrder="1"/>
    </xf>
    <xf numFmtId="168" fontId="91" fillId="38" borderId="118" applyAlignment="1" pivotButton="0" quotePrefix="0" xfId="60305">
      <alignment horizontal="right" vertical="center" readingOrder="1"/>
    </xf>
    <xf numFmtId="0" fontId="13" fillId="0" borderId="145" applyAlignment="1" pivotButton="0" quotePrefix="0" xfId="60305">
      <alignment vertical="center"/>
    </xf>
    <xf numFmtId="0" fontId="13" fillId="0" borderId="58" applyAlignment="1" pivotButton="0" quotePrefix="0" xfId="60305">
      <alignment vertical="center"/>
    </xf>
    <xf numFmtId="168" fontId="91" fillId="0" borderId="146" applyAlignment="1" pivotButton="0" quotePrefix="0" xfId="60305">
      <alignment horizontal="right" vertical="center" readingOrder="1"/>
    </xf>
    <xf numFmtId="168" fontId="91" fillId="0" borderId="75" applyAlignment="1" pivotButton="0" quotePrefix="0" xfId="60305">
      <alignment horizontal="right" vertical="center" readingOrder="1"/>
    </xf>
    <xf numFmtId="168" fontId="91" fillId="0" borderId="147" applyAlignment="1" pivotButton="0" quotePrefix="0" xfId="60305">
      <alignment horizontal="right" vertical="center" readingOrder="1"/>
    </xf>
    <xf numFmtId="0" fontId="13" fillId="0" borderId="148" applyAlignment="1" pivotButton="0" quotePrefix="0" xfId="60305">
      <alignment vertical="center"/>
    </xf>
    <xf numFmtId="0" fontId="13" fillId="0" borderId="28" applyAlignment="1" pivotButton="0" quotePrefix="0" xfId="60305">
      <alignment vertical="center"/>
    </xf>
    <xf numFmtId="167" fontId="91" fillId="0" borderId="119" applyAlignment="1" pivotButton="0" quotePrefix="0" xfId="60306">
      <alignment horizontal="right" vertical="center" readingOrder="1"/>
    </xf>
    <xf numFmtId="167" fontId="91" fillId="0" borderId="41" applyAlignment="1" pivotButton="0" quotePrefix="0" xfId="60306">
      <alignment horizontal="right" vertical="center" readingOrder="1"/>
    </xf>
    <xf numFmtId="167" fontId="91" fillId="0" borderId="120" applyAlignment="1" pivotButton="0" quotePrefix="0" xfId="60306">
      <alignment horizontal="right" vertical="center" readingOrder="1"/>
    </xf>
    <xf numFmtId="0" fontId="91" fillId="0" borderId="15" applyAlignment="1" pivotButton="0" quotePrefix="0" xfId="60305">
      <alignment horizontal="left" vertical="center" readingOrder="1"/>
    </xf>
    <xf numFmtId="167" fontId="91" fillId="0" borderId="123" applyAlignment="1" pivotButton="0" quotePrefix="0" xfId="60306">
      <alignment horizontal="right" vertical="center" readingOrder="1"/>
    </xf>
    <xf numFmtId="167" fontId="91" fillId="0" borderId="66" applyAlignment="1" pivotButton="0" quotePrefix="0" xfId="60306">
      <alignment horizontal="right" vertical="center" readingOrder="1"/>
    </xf>
    <xf numFmtId="167" fontId="91" fillId="0" borderId="124" applyAlignment="1" pivotButton="0" quotePrefix="0" xfId="60306">
      <alignment horizontal="right" vertical="center" readingOrder="1"/>
    </xf>
    <xf numFmtId="0" fontId="13" fillId="0" borderId="34" applyAlignment="1" pivotButton="0" quotePrefix="0" xfId="60305">
      <alignment vertical="center"/>
    </xf>
    <xf numFmtId="167" fontId="91" fillId="0" borderId="149" applyAlignment="1" pivotButton="0" quotePrefix="0" xfId="60306">
      <alignment horizontal="right" vertical="center" readingOrder="1"/>
    </xf>
    <xf numFmtId="167" fontId="91" fillId="0" borderId="150" applyAlignment="1" pivotButton="0" quotePrefix="0" xfId="60306">
      <alignment horizontal="right" vertical="center" readingOrder="1"/>
    </xf>
    <xf numFmtId="167" fontId="91" fillId="0" borderId="151" applyAlignment="1" pivotButton="0" quotePrefix="0" xfId="60306">
      <alignment horizontal="right" vertical="center" readingOrder="1"/>
    </xf>
    <xf numFmtId="0" fontId="13" fillId="0" borderId="31" applyAlignment="1" pivotButton="0" quotePrefix="0" xfId="60305">
      <alignment vertical="center"/>
    </xf>
    <xf numFmtId="167" fontId="91" fillId="0" borderId="128" applyAlignment="1" pivotButton="0" quotePrefix="0" xfId="60306">
      <alignment horizontal="right" vertical="center" readingOrder="1"/>
    </xf>
    <xf numFmtId="167" fontId="91" fillId="0" borderId="127" applyAlignment="1" pivotButton="0" quotePrefix="0" xfId="60306">
      <alignment horizontal="right" vertical="center" readingOrder="1"/>
    </xf>
    <xf numFmtId="167" fontId="91" fillId="0" borderId="129" applyAlignment="1" pivotButton="0" quotePrefix="0" xfId="60306">
      <alignment horizontal="right" vertical="center" readingOrder="1"/>
    </xf>
    <xf numFmtId="0" fontId="91" fillId="0" borderId="152" applyAlignment="1" pivotButton="0" quotePrefix="0" xfId="60305">
      <alignment horizontal="left" vertical="center" readingOrder="1"/>
    </xf>
    <xf numFmtId="167" fontId="91" fillId="0" borderId="131" applyAlignment="1" pivotButton="0" quotePrefix="0" xfId="60306">
      <alignment horizontal="right" vertical="center" readingOrder="1"/>
    </xf>
    <xf numFmtId="167" fontId="91" fillId="0" borderId="130" applyAlignment="1" pivotButton="0" quotePrefix="0" xfId="60306">
      <alignment horizontal="right" vertical="center" readingOrder="1"/>
    </xf>
    <xf numFmtId="167" fontId="91" fillId="0" borderId="132" applyAlignment="1" pivotButton="0" quotePrefix="0" xfId="60306">
      <alignment horizontal="right" vertical="center" readingOrder="1"/>
    </xf>
    <xf numFmtId="0" fontId="91" fillId="0" borderId="153" applyAlignment="1" pivotButton="0" quotePrefix="0" xfId="60305">
      <alignment horizontal="left" vertical="center" readingOrder="1"/>
    </xf>
    <xf numFmtId="0" fontId="13" fillId="0" borderId="154" applyAlignment="1" pivotButton="0" quotePrefix="0" xfId="60305">
      <alignment vertical="center"/>
    </xf>
    <xf numFmtId="0" fontId="91" fillId="0" borderId="34" applyAlignment="1" pivotButton="0" quotePrefix="0" xfId="60305">
      <alignment horizontal="left" vertical="center" readingOrder="1"/>
    </xf>
    <xf numFmtId="0" fontId="91" fillId="41" borderId="69" applyAlignment="1" pivotButton="0" quotePrefix="0" xfId="60305">
      <alignment vertical="center" readingOrder="1"/>
    </xf>
    <xf numFmtId="168" fontId="91" fillId="41" borderId="149" applyAlignment="1" pivotButton="0" quotePrefix="0" xfId="60305">
      <alignment horizontal="right" vertical="center" readingOrder="1"/>
    </xf>
    <xf numFmtId="168" fontId="91" fillId="41" borderId="150" applyAlignment="1" pivotButton="0" quotePrefix="0" xfId="60305">
      <alignment horizontal="right" vertical="center" readingOrder="1"/>
    </xf>
    <xf numFmtId="168" fontId="91" fillId="41" borderId="151" applyAlignment="1" pivotButton="0" quotePrefix="0" xfId="60305">
      <alignment horizontal="right" vertical="center" readingOrder="1"/>
    </xf>
    <xf numFmtId="168" fontId="91" fillId="0" borderId="155" applyAlignment="1" pivotButton="0" quotePrefix="0" xfId="60305">
      <alignment horizontal="right" vertical="center" readingOrder="1"/>
    </xf>
    <xf numFmtId="168" fontId="91" fillId="0" borderId="156" applyAlignment="1" pivotButton="0" quotePrefix="0" xfId="60305">
      <alignment horizontal="right" vertical="center" readingOrder="1"/>
    </xf>
    <xf numFmtId="168" fontId="91" fillId="0" borderId="157" applyAlignment="1" pivotButton="0" quotePrefix="0" xfId="60305">
      <alignment horizontal="right" vertical="center" readingOrder="1"/>
    </xf>
    <xf numFmtId="0" fontId="13" fillId="0" borderId="158" applyAlignment="1" pivotButton="0" quotePrefix="0" xfId="60305">
      <alignment vertical="center"/>
    </xf>
    <xf numFmtId="0" fontId="13" fillId="0" borderId="159" applyAlignment="1" pivotButton="0" quotePrefix="0" xfId="60305">
      <alignment vertical="center"/>
    </xf>
    <xf numFmtId="165" fontId="91" fillId="0" borderId="40" applyAlignment="1" pivotButton="0" quotePrefix="0" xfId="60306">
      <alignment horizontal="right" vertical="center" readingOrder="1"/>
    </xf>
    <xf numFmtId="168" fontId="91" fillId="0" borderId="137" applyAlignment="1" pivotButton="0" quotePrefix="0" xfId="60305">
      <alignment horizontal="right" vertical="center" readingOrder="1"/>
    </xf>
    <xf numFmtId="168" fontId="91" fillId="0" borderId="160" applyAlignment="1" pivotButton="0" quotePrefix="0" xfId="60305">
      <alignment horizontal="right" vertical="center" readingOrder="1"/>
    </xf>
    <xf numFmtId="168" fontId="91" fillId="0" borderId="161" applyAlignment="1" pivotButton="0" quotePrefix="0" xfId="60305">
      <alignment horizontal="right" vertical="center" readingOrder="1"/>
    </xf>
    <xf numFmtId="0" fontId="13" fillId="0" borderId="162" applyAlignment="1" pivotButton="0" quotePrefix="0" xfId="60305">
      <alignment vertical="center"/>
    </xf>
    <xf numFmtId="0" fontId="91" fillId="2" borderId="163" applyAlignment="1" pivotButton="0" quotePrefix="0" xfId="60305">
      <alignment vertical="center" readingOrder="1"/>
    </xf>
    <xf numFmtId="165" fontId="91" fillId="2" borderId="164" applyAlignment="1" pivotButton="0" quotePrefix="0" xfId="60306">
      <alignment horizontal="right" vertical="center" readingOrder="1"/>
    </xf>
    <xf numFmtId="168" fontId="91" fillId="2" borderId="165" applyAlignment="1" pivotButton="0" quotePrefix="0" xfId="60305">
      <alignment horizontal="right" vertical="center" readingOrder="1"/>
    </xf>
    <xf numFmtId="168" fontId="91" fillId="2" borderId="166" applyAlignment="1" pivotButton="0" quotePrefix="0" xfId="60305">
      <alignment horizontal="right" vertical="center" readingOrder="1"/>
    </xf>
    <xf numFmtId="0" fontId="91" fillId="0" borderId="167" applyAlignment="1" pivotButton="0" quotePrefix="0" xfId="60305">
      <alignment horizontal="left" vertical="center" readingOrder="1"/>
    </xf>
    <xf numFmtId="168" fontId="91" fillId="40" borderId="142" applyAlignment="1" pivotButton="0" quotePrefix="0" xfId="60305">
      <alignment horizontal="right" vertical="center" readingOrder="1"/>
    </xf>
    <xf numFmtId="168" fontId="91" fillId="40" borderId="144" applyAlignment="1" pivotButton="0" quotePrefix="0" xfId="60305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91" fillId="3" borderId="1" applyAlignment="1" pivotButton="0" quotePrefix="0" xfId="60305">
      <alignment horizontal="center" vertical="center" readingOrder="1"/>
    </xf>
    <xf numFmtId="165" fontId="17" fillId="0" borderId="0" applyAlignment="1" pivotButton="0" quotePrefix="0" xfId="60307">
      <alignment vertical="center"/>
    </xf>
    <xf numFmtId="165" fontId="13" fillId="0" borderId="0" applyAlignment="1" pivotButton="0" quotePrefix="0" xfId="60307">
      <alignment vertical="center"/>
    </xf>
    <xf numFmtId="165" fontId="13" fillId="4" borderId="0" applyAlignment="1" pivotButton="0" quotePrefix="0" xfId="60307">
      <alignment horizontal="center" vertical="center"/>
    </xf>
    <xf numFmtId="165" fontId="13" fillId="0" borderId="0" applyAlignment="1" pivotButton="0" quotePrefix="0" xfId="60307">
      <alignment vertical="center"/>
    </xf>
    <xf numFmtId="165" fontId="13" fillId="0" borderId="0" applyAlignment="1" pivotButton="0" quotePrefix="0" xfId="60307">
      <alignment horizontal="center" vertical="center"/>
    </xf>
    <xf numFmtId="0" fontId="91" fillId="0" borderId="0" applyAlignment="1" pivotButton="0" quotePrefix="0" xfId="60305">
      <alignment horizontal="center" vertical="center" readingOrder="1"/>
    </xf>
    <xf numFmtId="0" fontId="91" fillId="0" borderId="0" applyAlignment="1" pivotButton="0" quotePrefix="0" xfId="60305">
      <alignment vertical="center" readingOrder="1"/>
    </xf>
    <xf numFmtId="168" fontId="91" fillId="0" borderId="0" applyAlignment="1" pivotButton="0" quotePrefix="0" xfId="60305">
      <alignment horizontal="right" vertical="center" readingOrder="1"/>
    </xf>
    <xf numFmtId="0" fontId="13" fillId="0" borderId="0" applyAlignment="1" pivotButton="0" quotePrefix="0" xfId="60305">
      <alignment vertical="center"/>
    </xf>
    <xf numFmtId="167" fontId="91" fillId="0" borderId="0" applyAlignment="1" pivotButton="0" quotePrefix="0" xfId="60306">
      <alignment horizontal="right" vertical="center" readingOrder="1"/>
    </xf>
    <xf numFmtId="165" fontId="91" fillId="0" borderId="0" applyAlignment="1" pivotButton="0" quotePrefix="0" xfId="60306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34" fillId="3" borderId="6" applyAlignment="1" pivotButton="0" quotePrefix="0" xfId="0">
      <alignment horizontal="center" vertical="center" wrapText="1" readingOrder="1"/>
    </xf>
    <xf numFmtId="0" fontId="34" fillId="3" borderId="5" applyAlignment="1" pivotButton="0" quotePrefix="0" xfId="0">
      <alignment horizontal="center" vertical="center" wrapText="1" readingOrder="1"/>
    </xf>
    <xf numFmtId="0" fontId="34" fillId="3" borderId="12" applyAlignment="1" pivotButton="0" quotePrefix="0" xfId="0">
      <alignment horizontal="center" vertical="center" wrapText="1" readingOrder="1"/>
    </xf>
    <xf numFmtId="0" fontId="34" fillId="3" borderId="9" applyAlignment="1" pivotButton="0" quotePrefix="0" xfId="0">
      <alignment horizontal="center" vertical="center" wrapText="1" readingOrder="1"/>
    </xf>
    <xf numFmtId="0" fontId="34" fillId="0" borderId="50" applyAlignment="1" pivotButton="0" quotePrefix="0" xfId="0">
      <alignment horizontal="right" vertical="center" wrapText="1" readingOrder="1"/>
    </xf>
    <xf numFmtId="0" fontId="34" fillId="0" borderId="50" applyAlignment="1" pivotButton="0" quotePrefix="0" xfId="0">
      <alignment horizontal="left" vertical="center" wrapText="1" readingOrder="1"/>
    </xf>
    <xf numFmtId="0" fontId="34" fillId="0" borderId="81" applyAlignment="1" pivotButton="0" quotePrefix="0" xfId="0">
      <alignment horizontal="right" vertical="center" wrapText="1" readingOrder="1"/>
    </xf>
    <xf numFmtId="0" fontId="92" fillId="0" borderId="28" applyAlignment="1" pivotButton="0" quotePrefix="0" xfId="0">
      <alignment vertical="center" wrapText="1"/>
    </xf>
    <xf numFmtId="0" fontId="32" fillId="42" borderId="41" applyAlignment="1" pivotButton="0" quotePrefix="0" xfId="0">
      <alignment horizontal="left" vertical="center" wrapText="1" readingOrder="1"/>
    </xf>
    <xf numFmtId="0" fontId="34" fillId="42" borderId="83" applyAlignment="1" pivotButton="0" quotePrefix="0" xfId="0">
      <alignment horizontal="left" vertical="center" wrapText="1" readingOrder="1"/>
    </xf>
    <xf numFmtId="0" fontId="92" fillId="0" borderId="175" applyAlignment="1" pivotButton="0" quotePrefix="0" xfId="0">
      <alignment vertical="center" wrapText="1"/>
    </xf>
    <xf numFmtId="0" fontId="34" fillId="42" borderId="85" applyAlignment="1" pivotButton="0" quotePrefix="0" xfId="0">
      <alignment horizontal="left" vertical="center" wrapText="1" readingOrder="1"/>
    </xf>
    <xf numFmtId="0" fontId="92" fillId="0" borderId="50" applyAlignment="1" pivotButton="0" quotePrefix="0" xfId="0">
      <alignment horizontal="right" vertical="center" wrapText="1"/>
    </xf>
    <xf numFmtId="0" fontId="32" fillId="42" borderId="14" applyAlignment="1" pivotButton="0" quotePrefix="0" xfId="0">
      <alignment horizontal="left" vertical="center" wrapText="1" readingOrder="1"/>
    </xf>
    <xf numFmtId="0" fontId="34" fillId="3" borderId="10" applyAlignment="1" pivotButton="0" quotePrefix="0" xfId="0">
      <alignment horizontal="center" vertical="center" wrapText="1" readingOrder="1"/>
    </xf>
    <xf numFmtId="0" fontId="29" fillId="0" borderId="0" applyAlignment="1" pivotButton="0" quotePrefix="0" xfId="60308">
      <alignment horizontal="center" vertical="center"/>
    </xf>
    <xf numFmtId="14" fontId="24" fillId="0" borderId="0" applyAlignment="1" pivotButton="0" quotePrefix="0" xfId="60308">
      <alignment horizontal="center" vertical="center"/>
    </xf>
    <xf numFmtId="165" fontId="24" fillId="0" borderId="0" applyAlignment="1" pivotButton="0" quotePrefix="0" xfId="60307">
      <alignment horizontal="center" vertical="center"/>
    </xf>
    <xf numFmtId="165" fontId="29" fillId="0" borderId="0" applyAlignment="1" pivotButton="0" quotePrefix="0" xfId="60307">
      <alignment horizontal="center" vertical="center"/>
    </xf>
    <xf numFmtId="0" fontId="91" fillId="0" borderId="139" applyAlignment="1" pivotButton="0" quotePrefix="0" xfId="60305">
      <alignment vertical="center" readingOrder="1"/>
    </xf>
    <xf numFmtId="168" fontId="91" fillId="38" borderId="1" applyAlignment="1" pivotButton="0" quotePrefix="0" xfId="60305">
      <alignment horizontal="right" vertical="center" readingOrder="1"/>
    </xf>
    <xf numFmtId="168" fontId="91" fillId="0" borderId="20" applyAlignment="1" pivotButton="0" quotePrefix="0" xfId="60305">
      <alignment horizontal="right" vertical="center" readingOrder="1"/>
    </xf>
    <xf numFmtId="168" fontId="91" fillId="0" borderId="168" applyAlignment="1" pivotButton="0" quotePrefix="0" xfId="60305">
      <alignment horizontal="right" vertical="center" readingOrder="1"/>
    </xf>
    <xf numFmtId="168" fontId="91" fillId="0" borderId="169" applyAlignment="1" pivotButton="0" quotePrefix="0" xfId="60306">
      <alignment horizontal="right" vertical="center" readingOrder="1"/>
    </xf>
    <xf numFmtId="168" fontId="91" fillId="0" borderId="126" applyAlignment="1" pivotButton="0" quotePrefix="0" xfId="60306">
      <alignment horizontal="right" vertical="center" readingOrder="1"/>
    </xf>
    <xf numFmtId="168" fontId="91" fillId="0" borderId="169" applyAlignment="1" pivotButton="0" quotePrefix="0" xfId="60305">
      <alignment horizontal="right" vertical="center" readingOrder="1"/>
    </xf>
    <xf numFmtId="168" fontId="91" fillId="0" borderId="125" applyAlignment="1" pivotButton="0" quotePrefix="0" xfId="60305">
      <alignment horizontal="right" vertical="center" readingOrder="1"/>
    </xf>
    <xf numFmtId="168" fontId="91" fillId="5" borderId="162" applyAlignment="1" pivotButton="0" quotePrefix="0" xfId="60305">
      <alignment horizontal="right" vertical="center" readingOrder="1"/>
    </xf>
    <xf numFmtId="168" fontId="91" fillId="0" borderId="171" applyAlignment="1" pivotButton="0" quotePrefix="0" xfId="60305">
      <alignment horizontal="right" vertical="center" readingOrder="1"/>
    </xf>
    <xf numFmtId="168" fontId="91" fillId="0" borderId="140" applyAlignment="1" pivotButton="0" quotePrefix="0" xfId="60305">
      <alignment horizontal="right" vertical="center" readingOrder="1"/>
    </xf>
    <xf numFmtId="168" fontId="91" fillId="40" borderId="172" applyAlignment="1" pivotButton="0" quotePrefix="0" xfId="60305">
      <alignment horizontal="right" vertical="center" readingOrder="1"/>
    </xf>
    <xf numFmtId="168" fontId="36" fillId="0" borderId="184" applyAlignment="1" pivotButton="0" quotePrefix="0" xfId="1">
      <alignment horizontal="right" vertical="center" readingOrder="1"/>
    </xf>
    <xf numFmtId="165" fontId="13" fillId="2" borderId="0" applyAlignment="1" pivotButton="0" quotePrefix="0" xfId="2">
      <alignment vertical="center"/>
    </xf>
    <xf numFmtId="0" fontId="18" fillId="2" borderId="185" applyAlignment="1" pivotButton="0" quotePrefix="0" xfId="0">
      <alignment horizontal="center" vertical="center"/>
    </xf>
    <xf numFmtId="0" fontId="18" fillId="2" borderId="185" applyAlignment="1" pivotButton="0" quotePrefix="0" xfId="0">
      <alignment horizontal="left" vertical="center"/>
    </xf>
    <xf numFmtId="0" fontId="13" fillId="2" borderId="0" applyAlignment="1" pivotButton="0" quotePrefix="0" xfId="1">
      <alignment horizontal="center" vertical="center"/>
    </xf>
    <xf numFmtId="10" fontId="13" fillId="2" borderId="0" applyAlignment="1" pivotButton="0" quotePrefix="0" xfId="1">
      <alignment horizontal="left" vertical="center"/>
    </xf>
    <xf numFmtId="0" fontId="16" fillId="2" borderId="0" applyAlignment="1" pivotButton="0" quotePrefix="0" xfId="0">
      <alignment horizontal="center" vertical="center"/>
    </xf>
    <xf numFmtId="0" fontId="13" fillId="2" borderId="0" applyAlignment="1" pivotButton="0" quotePrefix="0" xfId="1">
      <alignment vertical="center"/>
    </xf>
    <xf numFmtId="0" fontId="13" fillId="2" borderId="185" applyAlignment="1" pivotButton="0" quotePrefix="0" xfId="1">
      <alignment horizontal="center" vertical="center"/>
    </xf>
    <xf numFmtId="165" fontId="13" fillId="2" borderId="185" applyAlignment="1" pivotButton="0" quotePrefix="0" xfId="2">
      <alignment vertical="center"/>
    </xf>
    <xf numFmtId="0" fontId="13" fillId="2" borderId="185" applyAlignment="1" pivotButton="0" quotePrefix="0" xfId="1">
      <alignment vertical="center"/>
    </xf>
    <xf numFmtId="0" fontId="18" fillId="2" borderId="0" applyAlignment="1" pivotButton="0" quotePrefix="0" xfId="0">
      <alignment horizontal="center" vertical="center"/>
    </xf>
    <xf numFmtId="168" fontId="24" fillId="0" borderId="186" applyAlignment="1" pivotButton="0" quotePrefix="0" xfId="1">
      <alignment horizontal="right" vertical="center" readingOrder="1"/>
    </xf>
    <xf numFmtId="0" fontId="25" fillId="3" borderId="186" applyAlignment="1" pivotButton="0" quotePrefix="0" xfId="1">
      <alignment horizontal="center" vertical="center" readingOrder="1"/>
    </xf>
    <xf numFmtId="168" fontId="25" fillId="0" borderId="186" applyAlignment="1" pivotButton="0" quotePrefix="0" xfId="1">
      <alignment horizontal="right" vertical="center" readingOrder="1"/>
    </xf>
    <xf numFmtId="168" fontId="25" fillId="0" borderId="187" applyAlignment="1" pivotButton="0" quotePrefix="0" xfId="1">
      <alignment horizontal="right" vertical="center" readingOrder="1"/>
    </xf>
    <xf numFmtId="168" fontId="25" fillId="0" borderId="188" applyAlignment="1" pivotButton="0" quotePrefix="0" xfId="1">
      <alignment horizontal="right" vertical="center" readingOrder="1"/>
    </xf>
    <xf numFmtId="0" fontId="25" fillId="3" borderId="2" applyAlignment="1" pivotButton="0" quotePrefix="0" xfId="1">
      <alignment vertical="center" readingOrder="1"/>
    </xf>
    <xf numFmtId="0" fontId="25" fillId="0" borderId="2" applyAlignment="1" pivotButton="0" quotePrefix="0" xfId="1">
      <alignment horizontal="left" vertical="center" readingOrder="1"/>
    </xf>
    <xf numFmtId="0" fontId="28" fillId="0" borderId="2" applyAlignment="1" pivotButton="0" quotePrefix="0" xfId="1">
      <alignment vertical="center" readingOrder="1"/>
    </xf>
    <xf numFmtId="0" fontId="25" fillId="5" borderId="2" applyAlignment="1" pivotButton="0" quotePrefix="0" xfId="1">
      <alignment vertical="center" readingOrder="1"/>
    </xf>
    <xf numFmtId="0" fontId="25" fillId="0" borderId="2" applyAlignment="1" pivotButton="0" quotePrefix="0" xfId="1">
      <alignment vertical="center" readingOrder="1"/>
    </xf>
    <xf numFmtId="168" fontId="25" fillId="0" borderId="53" applyAlignment="1" pivotButton="0" quotePrefix="0" xfId="1">
      <alignment horizontal="right" vertical="center" readingOrder="1"/>
    </xf>
    <xf numFmtId="0" fontId="94" fillId="0" borderId="0" applyAlignment="1" pivotButton="0" quotePrefix="0" xfId="60310">
      <alignment vertical="center"/>
    </xf>
    <xf numFmtId="0" fontId="33" fillId="0" borderId="0" applyAlignment="1" pivotButton="0" quotePrefix="0" xfId="60310">
      <alignment vertical="center"/>
    </xf>
    <xf numFmtId="181" fontId="37" fillId="0" borderId="0" applyAlignment="1" pivotButton="0" quotePrefix="0" xfId="60310">
      <alignment vertical="center"/>
    </xf>
    <xf numFmtId="182" fontId="37" fillId="0" borderId="0" applyAlignment="1" pivotButton="0" quotePrefix="0" xfId="60310">
      <alignment horizontal="right"/>
    </xf>
    <xf numFmtId="3" fontId="33" fillId="0" borderId="0" applyAlignment="1" pivotButton="0" quotePrefix="0" xfId="60310">
      <alignment vertical="center"/>
    </xf>
    <xf numFmtId="0" fontId="19" fillId="45" borderId="0" applyAlignment="1" pivotButton="0" quotePrefix="0" xfId="60310">
      <alignment vertical="center"/>
    </xf>
    <xf numFmtId="0" fontId="33" fillId="45" borderId="0" applyAlignment="1" pivotButton="0" quotePrefix="0" xfId="60310">
      <alignment vertical="center"/>
    </xf>
    <xf numFmtId="181" fontId="37" fillId="45" borderId="0" applyAlignment="1" pivotButton="0" quotePrefix="0" xfId="60310">
      <alignment vertical="center"/>
    </xf>
    <xf numFmtId="0" fontId="30" fillId="0" borderId="0" applyAlignment="1" pivotButton="0" quotePrefix="0" xfId="60310">
      <alignment vertical="center"/>
    </xf>
    <xf numFmtId="0" fontId="24" fillId="0" borderId="0" applyAlignment="1" pivotButton="0" quotePrefix="0" xfId="60310">
      <alignment vertical="center"/>
    </xf>
    <xf numFmtId="0" fontId="24" fillId="0" borderId="0" applyAlignment="1" pivotButton="0" quotePrefix="0" xfId="60310">
      <alignment horizontal="right" vertical="center"/>
    </xf>
    <xf numFmtId="0" fontId="28" fillId="44" borderId="191" applyAlignment="1" pivotButton="0" quotePrefix="0" xfId="60310">
      <alignment horizontal="center" vertical="center" wrapText="1" readingOrder="1"/>
    </xf>
    <xf numFmtId="0" fontId="28" fillId="44" borderId="192" applyAlignment="1" pivotButton="0" quotePrefix="0" xfId="60310">
      <alignment horizontal="center" vertical="center" wrapText="1" readingOrder="1"/>
    </xf>
    <xf numFmtId="0" fontId="28" fillId="3" borderId="192" applyAlignment="1" pivotButton="0" quotePrefix="0" xfId="60310">
      <alignment horizontal="center" vertical="center" wrapText="1" readingOrder="1"/>
    </xf>
    <xf numFmtId="0" fontId="28" fillId="3" borderId="193" applyAlignment="1" pivotButton="0" quotePrefix="0" xfId="60310">
      <alignment horizontal="center" vertical="center" wrapText="1" readingOrder="1"/>
    </xf>
    <xf numFmtId="0" fontId="28" fillId="3" borderId="194" applyAlignment="1" pivotButton="0" quotePrefix="0" xfId="60310">
      <alignment horizontal="center" vertical="center" wrapText="1" readingOrder="1"/>
    </xf>
    <xf numFmtId="0" fontId="95" fillId="3" borderId="195" applyAlignment="1" pivotButton="0" quotePrefix="0" xfId="60310">
      <alignment horizontal="center" vertical="center" wrapText="1" readingOrder="1"/>
    </xf>
    <xf numFmtId="0" fontId="36" fillId="0" borderId="0" applyAlignment="1" pivotButton="0" quotePrefix="0" xfId="60310">
      <alignment vertical="center"/>
    </xf>
    <xf numFmtId="183" fontId="30" fillId="44" borderId="196" applyAlignment="1" pivotButton="0" quotePrefix="0" xfId="60310">
      <alignment horizontal="right" vertical="center" readingOrder="1"/>
    </xf>
    <xf numFmtId="183" fontId="30" fillId="44" borderId="197" applyAlignment="1" pivotButton="0" quotePrefix="0" xfId="60310">
      <alignment horizontal="right" vertical="center" readingOrder="1"/>
    </xf>
    <xf numFmtId="183" fontId="30" fillId="46" borderId="197" applyAlignment="1" pivotButton="0" quotePrefix="0" xfId="60310">
      <alignment horizontal="right" vertical="center" readingOrder="1"/>
    </xf>
    <xf numFmtId="183" fontId="30" fillId="46" borderId="198" applyAlignment="1" pivotButton="0" quotePrefix="0" xfId="60310">
      <alignment horizontal="right" vertical="center" readingOrder="1"/>
    </xf>
    <xf numFmtId="183" fontId="30" fillId="46" borderId="74" applyAlignment="1" pivotButton="0" quotePrefix="0" xfId="60310">
      <alignment horizontal="right" vertical="center" readingOrder="1"/>
    </xf>
    <xf numFmtId="183" fontId="30" fillId="46" borderId="199" applyAlignment="1" pivotButton="0" quotePrefix="0" xfId="60310">
      <alignment horizontal="right" vertical="center" readingOrder="1"/>
    </xf>
    <xf numFmtId="0" fontId="96" fillId="0" borderId="13" applyAlignment="1" pivotButton="0" quotePrefix="0" xfId="60310">
      <alignment horizontal="left" vertical="center" readingOrder="1"/>
    </xf>
    <xf numFmtId="3" fontId="36" fillId="0" borderId="0" applyAlignment="1" pivotButton="0" quotePrefix="0" xfId="60310">
      <alignment vertical="center"/>
    </xf>
    <xf numFmtId="183" fontId="24" fillId="44" borderId="200" applyAlignment="1" pivotButton="0" quotePrefix="0" xfId="60310">
      <alignment horizontal="right" vertical="center" readingOrder="1"/>
    </xf>
    <xf numFmtId="183" fontId="24" fillId="44" borderId="201" applyAlignment="1" pivotButton="0" quotePrefix="0" xfId="60310">
      <alignment horizontal="right" vertical="center" readingOrder="1"/>
    </xf>
    <xf numFmtId="183" fontId="24" fillId="0" borderId="201" applyAlignment="1" pivotButton="0" quotePrefix="0" xfId="60310">
      <alignment horizontal="right" vertical="center" readingOrder="1"/>
    </xf>
    <xf numFmtId="183" fontId="24" fillId="0" borderId="202" applyAlignment="1" pivotButton="0" quotePrefix="0" xfId="60310">
      <alignment horizontal="right" vertical="center" readingOrder="1"/>
    </xf>
    <xf numFmtId="183" fontId="24" fillId="0" borderId="73" applyAlignment="1" pivotButton="0" quotePrefix="0" xfId="60310">
      <alignment horizontal="right" vertical="center" readingOrder="1"/>
    </xf>
    <xf numFmtId="183" fontId="24" fillId="0" borderId="203" applyAlignment="1" pivotButton="0" quotePrefix="0" xfId="60310">
      <alignment horizontal="right" vertical="center" readingOrder="1"/>
    </xf>
    <xf numFmtId="0" fontId="29" fillId="0" borderId="18" applyAlignment="1" pivotButton="0" quotePrefix="0" xfId="60310">
      <alignment vertical="center"/>
    </xf>
    <xf numFmtId="0" fontId="25" fillId="0" borderId="0" applyAlignment="1" pivotButton="0" quotePrefix="0" xfId="60310">
      <alignment horizontal="left" vertical="center" readingOrder="1"/>
    </xf>
    <xf numFmtId="183" fontId="24" fillId="44" borderId="207" applyAlignment="1" pivotButton="0" quotePrefix="0" xfId="60310">
      <alignment horizontal="right" vertical="center" readingOrder="1"/>
    </xf>
    <xf numFmtId="183" fontId="24" fillId="44" borderId="208" applyAlignment="1" pivotButton="0" quotePrefix="0" xfId="60310">
      <alignment horizontal="right" vertical="center" readingOrder="1"/>
    </xf>
    <xf numFmtId="183" fontId="24" fillId="5" borderId="208" applyAlignment="1" pivotButton="0" quotePrefix="0" xfId="60310">
      <alignment horizontal="right" vertical="center" readingOrder="1"/>
    </xf>
    <xf numFmtId="183" fontId="24" fillId="5" borderId="204" applyAlignment="1" pivotButton="0" quotePrefix="0" xfId="60310">
      <alignment horizontal="right" vertical="center" readingOrder="1"/>
    </xf>
    <xf numFmtId="183" fontId="24" fillId="5" borderId="209" applyAlignment="1" pivotButton="0" quotePrefix="0" xfId="60310">
      <alignment horizontal="right" vertical="center" readingOrder="1"/>
    </xf>
    <xf numFmtId="183" fontId="24" fillId="5" borderId="210" applyAlignment="1" pivotButton="0" quotePrefix="0" xfId="60310">
      <alignment horizontal="right" vertical="center" readingOrder="1"/>
    </xf>
    <xf numFmtId="0" fontId="29" fillId="0" borderId="205" applyAlignment="1" pivotButton="0" quotePrefix="0" xfId="60310">
      <alignment horizontal="left" vertical="center" readingOrder="1"/>
    </xf>
    <xf numFmtId="0" fontId="25" fillId="0" borderId="211" applyAlignment="1" pivotButton="0" quotePrefix="0" xfId="60310">
      <alignment horizontal="left" vertical="center" readingOrder="1"/>
    </xf>
    <xf numFmtId="183" fontId="24" fillId="44" borderId="212" applyAlignment="1" pivotButton="0" quotePrefix="0" xfId="60310">
      <alignment horizontal="right" vertical="center" readingOrder="1"/>
    </xf>
    <xf numFmtId="183" fontId="24" fillId="44" borderId="213" applyAlignment="1" pivotButton="0" quotePrefix="0" xfId="60310">
      <alignment horizontal="right" vertical="center" readingOrder="1"/>
    </xf>
    <xf numFmtId="183" fontId="24" fillId="0" borderId="213" applyAlignment="1" pivotButton="0" quotePrefix="0" xfId="60310">
      <alignment horizontal="right" vertical="center" readingOrder="1"/>
    </xf>
    <xf numFmtId="183" fontId="24" fillId="0" borderId="211" applyAlignment="1" pivotButton="0" quotePrefix="0" xfId="60310">
      <alignment horizontal="right" vertical="center" readingOrder="1"/>
    </xf>
    <xf numFmtId="183" fontId="24" fillId="0" borderId="100" applyAlignment="1" pivotButton="0" quotePrefix="0" xfId="60310">
      <alignment horizontal="right" vertical="center" readingOrder="1"/>
    </xf>
    <xf numFmtId="183" fontId="24" fillId="0" borderId="214" applyAlignment="1" pivotButton="0" quotePrefix="0" xfId="60310">
      <alignment horizontal="right" vertical="center" readingOrder="1"/>
    </xf>
    <xf numFmtId="0" fontId="29" fillId="0" borderId="0" applyAlignment="1" pivotButton="0" quotePrefix="0" xfId="60310">
      <alignment horizontal="left" vertical="center" readingOrder="1"/>
    </xf>
    <xf numFmtId="183" fontId="24" fillId="0" borderId="208" applyAlignment="1" pivotButton="0" quotePrefix="0" xfId="60310">
      <alignment horizontal="right" vertical="center" readingOrder="1"/>
    </xf>
    <xf numFmtId="183" fontId="24" fillId="0" borderId="204" applyAlignment="1" pivotButton="0" quotePrefix="0" xfId="60310">
      <alignment horizontal="right" vertical="center" readingOrder="1"/>
    </xf>
    <xf numFmtId="183" fontId="24" fillId="0" borderId="209" applyAlignment="1" pivotButton="0" quotePrefix="0" xfId="60310">
      <alignment horizontal="right" vertical="center" readingOrder="1"/>
    </xf>
    <xf numFmtId="183" fontId="24" fillId="0" borderId="210" applyAlignment="1" pivotButton="0" quotePrefix="0" xfId="60310">
      <alignment horizontal="right" vertical="center" readingOrder="1"/>
    </xf>
    <xf numFmtId="0" fontId="25" fillId="0" borderId="198" applyAlignment="1" pivotButton="0" quotePrefix="0" xfId="60310">
      <alignment horizontal="left" vertical="center" readingOrder="1"/>
    </xf>
    <xf numFmtId="0" fontId="25" fillId="0" borderId="13" applyAlignment="1" pivotButton="0" quotePrefix="0" xfId="60310">
      <alignment horizontal="left" vertical="center" readingOrder="1"/>
    </xf>
    <xf numFmtId="183" fontId="24" fillId="44" borderId="196" applyAlignment="1" pivotButton="0" quotePrefix="0" xfId="60310">
      <alignment horizontal="right" vertical="center" readingOrder="1"/>
    </xf>
    <xf numFmtId="183" fontId="24" fillId="44" borderId="197" applyAlignment="1" pivotButton="0" quotePrefix="0" xfId="60310">
      <alignment horizontal="right" vertical="center" readingOrder="1"/>
    </xf>
    <xf numFmtId="183" fontId="24" fillId="0" borderId="197" applyAlignment="1" pivotButton="0" quotePrefix="0" xfId="60310">
      <alignment horizontal="right" vertical="center" readingOrder="1"/>
    </xf>
    <xf numFmtId="183" fontId="24" fillId="0" borderId="198" applyAlignment="1" pivotButton="0" quotePrefix="0" xfId="60310">
      <alignment horizontal="right" vertical="center" readingOrder="1"/>
    </xf>
    <xf numFmtId="183" fontId="24" fillId="0" borderId="74" applyAlignment="1" pivotButton="0" quotePrefix="0" xfId="60310">
      <alignment horizontal="right" vertical="center" readingOrder="1"/>
    </xf>
    <xf numFmtId="183" fontId="24" fillId="0" borderId="199" applyAlignment="1" pivotButton="0" quotePrefix="0" xfId="60310">
      <alignment horizontal="right" vertical="center" readingOrder="1"/>
    </xf>
    <xf numFmtId="0" fontId="29" fillId="0" borderId="13" applyAlignment="1" pivotButton="0" quotePrefix="0" xfId="60310">
      <alignment horizontal="left" vertical="center" wrapText="1" readingOrder="1"/>
    </xf>
    <xf numFmtId="9" fontId="33" fillId="0" borderId="0" applyAlignment="1" pivotButton="0" quotePrefix="0" xfId="60311">
      <alignment vertical="center"/>
    </xf>
    <xf numFmtId="183" fontId="24" fillId="44" borderId="215" applyAlignment="1" pivotButton="0" quotePrefix="0" xfId="60310">
      <alignment horizontal="right" vertical="center" readingOrder="1"/>
    </xf>
    <xf numFmtId="183" fontId="24" fillId="44" borderId="216" applyAlignment="1" pivotButton="0" quotePrefix="0" xfId="60310">
      <alignment horizontal="right" vertical="center" readingOrder="1"/>
    </xf>
    <xf numFmtId="183" fontId="24" fillId="0" borderId="216" applyAlignment="1" pivotButton="0" quotePrefix="0" xfId="60310">
      <alignment horizontal="right" vertical="center" readingOrder="1"/>
    </xf>
    <xf numFmtId="183" fontId="24" fillId="0" borderId="217" applyAlignment="1" pivotButton="0" quotePrefix="0" xfId="60310">
      <alignment horizontal="right" vertical="center" readingOrder="1"/>
    </xf>
    <xf numFmtId="183" fontId="24" fillId="0" borderId="218" applyAlignment="1" pivotButton="0" quotePrefix="0" xfId="60310">
      <alignment horizontal="right" vertical="center" readingOrder="1"/>
    </xf>
    <xf numFmtId="183" fontId="24" fillId="0" borderId="219" applyAlignment="1" pivotButton="0" quotePrefix="0" xfId="60310">
      <alignment horizontal="right" vertical="center" readingOrder="1"/>
    </xf>
    <xf numFmtId="0" fontId="29" fillId="0" borderId="25" applyAlignment="1" pivotButton="0" quotePrefix="0" xfId="60310">
      <alignment horizontal="left" vertical="center" readingOrder="1"/>
    </xf>
    <xf numFmtId="176" fontId="33" fillId="0" borderId="0" applyAlignment="1" pivotButton="0" quotePrefix="0" xfId="60311">
      <alignment vertical="center"/>
    </xf>
    <xf numFmtId="0" fontId="25" fillId="0" borderId="204" applyAlignment="1" pivotButton="0" quotePrefix="0" xfId="60310">
      <alignment horizontal="left" vertical="center" readingOrder="1"/>
    </xf>
    <xf numFmtId="0" fontId="25" fillId="0" borderId="205" applyAlignment="1" pivotButton="0" quotePrefix="0" xfId="60310">
      <alignment horizontal="left" vertical="center" readingOrder="1"/>
    </xf>
    <xf numFmtId="0" fontId="25" fillId="0" borderId="220" applyAlignment="1" pivotButton="0" quotePrefix="0" xfId="60310">
      <alignment horizontal="left" vertical="center" readingOrder="1"/>
    </xf>
    <xf numFmtId="0" fontId="25" fillId="0" borderId="221" applyAlignment="1" pivotButton="0" quotePrefix="0" xfId="60310">
      <alignment horizontal="left" vertical="center" readingOrder="1"/>
    </xf>
    <xf numFmtId="183" fontId="24" fillId="44" borderId="222" applyAlignment="1" pivotButton="0" quotePrefix="0" xfId="60310">
      <alignment horizontal="right" vertical="center" readingOrder="1"/>
    </xf>
    <xf numFmtId="183" fontId="24" fillId="44" borderId="223" applyAlignment="1" pivotButton="0" quotePrefix="0" xfId="60310">
      <alignment horizontal="right" vertical="center" readingOrder="1"/>
    </xf>
    <xf numFmtId="183" fontId="24" fillId="0" borderId="223" applyAlignment="1" pivotButton="0" quotePrefix="0" xfId="60310">
      <alignment horizontal="right" vertical="center" readingOrder="1"/>
    </xf>
    <xf numFmtId="183" fontId="24" fillId="0" borderId="224" applyAlignment="1" pivotButton="0" quotePrefix="0" xfId="60310">
      <alignment horizontal="right" vertical="center" readingOrder="1"/>
    </xf>
    <xf numFmtId="183" fontId="24" fillId="0" borderId="225" applyAlignment="1" pivotButton="0" quotePrefix="0" xfId="60310">
      <alignment horizontal="right" vertical="center" readingOrder="1"/>
    </xf>
    <xf numFmtId="0" fontId="29" fillId="0" borderId="221" applyAlignment="1" pivotButton="0" quotePrefix="0" xfId="60310">
      <alignment horizontal="left" vertical="center" readingOrder="1"/>
    </xf>
    <xf numFmtId="0" fontId="28" fillId="0" borderId="206" applyAlignment="1" pivotButton="0" quotePrefix="0" xfId="60310">
      <alignment horizontal="left" vertical="center" readingOrder="1"/>
    </xf>
    <xf numFmtId="0" fontId="28" fillId="0" borderId="29" applyAlignment="1" pivotButton="0" quotePrefix="0" xfId="60310">
      <alignment horizontal="left" vertical="center" readingOrder="1"/>
    </xf>
    <xf numFmtId="0" fontId="25" fillId="0" borderId="29" applyAlignment="1" pivotButton="0" quotePrefix="0" xfId="60310">
      <alignment horizontal="left" vertical="center" readingOrder="1"/>
    </xf>
    <xf numFmtId="0" fontId="29" fillId="0" borderId="25" applyAlignment="1" pivotButton="0" quotePrefix="0" xfId="60310">
      <alignment vertical="center"/>
    </xf>
    <xf numFmtId="0" fontId="25" fillId="0" borderId="13" applyAlignment="1" pivotButton="0" quotePrefix="0" xfId="60310">
      <alignment vertical="center" readingOrder="1"/>
    </xf>
    <xf numFmtId="0" fontId="25" fillId="5" borderId="13" applyAlignment="1" pivotButton="0" quotePrefix="0" xfId="60310">
      <alignment vertical="center" readingOrder="1"/>
    </xf>
    <xf numFmtId="0" fontId="25" fillId="5" borderId="180" applyAlignment="1" pivotButton="0" quotePrefix="0" xfId="60310">
      <alignment vertical="center" readingOrder="1"/>
    </xf>
    <xf numFmtId="183" fontId="24" fillId="44" borderId="226" applyAlignment="1" pivotButton="0" quotePrefix="0" xfId="60310">
      <alignment horizontal="right" vertical="center" readingOrder="1"/>
    </xf>
    <xf numFmtId="183" fontId="24" fillId="5" borderId="197" applyAlignment="1" pivotButton="0" quotePrefix="0" xfId="60310">
      <alignment horizontal="right" vertical="center" readingOrder="1"/>
    </xf>
    <xf numFmtId="183" fontId="24" fillId="5" borderId="198" applyAlignment="1" pivotButton="0" quotePrefix="0" xfId="60310">
      <alignment horizontal="right" vertical="center" readingOrder="1"/>
    </xf>
    <xf numFmtId="183" fontId="24" fillId="5" borderId="74" applyAlignment="1" pivotButton="0" quotePrefix="0" xfId="60310">
      <alignment horizontal="right" vertical="center" readingOrder="1"/>
    </xf>
    <xf numFmtId="183" fontId="24" fillId="5" borderId="199" applyAlignment="1" pivotButton="0" quotePrefix="0" xfId="60310">
      <alignment horizontal="right" vertical="center" readingOrder="1"/>
    </xf>
    <xf numFmtId="0" fontId="29" fillId="0" borderId="13" applyAlignment="1" pivotButton="0" quotePrefix="0" xfId="60310">
      <alignment vertical="center"/>
    </xf>
    <xf numFmtId="183" fontId="24" fillId="44" borderId="228" applyAlignment="1" pivotButton="0" quotePrefix="0" xfId="60310">
      <alignment horizontal="right" vertical="center" readingOrder="1"/>
    </xf>
    <xf numFmtId="183" fontId="30" fillId="2" borderId="218" applyAlignment="1" pivotButton="0" quotePrefix="0" xfId="60310">
      <alignment horizontal="right" vertical="center" readingOrder="1"/>
    </xf>
    <xf numFmtId="0" fontId="29" fillId="0" borderId="25" applyAlignment="1" pivotButton="0" quotePrefix="0" xfId="60310">
      <alignment vertical="center" wrapText="1"/>
    </xf>
    <xf numFmtId="0" fontId="25" fillId="0" borderId="229" applyAlignment="1" pivotButton="0" quotePrefix="0" xfId="60310">
      <alignment horizontal="left" vertical="center" readingOrder="1"/>
    </xf>
    <xf numFmtId="183" fontId="24" fillId="44" borderId="230" applyAlignment="1" pivotButton="0" quotePrefix="0" xfId="60310">
      <alignment horizontal="right" vertical="center" readingOrder="1"/>
    </xf>
    <xf numFmtId="0" fontId="29" fillId="0" borderId="0" applyAlignment="1" pivotButton="0" quotePrefix="0" xfId="60310">
      <alignment vertical="center" wrapText="1"/>
    </xf>
    <xf numFmtId="0" fontId="25" fillId="0" borderId="180" applyAlignment="1" pivotButton="0" quotePrefix="0" xfId="60310">
      <alignment horizontal="left" vertical="center" readingOrder="1"/>
    </xf>
    <xf numFmtId="0" fontId="29" fillId="0" borderId="10" applyAlignment="1" pivotButton="0" quotePrefix="0" xfId="60310">
      <alignment vertical="center" wrapText="1"/>
    </xf>
    <xf numFmtId="183" fontId="30" fillId="44" borderId="232" applyAlignment="1" pivotButton="0" quotePrefix="0" xfId="60310">
      <alignment horizontal="right" vertical="center" readingOrder="1"/>
    </xf>
    <xf numFmtId="183" fontId="30" fillId="44" borderId="233" applyAlignment="1" pivotButton="0" quotePrefix="0" xfId="60310">
      <alignment horizontal="right" vertical="center" readingOrder="1"/>
    </xf>
    <xf numFmtId="183" fontId="30" fillId="39" borderId="233" applyAlignment="1" pivotButton="0" quotePrefix="0" xfId="60310">
      <alignment horizontal="right" vertical="center" readingOrder="1"/>
    </xf>
    <xf numFmtId="183" fontId="30" fillId="39" borderId="234" applyAlignment="1" pivotButton="0" quotePrefix="0" xfId="60310">
      <alignment horizontal="right" vertical="center" readingOrder="1"/>
    </xf>
    <xf numFmtId="183" fontId="30" fillId="39" borderId="94" applyAlignment="1" pivotButton="0" quotePrefix="0" xfId="60310">
      <alignment horizontal="right" vertical="center" readingOrder="1"/>
    </xf>
    <xf numFmtId="183" fontId="30" fillId="39" borderId="235" applyAlignment="1" pivotButton="0" quotePrefix="0" xfId="60310">
      <alignment horizontal="right" vertical="center" readingOrder="1"/>
    </xf>
    <xf numFmtId="0" fontId="96" fillId="0" borderId="7" applyAlignment="1" pivotButton="0" quotePrefix="0" xfId="60310">
      <alignment horizontal="left" vertical="center" readingOrder="1"/>
    </xf>
    <xf numFmtId="184" fontId="37" fillId="0" borderId="0" applyAlignment="1" pivotButton="0" quotePrefix="0" xfId="60310">
      <alignment vertical="center"/>
    </xf>
    <xf numFmtId="183" fontId="30" fillId="46" borderId="196" applyAlignment="1" pivotButton="0" quotePrefix="0" xfId="60310">
      <alignment horizontal="right" vertical="center" readingOrder="1"/>
    </xf>
    <xf numFmtId="183" fontId="24" fillId="0" borderId="200" applyAlignment="1" pivotButton="0" quotePrefix="0" xfId="60310">
      <alignment horizontal="right" vertical="center" readingOrder="1"/>
    </xf>
    <xf numFmtId="183" fontId="24" fillId="5" borderId="207" applyAlignment="1" pivotButton="0" quotePrefix="0" xfId="60310">
      <alignment horizontal="right" vertical="center" readingOrder="1"/>
    </xf>
    <xf numFmtId="183" fontId="24" fillId="0" borderId="212" applyAlignment="1" pivotButton="0" quotePrefix="0" xfId="60310">
      <alignment horizontal="right" vertical="center" readingOrder="1"/>
    </xf>
    <xf numFmtId="183" fontId="24" fillId="0" borderId="207" applyAlignment="1" pivotButton="0" quotePrefix="0" xfId="60310">
      <alignment horizontal="right" vertical="center" readingOrder="1"/>
    </xf>
    <xf numFmtId="183" fontId="24" fillId="0" borderId="196" applyAlignment="1" pivotButton="0" quotePrefix="0" xfId="60310">
      <alignment horizontal="right" vertical="center" readingOrder="1"/>
    </xf>
    <xf numFmtId="183" fontId="24" fillId="0" borderId="215" applyAlignment="1" pivotButton="0" quotePrefix="0" xfId="60310">
      <alignment horizontal="right" vertical="center" readingOrder="1"/>
    </xf>
    <xf numFmtId="183" fontId="24" fillId="0" borderId="222" applyAlignment="1" pivotButton="0" quotePrefix="0" xfId="60310">
      <alignment horizontal="right" vertical="center" readingOrder="1"/>
    </xf>
    <xf numFmtId="0" fontId="28" fillId="0" borderId="205" applyAlignment="1" pivotButton="0" quotePrefix="0" xfId="60310">
      <alignment horizontal="left" vertical="center" readingOrder="1"/>
    </xf>
    <xf numFmtId="0" fontId="28" fillId="0" borderId="0" applyAlignment="1" pivotButton="0" quotePrefix="0" xfId="60310">
      <alignment horizontal="left" vertical="center" readingOrder="1"/>
    </xf>
    <xf numFmtId="183" fontId="24" fillId="5" borderId="196" applyAlignment="1" pivotButton="0" quotePrefix="0" xfId="60310">
      <alignment horizontal="right" vertical="center" readingOrder="1"/>
    </xf>
    <xf numFmtId="183" fontId="30" fillId="39" borderId="236" applyAlignment="1" pivotButton="0" quotePrefix="0" xfId="60310">
      <alignment horizontal="right" vertical="center" readingOrder="1"/>
    </xf>
    <xf numFmtId="165" fontId="9" fillId="0" borderId="237" applyAlignment="1" pivotButton="0" quotePrefix="0" xfId="2">
      <alignment horizontal="right" vertical="center" readingOrder="1"/>
    </xf>
    <xf numFmtId="165" fontId="9" fillId="0" borderId="238" applyAlignment="1" pivotButton="0" quotePrefix="0" xfId="2">
      <alignment horizontal="right" vertical="center" readingOrder="1"/>
    </xf>
    <xf numFmtId="165" fontId="9" fillId="0" borderId="239" applyAlignment="1" pivotButton="0" quotePrefix="0" xfId="2">
      <alignment horizontal="right" vertical="center" readingOrder="1"/>
    </xf>
    <xf numFmtId="165" fontId="9" fillId="0" borderId="240" applyAlignment="1" pivotButton="0" quotePrefix="0" xfId="2">
      <alignment horizontal="right" vertical="center" readingOrder="1"/>
    </xf>
    <xf numFmtId="165" fontId="9" fillId="0" borderId="241" applyAlignment="1" pivotButton="0" quotePrefix="0" xfId="2">
      <alignment horizontal="right" vertical="center" readingOrder="1"/>
    </xf>
    <xf numFmtId="165" fontId="9" fillId="0" borderId="242" applyAlignment="1" pivotButton="0" quotePrefix="0" xfId="2">
      <alignment horizontal="right" vertical="center" readingOrder="1"/>
    </xf>
    <xf numFmtId="164" fontId="9" fillId="0" borderId="237" applyAlignment="1" pivotButton="0" quotePrefix="0" xfId="2">
      <alignment vertical="center" readingOrder="1"/>
    </xf>
    <xf numFmtId="164" fontId="9" fillId="0" borderId="238" applyAlignment="1" pivotButton="0" quotePrefix="0" xfId="2">
      <alignment vertical="center" readingOrder="1"/>
    </xf>
    <xf numFmtId="164" fontId="9" fillId="0" borderId="239" applyAlignment="1" pivotButton="0" quotePrefix="0" xfId="2">
      <alignment vertical="center" readingOrder="1"/>
    </xf>
    <xf numFmtId="164" fontId="9" fillId="0" borderId="240" applyAlignment="1" pivotButton="0" quotePrefix="0" xfId="2">
      <alignment vertical="center" readingOrder="1"/>
    </xf>
    <xf numFmtId="164" fontId="9" fillId="0" borderId="241" applyAlignment="1" pivotButton="0" quotePrefix="0" xfId="2">
      <alignment vertical="center" readingOrder="1"/>
    </xf>
    <xf numFmtId="164" fontId="9" fillId="0" borderId="242" applyAlignment="1" pivotButton="0" quotePrefix="0" xfId="2">
      <alignment vertical="center" readingOrder="1"/>
    </xf>
    <xf numFmtId="14" fontId="16" fillId="0" borderId="0" applyAlignment="1" pivotButton="0" quotePrefix="0" xfId="1">
      <alignment horizontal="center" vertical="center"/>
    </xf>
    <xf numFmtId="164" fontId="9" fillId="0" borderId="243" applyAlignment="1" pivotButton="0" quotePrefix="0" xfId="2">
      <alignment vertical="center" readingOrder="1"/>
    </xf>
    <xf numFmtId="164" fontId="9" fillId="0" borderId="244" applyAlignment="1" pivotButton="0" quotePrefix="0" xfId="2">
      <alignment vertical="center" readingOrder="1"/>
    </xf>
    <xf numFmtId="164" fontId="9" fillId="0" borderId="245" applyAlignment="1" pivotButton="0" quotePrefix="0" xfId="2">
      <alignment vertical="center" readingOrder="1"/>
    </xf>
    <xf numFmtId="164" fontId="9" fillId="0" borderId="181" applyAlignment="1" pivotButton="0" quotePrefix="0" xfId="2">
      <alignment vertical="center" readingOrder="1"/>
    </xf>
    <xf numFmtId="177" fontId="9" fillId="0" borderId="181" applyAlignment="1" pivotButton="0" quotePrefix="0" xfId="2">
      <alignment horizontal="right" vertical="center" readingOrder="1"/>
    </xf>
    <xf numFmtId="177" fontId="9" fillId="2" borderId="13" applyAlignment="1" pivotButton="0" quotePrefix="0" xfId="2">
      <alignment horizontal="right" vertical="center" readingOrder="1"/>
    </xf>
    <xf numFmtId="164" fontId="9" fillId="0" borderId="120" applyAlignment="1" pivotButton="0" quotePrefix="0" xfId="2">
      <alignment horizontal="right" vertical="center" readingOrder="1"/>
    </xf>
    <xf numFmtId="164" fontId="9" fillId="0" borderId="117" applyAlignment="1" pivotButton="0" quotePrefix="0" xfId="2">
      <alignment horizontal="right" vertical="center" readingOrder="1"/>
    </xf>
    <xf numFmtId="164" fontId="9" fillId="0" borderId="147" applyAlignment="1" pivotButton="0" quotePrefix="0" xfId="2">
      <alignment horizontal="right" vertical="center" readingOrder="1"/>
    </xf>
    <xf numFmtId="177" fontId="9" fillId="0" borderId="243" applyAlignment="1" pivotButton="0" quotePrefix="0" xfId="2">
      <alignment horizontal="right" vertical="center" readingOrder="1"/>
    </xf>
    <xf numFmtId="177" fontId="9" fillId="0" borderId="74" applyAlignment="1" pivotButton="0" quotePrefix="0" xfId="2">
      <alignment horizontal="right" vertical="center" readingOrder="1"/>
    </xf>
    <xf numFmtId="0" fontId="28" fillId="3" borderId="236" applyAlignment="1" pivotButton="0" quotePrefix="0" xfId="60310">
      <alignment horizontal="center" vertical="center" wrapText="1" readingOrder="1"/>
    </xf>
    <xf numFmtId="0" fontId="28" fillId="3" borderId="233" applyAlignment="1" pivotButton="0" quotePrefix="0" xfId="60310">
      <alignment horizontal="center" vertical="center" wrapText="1" readingOrder="1"/>
    </xf>
    <xf numFmtId="0" fontId="95" fillId="3" borderId="246" applyAlignment="1" pivotButton="0" quotePrefix="0" xfId="60310">
      <alignment horizontal="center" vertical="center" wrapText="1" readingOrder="1"/>
    </xf>
    <xf numFmtId="183" fontId="29" fillId="5" borderId="207" applyAlignment="1" pivotButton="0" quotePrefix="0" xfId="60310">
      <alignment horizontal="right" vertical="center" readingOrder="1"/>
    </xf>
    <xf numFmtId="183" fontId="29" fillId="5" borderId="208" applyAlignment="1" pivotButton="0" quotePrefix="0" xfId="60310">
      <alignment horizontal="right" vertical="center" readingOrder="1"/>
    </xf>
    <xf numFmtId="14" fontId="20" fillId="0" borderId="0" applyAlignment="1" pivotButton="0" quotePrefix="0" xfId="1">
      <alignment vertical="center"/>
    </xf>
    <xf numFmtId="165" fontId="9" fillId="0" borderId="105" applyAlignment="1" pivotButton="0" quotePrefix="0" xfId="60307">
      <alignment horizontal="right" vertical="center" readingOrder="1"/>
    </xf>
    <xf numFmtId="165" fontId="9" fillId="0" borderId="102" applyAlignment="1" pivotButton="0" quotePrefix="0" xfId="60307">
      <alignment vertical="center" readingOrder="1"/>
    </xf>
    <xf numFmtId="165" fontId="16" fillId="0" borderId="0" applyAlignment="1" pivotButton="0" quotePrefix="0" xfId="60307">
      <alignment vertical="center"/>
    </xf>
    <xf numFmtId="165" fontId="21" fillId="0" borderId="0" applyAlignment="1" pivotButton="0" quotePrefix="0" xfId="60307">
      <alignment horizontal="right" vertical="center"/>
    </xf>
    <xf numFmtId="165" fontId="16" fillId="0" borderId="0" applyAlignment="1" pivotButton="0" quotePrefix="0" xfId="60307">
      <alignment horizontal="center" vertical="center"/>
    </xf>
    <xf numFmtId="0" fontId="25" fillId="0" borderId="213" applyAlignment="1" pivotButton="0" quotePrefix="0" xfId="60310">
      <alignment horizontal="left" vertical="center" readingOrder="1"/>
    </xf>
    <xf numFmtId="0" fontId="25" fillId="0" borderId="223" applyAlignment="1" pivotButton="0" quotePrefix="0" xfId="60310">
      <alignment horizontal="left" vertical="center" readingOrder="1"/>
    </xf>
    <xf numFmtId="0" fontId="91" fillId="0" borderId="211" applyAlignment="1" pivotButton="0" quotePrefix="0" xfId="1">
      <alignment vertical="center" readingOrder="1"/>
    </xf>
    <xf numFmtId="0" fontId="29" fillId="0" borderId="26" applyAlignment="1" pivotButton="0" quotePrefix="0" xfId="60310">
      <alignment horizontal="left" vertical="center" readingOrder="1"/>
    </xf>
    <xf numFmtId="0" fontId="28" fillId="3" borderId="0" applyAlignment="1" pivotButton="0" quotePrefix="0" xfId="60310">
      <alignment horizontal="center" vertical="center" wrapText="1" readingOrder="1"/>
    </xf>
    <xf numFmtId="0" fontId="28" fillId="3" borderId="29" applyAlignment="1" pivotButton="0" quotePrefix="0" xfId="60310">
      <alignment horizontal="center" vertical="center" wrapText="1" readingOrder="1"/>
    </xf>
    <xf numFmtId="0" fontId="28" fillId="3" borderId="247" applyAlignment="1" pivotButton="0" quotePrefix="0" xfId="60310">
      <alignment horizontal="center" vertical="center" wrapText="1" readingOrder="1"/>
    </xf>
    <xf numFmtId="183" fontId="30" fillId="46" borderId="248" applyAlignment="1" pivotButton="0" quotePrefix="0" xfId="60310">
      <alignment horizontal="right" vertical="center" readingOrder="1"/>
    </xf>
    <xf numFmtId="183" fontId="24" fillId="0" borderId="249" applyAlignment="1" pivotButton="0" quotePrefix="0" xfId="60310">
      <alignment horizontal="right" vertical="center" readingOrder="1"/>
    </xf>
    <xf numFmtId="183" fontId="24" fillId="5" borderId="250" applyAlignment="1" pivotButton="0" quotePrefix="0" xfId="60310">
      <alignment horizontal="right" vertical="center" readingOrder="1"/>
    </xf>
    <xf numFmtId="183" fontId="24" fillId="0" borderId="251" applyAlignment="1" pivotButton="0" quotePrefix="0" xfId="60310">
      <alignment horizontal="right" vertical="center" readingOrder="1"/>
    </xf>
    <xf numFmtId="183" fontId="24" fillId="0" borderId="250" applyAlignment="1" pivotButton="0" quotePrefix="0" xfId="60310">
      <alignment horizontal="right" vertical="center" readingOrder="1"/>
    </xf>
    <xf numFmtId="183" fontId="24" fillId="0" borderId="248" applyAlignment="1" pivotButton="0" quotePrefix="0" xfId="60310">
      <alignment horizontal="right" vertical="center" readingOrder="1"/>
    </xf>
    <xf numFmtId="183" fontId="24" fillId="0" borderId="252" applyAlignment="1" pivotButton="0" quotePrefix="0" xfId="60310">
      <alignment horizontal="right" vertical="center" readingOrder="1"/>
    </xf>
    <xf numFmtId="183" fontId="24" fillId="5" borderId="248" applyAlignment="1" pivotButton="0" quotePrefix="0" xfId="60310">
      <alignment horizontal="right" vertical="center" readingOrder="1"/>
    </xf>
    <xf numFmtId="183" fontId="30" fillId="39" borderId="247" applyAlignment="1" pivotButton="0" quotePrefix="0" xfId="60310">
      <alignment horizontal="right" vertical="center" readingOrder="1"/>
    </xf>
    <xf numFmtId="0" fontId="28" fillId="3" borderId="253" applyAlignment="1" pivotButton="0" quotePrefix="0" xfId="60310">
      <alignment horizontal="center" vertical="center" wrapText="1" readingOrder="1"/>
    </xf>
    <xf numFmtId="183" fontId="30" fillId="46" borderId="13" applyAlignment="1" pivotButton="0" quotePrefix="0" xfId="60310">
      <alignment horizontal="right" vertical="center" readingOrder="1"/>
    </xf>
    <xf numFmtId="183" fontId="24" fillId="0" borderId="18" applyAlignment="1" pivotButton="0" quotePrefix="0" xfId="60310">
      <alignment horizontal="right" vertical="center" readingOrder="1"/>
    </xf>
    <xf numFmtId="183" fontId="24" fillId="5" borderId="205" applyAlignment="1" pivotButton="0" quotePrefix="0" xfId="60310">
      <alignment horizontal="right" vertical="center" readingOrder="1"/>
    </xf>
    <xf numFmtId="183" fontId="24" fillId="0" borderId="0" applyAlignment="1" pivotButton="0" quotePrefix="0" xfId="60310">
      <alignment horizontal="right" vertical="center" readingOrder="1"/>
    </xf>
    <xf numFmtId="183" fontId="24" fillId="0" borderId="205" applyAlignment="1" pivotButton="0" quotePrefix="0" xfId="60310">
      <alignment horizontal="right" vertical="center" readingOrder="1"/>
    </xf>
    <xf numFmtId="183" fontId="24" fillId="0" borderId="13" applyAlignment="1" pivotButton="0" quotePrefix="0" xfId="60310">
      <alignment horizontal="right" vertical="center" readingOrder="1"/>
    </xf>
    <xf numFmtId="183" fontId="24" fillId="0" borderId="25" applyAlignment="1" pivotButton="0" quotePrefix="0" xfId="60310">
      <alignment horizontal="right" vertical="center" readingOrder="1"/>
    </xf>
    <xf numFmtId="183" fontId="24" fillId="0" borderId="221" applyAlignment="1" pivotButton="0" quotePrefix="0" xfId="60310">
      <alignment horizontal="right" vertical="center" readingOrder="1"/>
    </xf>
    <xf numFmtId="183" fontId="24" fillId="5" borderId="13" applyAlignment="1" pivotButton="0" quotePrefix="0" xfId="60310">
      <alignment horizontal="right" vertical="center" readingOrder="1"/>
    </xf>
    <xf numFmtId="183" fontId="30" fillId="0" borderId="25" applyAlignment="1" pivotButton="0" quotePrefix="0" xfId="60310">
      <alignment horizontal="right" vertical="center" readingOrder="1"/>
    </xf>
    <xf numFmtId="183" fontId="30" fillId="39" borderId="7" applyAlignment="1" pivotButton="0" quotePrefix="0" xfId="60310">
      <alignment horizontal="right" vertical="center" readingOrder="1"/>
    </xf>
    <xf numFmtId="0" fontId="28" fillId="3" borderId="118" applyAlignment="1" pivotButton="0" quotePrefix="0" xfId="60310">
      <alignment horizontal="center" vertical="center" wrapText="1" readingOrder="1"/>
    </xf>
    <xf numFmtId="183" fontId="30" fillId="46" borderId="117" applyAlignment="1" pivotButton="0" quotePrefix="0" xfId="60310">
      <alignment horizontal="right" vertical="center" readingOrder="1"/>
    </xf>
    <xf numFmtId="183" fontId="24" fillId="0" borderId="120" applyAlignment="1" pivotButton="0" quotePrefix="0" xfId="60310">
      <alignment horizontal="right" vertical="center" readingOrder="1"/>
    </xf>
    <xf numFmtId="183" fontId="24" fillId="5" borderId="254" applyAlignment="1" pivotButton="0" quotePrefix="0" xfId="60310">
      <alignment horizontal="right" vertical="center" readingOrder="1"/>
    </xf>
    <xf numFmtId="183" fontId="24" fillId="0" borderId="122" applyAlignment="1" pivotButton="0" quotePrefix="0" xfId="60310">
      <alignment horizontal="right" vertical="center" readingOrder="1"/>
    </xf>
    <xf numFmtId="183" fontId="24" fillId="0" borderId="254" applyAlignment="1" pivotButton="0" quotePrefix="0" xfId="60310">
      <alignment horizontal="right" vertical="center" readingOrder="1"/>
    </xf>
    <xf numFmtId="183" fontId="24" fillId="0" borderId="117" applyAlignment="1" pivotButton="0" quotePrefix="0" xfId="60310">
      <alignment horizontal="right" vertical="center" readingOrder="1"/>
    </xf>
    <xf numFmtId="183" fontId="24" fillId="0" borderId="168" applyAlignment="1" pivotButton="0" quotePrefix="0" xfId="60310">
      <alignment horizontal="right" vertical="center" readingOrder="1"/>
    </xf>
    <xf numFmtId="183" fontId="24" fillId="0" borderId="255" applyAlignment="1" pivotButton="0" quotePrefix="0" xfId="60310">
      <alignment horizontal="right" vertical="center" readingOrder="1"/>
    </xf>
    <xf numFmtId="183" fontId="24" fillId="5" borderId="117" applyAlignment="1" pivotButton="0" quotePrefix="0" xfId="60310">
      <alignment horizontal="right" vertical="center" readingOrder="1"/>
    </xf>
    <xf numFmtId="183" fontId="30" fillId="39" borderId="118" applyAlignment="1" pivotButton="0" quotePrefix="0" xfId="60310">
      <alignment horizontal="right" vertical="center" readingOrder="1"/>
    </xf>
    <xf numFmtId="183" fontId="24" fillId="0" borderId="256" applyAlignment="1" pivotButton="0" quotePrefix="0" xfId="60310">
      <alignment horizontal="right" vertical="center" readingOrder="1"/>
    </xf>
    <xf numFmtId="183" fontId="24" fillId="0" borderId="26" applyAlignment="1" pivotButton="0" quotePrefix="0" xfId="60310">
      <alignment horizontal="right" vertical="center" readingOrder="1"/>
    </xf>
    <xf numFmtId="183" fontId="24" fillId="0" borderId="257" applyAlignment="1" pivotButton="0" quotePrefix="0" xfId="60310">
      <alignment horizontal="right" vertical="center" readingOrder="1"/>
    </xf>
    <xf numFmtId="170" fontId="13" fillId="0" borderId="0" applyAlignment="1" pivotButton="0" quotePrefix="0" xfId="60307">
      <alignment horizontal="center" vertical="center"/>
    </xf>
    <xf numFmtId="167" fontId="24" fillId="0" borderId="251" applyAlignment="1" pivotButton="0" quotePrefix="0" xfId="60307">
      <alignment horizontal="right" vertical="center" readingOrder="1"/>
    </xf>
    <xf numFmtId="165" fontId="34" fillId="0" borderId="6" applyAlignment="1" pivotButton="0" quotePrefix="0" xfId="60307">
      <alignment horizontal="right" vertical="center" wrapText="1" readingOrder="1"/>
    </xf>
    <xf numFmtId="165" fontId="34" fillId="0" borderId="5" applyAlignment="1" pivotButton="0" quotePrefix="0" xfId="60307">
      <alignment horizontal="right" vertical="center" wrapText="1" readingOrder="1"/>
    </xf>
    <xf numFmtId="165" fontId="34" fillId="0" borderId="1" applyAlignment="1" pivotButton="0" quotePrefix="0" xfId="60307">
      <alignment horizontal="right" vertical="center" wrapText="1" readingOrder="1"/>
    </xf>
    <xf numFmtId="165" fontId="34" fillId="0" borderId="9" applyAlignment="1" pivotButton="0" quotePrefix="0" xfId="60307">
      <alignment horizontal="right" vertical="center" wrapText="1" readingOrder="1"/>
    </xf>
    <xf numFmtId="165" fontId="34" fillId="0" borderId="8" applyAlignment="1" pivotButton="0" quotePrefix="0" xfId="60307">
      <alignment horizontal="right" vertical="center" wrapText="1" readingOrder="1"/>
    </xf>
    <xf numFmtId="165" fontId="34" fillId="0" borderId="96" applyAlignment="1" pivotButton="0" quotePrefix="0" xfId="60307">
      <alignment horizontal="right" vertical="center" wrapText="1" readingOrder="1"/>
    </xf>
    <xf numFmtId="165" fontId="34" fillId="0" borderId="179" applyAlignment="1" pivotButton="0" quotePrefix="0" xfId="60307">
      <alignment horizontal="right" vertical="center" wrapText="1" readingOrder="1"/>
    </xf>
    <xf numFmtId="165" fontId="34" fillId="0" borderId="81" applyAlignment="1" pivotButton="0" quotePrefix="0" xfId="60307">
      <alignment horizontal="right" vertical="center" wrapText="1" readingOrder="1"/>
    </xf>
    <xf numFmtId="165" fontId="34" fillId="0" borderId="178" applyAlignment="1" pivotButton="0" quotePrefix="0" xfId="60307">
      <alignment horizontal="right" vertical="center" wrapText="1" readingOrder="1"/>
    </xf>
    <xf numFmtId="165" fontId="34" fillId="42" borderId="119" applyAlignment="1" pivotButton="0" quotePrefix="0" xfId="60307">
      <alignment horizontal="right" vertical="center" wrapText="1" readingOrder="1"/>
    </xf>
    <xf numFmtId="165" fontId="34" fillId="42" borderId="16" applyAlignment="1" pivotButton="0" quotePrefix="0" xfId="60307">
      <alignment horizontal="right" vertical="center" wrapText="1" readingOrder="1"/>
    </xf>
    <xf numFmtId="165" fontId="34" fillId="42" borderId="15" applyAlignment="1" pivotButton="0" quotePrefix="0" xfId="60307">
      <alignment horizontal="right" vertical="center" wrapText="1" readingOrder="1"/>
    </xf>
    <xf numFmtId="165" fontId="34" fillId="42" borderId="174" applyAlignment="1" pivotButton="0" quotePrefix="0" xfId="60307">
      <alignment horizontal="right" vertical="center" wrapText="1" readingOrder="1"/>
    </xf>
    <xf numFmtId="165" fontId="34" fillId="42" borderId="17" applyAlignment="1" pivotButton="0" quotePrefix="0" xfId="60307">
      <alignment horizontal="right" vertical="center" wrapText="1" readingOrder="1"/>
    </xf>
    <xf numFmtId="165" fontId="34" fillId="42" borderId="181" applyAlignment="1" pivotButton="0" quotePrefix="0" xfId="60307">
      <alignment horizontal="right" vertical="center" wrapText="1" readingOrder="1"/>
    </xf>
    <xf numFmtId="165" fontId="34" fillId="42" borderId="180" applyAlignment="1" pivotButton="0" quotePrefix="0" xfId="60307">
      <alignment horizontal="right" vertical="center" wrapText="1" readingOrder="1"/>
    </xf>
    <xf numFmtId="165" fontId="34" fillId="42" borderId="74" applyAlignment="1" pivotButton="0" quotePrefix="0" xfId="60307">
      <alignment horizontal="right" vertical="center" wrapText="1" readingOrder="1"/>
    </xf>
    <xf numFmtId="165" fontId="34" fillId="42" borderId="182" applyAlignment="1" pivotButton="0" quotePrefix="0" xfId="60307">
      <alignment horizontal="right" vertical="center" wrapText="1" readingOrder="1"/>
    </xf>
    <xf numFmtId="165" fontId="34" fillId="42" borderId="177" applyAlignment="1" pivotButton="0" quotePrefix="0" xfId="60307">
      <alignment horizontal="right" vertical="center" wrapText="1" readingOrder="1"/>
    </xf>
    <xf numFmtId="165" fontId="34" fillId="0" borderId="87" applyAlignment="1" pivotButton="0" quotePrefix="0" xfId="60307">
      <alignment horizontal="right" vertical="center" wrapText="1" readingOrder="1"/>
    </xf>
    <xf numFmtId="165" fontId="34" fillId="0" borderId="176" applyAlignment="1" pivotButton="0" quotePrefix="0" xfId="60307">
      <alignment horizontal="right" vertical="center" wrapText="1" readingOrder="1"/>
    </xf>
    <xf numFmtId="165" fontId="34" fillId="0" borderId="183" applyAlignment="1" pivotButton="0" quotePrefix="0" xfId="60307">
      <alignment horizontal="right" vertical="center" wrapText="1" readingOrder="1"/>
    </xf>
    <xf numFmtId="165" fontId="34" fillId="0" borderId="3" applyAlignment="1" pivotButton="0" quotePrefix="0" xfId="60307">
      <alignment horizontal="right" vertical="center" wrapText="1" readingOrder="1"/>
    </xf>
    <xf numFmtId="183" fontId="24" fillId="5" borderId="254" applyAlignment="1" pivotButton="0" quotePrefix="0" xfId="60307">
      <alignment horizontal="right" vertical="center" readingOrder="1"/>
    </xf>
    <xf numFmtId="10" fontId="13" fillId="0" borderId="0" applyAlignment="1" pivotButton="0" quotePrefix="0" xfId="1">
      <alignment horizontal="left" vertical="center"/>
    </xf>
    <xf numFmtId="0" fontId="16" fillId="0" borderId="0" applyAlignment="1" pivotButton="0" quotePrefix="0" xfId="0">
      <alignment horizontal="center" vertical="center"/>
    </xf>
    <xf numFmtId="10" fontId="13" fillId="0" borderId="0" applyAlignment="1" pivotButton="0" quotePrefix="0" xfId="0">
      <alignment horizontal="left" vertical="center"/>
    </xf>
    <xf numFmtId="179" fontId="10" fillId="0" borderId="26" applyAlignment="1" pivotButton="0" quotePrefix="0" xfId="1">
      <alignment horizontal="left" vertical="center" readingOrder="1"/>
    </xf>
    <xf numFmtId="0" fontId="29" fillId="0" borderId="162" applyAlignment="1" pivotButton="0" quotePrefix="0" xfId="36">
      <alignment horizontal="left" vertical="center" readingOrder="1"/>
    </xf>
    <xf numFmtId="185" fontId="37" fillId="0" borderId="0" applyAlignment="1" pivotButton="0" quotePrefix="0" xfId="60310">
      <alignment vertical="center"/>
    </xf>
    <xf numFmtId="186" fontId="29" fillId="0" borderId="221" applyAlignment="1" pivotButton="0" quotePrefix="0" xfId="60310">
      <alignment horizontal="left" vertical="center" readingOrder="1"/>
    </xf>
    <xf numFmtId="187" fontId="6" fillId="0" borderId="0" applyAlignment="1" pivotButton="0" quotePrefix="0" xfId="1">
      <alignment vertical="center"/>
    </xf>
    <xf numFmtId="188" fontId="6" fillId="0" borderId="0" applyAlignment="1" pivotButton="0" quotePrefix="0" xfId="60307">
      <alignment vertical="center"/>
    </xf>
    <xf numFmtId="189" fontId="37" fillId="0" borderId="0" applyAlignment="1" pivotButton="0" quotePrefix="0" xfId="60310">
      <alignment vertical="center"/>
    </xf>
    <xf numFmtId="0" fontId="13" fillId="0" borderId="0" applyAlignment="1" pivotButton="0" quotePrefix="1" xfId="1">
      <alignment horizontal="left" vertical="center"/>
    </xf>
    <xf numFmtId="0" fontId="13" fillId="0" borderId="0" applyAlignment="1" pivotButton="0" quotePrefix="0" xfId="0">
      <alignment horizontal="center" vertical="center"/>
    </xf>
    <xf numFmtId="0" fontId="13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left" vertical="center"/>
    </xf>
    <xf numFmtId="165" fontId="13" fillId="0" borderId="0" applyAlignment="1" pivotButton="0" quotePrefix="0" xfId="60307">
      <alignment vertical="center"/>
    </xf>
    <xf numFmtId="165" fontId="13" fillId="0" borderId="0" applyAlignment="1" pivotButton="0" quotePrefix="0" xfId="60307">
      <alignment horizontal="right" vertical="center"/>
    </xf>
    <xf numFmtId="0" fontId="28" fillId="3" borderId="7" applyAlignment="1" pivotButton="0" quotePrefix="0" xfId="60310">
      <alignment horizontal="center" vertical="center" wrapText="1" readingOrder="1"/>
    </xf>
    <xf numFmtId="165" fontId="6" fillId="0" borderId="0" applyAlignment="1" pivotButton="0" quotePrefix="0" xfId="60307">
      <alignment vertical="center"/>
    </xf>
    <xf numFmtId="0" fontId="28" fillId="3" borderId="258" applyAlignment="1" pivotButton="0" quotePrefix="0" xfId="60310">
      <alignment horizontal="center" vertical="center" wrapText="1" readingOrder="1"/>
    </xf>
    <xf numFmtId="183" fontId="30" fillId="46" borderId="259" applyAlignment="1" pivotButton="0" quotePrefix="0" xfId="60310">
      <alignment horizontal="right" vertical="center" readingOrder="1"/>
    </xf>
    <xf numFmtId="183" fontId="24" fillId="0" borderId="260" applyAlignment="1" pivotButton="0" quotePrefix="0" xfId="60310">
      <alignment horizontal="right" vertical="center" readingOrder="1"/>
    </xf>
    <xf numFmtId="183" fontId="24" fillId="5" borderId="261" applyAlignment="1" pivotButton="0" quotePrefix="0" xfId="60310">
      <alignment horizontal="right" vertical="center" readingOrder="1"/>
    </xf>
    <xf numFmtId="183" fontId="24" fillId="0" borderId="262" applyAlignment="1" pivotButton="0" quotePrefix="0" xfId="60310">
      <alignment horizontal="right" vertical="center" readingOrder="1"/>
    </xf>
    <xf numFmtId="183" fontId="24" fillId="0" borderId="261" applyAlignment="1" pivotButton="0" quotePrefix="0" xfId="60310">
      <alignment horizontal="right" vertical="center" readingOrder="1"/>
    </xf>
    <xf numFmtId="183" fontId="24" fillId="0" borderId="259" applyAlignment="1" pivotButton="0" quotePrefix="0" xfId="60310">
      <alignment horizontal="right" vertical="center" readingOrder="1"/>
    </xf>
    <xf numFmtId="183" fontId="24" fillId="0" borderId="263" applyAlignment="1" pivotButton="0" quotePrefix="0" xfId="60310">
      <alignment horizontal="right" vertical="center" readingOrder="1"/>
    </xf>
    <xf numFmtId="183" fontId="24" fillId="0" borderId="264" applyAlignment="1" pivotButton="0" quotePrefix="0" xfId="60310">
      <alignment horizontal="right" vertical="center" readingOrder="1"/>
    </xf>
    <xf numFmtId="183" fontId="24" fillId="5" borderId="259" applyAlignment="1" pivotButton="0" quotePrefix="0" xfId="60310">
      <alignment horizontal="right" vertical="center" readingOrder="1"/>
    </xf>
    <xf numFmtId="183" fontId="30" fillId="39" borderId="258" applyAlignment="1" pivotButton="0" quotePrefix="0" xfId="60310">
      <alignment horizontal="right" vertical="center" readingOrder="1"/>
    </xf>
    <xf numFmtId="165" fontId="37" fillId="0" borderId="0" applyAlignment="1" pivotButton="0" quotePrefix="0" xfId="60307">
      <alignment vertical="center"/>
    </xf>
    <xf numFmtId="0" fontId="28" fillId="3" borderId="265" applyAlignment="1" pivotButton="0" quotePrefix="0" xfId="60310">
      <alignment horizontal="center" vertical="center" wrapText="1" readingOrder="1"/>
    </xf>
    <xf numFmtId="183" fontId="30" fillId="46" borderId="266" applyAlignment="1" pivotButton="0" quotePrefix="0" xfId="60310">
      <alignment horizontal="right" vertical="center" readingOrder="1"/>
    </xf>
    <xf numFmtId="183" fontId="24" fillId="0" borderId="267" applyAlignment="1" pivotButton="0" quotePrefix="0" xfId="60310">
      <alignment horizontal="right" vertical="center" readingOrder="1"/>
    </xf>
    <xf numFmtId="183" fontId="24" fillId="5" borderId="268" applyAlignment="1" pivotButton="0" quotePrefix="0" xfId="60310">
      <alignment horizontal="right" vertical="center" readingOrder="1"/>
    </xf>
    <xf numFmtId="183" fontId="24" fillId="0" borderId="269" applyAlignment="1" pivotButton="0" quotePrefix="0" xfId="60310">
      <alignment horizontal="right" vertical="center" readingOrder="1"/>
    </xf>
    <xf numFmtId="183" fontId="24" fillId="0" borderId="268" applyAlignment="1" pivotButton="0" quotePrefix="0" xfId="60310">
      <alignment horizontal="right" vertical="center" readingOrder="1"/>
    </xf>
    <xf numFmtId="183" fontId="24" fillId="0" borderId="266" applyAlignment="1" pivotButton="0" quotePrefix="0" xfId="60310">
      <alignment horizontal="right" vertical="center" readingOrder="1"/>
    </xf>
    <xf numFmtId="183" fontId="24" fillId="0" borderId="270" applyAlignment="1" pivotButton="0" quotePrefix="0" xfId="60310">
      <alignment horizontal="right" vertical="center" readingOrder="1"/>
    </xf>
    <xf numFmtId="183" fontId="24" fillId="0" borderId="271" applyAlignment="1" pivotButton="0" quotePrefix="0" xfId="60310">
      <alignment horizontal="right" vertical="center" readingOrder="1"/>
    </xf>
    <xf numFmtId="183" fontId="24" fillId="5" borderId="266" applyAlignment="1" pivotButton="0" quotePrefix="0" xfId="60310">
      <alignment horizontal="right" vertical="center" readingOrder="1"/>
    </xf>
    <xf numFmtId="183" fontId="30" fillId="39" borderId="265" applyAlignment="1" pivotButton="0" quotePrefix="0" xfId="60310">
      <alignment horizontal="right" vertical="center" readingOrder="1"/>
    </xf>
    <xf numFmtId="183" fontId="24" fillId="0" borderId="29" applyAlignment="1" pivotButton="0" quotePrefix="0" xfId="60310">
      <alignment horizontal="right" vertical="center" readingOrder="1"/>
    </xf>
    <xf numFmtId="183" fontId="24" fillId="0" borderId="11" applyAlignment="1" pivotButton="0" quotePrefix="0" xfId="60310">
      <alignment horizontal="right" vertical="center" readingOrder="1"/>
    </xf>
    <xf numFmtId="0" fontId="28" fillId="3" borderId="2" applyAlignment="1" pivotButton="0" quotePrefix="0" xfId="60310">
      <alignment horizontal="center" vertical="center" wrapText="1" readingOrder="1"/>
    </xf>
    <xf numFmtId="0" fontId="10" fillId="0" borderId="19" applyAlignment="1" pivotButton="0" quotePrefix="0" xfId="1">
      <alignment vertical="center" readingOrder="1"/>
    </xf>
    <xf numFmtId="183" fontId="30" fillId="46" borderId="11" applyAlignment="1" pivotButton="0" quotePrefix="0" xfId="60310">
      <alignment horizontal="right" vertical="center" readingOrder="1"/>
    </xf>
    <xf numFmtId="183" fontId="24" fillId="0" borderId="16" applyAlignment="1" pivotButton="0" quotePrefix="0" xfId="60310">
      <alignment horizontal="right" vertical="center" readingOrder="1"/>
    </xf>
    <xf numFmtId="183" fontId="24" fillId="5" borderId="206" applyAlignment="1" pivotButton="0" quotePrefix="0" xfId="60310">
      <alignment horizontal="right" vertical="center" readingOrder="1"/>
    </xf>
    <xf numFmtId="183" fontId="24" fillId="0" borderId="206" applyAlignment="1" pivotButton="0" quotePrefix="0" xfId="60310">
      <alignment horizontal="right" vertical="center" readingOrder="1"/>
    </xf>
    <xf numFmtId="183" fontId="24" fillId="0" borderId="24" applyAlignment="1" pivotButton="0" quotePrefix="0" xfId="60310">
      <alignment horizontal="right" vertical="center" readingOrder="1"/>
    </xf>
    <xf numFmtId="183" fontId="24" fillId="5" borderId="206" applyAlignment="1" pivotButton="0" quotePrefix="0" xfId="60307">
      <alignment horizontal="right" vertical="center" readingOrder="1"/>
    </xf>
    <xf numFmtId="183" fontId="24" fillId="0" borderId="272" applyAlignment="1" pivotButton="0" quotePrefix="0" xfId="60310">
      <alignment horizontal="right" vertical="center" readingOrder="1"/>
    </xf>
    <xf numFmtId="183" fontId="24" fillId="5" borderId="11" applyAlignment="1" pivotButton="0" quotePrefix="0" xfId="60310">
      <alignment horizontal="right" vertical="center" readingOrder="1"/>
    </xf>
    <xf numFmtId="183" fontId="30" fillId="39" borderId="2" applyAlignment="1" pivotButton="0" quotePrefix="0" xfId="60310">
      <alignment horizontal="right" vertical="center" readingOrder="1"/>
    </xf>
    <xf numFmtId="167" fontId="24" fillId="0" borderId="212" applyAlignment="1" pivotButton="0" quotePrefix="0" xfId="60307">
      <alignment horizontal="right" vertical="center" readingOrder="1"/>
    </xf>
    <xf numFmtId="167" fontId="24" fillId="0" borderId="262" applyAlignment="1" pivotButton="0" quotePrefix="0" xfId="60307">
      <alignment horizontal="right" vertical="center" readingOrder="1"/>
    </xf>
    <xf numFmtId="165" fontId="37" fillId="45" borderId="0" applyAlignment="1" pivotButton="0" quotePrefix="0" xfId="60307">
      <alignment vertical="center"/>
    </xf>
    <xf numFmtId="165" fontId="24" fillId="0" borderId="0" applyAlignment="1" pivotButton="0" quotePrefix="0" xfId="60307">
      <alignment vertical="center"/>
    </xf>
    <xf numFmtId="165" fontId="28" fillId="3" borderId="7" applyAlignment="1" pivotButton="0" quotePrefix="0" xfId="60307">
      <alignment horizontal="center" vertical="center" wrapText="1" readingOrder="1"/>
    </xf>
    <xf numFmtId="165" fontId="28" fillId="3" borderId="2" applyAlignment="1" pivotButton="0" quotePrefix="0" xfId="60307">
      <alignment horizontal="center" vertical="center" wrapText="1" readingOrder="1"/>
    </xf>
    <xf numFmtId="165" fontId="28" fillId="3" borderId="0" applyAlignment="1" pivotButton="0" quotePrefix="0" xfId="60307">
      <alignment horizontal="center" vertical="center" wrapText="1" readingOrder="1"/>
    </xf>
    <xf numFmtId="165" fontId="28" fillId="3" borderId="29" applyAlignment="1" pivotButton="0" quotePrefix="0" xfId="60307">
      <alignment horizontal="center" vertical="center" wrapText="1" readingOrder="1"/>
    </xf>
    <xf numFmtId="165" fontId="28" fillId="3" borderId="236" applyAlignment="1" pivotButton="0" quotePrefix="0" xfId="60307">
      <alignment horizontal="center" vertical="center" wrapText="1" readingOrder="1"/>
    </xf>
    <xf numFmtId="165" fontId="28" fillId="3" borderId="253" applyAlignment="1" pivotButton="0" quotePrefix="0" xfId="60307">
      <alignment horizontal="center" vertical="center" wrapText="1" readingOrder="1"/>
    </xf>
    <xf numFmtId="165" fontId="95" fillId="3" borderId="246" applyAlignment="1" pivotButton="0" quotePrefix="0" xfId="60307">
      <alignment horizontal="center" vertical="center" wrapText="1" readingOrder="1"/>
    </xf>
    <xf numFmtId="165" fontId="30" fillId="46" borderId="196" applyAlignment="1" pivotButton="0" quotePrefix="0" xfId="60307">
      <alignment horizontal="right" vertical="center" readingOrder="1"/>
    </xf>
    <xf numFmtId="165" fontId="30" fillId="46" borderId="259" applyAlignment="1" pivotButton="0" quotePrefix="0" xfId="60307">
      <alignment horizontal="right" vertical="center" readingOrder="1"/>
    </xf>
    <xf numFmtId="165" fontId="24" fillId="0" borderId="200" applyAlignment="1" pivotButton="0" quotePrefix="0" xfId="60307">
      <alignment horizontal="right" vertical="center" readingOrder="1"/>
    </xf>
    <xf numFmtId="165" fontId="24" fillId="0" borderId="260" applyAlignment="1" pivotButton="0" quotePrefix="0" xfId="60307">
      <alignment horizontal="right" vertical="center" readingOrder="1"/>
    </xf>
    <xf numFmtId="165" fontId="29" fillId="5" borderId="207" applyAlignment="1" pivotButton="0" quotePrefix="0" xfId="60307">
      <alignment horizontal="right" vertical="center" readingOrder="1"/>
    </xf>
    <xf numFmtId="165" fontId="24" fillId="5" borderId="261" applyAlignment="1" pivotButton="0" quotePrefix="0" xfId="60307">
      <alignment horizontal="right" vertical="center" readingOrder="1"/>
    </xf>
    <xf numFmtId="165" fontId="24" fillId="0" borderId="212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5" fontId="24" fillId="0" borderId="262" applyAlignment="1" pivotButton="0" quotePrefix="0" xfId="60307">
      <alignment horizontal="right" vertical="center" readingOrder="1"/>
    </xf>
    <xf numFmtId="165" fontId="24" fillId="0" borderId="29" applyAlignment="1" pivotButton="0" quotePrefix="0" xfId="60307">
      <alignment horizontal="right" vertical="center" readingOrder="1"/>
    </xf>
    <xf numFmtId="165" fontId="24" fillId="0" borderId="214" applyAlignment="1" pivotButton="0" quotePrefix="0" xfId="60307">
      <alignment horizontal="right" vertical="center" readingOrder="1"/>
    </xf>
    <xf numFmtId="165" fontId="24" fillId="0" borderId="207" applyAlignment="1" pivotButton="0" quotePrefix="0" xfId="60307">
      <alignment horizontal="right" vertical="center" readingOrder="1"/>
    </xf>
    <xf numFmtId="165" fontId="24" fillId="0" borderId="205" applyAlignment="1" pivotButton="0" quotePrefix="0" xfId="60307">
      <alignment horizontal="right" vertical="center" readingOrder="1"/>
    </xf>
    <xf numFmtId="165" fontId="24" fillId="0" borderId="261" applyAlignment="1" pivotButton="0" quotePrefix="0" xfId="60307">
      <alignment horizontal="right" vertical="center" readingOrder="1"/>
    </xf>
    <xf numFmtId="165" fontId="24" fillId="0" borderId="206" applyAlignment="1" pivotButton="0" quotePrefix="0" xfId="60307">
      <alignment horizontal="right" vertical="center" readingOrder="1"/>
    </xf>
    <xf numFmtId="165" fontId="24" fillId="0" borderId="210" applyAlignment="1" pivotButton="0" quotePrefix="0" xfId="60307">
      <alignment horizontal="right" vertical="center" readingOrder="1"/>
    </xf>
    <xf numFmtId="165" fontId="24" fillId="0" borderId="196" applyAlignment="1" pivotButton="0" quotePrefix="0" xfId="60307">
      <alignment horizontal="right" vertical="center" readingOrder="1"/>
    </xf>
    <xf numFmtId="165" fontId="24" fillId="0" borderId="13" applyAlignment="1" pivotButton="0" quotePrefix="0" xfId="60307">
      <alignment horizontal="right" vertical="center" readingOrder="1"/>
    </xf>
    <xf numFmtId="165" fontId="24" fillId="0" borderId="259" applyAlignment="1" pivotButton="0" quotePrefix="0" xfId="60307">
      <alignment horizontal="right" vertical="center" readingOrder="1"/>
    </xf>
    <xf numFmtId="165" fontId="24" fillId="0" borderId="11" applyAlignment="1" pivotButton="0" quotePrefix="0" xfId="60307">
      <alignment horizontal="right" vertical="center" readingOrder="1"/>
    </xf>
    <xf numFmtId="165" fontId="24" fillId="0" borderId="199" applyAlignment="1" pivotButton="0" quotePrefix="0" xfId="60307">
      <alignment horizontal="right" vertical="center" readingOrder="1"/>
    </xf>
    <xf numFmtId="165" fontId="24" fillId="0" borderId="215" applyAlignment="1" pivotButton="0" quotePrefix="0" xfId="60307">
      <alignment horizontal="right" vertical="center" readingOrder="1"/>
    </xf>
    <xf numFmtId="165" fontId="24" fillId="0" borderId="25" applyAlignment="1" pivotButton="0" quotePrefix="0" xfId="60307">
      <alignment horizontal="right" vertical="center" readingOrder="1"/>
    </xf>
    <xf numFmtId="165" fontId="24" fillId="0" borderId="263" applyAlignment="1" pivotButton="0" quotePrefix="0" xfId="60307">
      <alignment horizontal="right" vertical="center" readingOrder="1"/>
    </xf>
    <xf numFmtId="165" fontId="24" fillId="0" borderId="24" applyAlignment="1" pivotButton="0" quotePrefix="0" xfId="60307">
      <alignment horizontal="right" vertical="center" readingOrder="1"/>
    </xf>
    <xf numFmtId="165" fontId="24" fillId="0" borderId="219" applyAlignment="1" pivotButton="0" quotePrefix="0" xfId="60307">
      <alignment horizontal="right" vertical="center" readingOrder="1"/>
    </xf>
    <xf numFmtId="165" fontId="24" fillId="5" borderId="207" applyAlignment="1" pivotButton="0" quotePrefix="0" xfId="60307">
      <alignment horizontal="right" vertical="center" readingOrder="1"/>
    </xf>
    <xf numFmtId="165" fontId="24" fillId="0" borderId="222" applyAlignment="1" pivotButton="0" quotePrefix="0" xfId="60307">
      <alignment horizontal="right" vertical="center" readingOrder="1"/>
    </xf>
    <xf numFmtId="165" fontId="24" fillId="0" borderId="264" applyAlignment="1" pivotButton="0" quotePrefix="0" xfId="60307">
      <alignment horizontal="right" vertical="center" readingOrder="1"/>
    </xf>
    <xf numFmtId="165" fontId="30" fillId="0" borderId="25" applyAlignment="1" pivotButton="0" quotePrefix="0" xfId="60307">
      <alignment horizontal="right" vertical="center" readingOrder="1"/>
    </xf>
    <xf numFmtId="165" fontId="30" fillId="39" borderId="236" applyAlignment="1" pivotButton="0" quotePrefix="0" xfId="60307">
      <alignment horizontal="right" vertical="center" readingOrder="1"/>
    </xf>
    <xf numFmtId="165" fontId="30" fillId="39" borderId="7" applyAlignment="1" pivotButton="0" quotePrefix="0" xfId="60307">
      <alignment horizontal="right" vertical="center" readingOrder="1"/>
    </xf>
    <xf numFmtId="165" fontId="30" fillId="39" borderId="258" applyAlignment="1" pivotButton="0" quotePrefix="0" xfId="60307">
      <alignment horizontal="right" vertical="center" readingOrder="1"/>
    </xf>
    <xf numFmtId="165" fontId="30" fillId="39" borderId="2" applyAlignment="1" pivotButton="0" quotePrefix="0" xfId="60307">
      <alignment horizontal="right" vertical="center" readingOrder="1"/>
    </xf>
    <xf numFmtId="165" fontId="30" fillId="39" borderId="235" applyAlignment="1" pivotButton="0" quotePrefix="0" xfId="60307">
      <alignment horizontal="right" vertical="center" readingOrder="1"/>
    </xf>
    <xf numFmtId="190" fontId="6" fillId="0" borderId="0" applyAlignment="1" pivotButton="0" quotePrefix="0" xfId="60307">
      <alignment vertical="center"/>
    </xf>
    <xf numFmtId="165" fontId="28" fillId="3" borderId="234" applyAlignment="1" pivotButton="0" quotePrefix="0" xfId="60307">
      <alignment horizontal="center" vertical="center" wrapText="1" readingOrder="1"/>
    </xf>
    <xf numFmtId="165" fontId="30" fillId="46" borderId="198" applyAlignment="1" pivotButton="0" quotePrefix="0" xfId="60307">
      <alignment horizontal="right" vertical="center" readingOrder="1"/>
    </xf>
    <xf numFmtId="165" fontId="24" fillId="0" borderId="202" applyAlignment="1" pivotButton="0" quotePrefix="0" xfId="60307">
      <alignment horizontal="right" vertical="center" readingOrder="1"/>
    </xf>
    <xf numFmtId="165" fontId="24" fillId="0" borderId="211" applyAlignment="1" pivotButton="0" quotePrefix="0" xfId="60307">
      <alignment horizontal="right" vertical="center" readingOrder="1"/>
    </xf>
    <xf numFmtId="165" fontId="24" fillId="0" borderId="204" applyAlignment="1" pivotButton="0" quotePrefix="0" xfId="60307">
      <alignment horizontal="right" vertical="center" readingOrder="1"/>
    </xf>
    <xf numFmtId="165" fontId="24" fillId="0" borderId="198" applyAlignment="1" pivotButton="0" quotePrefix="0" xfId="60307">
      <alignment horizontal="right" vertical="center" readingOrder="1"/>
    </xf>
    <xf numFmtId="165" fontId="24" fillId="0" borderId="217" applyAlignment="1" pivotButton="0" quotePrefix="0" xfId="60307">
      <alignment horizontal="right" vertical="center" readingOrder="1"/>
    </xf>
    <xf numFmtId="165" fontId="24" fillId="5" borderId="204" applyAlignment="1" pivotButton="0" quotePrefix="0" xfId="60307">
      <alignment horizontal="right" vertical="center" readingOrder="1"/>
    </xf>
    <xf numFmtId="165" fontId="24" fillId="0" borderId="220" applyAlignment="1" pivotButton="0" quotePrefix="0" xfId="60307">
      <alignment horizontal="right" vertical="center" readingOrder="1"/>
    </xf>
    <xf numFmtId="167" fontId="24" fillId="0" borderId="211" applyAlignment="1" pivotButton="0" quotePrefix="0" xfId="60307">
      <alignment horizontal="right" vertical="center" readingOrder="1"/>
    </xf>
    <xf numFmtId="165" fontId="30" fillId="39" borderId="234" applyAlignment="1" pivotButton="0" quotePrefix="0" xfId="60307">
      <alignment horizontal="right" vertical="center" readingOrder="1"/>
    </xf>
    <xf numFmtId="0" fontId="92" fillId="3" borderId="292" applyAlignment="1" pivotButton="0" quotePrefix="0" xfId="0">
      <alignment horizontal="center" vertical="center" wrapText="1"/>
    </xf>
    <xf numFmtId="0" fontId="92" fillId="3" borderId="293" applyAlignment="1" pivotButton="0" quotePrefix="0" xfId="0">
      <alignment horizontal="center" vertical="center" wrapText="1"/>
    </xf>
    <xf numFmtId="0" fontId="102" fillId="3" borderId="288" applyAlignment="1" pivotButton="0" quotePrefix="0" xfId="0">
      <alignment horizontal="center" vertical="center" wrapText="1" readingOrder="1"/>
    </xf>
    <xf numFmtId="0" fontId="102" fillId="3" borderId="294" applyAlignment="1" pivotButton="0" quotePrefix="0" xfId="0">
      <alignment horizontal="center" vertical="center" wrapText="1" readingOrder="1"/>
    </xf>
    <xf numFmtId="0" fontId="102" fillId="3" borderId="290" applyAlignment="1" pivotButton="0" quotePrefix="0" xfId="0">
      <alignment horizontal="center" vertical="center" wrapText="1" readingOrder="1"/>
    </xf>
    <xf numFmtId="0" fontId="102" fillId="3" borderId="295" applyAlignment="1" pivotButton="0" quotePrefix="0" xfId="0">
      <alignment horizontal="center" vertical="center" wrapText="1" readingOrder="1"/>
    </xf>
    <xf numFmtId="0" fontId="102" fillId="3" borderId="296" applyAlignment="1" pivotButton="0" quotePrefix="0" xfId="0">
      <alignment horizontal="center" vertical="center" wrapText="1" readingOrder="1"/>
    </xf>
    <xf numFmtId="0" fontId="102" fillId="0" borderId="284" applyAlignment="1" pivotButton="0" quotePrefix="0" xfId="0">
      <alignment horizontal="left" vertical="center" wrapText="1" readingOrder="1"/>
    </xf>
    <xf numFmtId="0" fontId="102" fillId="0" borderId="306" applyAlignment="1" pivotButton="0" quotePrefix="0" xfId="0">
      <alignment horizontal="left" vertical="center" wrapText="1" readingOrder="1"/>
    </xf>
    <xf numFmtId="0" fontId="102" fillId="0" borderId="316" applyAlignment="1" pivotButton="0" quotePrefix="0" xfId="0">
      <alignment horizontal="left" vertical="center" wrapText="1" readingOrder="1"/>
    </xf>
    <xf numFmtId="0" fontId="102" fillId="0" borderId="324" applyAlignment="1" pivotButton="0" quotePrefix="0" xfId="0">
      <alignment horizontal="left" vertical="center" wrapText="1" readingOrder="1"/>
    </xf>
    <xf numFmtId="0" fontId="102" fillId="0" borderId="332" applyAlignment="1" pivotButton="0" quotePrefix="0" xfId="0">
      <alignment horizontal="left" vertical="center" wrapText="1" readingOrder="1"/>
    </xf>
    <xf numFmtId="0" fontId="102" fillId="0" borderId="333" applyAlignment="1" pivotButton="0" quotePrefix="0" xfId="0">
      <alignment horizontal="left" vertical="center" wrapText="1" readingOrder="1"/>
    </xf>
    <xf numFmtId="0" fontId="92" fillId="0" borderId="335" applyAlignment="1" pivotButton="0" quotePrefix="0" xfId="0">
      <alignment vertical="center" wrapText="1"/>
    </xf>
    <xf numFmtId="0" fontId="102" fillId="0" borderId="341" applyAlignment="1" pivotButton="0" quotePrefix="0" xfId="0">
      <alignment horizontal="left" vertical="center" wrapText="1" readingOrder="1"/>
    </xf>
    <xf numFmtId="0" fontId="102" fillId="0" borderId="342" applyAlignment="1" pivotButton="0" quotePrefix="0" xfId="0">
      <alignment horizontal="left" vertical="center" wrapText="1" readingOrder="1"/>
    </xf>
    <xf numFmtId="0" fontId="102" fillId="0" borderId="292" applyAlignment="1" pivotButton="0" quotePrefix="0" xfId="0">
      <alignment horizontal="left" vertical="center" wrapText="1" readingOrder="1"/>
    </xf>
    <xf numFmtId="0" fontId="92" fillId="0" borderId="325" applyAlignment="1" pivotButton="0" quotePrefix="0" xfId="0">
      <alignment vertical="center" wrapText="1"/>
    </xf>
    <xf numFmtId="0" fontId="92" fillId="0" borderId="346" applyAlignment="1" pivotButton="0" quotePrefix="0" xfId="0">
      <alignment vertical="center" wrapText="1"/>
    </xf>
    <xf numFmtId="0" fontId="102" fillId="0" borderId="334" applyAlignment="1" pivotButton="0" quotePrefix="0" xfId="0">
      <alignment horizontal="left" vertical="center" wrapText="1" readingOrder="1"/>
    </xf>
    <xf numFmtId="0" fontId="102" fillId="0" borderId="336" applyAlignment="1" pivotButton="0" quotePrefix="0" xfId="0">
      <alignment horizontal="left" vertical="center" wrapText="1" readingOrder="1"/>
    </xf>
    <xf numFmtId="0" fontId="92" fillId="0" borderId="341" applyAlignment="1" pivotButton="0" quotePrefix="0" xfId="0">
      <alignment vertical="center" wrapText="1"/>
    </xf>
    <xf numFmtId="0" fontId="92" fillId="0" borderId="348" applyAlignment="1" pivotButton="0" quotePrefix="0" xfId="0">
      <alignment vertical="center" wrapText="1"/>
    </xf>
    <xf numFmtId="0" fontId="102" fillId="0" borderId="351" applyAlignment="1" pivotButton="0" quotePrefix="0" xfId="0">
      <alignment horizontal="left" vertical="center" wrapText="1" readingOrder="1"/>
    </xf>
    <xf numFmtId="0" fontId="92" fillId="0" borderId="292" applyAlignment="1" pivotButton="0" quotePrefix="0" xfId="0">
      <alignment vertical="center" wrapText="1"/>
    </xf>
    <xf numFmtId="0" fontId="92" fillId="0" borderId="307" applyAlignment="1" pivotButton="0" quotePrefix="0" xfId="0">
      <alignment vertical="center" wrapText="1"/>
    </xf>
    <xf numFmtId="0" fontId="92" fillId="0" borderId="356" applyAlignment="1" pivotButton="0" quotePrefix="0" xfId="0">
      <alignment vertical="center" wrapText="1"/>
    </xf>
    <xf numFmtId="0" fontId="102" fillId="0" borderId="306" applyAlignment="1" pivotButton="0" quotePrefix="0" xfId="0">
      <alignment horizontal="right" vertical="center" wrapText="1" readingOrder="1"/>
    </xf>
    <xf numFmtId="0" fontId="102" fillId="0" borderId="307" applyAlignment="1" pivotButton="0" quotePrefix="0" xfId="0">
      <alignment horizontal="left" vertical="center" wrapText="1" readingOrder="1"/>
    </xf>
    <xf numFmtId="0" fontId="102" fillId="0" borderId="360" applyAlignment="1" pivotButton="0" quotePrefix="0" xfId="0">
      <alignment horizontal="right" vertical="center" wrapText="1" readingOrder="1"/>
    </xf>
    <xf numFmtId="0" fontId="92" fillId="0" borderId="365" applyAlignment="1" pivotButton="0" quotePrefix="0" xfId="0">
      <alignment vertical="center" wrapText="1"/>
    </xf>
    <xf numFmtId="0" fontId="92" fillId="42" borderId="287" applyAlignment="1" pivotButton="0" quotePrefix="0" xfId="0">
      <alignment vertical="center" wrapText="1"/>
    </xf>
    <xf numFmtId="165" fontId="104" fillId="0" borderId="294" applyAlignment="1" pivotButton="0" quotePrefix="0" xfId="60307">
      <alignment horizontal="right" vertical="center" wrapText="1" readingOrder="1"/>
    </xf>
    <xf numFmtId="165" fontId="105" fillId="0" borderId="303" applyAlignment="1" pivotButton="0" quotePrefix="0" xfId="60307">
      <alignment horizontal="right" vertical="center" wrapText="1" readingOrder="1"/>
    </xf>
    <xf numFmtId="165" fontId="105" fillId="0" borderId="132" applyAlignment="1" pivotButton="0" quotePrefix="0" xfId="60307">
      <alignment horizontal="right" vertical="center" wrapText="1" readingOrder="1"/>
    </xf>
    <xf numFmtId="165" fontId="105" fillId="0" borderId="321" applyAlignment="1" pivotButton="0" quotePrefix="0" xfId="60307">
      <alignment horizontal="right" vertical="center" wrapText="1" readingOrder="1"/>
    </xf>
    <xf numFmtId="165" fontId="105" fillId="0" borderId="329" applyAlignment="1" pivotButton="0" quotePrefix="0" xfId="60307">
      <alignment horizontal="right" vertical="center" wrapText="1" readingOrder="1"/>
    </xf>
    <xf numFmtId="165" fontId="105" fillId="0" borderId="122" applyAlignment="1" pivotButton="0" quotePrefix="0" xfId="60307">
      <alignment horizontal="right" vertical="center" wrapText="1" readingOrder="1"/>
    </xf>
    <xf numFmtId="165" fontId="105" fillId="0" borderId="129" applyAlignment="1" pivotButton="0" quotePrefix="0" xfId="60307">
      <alignment horizontal="right" vertical="center" wrapText="1" readingOrder="1"/>
    </xf>
    <xf numFmtId="165" fontId="105" fillId="0" borderId="362" applyAlignment="1" pivotButton="0" quotePrefix="0" xfId="60307">
      <alignment horizontal="right" vertical="center" wrapText="1" readingOrder="1"/>
    </xf>
    <xf numFmtId="165" fontId="104" fillId="42" borderId="321" applyAlignment="1" pivotButton="0" quotePrefix="0" xfId="60307">
      <alignment horizontal="right" vertical="center" wrapText="1" readingOrder="1"/>
    </xf>
    <xf numFmtId="165" fontId="0" fillId="0" borderId="0" pivotButton="0" quotePrefix="0" xfId="60307"/>
    <xf numFmtId="165" fontId="104" fillId="0" borderId="288" applyAlignment="1" pivotButton="0" quotePrefix="0" xfId="60307">
      <alignment horizontal="right" vertical="center" wrapText="1" readingOrder="1"/>
    </xf>
    <xf numFmtId="165" fontId="105" fillId="0" borderId="302" applyAlignment="1" pivotButton="0" quotePrefix="0" xfId="60307">
      <alignment horizontal="right" vertical="center" wrapText="1" readingOrder="1"/>
    </xf>
    <xf numFmtId="165" fontId="105" fillId="0" borderId="313" applyAlignment="1" pivotButton="0" quotePrefix="0" xfId="60307">
      <alignment horizontal="right" vertical="center" wrapText="1" readingOrder="1"/>
    </xf>
    <xf numFmtId="165" fontId="105" fillId="0" borderId="320" applyAlignment="1" pivotButton="0" quotePrefix="0" xfId="60307">
      <alignment horizontal="right" vertical="center" wrapText="1" readingOrder="1"/>
    </xf>
    <xf numFmtId="165" fontId="105" fillId="0" borderId="328" applyAlignment="1" pivotButton="0" quotePrefix="0" xfId="60307">
      <alignment horizontal="right" vertical="center" wrapText="1" readingOrder="1"/>
    </xf>
    <xf numFmtId="165" fontId="105" fillId="0" borderId="338" applyAlignment="1" pivotButton="0" quotePrefix="0" xfId="60307">
      <alignment horizontal="right" vertical="center" wrapText="1" readingOrder="1"/>
    </xf>
    <xf numFmtId="165" fontId="105" fillId="0" borderId="343" applyAlignment="1" pivotButton="0" quotePrefix="0" xfId="60307">
      <alignment horizontal="right" vertical="center" wrapText="1" readingOrder="1"/>
    </xf>
    <xf numFmtId="165" fontId="105" fillId="0" borderId="361" applyAlignment="1" pivotButton="0" quotePrefix="0" xfId="60307">
      <alignment horizontal="right" vertical="center" wrapText="1" readingOrder="1"/>
    </xf>
    <xf numFmtId="165" fontId="104" fillId="42" borderId="320" applyAlignment="1" pivotButton="0" quotePrefix="0" xfId="60307">
      <alignment horizontal="right" vertical="center" wrapText="1" readingOrder="1"/>
    </xf>
    <xf numFmtId="191" fontId="105" fillId="0" borderId="132" applyAlignment="1" pivotButton="0" quotePrefix="0" xfId="60307">
      <alignment horizontal="right" vertical="center" wrapText="1" readingOrder="1"/>
    </xf>
    <xf numFmtId="191" fontId="105" fillId="0" borderId="321" applyAlignment="1" pivotButton="0" quotePrefix="0" xfId="60307">
      <alignment horizontal="right" vertical="center" wrapText="1" readingOrder="1"/>
    </xf>
    <xf numFmtId="191" fontId="105" fillId="0" borderId="329" applyAlignment="1" pivotButton="0" quotePrefix="0" xfId="60307">
      <alignment horizontal="right" vertical="center" wrapText="1" readingOrder="1"/>
    </xf>
    <xf numFmtId="191" fontId="105" fillId="0" borderId="122" applyAlignment="1" pivotButton="0" quotePrefix="0" xfId="60307">
      <alignment horizontal="right" vertical="center" wrapText="1" readingOrder="1"/>
    </xf>
    <xf numFmtId="191" fontId="105" fillId="0" borderId="362" applyAlignment="1" pivotButton="0" quotePrefix="0" xfId="60307">
      <alignment horizontal="right" vertical="center" wrapText="1" readingOrder="1"/>
    </xf>
    <xf numFmtId="191" fontId="104" fillId="42" borderId="321" applyAlignment="1" pivotButton="0" quotePrefix="0" xfId="60307">
      <alignment horizontal="right" vertical="center" wrapText="1" readingOrder="1"/>
    </xf>
    <xf numFmtId="191" fontId="105" fillId="0" borderId="314" applyAlignment="1" pivotButton="0" quotePrefix="0" xfId="60307">
      <alignment horizontal="right" vertical="center" wrapText="1" readingOrder="1"/>
    </xf>
    <xf numFmtId="191" fontId="105" fillId="0" borderId="315" applyAlignment="1" pivotButton="0" quotePrefix="0" xfId="60307">
      <alignment horizontal="right" vertical="center" wrapText="1" readingOrder="1"/>
    </xf>
    <xf numFmtId="191" fontId="105" fillId="0" borderId="322" applyAlignment="1" pivotButton="0" quotePrefix="0" xfId="60307">
      <alignment horizontal="right" vertical="center" wrapText="1" readingOrder="1"/>
    </xf>
    <xf numFmtId="191" fontId="105" fillId="0" borderId="323" applyAlignment="1" pivotButton="0" quotePrefix="0" xfId="60307">
      <alignment horizontal="right" vertical="center" wrapText="1" readingOrder="1"/>
    </xf>
    <xf numFmtId="191" fontId="105" fillId="0" borderId="330" applyAlignment="1" pivotButton="0" quotePrefix="0" xfId="60307">
      <alignment horizontal="right" vertical="center" wrapText="1" readingOrder="1"/>
    </xf>
    <xf numFmtId="191" fontId="105" fillId="0" borderId="331" applyAlignment="1" pivotButton="0" quotePrefix="0" xfId="60307">
      <alignment horizontal="right" vertical="center" wrapText="1" readingOrder="1"/>
    </xf>
    <xf numFmtId="191" fontId="105" fillId="0" borderId="339" applyAlignment="1" pivotButton="0" quotePrefix="0" xfId="60307">
      <alignment horizontal="right" vertical="center" wrapText="1" readingOrder="1"/>
    </xf>
    <xf numFmtId="191" fontId="105" fillId="0" borderId="340" applyAlignment="1" pivotButton="0" quotePrefix="0" xfId="60307">
      <alignment horizontal="right" vertical="center" wrapText="1" readingOrder="1"/>
    </xf>
    <xf numFmtId="191" fontId="105" fillId="0" borderId="363" applyAlignment="1" pivotButton="0" quotePrefix="0" xfId="60307">
      <alignment horizontal="right" vertical="center" wrapText="1" readingOrder="1"/>
    </xf>
    <xf numFmtId="191" fontId="105" fillId="0" borderId="364" applyAlignment="1" pivotButton="0" quotePrefix="0" xfId="60307">
      <alignment horizontal="right" vertical="center" wrapText="1" readingOrder="1"/>
    </xf>
    <xf numFmtId="191" fontId="104" fillId="42" borderId="322" applyAlignment="1" pivotButton="0" quotePrefix="0" xfId="60307">
      <alignment horizontal="right" vertical="center" wrapText="1" readingOrder="1"/>
    </xf>
    <xf numFmtId="191" fontId="104" fillId="42" borderId="323" applyAlignment="1" pivotButton="0" quotePrefix="0" xfId="60307">
      <alignment horizontal="right" vertical="center" wrapText="1" readingOrder="1"/>
    </xf>
    <xf numFmtId="192" fontId="105" fillId="0" borderId="302" applyAlignment="1" pivotButton="0" quotePrefix="0" xfId="60307">
      <alignment horizontal="right" vertical="center" wrapText="1" readingOrder="1"/>
    </xf>
    <xf numFmtId="192" fontId="105" fillId="0" borderId="303" applyAlignment="1" pivotButton="0" quotePrefix="0" xfId="60307">
      <alignment horizontal="right" vertical="center" wrapText="1" readingOrder="1"/>
    </xf>
    <xf numFmtId="192" fontId="105" fillId="0" borderId="304" applyAlignment="1" pivotButton="0" quotePrefix="0" xfId="60307">
      <alignment horizontal="right" vertical="center" wrapText="1" readingOrder="1"/>
    </xf>
    <xf numFmtId="192" fontId="105" fillId="0" borderId="305" applyAlignment="1" pivotButton="0" quotePrefix="0" xfId="60307">
      <alignment horizontal="right" vertical="center" wrapText="1" readingOrder="1"/>
    </xf>
    <xf numFmtId="192" fontId="105" fillId="0" borderId="357" applyAlignment="1" pivotButton="0" quotePrefix="0" xfId="60307">
      <alignment horizontal="right" vertical="center" wrapText="1" readingOrder="1"/>
    </xf>
    <xf numFmtId="192" fontId="105" fillId="0" borderId="358" applyAlignment="1" pivotButton="0" quotePrefix="0" xfId="60307">
      <alignment horizontal="right" vertical="center" wrapText="1" readingOrder="1"/>
    </xf>
    <xf numFmtId="192" fontId="105" fillId="0" borderId="359" applyAlignment="1" pivotButton="0" quotePrefix="0" xfId="60307">
      <alignment horizontal="right" vertical="center" wrapText="1" readingOrder="1"/>
    </xf>
    <xf numFmtId="192" fontId="105" fillId="0" borderId="295" applyAlignment="1" pivotButton="0" quotePrefix="0" xfId="60307">
      <alignment horizontal="right" vertical="center" wrapText="1" readingOrder="1"/>
    </xf>
    <xf numFmtId="193" fontId="105" fillId="0" borderId="132" applyAlignment="1" pivotButton="0" quotePrefix="0" xfId="60307">
      <alignment horizontal="right" vertical="center" wrapText="1" readingOrder="1"/>
    </xf>
    <xf numFmtId="193" fontId="105" fillId="0" borderId="314" applyAlignment="1" pivotButton="0" quotePrefix="0" xfId="60307">
      <alignment horizontal="right" vertical="center" wrapText="1" readingOrder="1"/>
    </xf>
    <xf numFmtId="193" fontId="105" fillId="0" borderId="315" applyAlignment="1" pivotButton="0" quotePrefix="0" xfId="60307">
      <alignment horizontal="right" vertical="center" wrapText="1" readingOrder="1"/>
    </xf>
    <xf numFmtId="193" fontId="105" fillId="0" borderId="122" applyAlignment="1" pivotButton="0" quotePrefix="0" xfId="60307">
      <alignment horizontal="right" vertical="center" wrapText="1" readingOrder="1"/>
    </xf>
    <xf numFmtId="193" fontId="105" fillId="0" borderId="339" applyAlignment="1" pivotButton="0" quotePrefix="0" xfId="60307">
      <alignment horizontal="right" vertical="center" wrapText="1" readingOrder="1"/>
    </xf>
    <xf numFmtId="193" fontId="105" fillId="0" borderId="340" applyAlignment="1" pivotButton="0" quotePrefix="0" xfId="60307">
      <alignment horizontal="right" vertical="center" wrapText="1" readingOrder="1"/>
    </xf>
    <xf numFmtId="193" fontId="105" fillId="0" borderId="129" applyAlignment="1" pivotButton="0" quotePrefix="0" xfId="60307">
      <alignment horizontal="right" vertical="center" wrapText="1" readingOrder="1"/>
    </xf>
    <xf numFmtId="193" fontId="105" fillId="0" borderId="344" applyAlignment="1" pivotButton="0" quotePrefix="0" xfId="60307">
      <alignment horizontal="right" vertical="center" wrapText="1" readingOrder="1"/>
    </xf>
    <xf numFmtId="193" fontId="105" fillId="0" borderId="345" applyAlignment="1" pivotButton="0" quotePrefix="0" xfId="60307">
      <alignment horizontal="right" vertical="center" wrapText="1" readingOrder="1"/>
    </xf>
    <xf numFmtId="194" fontId="9" fillId="0" borderId="1" applyAlignment="1" pivotButton="0" quotePrefix="0" xfId="2">
      <alignment horizontal="right" vertical="center" readingOrder="1"/>
    </xf>
    <xf numFmtId="194" fontId="9" fillId="0" borderId="5" applyAlignment="1" pivotButton="0" quotePrefix="0" xfId="2">
      <alignment horizontal="right" vertical="center" readingOrder="1"/>
    </xf>
    <xf numFmtId="194" fontId="9" fillId="0" borderId="50" applyAlignment="1" pivotButton="0" quotePrefix="0" xfId="2">
      <alignment horizontal="right" vertical="center" readingOrder="1"/>
    </xf>
    <xf numFmtId="194" fontId="9" fillId="0" borderId="8" applyAlignment="1" pivotButton="0" quotePrefix="0" xfId="2">
      <alignment horizontal="right" vertical="center" readingOrder="1"/>
    </xf>
    <xf numFmtId="194" fontId="9" fillId="0" borderId="2" applyAlignment="1" pivotButton="0" quotePrefix="0" xfId="2">
      <alignment horizontal="right" vertical="center" readingOrder="1"/>
    </xf>
    <xf numFmtId="194" fontId="9" fillId="0" borderId="23" applyAlignment="1" pivotButton="0" quotePrefix="0" xfId="2">
      <alignment horizontal="right" vertical="center" readingOrder="1"/>
    </xf>
    <xf numFmtId="194" fontId="9" fillId="0" borderId="75" applyAlignment="1" pivotButton="0" quotePrefix="0" xfId="2">
      <alignment horizontal="right" vertical="center" readingOrder="1"/>
    </xf>
    <xf numFmtId="194" fontId="9" fillId="0" borderId="81" applyAlignment="1" pivotButton="0" quotePrefix="0" xfId="2">
      <alignment horizontal="right" vertical="center" readingOrder="1"/>
    </xf>
    <xf numFmtId="194" fontId="9" fillId="0" borderId="22" applyAlignment="1" pivotButton="0" quotePrefix="0" xfId="2">
      <alignment horizontal="right" vertical="center" readingOrder="1"/>
    </xf>
    <xf numFmtId="194" fontId="6" fillId="0" borderId="21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horizontal="right" vertical="center" readingOrder="1"/>
    </xf>
    <xf numFmtId="194" fontId="9" fillId="0" borderId="76" applyAlignment="1" pivotButton="0" quotePrefix="0" xfId="2">
      <alignment horizontal="right" vertical="center" readingOrder="1"/>
    </xf>
    <xf numFmtId="194" fontId="9" fillId="0" borderId="82" applyAlignment="1" pivotButton="0" quotePrefix="0" xfId="2">
      <alignment horizontal="right" vertical="center" readingOrder="1"/>
    </xf>
    <xf numFmtId="194" fontId="9" fillId="0" borderId="33" applyAlignment="1" pivotButton="0" quotePrefix="0" xfId="2">
      <alignment horizontal="right" vertical="center" readingOrder="1"/>
    </xf>
    <xf numFmtId="194" fontId="6" fillId="0" borderId="69" applyAlignment="1" pivotButton="0" quotePrefix="0" xfId="2">
      <alignment horizontal="right" vertical="center" readingOrder="1"/>
    </xf>
    <xf numFmtId="194" fontId="9" fillId="0" borderId="15" applyAlignment="1" pivotButton="0" quotePrefix="0" xfId="2">
      <alignment horizontal="right" vertical="center" readingOrder="1"/>
    </xf>
    <xf numFmtId="194" fontId="9" fillId="0" borderId="41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horizontal="right" vertical="center" readingOrder="1"/>
    </xf>
    <xf numFmtId="194" fontId="6" fillId="0" borderId="16" applyAlignment="1" pivotButton="0" quotePrefix="0" xfId="2">
      <alignment horizontal="right" vertical="center" readingOrder="1"/>
    </xf>
    <xf numFmtId="194" fontId="9" fillId="0" borderId="26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vertical="center" readingOrder="1"/>
    </xf>
    <xf numFmtId="194" fontId="9" fillId="0" borderId="84" applyAlignment="1" pivotButton="0" quotePrefix="0" xfId="2">
      <alignment horizontal="right" vertical="center" readingOrder="1"/>
    </xf>
    <xf numFmtId="194" fontId="9" fillId="0" borderId="30" applyAlignment="1" pivotButton="0" quotePrefix="0" xfId="2">
      <alignment horizontal="right" vertical="center" readingOrder="1"/>
    </xf>
    <xf numFmtId="194" fontId="6" fillId="0" borderId="29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horizontal="right" vertical="center" readingOrder="1"/>
    </xf>
    <xf numFmtId="194" fontId="6" fillId="0" borderId="30" applyAlignment="1" pivotButton="0" quotePrefix="0" xfId="2">
      <alignment horizontal="right" vertical="center" readingOrder="1"/>
    </xf>
    <xf numFmtId="194" fontId="9" fillId="0" borderId="39" applyAlignment="1" pivotButton="0" quotePrefix="0" xfId="2">
      <alignment horizontal="right" vertical="center" readingOrder="1"/>
    </xf>
    <xf numFmtId="194" fontId="9" fillId="0" borderId="71" applyAlignment="1" pivotButton="0" quotePrefix="0" xfId="2">
      <alignment horizontal="right" vertical="center" readingOrder="1"/>
    </xf>
    <xf numFmtId="194" fontId="9" fillId="0" borderId="72" applyAlignment="1" pivotButton="0" quotePrefix="0" xfId="2">
      <alignment horizontal="right" vertical="center" readingOrder="1"/>
    </xf>
    <xf numFmtId="194" fontId="6" fillId="0" borderId="32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vertical="center" readingOrder="1"/>
    </xf>
    <xf numFmtId="194" fontId="9" fillId="0" borderId="76" applyAlignment="1" pivotButton="0" quotePrefix="0" xfId="2">
      <alignment vertical="center" readingOrder="1"/>
    </xf>
    <xf numFmtId="194" fontId="9" fillId="0" borderId="82" applyAlignment="1" pivotButton="0" quotePrefix="0" xfId="2">
      <alignment vertical="center" readingOrder="1"/>
    </xf>
    <xf numFmtId="194" fontId="9" fillId="0" borderId="15" applyAlignment="1" pivotButton="0" quotePrefix="0" xfId="2">
      <alignment vertical="center" readingOrder="1"/>
    </xf>
    <xf numFmtId="194" fontId="9" fillId="0" borderId="19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vertical="center" readingOrder="1"/>
    </xf>
    <xf numFmtId="194" fontId="9" fillId="0" borderId="26" applyAlignment="1" pivotButton="0" quotePrefix="0" xfId="2">
      <alignment vertical="center" readingOrder="1"/>
    </xf>
    <xf numFmtId="194" fontId="9" fillId="0" borderId="27" applyAlignment="1" pivotButton="0" quotePrefix="0" xfId="2">
      <alignment horizontal="right" vertical="center" readingOrder="1"/>
    </xf>
    <xf numFmtId="194" fontId="9" fillId="0" borderId="84" applyAlignment="1" pivotButton="0" quotePrefix="0" xfId="2">
      <alignment vertical="center" readingOrder="1"/>
    </xf>
    <xf numFmtId="194" fontId="9" fillId="0" borderId="34" applyAlignment="1" pivotButton="0" quotePrefix="0" xfId="2">
      <alignment vertical="center" readingOrder="1"/>
    </xf>
    <xf numFmtId="194" fontId="9" fillId="0" borderId="37" applyAlignment="1" pivotButton="0" quotePrefix="0" xfId="2">
      <alignment horizontal="right" vertical="center" readingOrder="1"/>
    </xf>
    <xf numFmtId="194" fontId="9" fillId="0" borderId="34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vertical="center" readingOrder="1"/>
    </xf>
    <xf numFmtId="194" fontId="9" fillId="0" borderId="36" applyAlignment="1" pivotButton="0" quotePrefix="0" xfId="2">
      <alignment horizontal="right" vertical="center" readingOrder="1"/>
    </xf>
    <xf numFmtId="194" fontId="6" fillId="0" borderId="35" applyAlignment="1" pivotButton="0" quotePrefix="0" xfId="2">
      <alignment horizontal="right" vertical="center" readingOrder="1"/>
    </xf>
    <xf numFmtId="194" fontId="9" fillId="0" borderId="78" applyAlignment="1" pivotButton="0" quotePrefix="0" xfId="2">
      <alignment horizontal="right" vertical="center" readingOrder="1"/>
    </xf>
    <xf numFmtId="194" fontId="9" fillId="0" borderId="77" applyAlignment="1" pivotButton="0" quotePrefix="0" xfId="2">
      <alignment vertical="center" readingOrder="1"/>
    </xf>
    <xf numFmtId="194" fontId="9" fillId="0" borderId="66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vertical="center" readingOrder="1"/>
    </xf>
    <xf numFmtId="194" fontId="6" fillId="0" borderId="16" applyAlignment="1" pivotButton="0" quotePrefix="0" xfId="2">
      <alignment vertical="center" readingOrder="1"/>
    </xf>
    <xf numFmtId="194" fontId="9" fillId="0" borderId="21" applyAlignment="1" pivotButton="0" quotePrefix="0" xfId="2">
      <alignment horizontal="right" vertical="center" readingOrder="1"/>
    </xf>
    <xf numFmtId="194" fontId="9" fillId="0" borderId="10" applyAlignment="1" pivotButton="0" quotePrefix="0" xfId="2">
      <alignment horizontal="right" vertical="center" readingOrder="1"/>
    </xf>
    <xf numFmtId="194" fontId="9" fillId="0" borderId="79" applyAlignment="1" pivotButton="0" quotePrefix="0" xfId="2">
      <alignment horizontal="right" vertical="center" readingOrder="1"/>
    </xf>
    <xf numFmtId="194" fontId="9" fillId="0" borderId="85" applyAlignment="1" pivotButton="0" quotePrefix="0" xfId="2">
      <alignment horizontal="right" vertical="center" readingOrder="1"/>
    </xf>
    <xf numFmtId="194" fontId="9" fillId="2" borderId="80" applyAlignment="1" pivotButton="0" quotePrefix="0" xfId="2">
      <alignment horizontal="right" vertical="center" readingOrder="1"/>
    </xf>
    <xf numFmtId="194" fontId="9" fillId="0" borderId="12" applyAlignment="1" pivotButton="0" quotePrefix="0" xfId="2">
      <alignment horizontal="right" vertical="center" readingOrder="1"/>
    </xf>
    <xf numFmtId="194" fontId="9" fillId="0" borderId="11" applyAlignment="1" pivotButton="0" quotePrefix="0" xfId="2">
      <alignment horizontal="right" vertical="center" readingOrder="1"/>
    </xf>
    <xf numFmtId="194" fontId="9" fillId="0" borderId="73" applyAlignment="1" pivotButton="0" quotePrefix="0" xfId="2">
      <alignment horizontal="right" vertical="center" readingOrder="1"/>
    </xf>
    <xf numFmtId="194" fontId="9" fillId="0" borderId="16" applyAlignment="1" pivotButton="0" quotePrefix="0" xfId="2">
      <alignment horizontal="right" vertical="center" readingOrder="1"/>
    </xf>
    <xf numFmtId="194" fontId="9" fillId="0" borderId="74" applyAlignment="1" pivotButton="0" quotePrefix="0" xfId="2">
      <alignment horizontal="right" vertical="center" readingOrder="1"/>
    </xf>
    <xf numFmtId="194" fontId="9" fillId="0" borderId="80" applyAlignment="1" pivotButton="0" quotePrefix="0" xfId="2">
      <alignment horizontal="right" vertical="center" readingOrder="1"/>
    </xf>
    <xf numFmtId="194" fontId="9" fillId="0" borderId="1" applyAlignment="1" pivotButton="0" quotePrefix="0" xfId="60307">
      <alignment horizontal="right" vertical="center" readingOrder="1"/>
    </xf>
    <xf numFmtId="194" fontId="9" fillId="0" borderId="86" applyAlignment="1" pivotButton="0" quotePrefix="0" xfId="2">
      <alignment horizontal="right" vertical="center" readingOrder="1"/>
    </xf>
    <xf numFmtId="194" fontId="10" fillId="0" borderId="4" applyAlignment="1" pivotButton="0" quotePrefix="0" xfId="2">
      <alignment horizontal="right" vertical="center" readingOrder="1"/>
    </xf>
    <xf numFmtId="194" fontId="9" fillId="0" borderId="3" applyAlignment="1" pivotButton="0" quotePrefix="0" xfId="2">
      <alignment horizontal="right" vertical="center" readingOrder="1"/>
    </xf>
    <xf numFmtId="195" fontId="104" fillId="0" borderId="294" applyAlignment="1" pivotButton="0" quotePrefix="0" xfId="60307">
      <alignment horizontal="right" vertical="center" wrapText="1" readingOrder="1"/>
    </xf>
    <xf numFmtId="195" fontId="104" fillId="0" borderId="290" applyAlignment="1" pivotButton="0" quotePrefix="0" xfId="60307">
      <alignment horizontal="right" vertical="center" wrapText="1" readingOrder="1"/>
    </xf>
    <xf numFmtId="195" fontId="104" fillId="0" borderId="298" applyAlignment="1" pivotButton="0" quotePrefix="0" xfId="60307">
      <alignment horizontal="right" vertical="center" wrapText="1" readingOrder="1"/>
    </xf>
    <xf numFmtId="195" fontId="105" fillId="0" borderId="303" applyAlignment="1" pivotButton="0" quotePrefix="0" xfId="60307">
      <alignment horizontal="right" vertical="center" wrapText="1" readingOrder="1"/>
    </xf>
    <xf numFmtId="195" fontId="105" fillId="0" borderId="304" applyAlignment="1" pivotButton="0" quotePrefix="0" xfId="60307">
      <alignment horizontal="right" vertical="center" wrapText="1" readingOrder="1"/>
    </xf>
    <xf numFmtId="195" fontId="105" fillId="0" borderId="305" applyAlignment="1" pivotButton="0" quotePrefix="0" xfId="60307">
      <alignment horizontal="right" vertical="center" wrapText="1" readingOrder="1"/>
    </xf>
    <xf numFmtId="195" fontId="105" fillId="0" borderId="132" applyAlignment="1" pivotButton="0" quotePrefix="0" xfId="60307">
      <alignment horizontal="right" vertical="center" wrapText="1" readingOrder="1"/>
    </xf>
    <xf numFmtId="195" fontId="105" fillId="0" borderId="314" applyAlignment="1" pivotButton="0" quotePrefix="0" xfId="60307">
      <alignment horizontal="right" vertical="center" wrapText="1" readingOrder="1"/>
    </xf>
    <xf numFmtId="195" fontId="105" fillId="0" borderId="315" applyAlignment="1" pivotButton="0" quotePrefix="0" xfId="60307">
      <alignment horizontal="right" vertical="center" wrapText="1" readingOrder="1"/>
    </xf>
    <xf numFmtId="195" fontId="105" fillId="0" borderId="321" applyAlignment="1" pivotButton="0" quotePrefix="0" xfId="60307">
      <alignment horizontal="right" vertical="center" wrapText="1" readingOrder="1"/>
    </xf>
    <xf numFmtId="195" fontId="105" fillId="0" borderId="322" applyAlignment="1" pivotButton="0" quotePrefix="0" xfId="60307">
      <alignment horizontal="right" vertical="center" wrapText="1" readingOrder="1"/>
    </xf>
    <xf numFmtId="195" fontId="105" fillId="0" borderId="323" applyAlignment="1" pivotButton="0" quotePrefix="0" xfId="60307">
      <alignment horizontal="right" vertical="center" wrapText="1" readingOrder="1"/>
    </xf>
    <xf numFmtId="195" fontId="105" fillId="0" borderId="329" applyAlignment="1" pivotButton="0" quotePrefix="0" xfId="60307">
      <alignment horizontal="right" vertical="center" wrapText="1" readingOrder="1"/>
    </xf>
    <xf numFmtId="195" fontId="105" fillId="0" borderId="330" applyAlignment="1" pivotButton="0" quotePrefix="0" xfId="60307">
      <alignment horizontal="right" vertical="center" wrapText="1" readingOrder="1"/>
    </xf>
    <xf numFmtId="195" fontId="105" fillId="0" borderId="331" applyAlignment="1" pivotButton="0" quotePrefix="0" xfId="60307">
      <alignment horizontal="right" vertical="center" wrapText="1" readingOrder="1"/>
    </xf>
    <xf numFmtId="195" fontId="105" fillId="0" borderId="122" applyAlignment="1" pivotButton="0" quotePrefix="0" xfId="60307">
      <alignment horizontal="right" vertical="center" wrapText="1" readingOrder="1"/>
    </xf>
    <xf numFmtId="195" fontId="105" fillId="0" borderId="339" applyAlignment="1" pivotButton="0" quotePrefix="0" xfId="60307">
      <alignment horizontal="right" vertical="center" wrapText="1" readingOrder="1"/>
    </xf>
    <xf numFmtId="195" fontId="105" fillId="0" borderId="340" applyAlignment="1" pivotButton="0" quotePrefix="0" xfId="60307">
      <alignment horizontal="right" vertical="center" wrapText="1" readingOrder="1"/>
    </xf>
    <xf numFmtId="195" fontId="105" fillId="0" borderId="129" applyAlignment="1" pivotButton="0" quotePrefix="0" xfId="60307">
      <alignment horizontal="right" vertical="center" wrapText="1" readingOrder="1"/>
    </xf>
    <xf numFmtId="195" fontId="105" fillId="0" borderId="344" applyAlignment="1" pivotButton="0" quotePrefix="0" xfId="60307">
      <alignment horizontal="right" vertical="center" wrapText="1" readingOrder="1"/>
    </xf>
    <xf numFmtId="195" fontId="105" fillId="0" borderId="345" applyAlignment="1" pivotButton="0" quotePrefix="0" xfId="60307">
      <alignment horizontal="right" vertical="center" wrapText="1" readingOrder="1"/>
    </xf>
    <xf numFmtId="168" fontId="91" fillId="39" borderId="1" applyAlignment="1" pivotButton="0" quotePrefix="0" xfId="60307">
      <alignment horizontal="right" vertical="center" readingOrder="1"/>
    </xf>
    <xf numFmtId="168" fontId="91" fillId="39" borderId="169" applyAlignment="1" pivotButton="0" quotePrefix="0" xfId="60307">
      <alignment horizontal="right" vertical="center" readingOrder="1"/>
    </xf>
    <xf numFmtId="168" fontId="91" fillId="39" borderId="126" applyAlignment="1" pivotButton="0" quotePrefix="0" xfId="60307">
      <alignment horizontal="right" vertical="center" readingOrder="1"/>
    </xf>
    <xf numFmtId="168" fontId="91" fillId="5" borderId="170" applyAlignment="1" pivotButton="0" quotePrefix="0" xfId="60307">
      <alignment horizontal="right" vertical="center" readingOrder="1"/>
    </xf>
    <xf numFmtId="168" fontId="91" fillId="5" borderId="134" applyAlignment="1" pivotButton="0" quotePrefix="0" xfId="60307">
      <alignment horizontal="right" vertical="center" readingOrder="1"/>
    </xf>
    <xf numFmtId="168" fontId="91" fillId="5" borderId="162" applyAlignment="1" pivotButton="0" quotePrefix="0" xfId="60307">
      <alignment horizontal="right" vertical="center" readingOrder="1"/>
    </xf>
    <xf numFmtId="168" fontId="91" fillId="40" borderId="172" applyAlignment="1" pivotButton="0" quotePrefix="0" xfId="60307">
      <alignment horizontal="right" vertical="center" readingOrder="1"/>
    </xf>
    <xf numFmtId="196" fontId="24" fillId="0" borderId="0" applyAlignment="1" pivotButton="0" quotePrefix="0" xfId="1">
      <alignment vertical="center"/>
    </xf>
    <xf numFmtId="197" fontId="24" fillId="0" borderId="0" applyAlignment="1" pivotButton="0" quotePrefix="0" xfId="1">
      <alignment vertical="center"/>
    </xf>
    <xf numFmtId="198" fontId="30" fillId="46" borderId="13" applyAlignment="1" pivotButton="0" quotePrefix="0" xfId="60307">
      <alignment horizontal="right" vertical="center" readingOrder="1"/>
    </xf>
    <xf numFmtId="198" fontId="30" fillId="46" borderId="11" applyAlignment="1" pivotButton="0" quotePrefix="0" xfId="60307">
      <alignment horizontal="right" vertical="center" readingOrder="1"/>
    </xf>
    <xf numFmtId="198" fontId="30" fillId="46" borderId="199" applyAlignment="1" pivotButton="0" quotePrefix="0" xfId="60307">
      <alignment horizontal="right" vertical="center" readingOrder="1"/>
    </xf>
    <xf numFmtId="198" fontId="24" fillId="0" borderId="18" applyAlignment="1" pivotButton="0" quotePrefix="0" xfId="60307">
      <alignment horizontal="right" vertical="center" readingOrder="1"/>
    </xf>
    <xf numFmtId="198" fontId="24" fillId="0" borderId="16" applyAlignment="1" pivotButton="0" quotePrefix="0" xfId="60307">
      <alignment horizontal="right" vertical="center" readingOrder="1"/>
    </xf>
    <xf numFmtId="198" fontId="24" fillId="0" borderId="203" applyAlignment="1" pivotButton="0" quotePrefix="0" xfId="60307">
      <alignment horizontal="right" vertical="center" readingOrder="1"/>
    </xf>
    <xf numFmtId="198" fontId="24" fillId="5" borderId="205" applyAlignment="1" pivotButton="0" quotePrefix="0" xfId="60307">
      <alignment horizontal="right" vertical="center" readingOrder="1"/>
    </xf>
    <xf numFmtId="198" fontId="24" fillId="5" borderId="206" applyAlignment="1" pivotButton="0" quotePrefix="0" xfId="60307">
      <alignment horizontal="right" vertical="center" readingOrder="1"/>
    </xf>
    <xf numFmtId="198" fontId="24" fillId="5" borderId="210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98" fontId="24" fillId="0" borderId="29" applyAlignment="1" pivotButton="0" quotePrefix="0" xfId="60307">
      <alignment horizontal="right" vertical="center" readingOrder="1"/>
    </xf>
    <xf numFmtId="198" fontId="24" fillId="0" borderId="214" applyAlignment="1" pivotButton="0" quotePrefix="0" xfId="60307">
      <alignment horizontal="right" vertical="center" readingOrder="1"/>
    </xf>
    <xf numFmtId="198" fontId="24" fillId="0" borderId="205" applyAlignment="1" pivotButton="0" quotePrefix="0" xfId="60307">
      <alignment horizontal="right" vertical="center" readingOrder="1"/>
    </xf>
    <xf numFmtId="198" fontId="24" fillId="0" borderId="206" applyAlignment="1" pivotButton="0" quotePrefix="0" xfId="60307">
      <alignment horizontal="right" vertical="center" readingOrder="1"/>
    </xf>
    <xf numFmtId="198" fontId="24" fillId="0" borderId="210" applyAlignment="1" pivotButton="0" quotePrefix="0" xfId="60307">
      <alignment horizontal="right" vertical="center" readingOrder="1"/>
    </xf>
    <xf numFmtId="198" fontId="24" fillId="0" borderId="25" applyAlignment="1" pivotButton="0" quotePrefix="0" xfId="60307">
      <alignment horizontal="right" vertical="center" readingOrder="1"/>
    </xf>
    <xf numFmtId="198" fontId="24" fillId="0" borderId="24" applyAlignment="1" pivotButton="0" quotePrefix="0" xfId="60307">
      <alignment horizontal="right" vertical="center" readingOrder="1"/>
    </xf>
    <xf numFmtId="198" fontId="24" fillId="0" borderId="219" applyAlignment="1" pivotButton="0" quotePrefix="0" xfId="60307">
      <alignment horizontal="right" vertical="center" readingOrder="1"/>
    </xf>
    <xf numFmtId="198" fontId="24" fillId="0" borderId="221" applyAlignment="1" pivotButton="0" quotePrefix="0" xfId="60307">
      <alignment horizontal="right" vertical="center" readingOrder="1"/>
    </xf>
    <xf numFmtId="198" fontId="24" fillId="0" borderId="272" applyAlignment="1" pivotButton="0" quotePrefix="0" xfId="60307">
      <alignment horizontal="right" vertical="center" readingOrder="1"/>
    </xf>
    <xf numFmtId="198" fontId="24" fillId="0" borderId="225" applyAlignment="1" pivotButton="0" quotePrefix="0" xfId="60307">
      <alignment horizontal="right" vertical="center" readingOrder="1"/>
    </xf>
    <xf numFmtId="199" fontId="6" fillId="0" borderId="0" applyAlignment="1" pivotButton="0" quotePrefix="0" xfId="1">
      <alignment vertical="center"/>
    </xf>
    <xf numFmtId="200" fontId="24" fillId="0" borderId="0" applyAlignment="1" pivotButton="0" quotePrefix="0" xfId="1">
      <alignment vertical="center"/>
    </xf>
    <xf numFmtId="165" fontId="28" fillId="46" borderId="74" applyAlignment="1" pivotButton="0" quotePrefix="0" xfId="60307">
      <alignment horizontal="left" vertical="center" readingOrder="1"/>
    </xf>
    <xf numFmtId="165" fontId="25" fillId="0" borderId="100" applyAlignment="1" pivotButton="0" quotePrefix="0" xfId="60307">
      <alignment horizontal="left" vertical="center" readingOrder="1"/>
    </xf>
    <xf numFmtId="165" fontId="25" fillId="5" borderId="209" applyAlignment="1" pivotButton="0" quotePrefix="0" xfId="60307">
      <alignment horizontal="left" vertical="center" readingOrder="1"/>
    </xf>
    <xf numFmtId="165" fontId="25" fillId="0" borderId="209" applyAlignment="1" pivotButton="0" quotePrefix="0" xfId="60307">
      <alignment horizontal="left" vertical="center" readingOrder="1"/>
    </xf>
    <xf numFmtId="165" fontId="25" fillId="0" borderId="74" applyAlignment="1" pivotButton="0" quotePrefix="0" xfId="60307">
      <alignment horizontal="left" vertical="center" readingOrder="1"/>
    </xf>
    <xf numFmtId="165" fontId="25" fillId="0" borderId="218" applyAlignment="1" pivotButton="0" quotePrefix="0" xfId="60307">
      <alignment horizontal="left" vertical="center" readingOrder="1"/>
    </xf>
    <xf numFmtId="165" fontId="25" fillId="0" borderId="224" applyAlignment="1" pivotButton="0" quotePrefix="0" xfId="60307">
      <alignment horizontal="left" vertical="center" readingOrder="1"/>
    </xf>
    <xf numFmtId="165" fontId="91" fillId="0" borderId="100" applyAlignment="1" pivotButton="0" quotePrefix="0" xfId="60307">
      <alignment vertical="center" readingOrder="1"/>
    </xf>
    <xf numFmtId="165" fontId="28" fillId="0" borderId="209" applyAlignment="1" pivotButton="0" quotePrefix="0" xfId="60307">
      <alignment horizontal="left" vertical="center" readingOrder="1"/>
    </xf>
    <xf numFmtId="165" fontId="28" fillId="0" borderId="100" applyAlignment="1" pivotButton="0" quotePrefix="0" xfId="60307">
      <alignment horizontal="left" vertical="center" readingOrder="1"/>
    </xf>
    <xf numFmtId="165" fontId="28" fillId="39" borderId="94" applyAlignment="1" pivotButton="0" quotePrefix="0" xfId="60307">
      <alignment horizontal="left" vertical="center" readingOrder="1"/>
    </xf>
    <xf numFmtId="165" fontId="28" fillId="46" borderId="235" applyAlignment="1" pivotButton="0" quotePrefix="0" xfId="60307">
      <alignment horizontal="left" vertical="center" readingOrder="1"/>
    </xf>
    <xf numFmtId="165" fontId="28" fillId="39" borderId="235" applyAlignment="1" pivotButton="0" quotePrefix="0" xfId="60307">
      <alignment horizontal="left" vertical="center" readingOrder="1"/>
    </xf>
    <xf numFmtId="165" fontId="24" fillId="0" borderId="225" applyAlignment="1" pivotButton="0" quotePrefix="0" xfId="60307">
      <alignment horizontal="right" vertical="center" readingOrder="1"/>
    </xf>
    <xf numFmtId="165" fontId="24" fillId="0" borderId="256" applyAlignment="1" pivotButton="0" quotePrefix="0" xfId="60307">
      <alignment horizontal="right" vertical="center" readingOrder="1"/>
    </xf>
    <xf numFmtId="165" fontId="24" fillId="0" borderId="26" applyAlignment="1" pivotButton="0" quotePrefix="0" xfId="60307">
      <alignment horizontal="right" vertical="center" readingOrder="1"/>
    </xf>
    <xf numFmtId="165" fontId="24" fillId="0" borderId="257" applyAlignment="1" pivotButton="0" quotePrefix="0" xfId="60307">
      <alignment horizontal="right" vertical="center" readingOrder="1"/>
    </xf>
    <xf numFmtId="167" fontId="24" fillId="0" borderId="29" applyAlignment="1" pivotButton="0" quotePrefix="0" xfId="60307">
      <alignment horizontal="right" vertical="center" readingOrder="1"/>
    </xf>
    <xf numFmtId="165" fontId="24" fillId="0" borderId="0" applyAlignment="1" pivotButton="0" quotePrefix="0" xfId="1">
      <alignment vertical="center"/>
    </xf>
    <xf numFmtId="165" fontId="29" fillId="5" borderId="208" applyAlignment="1" pivotButton="0" quotePrefix="0" xfId="60307">
      <alignment horizontal="right" vertical="center" readingOrder="1"/>
    </xf>
    <xf numFmtId="165" fontId="24" fillId="5" borderId="208" applyAlignment="1" pivotButton="0" quotePrefix="0" xfId="60307">
      <alignment horizontal="right" vertical="center" readingOrder="1"/>
    </xf>
    <xf numFmtId="198" fontId="24" fillId="5" borderId="208" applyAlignment="1" pivotButton="0" quotePrefix="0" xfId="60307">
      <alignment horizontal="right" vertical="center" readingOrder="1"/>
    </xf>
    <xf numFmtId="165" fontId="29" fillId="5" borderId="250" applyAlignment="1" pivotButton="0" quotePrefix="0" xfId="60307">
      <alignment horizontal="right" vertical="center" readingOrder="1"/>
    </xf>
    <xf numFmtId="165" fontId="16" fillId="0" borderId="0" applyAlignment="1" pivotButton="0" quotePrefix="0" xfId="60307">
      <alignment vertical="center"/>
    </xf>
    <xf numFmtId="164" fontId="98" fillId="0" borderId="219" applyAlignment="1" pivotButton="0" quotePrefix="0" xfId="60307">
      <alignment horizontal="right" vertical="center" readingOrder="1"/>
    </xf>
    <xf numFmtId="164" fontId="98" fillId="0" borderId="215" applyAlignment="1" pivotButton="0" quotePrefix="0" xfId="60307">
      <alignment horizontal="right" vertical="center" readingOrder="1"/>
    </xf>
    <xf numFmtId="164" fontId="98" fillId="0" borderId="217" applyAlignment="1" pivotButton="0" quotePrefix="0" xfId="60307">
      <alignment horizontal="right" vertical="center" readingOrder="1"/>
    </xf>
    <xf numFmtId="164" fontId="98" fillId="0" borderId="263" applyAlignment="1" pivotButton="0" quotePrefix="0" xfId="60307">
      <alignment horizontal="right" vertical="center" readingOrder="1"/>
    </xf>
    <xf numFmtId="164" fontId="98" fillId="0" borderId="25" applyAlignment="1" pivotButton="0" quotePrefix="0" xfId="60307">
      <alignment horizontal="right" vertical="center" readingOrder="1"/>
    </xf>
    <xf numFmtId="164" fontId="98" fillId="0" borderId="24" applyAlignment="1" pivotButton="0" quotePrefix="0" xfId="60307">
      <alignment horizontal="right" vertical="center" readingOrder="1"/>
    </xf>
    <xf numFmtId="164" fontId="98" fillId="5" borderId="199" applyAlignment="1" pivotButton="0" quotePrefix="0" xfId="60307">
      <alignment horizontal="right" vertical="center" readingOrder="1"/>
    </xf>
    <xf numFmtId="164" fontId="98" fillId="5" borderId="196" applyAlignment="1" pivotButton="0" quotePrefix="0" xfId="60307">
      <alignment horizontal="right" vertical="center" readingOrder="1"/>
    </xf>
    <xf numFmtId="164" fontId="98" fillId="5" borderId="198" applyAlignment="1" pivotButton="0" quotePrefix="0" xfId="60307">
      <alignment horizontal="right" vertical="center" readingOrder="1"/>
    </xf>
    <xf numFmtId="164" fontId="98" fillId="5" borderId="259" applyAlignment="1" pivotButton="0" quotePrefix="0" xfId="60307">
      <alignment horizontal="right" vertical="center" readingOrder="1"/>
    </xf>
    <xf numFmtId="164" fontId="98" fillId="5" borderId="13" applyAlignment="1" pivotButton="0" quotePrefix="0" xfId="60307">
      <alignment horizontal="right" vertical="center" readingOrder="1"/>
    </xf>
    <xf numFmtId="164" fontId="98" fillId="5" borderId="11" applyAlignment="1" pivotButton="0" quotePrefix="0" xfId="60307">
      <alignment horizontal="right" vertical="center" readingOrder="1"/>
    </xf>
    <xf numFmtId="164" fontId="98" fillId="0" borderId="218" applyAlignment="1" pivotButton="0" quotePrefix="0" xfId="60307">
      <alignment horizontal="right" vertical="center" readingOrder="1"/>
    </xf>
    <xf numFmtId="164" fontId="98" fillId="5" borderId="74" applyAlignment="1" pivotButton="0" quotePrefix="0" xfId="60307">
      <alignment horizontal="right" vertical="center" readingOrder="1"/>
    </xf>
    <xf numFmtId="167" fontId="6" fillId="0" borderId="0" applyAlignment="1" pivotButton="0" quotePrefix="0" xfId="60307">
      <alignment vertical="center"/>
    </xf>
    <xf numFmtId="180" fontId="6" fillId="0" borderId="0" applyAlignment="1" pivotButton="0" quotePrefix="0" xfId="1">
      <alignment vertical="center"/>
    </xf>
    <xf numFmtId="164" fontId="9" fillId="0" borderId="218" applyAlignment="1" pivotButton="0" quotePrefix="0" xfId="2">
      <alignment horizontal="right" vertical="center" readingOrder="1"/>
    </xf>
    <xf numFmtId="164" fontId="9" fillId="0" borderId="57" applyAlignment="1" pivotButton="0" quotePrefix="0" xfId="2">
      <alignment horizontal="right" vertical="center" readingOrder="1"/>
    </xf>
    <xf numFmtId="164" fontId="9" fillId="0" borderId="374" applyAlignment="1" pivotButton="0" quotePrefix="0" xfId="2">
      <alignment horizontal="right" vertical="center" readingOrder="1"/>
    </xf>
    <xf numFmtId="165" fontId="95" fillId="3" borderId="373" applyAlignment="1" pivotButton="0" quotePrefix="0" xfId="60307">
      <alignment horizontal="center" vertical="center" readingOrder="1"/>
    </xf>
    <xf numFmtId="165" fontId="28" fillId="3" borderId="246" applyAlignment="1" pivotButton="0" quotePrefix="0" xfId="60307">
      <alignment horizontal="center" vertical="center" wrapText="1" readingOrder="1"/>
    </xf>
    <xf numFmtId="201" fontId="93" fillId="0" borderId="56" applyAlignment="1" pivotButton="0" quotePrefix="0" xfId="1">
      <alignment vertical="center" readingOrder="1"/>
    </xf>
    <xf numFmtId="201" fontId="35" fillId="0" borderId="65" applyAlignment="1" pivotButton="0" quotePrefix="0" xfId="1">
      <alignment vertical="center" readingOrder="1"/>
    </xf>
    <xf numFmtId="201" fontId="38" fillId="0" borderId="54" applyAlignment="1" pivotButton="0" quotePrefix="0" xfId="1">
      <alignment vertical="center" readingOrder="1"/>
    </xf>
    <xf numFmtId="201" fontId="38" fillId="0" borderId="65" applyAlignment="1" pivotButton="0" quotePrefix="0" xfId="1">
      <alignment vertical="center" readingOrder="1"/>
    </xf>
    <xf numFmtId="201" fontId="93" fillId="0" borderId="59" applyAlignment="1" pivotButton="0" quotePrefix="0" xfId="1">
      <alignment horizontal="right" vertical="center" readingOrder="1"/>
    </xf>
    <xf numFmtId="201" fontId="97" fillId="0" borderId="56" applyAlignment="1" pivotButton="0" quotePrefix="0" xfId="1">
      <alignment horizontal="right" vertical="center" readingOrder="1"/>
    </xf>
    <xf numFmtId="201" fontId="97" fillId="0" borderId="65" applyAlignment="1" pivotButton="0" quotePrefix="0" xfId="1">
      <alignment horizontal="right" vertical="center" readingOrder="1"/>
    </xf>
    <xf numFmtId="201" fontId="93" fillId="0" borderId="56" applyAlignment="1" pivotButton="0" quotePrefix="0" xfId="1">
      <alignment horizontal="right" vertical="center" readingOrder="1"/>
    </xf>
    <xf numFmtId="201" fontId="35" fillId="0" borderId="65" applyAlignment="1" pivotButton="0" quotePrefix="0" xfId="1">
      <alignment horizontal="right" vertical="center" readingOrder="1"/>
    </xf>
    <xf numFmtId="201" fontId="93" fillId="0" borderId="62" applyAlignment="1" pivotButton="0" quotePrefix="0" xfId="1">
      <alignment horizontal="right" vertical="center" readingOrder="1"/>
    </xf>
    <xf numFmtId="202" fontId="34" fillId="43" borderId="6" applyAlignment="1" pivotButton="0" quotePrefix="0" xfId="60307">
      <alignment horizontal="right" vertical="center" wrapText="1" readingOrder="1"/>
    </xf>
    <xf numFmtId="202" fontId="34" fillId="43" borderId="87" applyAlignment="1" pivotButton="0" quotePrefix="0" xfId="60307">
      <alignment horizontal="right" vertical="center" wrapText="1" readingOrder="1"/>
    </xf>
    <xf numFmtId="202" fontId="34" fillId="43" borderId="1" applyAlignment="1" pivotButton="0" quotePrefix="0" xfId="60307">
      <alignment horizontal="right" vertical="center" wrapText="1" readingOrder="1"/>
    </xf>
    <xf numFmtId="202" fontId="34" fillId="43" borderId="9" applyAlignment="1" pivotButton="0" quotePrefix="0" xfId="60307">
      <alignment horizontal="right" vertical="center" wrapText="1" readingOrder="1"/>
    </xf>
    <xf numFmtId="202" fontId="34" fillId="43" borderId="8" applyAlignment="1" pivotButton="0" quotePrefix="0" xfId="60307">
      <alignment horizontal="right" vertical="center" wrapText="1" readingOrder="1"/>
    </xf>
    <xf numFmtId="202" fontId="34" fillId="43" borderId="50" applyAlignment="1" pivotButton="0" quotePrefix="0" xfId="0">
      <alignment horizontal="left" vertical="center" wrapText="1" readingOrder="1"/>
    </xf>
    <xf numFmtId="177" fontId="9" fillId="47" borderId="74" applyAlignment="1" pivotButton="0" quotePrefix="0" xfId="2">
      <alignment horizontal="right" vertical="center" readingOrder="1"/>
    </xf>
    <xf numFmtId="0" fontId="15" fillId="0" borderId="20" applyAlignment="1" pivotButton="0" quotePrefix="0" xfId="1">
      <alignment horizontal="left" vertical="center" readingOrder="1"/>
    </xf>
    <xf numFmtId="0" fontId="15" fillId="0" borderId="34" applyAlignment="1" pivotButton="0" quotePrefix="0" xfId="1">
      <alignment horizontal="left" vertical="center" readingOrder="1"/>
    </xf>
    <xf numFmtId="0" fontId="15" fillId="0" borderId="26" applyAlignment="1" pivotButton="0" quotePrefix="0" xfId="1">
      <alignment horizontal="left" vertical="center" readingOrder="1"/>
    </xf>
    <xf numFmtId="0" fontId="107" fillId="0" borderId="10" applyAlignment="1" pivotButton="0" quotePrefix="0" xfId="1">
      <alignment vertical="center"/>
    </xf>
    <xf numFmtId="0" fontId="108" fillId="0" borderId="34" applyAlignment="1" pivotButton="0" quotePrefix="0" xfId="1">
      <alignment horizontal="left" vertical="center" readingOrder="1"/>
    </xf>
    <xf numFmtId="0" fontId="107" fillId="0" borderId="20" applyAlignment="1" pivotButton="0" quotePrefix="0" xfId="1">
      <alignment vertical="center"/>
    </xf>
    <xf numFmtId="0" fontId="107" fillId="0" borderId="34" applyAlignment="1" pivotButton="0" quotePrefix="0" xfId="1">
      <alignment vertical="center"/>
    </xf>
    <xf numFmtId="0" fontId="109" fillId="0" borderId="61" applyAlignment="1" pivotButton="0" quotePrefix="0" xfId="1">
      <alignment vertical="center"/>
    </xf>
    <xf numFmtId="165" fontId="29" fillId="0" borderId="0" applyAlignment="1" pivotButton="0" quotePrefix="0" xfId="60307">
      <alignment vertical="center"/>
    </xf>
    <xf numFmtId="203" fontId="6" fillId="0" borderId="0" applyAlignment="1" pivotButton="0" quotePrefix="0" xfId="1">
      <alignment vertical="center"/>
    </xf>
    <xf numFmtId="0" fontId="21" fillId="0" borderId="0" applyAlignment="1" pivotButton="0" quotePrefix="0" xfId="0">
      <alignment horizontal="center"/>
    </xf>
    <xf numFmtId="165" fontId="0" fillId="0" borderId="0" applyAlignment="1" pivotButton="0" quotePrefix="0" xfId="60307">
      <alignment horizontal="center"/>
    </xf>
    <xf numFmtId="0" fontId="0" fillId="0" borderId="0" applyAlignment="1" pivotButton="0" quotePrefix="0" xfId="0">
      <alignment horizontal="center"/>
    </xf>
    <xf numFmtId="165" fontId="21" fillId="0" borderId="0" applyAlignment="1" pivotButton="0" quotePrefix="0" xfId="60307">
      <alignment horizontal="center"/>
    </xf>
    <xf numFmtId="0" fontId="110" fillId="0" borderId="0" pivotButton="0" quotePrefix="0" xfId="0"/>
    <xf numFmtId="165" fontId="111" fillId="0" borderId="0" pivotButton="0" quotePrefix="0" xfId="60307"/>
    <xf numFmtId="0" fontId="111" fillId="0" borderId="0" pivotButton="0" quotePrefix="0" xfId="0"/>
    <xf numFmtId="165" fontId="110" fillId="0" borderId="0" pivotButton="0" quotePrefix="0" xfId="60307"/>
    <xf numFmtId="177" fontId="6" fillId="0" borderId="0" applyAlignment="1" pivotButton="0" quotePrefix="0" xfId="1">
      <alignment vertical="center"/>
    </xf>
    <xf numFmtId="165" fontId="28" fillId="3" borderId="233" applyAlignment="1" pivotButton="0" quotePrefix="0" xfId="60307">
      <alignment horizontal="center" vertical="center" wrapText="1" readingOrder="1"/>
    </xf>
    <xf numFmtId="198" fontId="30" fillId="46" borderId="197" applyAlignment="1" pivotButton="0" quotePrefix="0" xfId="60307">
      <alignment horizontal="right" vertical="center" readingOrder="1"/>
    </xf>
    <xf numFmtId="198" fontId="24" fillId="0" borderId="201" applyAlignment="1" pivotButton="0" quotePrefix="0" xfId="60307">
      <alignment horizontal="right" vertical="center" readingOrder="1"/>
    </xf>
    <xf numFmtId="198" fontId="24" fillId="0" borderId="208" applyAlignment="1" pivotButton="0" quotePrefix="0" xfId="60307">
      <alignment horizontal="right" vertical="center" readingOrder="1"/>
    </xf>
    <xf numFmtId="198" fontId="24" fillId="0" borderId="216" applyAlignment="1" pivotButton="0" quotePrefix="0" xfId="60307">
      <alignment horizontal="right" vertical="center" readingOrder="1"/>
    </xf>
    <xf numFmtId="198" fontId="24" fillId="0" borderId="213" applyAlignment="1" pivotButton="0" quotePrefix="0" xfId="60307">
      <alignment horizontal="right" vertical="center" readingOrder="1"/>
    </xf>
    <xf numFmtId="198" fontId="24" fillId="0" borderId="223" applyAlignment="1" pivotButton="0" quotePrefix="0" xfId="60307">
      <alignment horizontal="right" vertical="center" readingOrder="1"/>
    </xf>
    <xf numFmtId="167" fontId="24" fillId="0" borderId="213" applyAlignment="1" pivotButton="0" quotePrefix="0" xfId="60307">
      <alignment horizontal="right" vertical="center" readingOrder="1"/>
    </xf>
    <xf numFmtId="165" fontId="24" fillId="0" borderId="208" applyAlignment="1" pivotButton="0" quotePrefix="0" xfId="60307">
      <alignment horizontal="right" vertical="center" readingOrder="1"/>
    </xf>
    <xf numFmtId="165" fontId="24" fillId="0" borderId="213" applyAlignment="1" pivotButton="0" quotePrefix="0" xfId="60307">
      <alignment horizontal="right" vertical="center" readingOrder="1"/>
    </xf>
    <xf numFmtId="164" fontId="98" fillId="0" borderId="216" applyAlignment="1" pivotButton="0" quotePrefix="0" xfId="60307">
      <alignment horizontal="right" vertical="center" readingOrder="1"/>
    </xf>
    <xf numFmtId="164" fontId="98" fillId="5" borderId="197" applyAlignment="1" pivotButton="0" quotePrefix="0" xfId="60307">
      <alignment horizontal="right" vertical="center" readingOrder="1"/>
    </xf>
    <xf numFmtId="165" fontId="24" fillId="0" borderId="216" applyAlignment="1" pivotButton="0" quotePrefix="0" xfId="60307">
      <alignment horizontal="right" vertical="center" readingOrder="1"/>
    </xf>
    <xf numFmtId="165" fontId="24" fillId="0" borderId="197" applyAlignment="1" pivotButton="0" quotePrefix="0" xfId="60307">
      <alignment horizontal="right" vertical="center" readingOrder="1"/>
    </xf>
    <xf numFmtId="165" fontId="30" fillId="39" borderId="233" applyAlignment="1" pivotButton="0" quotePrefix="0" xfId="60307">
      <alignment horizontal="right" vertical="center" readingOrder="1"/>
    </xf>
    <xf numFmtId="164" fontId="13" fillId="4" borderId="0" applyAlignment="1" pivotButton="0" quotePrefix="0" xfId="60307">
      <alignment horizontal="center" vertical="center"/>
    </xf>
    <xf numFmtId="164" fontId="17" fillId="0" borderId="0" applyAlignment="1" pivotButton="0" quotePrefix="0" xfId="60307">
      <alignment horizontal="right" vertical="center"/>
    </xf>
    <xf numFmtId="164" fontId="13" fillId="0" borderId="0" applyAlignment="1" pivotButton="0" quotePrefix="0" xfId="60307">
      <alignment horizontal="right" vertical="center"/>
    </xf>
    <xf numFmtId="164" fontId="29" fillId="0" borderId="0" applyAlignment="1" pivotButton="0" quotePrefix="0" xfId="60307">
      <alignment horizontal="right" vertical="center"/>
    </xf>
    <xf numFmtId="164" fontId="13" fillId="0" borderId="0" applyAlignment="1" pivotButton="0" quotePrefix="0" xfId="60307">
      <alignment horizontal="right" vertical="center"/>
    </xf>
    <xf numFmtId="164" fontId="6" fillId="0" borderId="0" applyAlignment="1" pivotButton="0" quotePrefix="1" xfId="1">
      <alignment vertical="center"/>
    </xf>
    <xf numFmtId="165" fontId="21" fillId="0" borderId="0" pivotButton="0" quotePrefix="0" xfId="60307"/>
    <xf numFmtId="0" fontId="21" fillId="0" borderId="0" pivotButton="0" quotePrefix="0" xfId="0"/>
    <xf numFmtId="0" fontId="21" fillId="5" borderId="0" applyAlignment="1" pivotButton="0" quotePrefix="0" xfId="0">
      <alignment horizontal="center"/>
    </xf>
    <xf numFmtId="165" fontId="0" fillId="5" borderId="0" applyAlignment="1" pivotButton="0" quotePrefix="0" xfId="60307">
      <alignment horizontal="center"/>
    </xf>
    <xf numFmtId="165" fontId="21" fillId="5" borderId="0" applyAlignment="1" pivotButton="0" quotePrefix="0" xfId="60307">
      <alignment horizontal="center"/>
    </xf>
    <xf numFmtId="165" fontId="21" fillId="5" borderId="0" pivotButton="0" quotePrefix="0" xfId="60307"/>
    <xf numFmtId="165" fontId="28" fillId="3" borderId="25" applyAlignment="1" pivotButton="0" quotePrefix="0" xfId="60307">
      <alignment vertical="center" wrapText="1" readingOrder="1"/>
    </xf>
    <xf numFmtId="165" fontId="28" fillId="3" borderId="24" applyAlignment="1" pivotButton="0" quotePrefix="0" xfId="60307">
      <alignment vertical="center" wrapText="1" readingOrder="1"/>
    </xf>
    <xf numFmtId="165" fontId="29" fillId="5" borderId="205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67" fontId="24" fillId="0" borderId="0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8" fontId="25" fillId="5" borderId="186" applyAlignment="1" pivotButton="0" quotePrefix="0" xfId="1">
      <alignment horizontal="right" vertical="center" readingOrder="1"/>
    </xf>
    <xf numFmtId="168" fontId="28" fillId="5" borderId="52" applyAlignment="1" pivotButton="0" quotePrefix="0" xfId="1">
      <alignment horizontal="right" vertical="center" readingOrder="1"/>
    </xf>
    <xf numFmtId="168" fontId="28" fillId="0" borderId="53" applyAlignment="1" pivotButton="0" quotePrefix="0" xfId="1">
      <alignment horizontal="right" vertical="center" readingOrder="1"/>
    </xf>
    <xf numFmtId="198" fontId="30" fillId="46" borderId="198" applyAlignment="1" pivotButton="0" quotePrefix="0" xfId="60307">
      <alignment horizontal="right" vertical="center" readingOrder="1"/>
    </xf>
    <xf numFmtId="198" fontId="24" fillId="0" borderId="202" applyAlignment="1" pivotButton="0" quotePrefix="0" xfId="60307">
      <alignment horizontal="right" vertical="center" readingOrder="1"/>
    </xf>
    <xf numFmtId="165" fontId="29" fillId="5" borderId="204" applyAlignment="1" pivotButton="0" quotePrefix="0" xfId="60307">
      <alignment horizontal="right" vertical="center" readingOrder="1"/>
    </xf>
    <xf numFmtId="198" fontId="24" fillId="0" borderId="204" applyAlignment="1" pivotButton="0" quotePrefix="0" xfId="60307">
      <alignment horizontal="right" vertical="center" readingOrder="1"/>
    </xf>
    <xf numFmtId="198" fontId="24" fillId="0" borderId="217" applyAlignment="1" pivotButton="0" quotePrefix="0" xfId="60307">
      <alignment horizontal="right" vertical="center" readingOrder="1"/>
    </xf>
    <xf numFmtId="198" fontId="24" fillId="5" borderId="204" applyAlignment="1" pivotButton="0" quotePrefix="0" xfId="60307">
      <alignment horizontal="right" vertical="center" readingOrder="1"/>
    </xf>
    <xf numFmtId="198" fontId="24" fillId="0" borderId="211" applyAlignment="1" pivotButton="0" quotePrefix="0" xfId="60307">
      <alignment horizontal="right" vertical="center" readingOrder="1"/>
    </xf>
    <xf numFmtId="198" fontId="24" fillId="0" borderId="220" applyAlignment="1" pivotButton="0" quotePrefix="0" xfId="60307">
      <alignment horizontal="right" vertical="center" readingOrder="1"/>
    </xf>
    <xf numFmtId="0" fontId="92" fillId="0" borderId="347" applyAlignment="1" pivotButton="0" quotePrefix="0" xfId="0">
      <alignment vertical="center" wrapText="1"/>
    </xf>
    <xf numFmtId="167" fontId="24" fillId="0" borderId="211" applyAlignment="1" pivotButton="0" quotePrefix="0" xfId="60307">
      <alignment horizontal="right" vertical="center" readingOrder="1"/>
    </xf>
    <xf numFmtId="0" fontId="0" fillId="0" borderId="375" pivotButton="0" quotePrefix="0" xfId="0"/>
    <xf numFmtId="165" fontId="0" fillId="0" borderId="375" pivotButton="0" quotePrefix="0" xfId="60307"/>
    <xf numFmtId="0" fontId="111" fillId="0" borderId="375" pivotButton="0" quotePrefix="0" xfId="0"/>
    <xf numFmtId="165" fontId="111" fillId="0" borderId="375" pivotButton="0" quotePrefix="0" xfId="60307"/>
    <xf numFmtId="0" fontId="21" fillId="0" borderId="375" pivotButton="0" quotePrefix="0" xfId="0"/>
    <xf numFmtId="0" fontId="112" fillId="0" borderId="375" applyAlignment="1" pivotButton="0" quotePrefix="0" xfId="0">
      <alignment horizontal="left"/>
    </xf>
    <xf numFmtId="165" fontId="112" fillId="0" borderId="375" applyAlignment="1" pivotButton="0" quotePrefix="0" xfId="60307">
      <alignment horizontal="left"/>
    </xf>
    <xf numFmtId="165" fontId="21" fillId="0" borderId="375" pivotButton="0" quotePrefix="0" xfId="60307"/>
    <xf numFmtId="0" fontId="0" fillId="48" borderId="376" applyAlignment="1" pivotButton="0" quotePrefix="0" xfId="0">
      <alignment horizontal="center"/>
    </xf>
    <xf numFmtId="165" fontId="0" fillId="48" borderId="376" applyAlignment="1" pivotButton="0" quotePrefix="0" xfId="60307">
      <alignment horizontal="center"/>
    </xf>
    <xf numFmtId="0" fontId="20" fillId="0" borderId="0" applyAlignment="1" pivotButton="0" quotePrefix="0" xfId="60312">
      <alignment vertical="center"/>
    </xf>
    <xf numFmtId="0" fontId="19" fillId="49" borderId="377" applyAlignment="1" pivotButton="0" quotePrefix="0" xfId="60312">
      <alignment horizontal="center" vertical="center"/>
    </xf>
    <xf numFmtId="0" fontId="20" fillId="0" borderId="376" applyAlignment="1" pivotButton="0" quotePrefix="0" xfId="60312">
      <alignment horizontal="center" vertical="center"/>
    </xf>
    <xf numFmtId="204" fontId="20" fillId="46" borderId="376" applyAlignment="1" pivotButton="0" quotePrefix="0" xfId="60312">
      <alignment horizontal="center" vertical="center"/>
    </xf>
    <xf numFmtId="0" fontId="19" fillId="49" borderId="376" applyAlignment="1" pivotButton="0" quotePrefix="0" xfId="60312">
      <alignment horizontal="center" vertical="center"/>
    </xf>
    <xf numFmtId="0" fontId="20" fillId="0" borderId="64" applyAlignment="1" pivotButton="0" quotePrefix="0" xfId="60312">
      <alignment vertical="center"/>
    </xf>
    <xf numFmtId="0" fontId="116" fillId="44" borderId="377" applyAlignment="1" pivotButton="0" quotePrefix="0" xfId="60312">
      <alignment horizontal="center" vertical="center"/>
    </xf>
    <xf numFmtId="0" fontId="20" fillId="0" borderId="0" applyAlignment="1" pivotButton="0" quotePrefix="0" xfId="60312">
      <alignment horizontal="center" vertical="center"/>
    </xf>
    <xf numFmtId="0" fontId="20" fillId="43" borderId="0" applyAlignment="1" pivotButton="0" quotePrefix="0" xfId="60312">
      <alignment horizontal="center" vertical="center"/>
    </xf>
    <xf numFmtId="0" fontId="116" fillId="51" borderId="377" applyAlignment="1" pivotButton="0" quotePrefix="0" xfId="60312">
      <alignment horizontal="center" vertical="center"/>
    </xf>
    <xf numFmtId="0" fontId="20" fillId="52" borderId="0" applyAlignment="1" pivotButton="0" quotePrefix="0" xfId="60312">
      <alignment horizontal="center" vertical="center"/>
    </xf>
    <xf numFmtId="0" fontId="20" fillId="51" borderId="0" applyAlignment="1" pivotButton="0" quotePrefix="0" xfId="60312">
      <alignment horizontal="center" vertical="center"/>
    </xf>
    <xf numFmtId="0" fontId="105" fillId="3" borderId="283" applyAlignment="1" pivotButton="0" quotePrefix="0" xfId="0">
      <alignment horizontal="center" vertical="center" wrapText="1" readingOrder="1"/>
    </xf>
    <xf numFmtId="0" fontId="105" fillId="3" borderId="378" applyAlignment="1" pivotButton="0" quotePrefix="0" xfId="0">
      <alignment horizontal="center" vertical="center" wrapText="1" readingOrder="1"/>
    </xf>
    <xf numFmtId="0" fontId="104" fillId="3" borderId="379" applyAlignment="1" pivotButton="0" quotePrefix="0" xfId="0">
      <alignment horizontal="center" vertical="center" wrapText="1" readingOrder="1"/>
    </xf>
    <xf numFmtId="0" fontId="105" fillId="3" borderId="380" applyAlignment="1" pivotButton="0" quotePrefix="0" xfId="0">
      <alignment horizontal="center" vertical="center" wrapText="1" readingOrder="1"/>
    </xf>
    <xf numFmtId="0" fontId="105" fillId="3" borderId="281" applyAlignment="1" pivotButton="0" quotePrefix="0" xfId="0">
      <alignment horizontal="center" vertical="center" wrapText="1" readingOrder="1"/>
    </xf>
    <xf numFmtId="0" fontId="104" fillId="0" borderId="283" applyAlignment="1" pivotButton="0" quotePrefix="0" xfId="0">
      <alignment horizontal="left" vertical="center" wrapText="1" readingOrder="1"/>
    </xf>
    <xf numFmtId="0" fontId="104" fillId="0" borderId="275" applyAlignment="1" pivotButton="0" quotePrefix="0" xfId="0">
      <alignment horizontal="left" vertical="center" wrapText="1" readingOrder="1"/>
    </xf>
    <xf numFmtId="0" fontId="105" fillId="0" borderId="280" applyAlignment="1" pivotButton="0" quotePrefix="0" xfId="0">
      <alignment horizontal="left" vertical="center" wrapText="1" readingOrder="1"/>
    </xf>
    <xf numFmtId="0" fontId="105" fillId="0" borderId="281" applyAlignment="1" pivotButton="0" quotePrefix="0" xfId="0">
      <alignment horizontal="left" vertical="center" wrapText="1" readingOrder="1"/>
    </xf>
    <xf numFmtId="0" fontId="104" fillId="42" borderId="283" applyAlignment="1" pivotButton="0" quotePrefix="0" xfId="0">
      <alignment horizontal="left" vertical="center" wrapText="1" readingOrder="1"/>
    </xf>
    <xf numFmtId="0" fontId="118" fillId="0" borderId="281" applyAlignment="1" pivotButton="0" quotePrefix="0" xfId="0">
      <alignment horizontal="left" vertical="center" readingOrder="1"/>
    </xf>
    <xf numFmtId="0" fontId="118" fillId="0" borderId="365" applyAlignment="1" pivotButton="0" quotePrefix="0" xfId="0">
      <alignment horizontal="left" vertical="center" readingOrder="1"/>
    </xf>
    <xf numFmtId="0" fontId="118" fillId="0" borderId="356" applyAlignment="1" pivotButton="0" quotePrefix="0" xfId="0">
      <alignment horizontal="left" vertical="center" readingOrder="1"/>
    </xf>
    <xf numFmtId="0" fontId="105" fillId="0" borderId="281" applyAlignment="1" pivotButton="0" quotePrefix="0" xfId="0">
      <alignment horizontal="left" vertical="center" readingOrder="1"/>
    </xf>
    <xf numFmtId="0" fontId="118" fillId="42" borderId="281" applyAlignment="1" pivotButton="0" quotePrefix="0" xfId="0">
      <alignment horizontal="left" vertical="center" readingOrder="1"/>
    </xf>
    <xf numFmtId="0" fontId="105" fillId="3" borderId="387" applyAlignment="1" pivotButton="0" quotePrefix="0" xfId="0">
      <alignment horizontal="center" vertical="center" wrapText="1" readingOrder="1"/>
    </xf>
    <xf numFmtId="0" fontId="105" fillId="3" borderId="388" applyAlignment="1" pivotButton="0" quotePrefix="0" xfId="0">
      <alignment horizontal="center" vertical="center" wrapText="1" readingOrder="1"/>
    </xf>
    <xf numFmtId="0" fontId="105" fillId="3" borderId="389" applyAlignment="1" pivotButton="0" quotePrefix="0" xfId="0">
      <alignment horizontal="center" vertical="center" wrapText="1" readingOrder="1"/>
    </xf>
    <xf numFmtId="0" fontId="105" fillId="0" borderId="283" applyAlignment="1" pivotButton="0" quotePrefix="0" xfId="0">
      <alignment horizontal="left" vertical="center" wrapText="1" readingOrder="1"/>
    </xf>
    <xf numFmtId="0" fontId="105" fillId="0" borderId="395" applyAlignment="1" pivotButton="0" quotePrefix="0" xfId="0">
      <alignment horizontal="left" vertical="center" wrapText="1" readingOrder="1"/>
    </xf>
    <xf numFmtId="0" fontId="105" fillId="0" borderId="396" applyAlignment="1" pivotButton="0" quotePrefix="0" xfId="0">
      <alignment horizontal="left" vertical="center" wrapText="1" readingOrder="1"/>
    </xf>
    <xf numFmtId="0" fontId="105" fillId="0" borderId="400" applyAlignment="1" pivotButton="0" quotePrefix="0" xfId="0">
      <alignment horizontal="left" vertical="center" wrapText="1" readingOrder="1"/>
    </xf>
    <xf numFmtId="0" fontId="105" fillId="0" borderId="401" applyAlignment="1" pivotButton="0" quotePrefix="0" xfId="0">
      <alignment horizontal="left" vertical="center" wrapText="1" readingOrder="1"/>
    </xf>
    <xf numFmtId="0" fontId="105" fillId="0" borderId="405" applyAlignment="1" pivotButton="0" quotePrefix="0" xfId="0">
      <alignment horizontal="left" vertical="center" wrapText="1" readingOrder="1"/>
    </xf>
    <xf numFmtId="0" fontId="104" fillId="53" borderId="283" applyAlignment="1" pivotButton="0" quotePrefix="0" xfId="0">
      <alignment horizontal="left" vertical="center" wrapText="1" readingOrder="1"/>
    </xf>
    <xf numFmtId="0" fontId="120" fillId="53" borderId="281" applyAlignment="1" pivotButton="0" quotePrefix="0" xfId="0">
      <alignment horizontal="left" vertical="center" wrapText="1" readingOrder="1"/>
    </xf>
    <xf numFmtId="0" fontId="119" fillId="42" borderId="281" applyAlignment="1" pivotButton="0" quotePrefix="0" xfId="0">
      <alignment horizontal="left" vertical="center" wrapText="1" readingOrder="1"/>
    </xf>
    <xf numFmtId="0" fontId="105" fillId="0" borderId="408" applyAlignment="1" pivotButton="0" quotePrefix="0" xfId="0">
      <alignment horizontal="left" vertical="center" wrapText="1" readingOrder="1"/>
    </xf>
    <xf numFmtId="0" fontId="105" fillId="0" borderId="412" applyAlignment="1" pivotButton="0" quotePrefix="0" xfId="0">
      <alignment horizontal="left" vertical="center" wrapText="1" readingOrder="1"/>
    </xf>
    <xf numFmtId="0" fontId="105" fillId="0" borderId="416" applyAlignment="1" pivotButton="0" quotePrefix="0" xfId="0">
      <alignment horizontal="left" vertical="center" wrapText="1" readingOrder="1"/>
    </xf>
    <xf numFmtId="0" fontId="104" fillId="0" borderId="417" applyAlignment="1" pivotButton="0" quotePrefix="0" xfId="0">
      <alignment horizontal="left" vertical="center" wrapText="1" readingOrder="1"/>
    </xf>
    <xf numFmtId="0" fontId="105" fillId="3" borderId="406" applyAlignment="1" pivotButton="0" quotePrefix="0" xfId="0">
      <alignment horizontal="center" vertical="center" wrapText="1" readingOrder="1"/>
    </xf>
    <xf numFmtId="0" fontId="105" fillId="3" borderId="407" applyAlignment="1" pivotButton="0" quotePrefix="0" xfId="0">
      <alignment horizontal="center" vertical="center" wrapText="1" readingOrder="1"/>
    </xf>
    <xf numFmtId="0" fontId="105" fillId="3" borderId="385" applyAlignment="1" pivotButton="0" quotePrefix="0" xfId="0">
      <alignment horizontal="center" vertical="center" wrapText="1" readingOrder="1"/>
    </xf>
    <xf numFmtId="0" fontId="105" fillId="3" borderId="427" applyAlignment="1" pivotButton="0" quotePrefix="0" xfId="0">
      <alignment horizontal="center" vertical="center" wrapText="1" readingOrder="1"/>
    </xf>
    <xf numFmtId="0" fontId="105" fillId="0" borderId="430" applyAlignment="1" pivotButton="0" quotePrefix="0" xfId="0">
      <alignment horizontal="left" vertical="center" wrapText="1" readingOrder="1"/>
    </xf>
    <xf numFmtId="0" fontId="105" fillId="43" borderId="334" applyAlignment="1" pivotButton="0" quotePrefix="0" xfId="0">
      <alignment horizontal="left" vertical="center" wrapText="1" readingOrder="1"/>
    </xf>
    <xf numFmtId="0" fontId="105" fillId="43" borderId="434" applyAlignment="1" pivotButton="0" quotePrefix="0" xfId="0">
      <alignment horizontal="left" vertical="center" wrapText="1" readingOrder="1"/>
    </xf>
    <xf numFmtId="0" fontId="92" fillId="0" borderId="435" applyAlignment="1" pivotButton="0" quotePrefix="0" xfId="0">
      <alignment vertical="center" wrapText="1"/>
    </xf>
    <xf numFmtId="0" fontId="105" fillId="43" borderId="436" applyAlignment="1" pivotButton="0" quotePrefix="0" xfId="0">
      <alignment horizontal="left" vertical="center" wrapText="1" readingOrder="1"/>
    </xf>
    <xf numFmtId="0" fontId="105" fillId="43" borderId="426" applyAlignment="1" pivotButton="0" quotePrefix="0" xfId="0">
      <alignment horizontal="left" vertical="center" wrapText="1" readingOrder="1"/>
    </xf>
    <xf numFmtId="0" fontId="105" fillId="43" borderId="416" applyAlignment="1" pivotButton="0" quotePrefix="0" xfId="0">
      <alignment horizontal="left" vertical="center" wrapText="1" readingOrder="1"/>
    </xf>
    <xf numFmtId="0" fontId="105" fillId="3" borderId="379" applyAlignment="1" pivotButton="0" quotePrefix="0" xfId="0">
      <alignment horizontal="center" vertical="center" wrapText="1" readingOrder="1"/>
    </xf>
    <xf numFmtId="0" fontId="104" fillId="0" borderId="441" applyAlignment="1" pivotButton="0" quotePrefix="0" xfId="0">
      <alignment horizontal="left" vertical="center" wrapText="1" readingOrder="1"/>
    </xf>
    <xf numFmtId="0" fontId="105" fillId="0" borderId="442" applyAlignment="1" pivotButton="0" quotePrefix="0" xfId="0">
      <alignment horizontal="left" vertical="center" wrapText="1" readingOrder="1"/>
    </xf>
    <xf numFmtId="0" fontId="105" fillId="0" borderId="365" applyAlignment="1" pivotButton="0" quotePrefix="0" xfId="0">
      <alignment horizontal="left" vertical="center" wrapText="1" readingOrder="1"/>
    </xf>
    <xf numFmtId="0" fontId="104" fillId="0" borderId="347" applyAlignment="1" pivotButton="0" quotePrefix="0" xfId="0">
      <alignment horizontal="left" vertical="center" wrapText="1" readingOrder="1"/>
    </xf>
    <xf numFmtId="0" fontId="105" fillId="0" borderId="351" applyAlignment="1" pivotButton="0" quotePrefix="0" xfId="0">
      <alignment horizontal="left" vertical="center" wrapText="1" readingOrder="1"/>
    </xf>
    <xf numFmtId="0" fontId="105" fillId="0" borderId="292" applyAlignment="1" pivotButton="0" quotePrefix="0" xfId="0">
      <alignment horizontal="left" vertical="center" wrapText="1" readingOrder="1"/>
    </xf>
    <xf numFmtId="0" fontId="104" fillId="0" borderId="405" applyAlignment="1" pivotButton="0" quotePrefix="0" xfId="0">
      <alignment horizontal="left" vertical="center" wrapText="1" readingOrder="1"/>
    </xf>
    <xf numFmtId="0" fontId="104" fillId="0" borderId="452" applyAlignment="1" pivotButton="0" quotePrefix="0" xfId="0">
      <alignment horizontal="left" vertical="center" wrapText="1" readingOrder="1"/>
    </xf>
    <xf numFmtId="0" fontId="105" fillId="0" borderId="365" applyAlignment="1" pivotButton="0" quotePrefix="0" xfId="0">
      <alignment horizontal="left" vertical="center" readingOrder="1"/>
    </xf>
    <xf numFmtId="0" fontId="121" fillId="3" borderId="292" applyAlignment="1" pivotButton="0" quotePrefix="0" xfId="0">
      <alignment horizontal="center" vertical="center" wrapText="1" readingOrder="1"/>
    </xf>
    <xf numFmtId="0" fontId="121" fillId="3" borderId="293" applyAlignment="1" pivotButton="0" quotePrefix="0" xfId="0">
      <alignment horizontal="center" vertical="center" wrapText="1" readingOrder="1"/>
    </xf>
    <xf numFmtId="0" fontId="121" fillId="3" borderId="402" applyAlignment="1" pivotButton="0" quotePrefix="0" xfId="0">
      <alignment horizontal="center" vertical="center" wrapText="1" readingOrder="1"/>
    </xf>
    <xf numFmtId="0" fontId="121" fillId="3" borderId="403" applyAlignment="1" pivotButton="0" quotePrefix="0" xfId="0">
      <alignment horizontal="center" vertical="center" wrapText="1" readingOrder="1"/>
    </xf>
    <xf numFmtId="0" fontId="121" fillId="3" borderId="288" applyAlignment="1" pivotButton="0" quotePrefix="0" xfId="0">
      <alignment horizontal="center" vertical="center" wrapText="1" readingOrder="1"/>
    </xf>
    <xf numFmtId="0" fontId="121" fillId="3" borderId="294" applyAlignment="1" pivotButton="0" quotePrefix="0" xfId="0">
      <alignment horizontal="center" vertical="center" wrapText="1" readingOrder="1"/>
    </xf>
    <xf numFmtId="0" fontId="121" fillId="3" borderId="290" applyAlignment="1" pivotButton="0" quotePrefix="0" xfId="0">
      <alignment horizontal="center" vertical="center" wrapText="1" readingOrder="1"/>
    </xf>
    <xf numFmtId="3" fontId="122" fillId="0" borderId="406" applyAlignment="1" pivotButton="0" quotePrefix="0" xfId="0">
      <alignment horizontal="right" vertical="center" wrapText="1" readingOrder="1"/>
    </xf>
    <xf numFmtId="0" fontId="122" fillId="0" borderId="407" applyAlignment="1" pivotButton="0" quotePrefix="0" xfId="0">
      <alignment horizontal="right" vertical="center" wrapText="1" readingOrder="1"/>
    </xf>
    <xf numFmtId="3" fontId="122" fillId="0" borderId="288" applyAlignment="1" pivotButton="0" quotePrefix="0" xfId="0">
      <alignment horizontal="right" vertical="center" wrapText="1" readingOrder="1"/>
    </xf>
    <xf numFmtId="3" fontId="122" fillId="0" borderId="294" applyAlignment="1" pivotButton="0" quotePrefix="0" xfId="0">
      <alignment horizontal="right" vertical="center" wrapText="1" readingOrder="1"/>
    </xf>
    <xf numFmtId="3" fontId="122" fillId="0" borderId="290" applyAlignment="1" pivotButton="0" quotePrefix="0" xfId="0">
      <alignment horizontal="right" vertical="center" wrapText="1" readingOrder="1"/>
    </xf>
    <xf numFmtId="3" fontId="122" fillId="0" borderId="407" applyAlignment="1" pivotButton="0" quotePrefix="0" xfId="0">
      <alignment horizontal="right" vertical="center" wrapText="1" readingOrder="1"/>
    </xf>
    <xf numFmtId="0" fontId="121" fillId="0" borderId="333" applyAlignment="1" pivotButton="0" quotePrefix="0" xfId="0">
      <alignment horizontal="left" vertical="center" wrapText="1" readingOrder="1"/>
    </xf>
    <xf numFmtId="0" fontId="121" fillId="0" borderId="342" applyAlignment="1" pivotButton="0" quotePrefix="0" xfId="0">
      <alignment horizontal="left" vertical="center" wrapText="1" readingOrder="1"/>
    </xf>
    <xf numFmtId="0" fontId="121" fillId="0" borderId="325" applyAlignment="1" pivotButton="0" quotePrefix="0" xfId="0">
      <alignment horizontal="left" vertical="center" wrapText="1" readingOrder="1"/>
    </xf>
    <xf numFmtId="0" fontId="121" fillId="0" borderId="346" applyAlignment="1" pivotButton="0" quotePrefix="0" xfId="0">
      <alignment horizontal="left" vertical="center" wrapText="1" readingOrder="1"/>
    </xf>
    <xf numFmtId="0" fontId="121" fillId="0" borderId="334" applyAlignment="1" pivotButton="0" quotePrefix="0" xfId="0">
      <alignment horizontal="left" vertical="center" wrapText="1" readingOrder="1"/>
    </xf>
    <xf numFmtId="0" fontId="121" fillId="0" borderId="336" applyAlignment="1" pivotButton="0" quotePrefix="0" xfId="0">
      <alignment horizontal="left" vertical="center" wrapText="1" readingOrder="1"/>
    </xf>
    <xf numFmtId="0" fontId="121" fillId="0" borderId="348" applyAlignment="1" pivotButton="0" quotePrefix="0" xfId="0">
      <alignment horizontal="left" vertical="center" wrapText="1" readingOrder="1"/>
    </xf>
    <xf numFmtId="0" fontId="121" fillId="0" borderId="351" applyAlignment="1" pivotButton="0" quotePrefix="0" xfId="0">
      <alignment horizontal="left" vertical="center" wrapText="1" readingOrder="1"/>
    </xf>
    <xf numFmtId="0" fontId="121" fillId="0" borderId="307" applyAlignment="1" pivotButton="0" quotePrefix="0" xfId="0">
      <alignment horizontal="left" vertical="center" wrapText="1" readingOrder="1"/>
    </xf>
    <xf numFmtId="0" fontId="121" fillId="0" borderId="402" applyAlignment="1" pivotButton="0" quotePrefix="0" xfId="0">
      <alignment horizontal="right" vertical="center" wrapText="1" readingOrder="1"/>
    </xf>
    <xf numFmtId="0" fontId="121" fillId="0" borderId="403" applyAlignment="1" pivotButton="0" quotePrefix="0" xfId="0">
      <alignment horizontal="right" vertical="center" wrapText="1" readingOrder="1"/>
    </xf>
    <xf numFmtId="0" fontId="121" fillId="0" borderId="357" applyAlignment="1" pivotButton="0" quotePrefix="0" xfId="0">
      <alignment horizontal="right" vertical="center" wrapText="1" readingOrder="1"/>
    </xf>
    <xf numFmtId="0" fontId="121" fillId="0" borderId="358" applyAlignment="1" pivotButton="0" quotePrefix="0" xfId="0">
      <alignment horizontal="right" vertical="center" wrapText="1" readingOrder="1"/>
    </xf>
    <xf numFmtId="0" fontId="121" fillId="0" borderId="359" applyAlignment="1" pivotButton="0" quotePrefix="0" xfId="0">
      <alignment horizontal="right" vertical="center" wrapText="1" readingOrder="1"/>
    </xf>
    <xf numFmtId="0" fontId="123" fillId="0" borderId="284" applyAlignment="1" pivotButton="0" quotePrefix="0" xfId="0">
      <alignment horizontal="left" vertical="center" readingOrder="1"/>
    </xf>
    <xf numFmtId="0" fontId="124" fillId="0" borderId="306" applyAlignment="1" pivotButton="0" quotePrefix="0" xfId="0">
      <alignment horizontal="left" vertical="center" readingOrder="1"/>
    </xf>
    <xf numFmtId="0" fontId="124" fillId="0" borderId="316" applyAlignment="1" pivotButton="0" quotePrefix="0" xfId="0">
      <alignment horizontal="left" vertical="center" readingOrder="1"/>
    </xf>
    <xf numFmtId="0" fontId="124" fillId="0" borderId="324" applyAlignment="1" pivotButton="0" quotePrefix="0" xfId="0">
      <alignment horizontal="left" vertical="center" readingOrder="1"/>
    </xf>
    <xf numFmtId="0" fontId="124" fillId="0" borderId="332" applyAlignment="1" pivotButton="0" quotePrefix="0" xfId="0">
      <alignment horizontal="left" vertical="center" readingOrder="1"/>
    </xf>
    <xf numFmtId="0" fontId="124" fillId="0" borderId="335" applyAlignment="1" pivotButton="0" quotePrefix="0" xfId="0">
      <alignment horizontal="left" vertical="center" readingOrder="1"/>
    </xf>
    <xf numFmtId="0" fontId="124" fillId="0" borderId="341" applyAlignment="1" pivotButton="0" quotePrefix="0" xfId="0">
      <alignment horizontal="left" vertical="center" readingOrder="1"/>
    </xf>
    <xf numFmtId="0" fontId="124" fillId="0" borderId="292" applyAlignment="1" pivotButton="0" quotePrefix="0" xfId="0">
      <alignment horizontal="left" vertical="center" readingOrder="1"/>
    </xf>
    <xf numFmtId="0" fontId="92" fillId="0" borderId="360" applyAlignment="1" pivotButton="0" quotePrefix="0" xfId="0">
      <alignment vertical="center"/>
    </xf>
    <xf numFmtId="0" fontId="126" fillId="0" borderId="306" applyAlignment="1" pivotButton="0" quotePrefix="0" xfId="0">
      <alignment horizontal="right" vertical="center" readingOrder="1"/>
    </xf>
    <xf numFmtId="0" fontId="126" fillId="0" borderId="360" applyAlignment="1" pivotButton="0" quotePrefix="0" xfId="0">
      <alignment horizontal="right" vertical="center" readingOrder="1"/>
    </xf>
    <xf numFmtId="0" fontId="124" fillId="0" borderId="281" applyAlignment="1" pivotButton="0" quotePrefix="0" xfId="0">
      <alignment horizontal="left" vertical="center" readingOrder="1"/>
    </xf>
    <xf numFmtId="0" fontId="124" fillId="42" borderId="284" applyAlignment="1" pivotButton="0" quotePrefix="0" xfId="0">
      <alignment horizontal="left" vertical="center" readingOrder="1"/>
    </xf>
    <xf numFmtId="0" fontId="105" fillId="3" borderId="446" applyAlignment="1" pivotButton="0" quotePrefix="0" xfId="0">
      <alignment horizontal="center" vertical="center" wrapText="1" readingOrder="1"/>
    </xf>
    <xf numFmtId="0" fontId="105" fillId="0" borderId="347" applyAlignment="1" pivotButton="0" quotePrefix="0" xfId="0">
      <alignment horizontal="left" vertical="center" wrapText="1" readingOrder="1"/>
    </xf>
    <xf numFmtId="0" fontId="105" fillId="0" borderId="346" applyAlignment="1" pivotButton="0" quotePrefix="0" xfId="0">
      <alignment horizontal="left" vertical="center" wrapText="1" readingOrder="1"/>
    </xf>
    <xf numFmtId="0" fontId="105" fillId="0" borderId="348" applyAlignment="1" pivotButton="0" quotePrefix="0" xfId="0">
      <alignment horizontal="left" vertical="center" wrapText="1" readingOrder="1"/>
    </xf>
    <xf numFmtId="0" fontId="105" fillId="0" borderId="334" applyAlignment="1" pivotButton="0" quotePrefix="0" xfId="0">
      <alignment horizontal="left" vertical="center" wrapText="1" readingOrder="1"/>
    </xf>
    <xf numFmtId="0" fontId="105" fillId="0" borderId="336" applyAlignment="1" pivotButton="0" quotePrefix="0" xfId="0">
      <alignment horizontal="left" vertical="center" wrapText="1" readingOrder="1"/>
    </xf>
    <xf numFmtId="0" fontId="105" fillId="0" borderId="435" applyAlignment="1" pivotButton="0" quotePrefix="0" xfId="0">
      <alignment horizontal="left" vertical="center" wrapText="1" readingOrder="1"/>
    </xf>
    <xf numFmtId="0" fontId="105" fillId="0" borderId="341" applyAlignment="1" pivotButton="0" quotePrefix="0" xfId="0">
      <alignment horizontal="left" vertical="center" readingOrder="1"/>
    </xf>
    <xf numFmtId="0" fontId="105" fillId="0" borderId="356" applyAlignment="1" pivotButton="0" quotePrefix="0" xfId="0">
      <alignment horizontal="left" vertical="center" readingOrder="1"/>
    </xf>
    <xf numFmtId="0" fontId="105" fillId="0" borderId="335" applyAlignment="1" pivotButton="0" quotePrefix="0" xfId="0">
      <alignment horizontal="left" vertical="center" readingOrder="1"/>
    </xf>
    <xf numFmtId="0" fontId="130" fillId="0" borderId="356" applyAlignment="1" pivotButton="0" quotePrefix="0" xfId="0">
      <alignment vertical="center"/>
    </xf>
    <xf numFmtId="205" fontId="127" fillId="0" borderId="42" applyAlignment="1" pivotButton="0" quotePrefix="0" xfId="1">
      <alignment horizontal="right" vertical="center" readingOrder="1"/>
    </xf>
    <xf numFmtId="205" fontId="128" fillId="0" borderId="56" applyAlignment="1" pivotButton="0" quotePrefix="0" xfId="1">
      <alignment horizontal="right" vertical="center" readingOrder="1"/>
    </xf>
    <xf numFmtId="205" fontId="128" fillId="0" borderId="54" applyAlignment="1" pivotButton="0" quotePrefix="0" xfId="1">
      <alignment horizontal="right" vertical="center" readingOrder="1"/>
    </xf>
    <xf numFmtId="205" fontId="129" fillId="0" borderId="54" applyAlignment="1" pivotButton="0" quotePrefix="0" xfId="1">
      <alignment horizontal="right" vertical="center" readingOrder="1"/>
    </xf>
    <xf numFmtId="205" fontId="127" fillId="5" borderId="42" applyAlignment="1" pivotButton="0" quotePrefix="0" xfId="1">
      <alignment horizontal="right" vertical="center" readingOrder="1"/>
    </xf>
    <xf numFmtId="206" fontId="105" fillId="0" borderId="378" applyAlignment="1" pivotButton="0" quotePrefix="0" xfId="0">
      <alignment horizontal="right" vertical="center" wrapText="1" readingOrder="1"/>
    </xf>
    <xf numFmtId="206" fontId="104" fillId="0" borderId="381" applyAlignment="1" pivotButton="0" quotePrefix="0" xfId="0">
      <alignment horizontal="right" vertical="center" wrapText="1" readingOrder="1"/>
    </xf>
    <xf numFmtId="206" fontId="131" fillId="0" borderId="187" applyAlignment="1" pivotButton="0" quotePrefix="0" xfId="1">
      <alignment horizontal="right" vertical="center" readingOrder="1"/>
    </xf>
    <xf numFmtId="206" fontId="131" fillId="0" borderId="48" applyAlignment="1" pivotButton="0" quotePrefix="0" xfId="1">
      <alignment horizontal="right" vertical="center" readingOrder="1"/>
    </xf>
    <xf numFmtId="206" fontId="131" fillId="0" borderId="188" applyAlignment="1" pivotButton="0" quotePrefix="0" xfId="1">
      <alignment horizontal="right" vertical="center" readingOrder="1"/>
    </xf>
    <xf numFmtId="206" fontId="131" fillId="0" borderId="55" applyAlignment="1" pivotButton="0" quotePrefix="0" xfId="1">
      <alignment horizontal="right" vertical="center" readingOrder="1"/>
    </xf>
    <xf numFmtId="206" fontId="132" fillId="0" borderId="186" applyAlignment="1" pivotButton="0" quotePrefix="0" xfId="1">
      <alignment horizontal="right" vertical="center" readingOrder="1"/>
    </xf>
    <xf numFmtId="206" fontId="132" fillId="0" borderId="8" applyAlignment="1" pivotButton="0" quotePrefix="0" xfId="1">
      <alignment horizontal="right" vertical="center" readingOrder="1"/>
    </xf>
    <xf numFmtId="206" fontId="131" fillId="0" borderId="186" applyAlignment="1" pivotButton="0" quotePrefix="0" xfId="60307">
      <alignment horizontal="right" vertical="center" readingOrder="1"/>
    </xf>
    <xf numFmtId="206" fontId="131" fillId="0" borderId="53" applyAlignment="1" pivotButton="0" quotePrefix="0" xfId="60307">
      <alignment horizontal="right" vertical="center" readingOrder="1"/>
    </xf>
    <xf numFmtId="206" fontId="131" fillId="5" borderId="186" applyAlignment="1" pivotButton="0" quotePrefix="0" xfId="1">
      <alignment horizontal="right" vertical="center" readingOrder="1"/>
    </xf>
    <xf numFmtId="206" fontId="129" fillId="5" borderId="52" applyAlignment="1" pivotButton="0" quotePrefix="0" xfId="1">
      <alignment horizontal="right" vertical="center" readingOrder="1"/>
    </xf>
    <xf numFmtId="206" fontId="105" fillId="0" borderId="393" applyAlignment="1" pivotButton="0" quotePrefix="0" xfId="60307">
      <alignment horizontal="right" vertical="center" wrapText="1" readingOrder="1"/>
    </xf>
    <xf numFmtId="206" fontId="105" fillId="0" borderId="398" applyAlignment="1" pivotButton="0" quotePrefix="0" xfId="60307">
      <alignment horizontal="right" vertical="center" wrapText="1" readingOrder="1"/>
    </xf>
    <xf numFmtId="206" fontId="105" fillId="0" borderId="403" applyAlignment="1" pivotButton="0" quotePrefix="0" xfId="60307">
      <alignment horizontal="right" vertical="center" wrapText="1" readingOrder="1"/>
    </xf>
    <xf numFmtId="206" fontId="120" fillId="53" borderId="407" applyAlignment="1" pivotButton="0" quotePrefix="0" xfId="60307">
      <alignment horizontal="right" vertical="center" wrapText="1" readingOrder="1"/>
    </xf>
    <xf numFmtId="206" fontId="105" fillId="42" borderId="407" applyAlignment="1" pivotButton="0" quotePrefix="0" xfId="60307">
      <alignment horizontal="right" vertical="center" wrapText="1" readingOrder="1"/>
    </xf>
    <xf numFmtId="206" fontId="105" fillId="0" borderId="407" applyAlignment="1" pivotButton="0" quotePrefix="0" xfId="60307">
      <alignment horizontal="right" vertical="center" wrapText="1" readingOrder="1"/>
    </xf>
    <xf numFmtId="206" fontId="105" fillId="0" borderId="410" applyAlignment="1" pivotButton="0" quotePrefix="0" xfId="60307">
      <alignment horizontal="right" vertical="center" wrapText="1" readingOrder="1"/>
    </xf>
    <xf numFmtId="206" fontId="105" fillId="0" borderId="414" applyAlignment="1" pivotButton="0" quotePrefix="0" xfId="60307">
      <alignment horizontal="right" vertical="center" wrapText="1" readingOrder="1"/>
    </xf>
    <xf numFmtId="206" fontId="104" fillId="0" borderId="419" applyAlignment="1" pivotButton="0" quotePrefix="0" xfId="60307">
      <alignment horizontal="right" vertical="center" wrapText="1" readingOrder="1"/>
    </xf>
    <xf numFmtId="206" fontId="105" fillId="0" borderId="406" applyAlignment="1" pivotButton="0" quotePrefix="0" xfId="0">
      <alignment horizontal="right" vertical="center" wrapText="1" readingOrder="1"/>
    </xf>
    <xf numFmtId="206" fontId="105" fillId="0" borderId="111" applyAlignment="1" pivotButton="0" quotePrefix="0" xfId="0">
      <alignment horizontal="right" vertical="center" wrapText="1" readingOrder="1"/>
    </xf>
    <xf numFmtId="206" fontId="105" fillId="0" borderId="413" applyAlignment="1" pivotButton="0" quotePrefix="0" xfId="0">
      <alignment horizontal="right" vertical="center" wrapText="1" readingOrder="1"/>
    </xf>
    <xf numFmtId="206" fontId="105" fillId="0" borderId="415" applyAlignment="1" pivotButton="0" quotePrefix="0" xfId="0">
      <alignment horizontal="right" vertical="center" wrapText="1" readingOrder="1"/>
    </xf>
    <xf numFmtId="206" fontId="105" fillId="0" borderId="407" applyAlignment="1" pivotButton="0" quotePrefix="0" xfId="0">
      <alignment horizontal="right" vertical="center" wrapText="1" readingOrder="1"/>
    </xf>
    <xf numFmtId="206" fontId="105" fillId="0" borderId="427" applyAlignment="1" pivotButton="0" quotePrefix="0" xfId="0">
      <alignment horizontal="right" vertical="center" wrapText="1" readingOrder="1"/>
    </xf>
    <xf numFmtId="206" fontId="105" fillId="0" borderId="397" applyAlignment="1" pivotButton="0" quotePrefix="0" xfId="0">
      <alignment horizontal="right" vertical="center" wrapText="1" readingOrder="1"/>
    </xf>
    <xf numFmtId="206" fontId="105" fillId="0" borderId="398" applyAlignment="1" pivotButton="0" quotePrefix="0" xfId="0">
      <alignment horizontal="right" vertical="center" wrapText="1" readingOrder="1"/>
    </xf>
    <xf numFmtId="206" fontId="105" fillId="0" borderId="428" applyAlignment="1" pivotButton="0" quotePrefix="0" xfId="0">
      <alignment horizontal="right" vertical="center" wrapText="1" readingOrder="1"/>
    </xf>
    <xf numFmtId="206" fontId="105" fillId="0" borderId="429" applyAlignment="1" pivotButton="0" quotePrefix="0" xfId="0">
      <alignment horizontal="right" vertical="center" wrapText="1" readingOrder="1"/>
    </xf>
    <xf numFmtId="206" fontId="105" fillId="43" borderId="431" applyAlignment="1" pivotButton="0" quotePrefix="0" xfId="0">
      <alignment horizontal="right" vertical="center" wrapText="1" readingOrder="1"/>
    </xf>
    <xf numFmtId="206" fontId="105" fillId="43" borderId="334" applyAlignment="1" pivotButton="0" quotePrefix="0" xfId="0">
      <alignment horizontal="right" vertical="center" wrapText="1" readingOrder="1"/>
    </xf>
    <xf numFmtId="206" fontId="105" fillId="43" borderId="432" applyAlignment="1" pivotButton="0" quotePrefix="0" xfId="0">
      <alignment horizontal="right" vertical="center" wrapText="1" readingOrder="1"/>
    </xf>
    <xf numFmtId="206" fontId="105" fillId="43" borderId="433" applyAlignment="1" pivotButton="0" quotePrefix="0" xfId="0">
      <alignment horizontal="right" vertical="center" wrapText="1" readingOrder="1"/>
    </xf>
    <xf numFmtId="206" fontId="105" fillId="43" borderId="437" applyAlignment="1" pivotButton="0" quotePrefix="0" xfId="0">
      <alignment horizontal="right" vertical="center" wrapText="1" readingOrder="1"/>
    </xf>
    <xf numFmtId="206" fontId="105" fillId="43" borderId="436" applyAlignment="1" pivotButton="0" quotePrefix="0" xfId="0">
      <alignment horizontal="right" vertical="center" wrapText="1" readingOrder="1"/>
    </xf>
    <xf numFmtId="206" fontId="105" fillId="43" borderId="385" applyAlignment="1" pivotButton="0" quotePrefix="0" xfId="0">
      <alignment horizontal="right" vertical="center" wrapText="1" readingOrder="1"/>
    </xf>
    <xf numFmtId="206" fontId="105" fillId="43" borderId="438" applyAlignment="1" pivotButton="0" quotePrefix="0" xfId="0">
      <alignment horizontal="right" vertical="center" wrapText="1" readingOrder="1"/>
    </xf>
    <xf numFmtId="206" fontId="120" fillId="43" borderId="406" applyAlignment="1" pivotButton="0" quotePrefix="0" xfId="0">
      <alignment horizontal="right" vertical="center" wrapText="1" readingOrder="1"/>
    </xf>
    <xf numFmtId="206" fontId="120" fillId="43" borderId="407" applyAlignment="1" pivotButton="0" quotePrefix="0" xfId="0">
      <alignment horizontal="right" vertical="center" wrapText="1" readingOrder="1"/>
    </xf>
    <xf numFmtId="206" fontId="120" fillId="43" borderId="378" applyAlignment="1" pivotButton="0" quotePrefix="0" xfId="0">
      <alignment horizontal="right" vertical="center" wrapText="1" readingOrder="1"/>
    </xf>
    <xf numFmtId="206" fontId="105" fillId="43" borderId="427" applyAlignment="1" pivotButton="0" quotePrefix="0" xfId="0">
      <alignment horizontal="right" vertical="center" wrapText="1" readingOrder="1"/>
    </xf>
    <xf numFmtId="206" fontId="105" fillId="43" borderId="407" applyAlignment="1" pivotButton="0" quotePrefix="0" xfId="0">
      <alignment horizontal="right" vertical="center" wrapText="1" readingOrder="1"/>
    </xf>
    <xf numFmtId="206" fontId="105" fillId="43" borderId="378" applyAlignment="1" pivotButton="0" quotePrefix="0" xfId="0">
      <alignment horizontal="right" vertical="center" wrapText="1" readingOrder="1"/>
    </xf>
    <xf numFmtId="206" fontId="104" fillId="0" borderId="439" applyAlignment="1" pivotButton="0" quotePrefix="0" xfId="0">
      <alignment horizontal="right" vertical="center" wrapText="1" readingOrder="1"/>
    </xf>
    <xf numFmtId="206" fontId="104" fillId="0" borderId="410" applyAlignment="1" pivotButton="0" quotePrefix="0" xfId="0">
      <alignment horizontal="right" vertical="center" wrapText="1" readingOrder="1"/>
    </xf>
    <xf numFmtId="206" fontId="104" fillId="0" borderId="440" applyAlignment="1" pivotButton="0" quotePrefix="0" xfId="0">
      <alignment horizontal="right" vertical="center" wrapText="1" readingOrder="1"/>
    </xf>
    <xf numFmtId="206" fontId="105" fillId="0" borderId="382" applyAlignment="1" pivotButton="0" quotePrefix="0" xfId="0">
      <alignment horizontal="right" vertical="center" wrapText="1" readingOrder="1"/>
    </xf>
    <xf numFmtId="206" fontId="105" fillId="0" borderId="383" applyAlignment="1" pivotButton="0" quotePrefix="0" xfId="0">
      <alignment horizontal="right" vertical="center" wrapText="1" readingOrder="1"/>
    </xf>
    <xf numFmtId="206" fontId="117" fillId="0" borderId="384" applyAlignment="1" pivotButton="0" quotePrefix="0" xfId="0">
      <alignment horizontal="right" vertical="center" wrapText="1" readingOrder="1"/>
    </xf>
    <xf numFmtId="206" fontId="105" fillId="0" borderId="443" applyAlignment="1" pivotButton="0" quotePrefix="0" xfId="0">
      <alignment horizontal="right" vertical="center" wrapText="1" readingOrder="1"/>
    </xf>
    <xf numFmtId="206" fontId="105" fillId="0" borderId="444" applyAlignment="1" pivotButton="0" quotePrefix="0" xfId="0">
      <alignment horizontal="right" vertical="center" wrapText="1" readingOrder="1"/>
    </xf>
    <xf numFmtId="206" fontId="104" fillId="0" borderId="445" applyAlignment="1" pivotButton="0" quotePrefix="0" xfId="0">
      <alignment horizontal="right" vertical="center" wrapText="1" readingOrder="1"/>
    </xf>
    <xf numFmtId="206" fontId="104" fillId="0" borderId="446" applyAlignment="1" pivotButton="0" quotePrefix="0" xfId="0">
      <alignment horizontal="right" vertical="center" wrapText="1" readingOrder="1"/>
    </xf>
    <xf numFmtId="206" fontId="104" fillId="0" borderId="447" applyAlignment="1" pivotButton="0" quotePrefix="0" xfId="0">
      <alignment horizontal="right" vertical="center" wrapText="1" readingOrder="1"/>
    </xf>
    <xf numFmtId="206" fontId="104" fillId="0" borderId="384" applyAlignment="1" pivotButton="0" quotePrefix="0" xfId="0">
      <alignment horizontal="right" vertical="center" wrapText="1" readingOrder="1"/>
    </xf>
    <xf numFmtId="206" fontId="104" fillId="0" borderId="448" applyAlignment="1" pivotButton="0" quotePrefix="0" xfId="0">
      <alignment horizontal="right" vertical="center" wrapText="1" readingOrder="1"/>
    </xf>
    <xf numFmtId="206" fontId="104" fillId="0" borderId="449" applyAlignment="1" pivotButton="0" quotePrefix="0" xfId="0">
      <alignment horizontal="right" vertical="center" wrapText="1" readingOrder="1"/>
    </xf>
    <xf numFmtId="206" fontId="104" fillId="0" borderId="450" applyAlignment="1" pivotButton="0" quotePrefix="0" xfId="0">
      <alignment horizontal="right" vertical="center" wrapText="1" readingOrder="1"/>
    </xf>
    <xf numFmtId="206" fontId="117" fillId="0" borderId="451" applyAlignment="1" pivotButton="0" quotePrefix="0" xfId="0">
      <alignment horizontal="right" vertical="center" wrapText="1" readingOrder="1"/>
    </xf>
    <xf numFmtId="207" fontId="121" fillId="0" borderId="397" applyAlignment="1" pivotButton="0" quotePrefix="0" xfId="0">
      <alignment horizontal="right" vertical="center" wrapText="1" readingOrder="1"/>
    </xf>
    <xf numFmtId="207" fontId="121" fillId="0" borderId="398" applyAlignment="1" pivotButton="0" quotePrefix="0" xfId="0">
      <alignment horizontal="right" vertical="center" wrapText="1" readingOrder="1"/>
    </xf>
    <xf numFmtId="207" fontId="121" fillId="0" borderId="302" applyAlignment="1" pivotButton="0" quotePrefix="0" xfId="0">
      <alignment horizontal="right" vertical="center" wrapText="1" readingOrder="1"/>
    </xf>
    <xf numFmtId="207" fontId="121" fillId="0" borderId="303" applyAlignment="1" pivotButton="0" quotePrefix="0" xfId="0">
      <alignment horizontal="right" vertical="center" wrapText="1" readingOrder="1"/>
    </xf>
    <xf numFmtId="207" fontId="121" fillId="0" borderId="304" applyAlignment="1" pivotButton="0" quotePrefix="0" xfId="0">
      <alignment horizontal="right" vertical="center" wrapText="1" readingOrder="1"/>
    </xf>
    <xf numFmtId="207" fontId="121" fillId="0" borderId="431" applyAlignment="1" pivotButton="0" quotePrefix="0" xfId="0">
      <alignment horizontal="right" vertical="center" wrapText="1" readingOrder="1"/>
    </xf>
    <xf numFmtId="207" fontId="121" fillId="0" borderId="334" applyAlignment="1" pivotButton="0" quotePrefix="0" xfId="0">
      <alignment horizontal="right" vertical="center" wrapText="1" readingOrder="1"/>
    </xf>
    <xf numFmtId="207" fontId="121" fillId="0" borderId="313" applyAlignment="1" pivotButton="0" quotePrefix="0" xfId="0">
      <alignment horizontal="right" vertical="center" wrapText="1" readingOrder="1"/>
    </xf>
    <xf numFmtId="207" fontId="121" fillId="0" borderId="132" applyAlignment="1" pivotButton="0" quotePrefix="0" xfId="0">
      <alignment horizontal="right" vertical="center" wrapText="1" readingOrder="1"/>
    </xf>
    <xf numFmtId="207" fontId="121" fillId="0" borderId="314" applyAlignment="1" pivotButton="0" quotePrefix="0" xfId="0">
      <alignment horizontal="right" vertical="center" wrapText="1" readingOrder="1"/>
    </xf>
    <xf numFmtId="207" fontId="121" fillId="0" borderId="437" applyAlignment="1" pivotButton="0" quotePrefix="0" xfId="0">
      <alignment horizontal="right" vertical="center" wrapText="1" readingOrder="1"/>
    </xf>
    <xf numFmtId="207" fontId="121" fillId="0" borderId="436" applyAlignment="1" pivotButton="0" quotePrefix="0" xfId="0">
      <alignment horizontal="right" vertical="center" wrapText="1" readingOrder="1"/>
    </xf>
    <xf numFmtId="207" fontId="121" fillId="0" borderId="320" applyAlignment="1" pivotButton="0" quotePrefix="0" xfId="0">
      <alignment horizontal="right" vertical="center" wrapText="1" readingOrder="1"/>
    </xf>
    <xf numFmtId="207" fontId="121" fillId="0" borderId="321" applyAlignment="1" pivotButton="0" quotePrefix="0" xfId="0">
      <alignment horizontal="right" vertical="center" wrapText="1" readingOrder="1"/>
    </xf>
    <xf numFmtId="207" fontId="121" fillId="0" borderId="322" applyAlignment="1" pivotButton="0" quotePrefix="0" xfId="0">
      <alignment horizontal="right" vertical="center" wrapText="1" readingOrder="1"/>
    </xf>
    <xf numFmtId="207" fontId="121" fillId="0" borderId="453" applyAlignment="1" pivotButton="0" quotePrefix="0" xfId="0">
      <alignment horizontal="right" vertical="center" wrapText="1" readingOrder="1"/>
    </xf>
    <xf numFmtId="207" fontId="121" fillId="0" borderId="454" applyAlignment="1" pivotButton="0" quotePrefix="0" xfId="0">
      <alignment horizontal="right" vertical="center" wrapText="1" readingOrder="1"/>
    </xf>
    <xf numFmtId="207" fontId="121" fillId="0" borderId="328" applyAlignment="1" pivotButton="0" quotePrefix="0" xfId="0">
      <alignment horizontal="right" vertical="center" wrapText="1" readingOrder="1"/>
    </xf>
    <xf numFmtId="207" fontId="121" fillId="0" borderId="329" applyAlignment="1" pivotButton="0" quotePrefix="0" xfId="0">
      <alignment horizontal="right" vertical="center" wrapText="1" readingOrder="1"/>
    </xf>
    <xf numFmtId="207" fontId="121" fillId="0" borderId="330" applyAlignment="1" pivotButton="0" quotePrefix="0" xfId="0">
      <alignment horizontal="right" vertical="center" wrapText="1" readingOrder="1"/>
    </xf>
    <xf numFmtId="207" fontId="121" fillId="0" borderId="457" applyAlignment="1" pivotButton="0" quotePrefix="0" xfId="0">
      <alignment horizontal="right" vertical="center" wrapText="1" readingOrder="1"/>
    </xf>
    <xf numFmtId="207" fontId="121" fillId="0" borderId="336" applyAlignment="1" pivotButton="0" quotePrefix="0" xfId="0">
      <alignment horizontal="right" vertical="center" wrapText="1" readingOrder="1"/>
    </xf>
    <xf numFmtId="207" fontId="121" fillId="0" borderId="338" applyAlignment="1" pivotButton="0" quotePrefix="0" xfId="0">
      <alignment horizontal="right" vertical="center" wrapText="1" readingOrder="1"/>
    </xf>
    <xf numFmtId="207" fontId="121" fillId="0" borderId="122" applyAlignment="1" pivotButton="0" quotePrefix="0" xfId="0">
      <alignment horizontal="right" vertical="center" wrapText="1" readingOrder="1"/>
    </xf>
    <xf numFmtId="207" fontId="121" fillId="0" borderId="339" applyAlignment="1" pivotButton="0" quotePrefix="0" xfId="0">
      <alignment horizontal="right" vertical="center" wrapText="1" readingOrder="1"/>
    </xf>
    <xf numFmtId="207" fontId="121" fillId="0" borderId="458" applyAlignment="1" pivotButton="0" quotePrefix="0" xfId="0">
      <alignment horizontal="right" vertical="center" wrapText="1" readingOrder="1"/>
    </xf>
    <xf numFmtId="207" fontId="121" fillId="0" borderId="351" applyAlignment="1" pivotButton="0" quotePrefix="0" xfId="0">
      <alignment horizontal="right" vertical="center" wrapText="1" readingOrder="1"/>
    </xf>
    <xf numFmtId="207" fontId="121" fillId="0" borderId="343" applyAlignment="1" pivotButton="0" quotePrefix="0" xfId="0">
      <alignment horizontal="right" vertical="center" wrapText="1" readingOrder="1"/>
    </xf>
    <xf numFmtId="207" fontId="121" fillId="0" borderId="129" applyAlignment="1" pivotButton="0" quotePrefix="0" xfId="0">
      <alignment horizontal="right" vertical="center" wrapText="1" readingOrder="1"/>
    </xf>
    <xf numFmtId="207" fontId="121" fillId="0" borderId="344" applyAlignment="1" pivotButton="0" quotePrefix="0" xfId="0">
      <alignment horizontal="right" vertical="center" wrapText="1" readingOrder="1"/>
    </xf>
    <xf numFmtId="208" fontId="125" fillId="0" borderId="397" applyAlignment="1" pivotButton="0" quotePrefix="0" xfId="0">
      <alignment horizontal="right" vertical="center" wrapText="1" readingOrder="1"/>
    </xf>
    <xf numFmtId="208" fontId="125" fillId="0" borderId="398" applyAlignment="1" pivotButton="0" quotePrefix="0" xfId="0">
      <alignment horizontal="right" vertical="center" wrapText="1" readingOrder="1"/>
    </xf>
    <xf numFmtId="208" fontId="125" fillId="0" borderId="302" applyAlignment="1" pivotButton="0" quotePrefix="0" xfId="0">
      <alignment horizontal="right" vertical="center" wrapText="1" readingOrder="1"/>
    </xf>
    <xf numFmtId="208" fontId="125" fillId="0" borderId="303" applyAlignment="1" pivotButton="0" quotePrefix="0" xfId="0">
      <alignment horizontal="right" vertical="center" wrapText="1" readingOrder="1"/>
    </xf>
    <xf numFmtId="208" fontId="125" fillId="0" borderId="304" applyAlignment="1" pivotButton="0" quotePrefix="0" xfId="0">
      <alignment horizontal="right" vertical="center" wrapText="1" readingOrder="1"/>
    </xf>
    <xf numFmtId="208" fontId="125" fillId="0" borderId="402" applyAlignment="1" pivotButton="0" quotePrefix="0" xfId="0">
      <alignment horizontal="right" vertical="center" wrapText="1" readingOrder="1"/>
    </xf>
    <xf numFmtId="208" fontId="125" fillId="0" borderId="403" applyAlignment="1" pivotButton="0" quotePrefix="0" xfId="0">
      <alignment horizontal="right" vertical="center" wrapText="1" readingOrder="1"/>
    </xf>
    <xf numFmtId="208" fontId="125" fillId="0" borderId="357" applyAlignment="1" pivotButton="0" quotePrefix="0" xfId="0">
      <alignment horizontal="right" vertical="center" wrapText="1" readingOrder="1"/>
    </xf>
    <xf numFmtId="208" fontId="125" fillId="0" borderId="358" applyAlignment="1" pivotButton="0" quotePrefix="0" xfId="0">
      <alignment horizontal="right" vertical="center" wrapText="1" readingOrder="1"/>
    </xf>
    <xf numFmtId="208" fontId="125" fillId="0" borderId="359" applyAlignment="1" pivotButton="0" quotePrefix="0" xfId="0">
      <alignment horizontal="right" vertical="center" wrapText="1" readingOrder="1"/>
    </xf>
    <xf numFmtId="208" fontId="121" fillId="0" borderId="406" applyAlignment="1" pivotButton="0" quotePrefix="0" xfId="0">
      <alignment horizontal="right" vertical="center" wrapText="1" readingOrder="1"/>
    </xf>
    <xf numFmtId="208" fontId="121" fillId="0" borderId="407" applyAlignment="1" pivotButton="0" quotePrefix="0" xfId="0">
      <alignment horizontal="right" vertical="center" wrapText="1" readingOrder="1"/>
    </xf>
    <xf numFmtId="208" fontId="121" fillId="0" borderId="288" applyAlignment="1" pivotButton="0" quotePrefix="0" xfId="0">
      <alignment horizontal="right" vertical="center" wrapText="1" readingOrder="1"/>
    </xf>
    <xf numFmtId="208" fontId="121" fillId="0" borderId="294" applyAlignment="1" pivotButton="0" quotePrefix="0" xfId="0">
      <alignment horizontal="right" vertical="center" wrapText="1" readingOrder="1"/>
    </xf>
    <xf numFmtId="208" fontId="121" fillId="0" borderId="290" applyAlignment="1" pivotButton="0" quotePrefix="0" xfId="0">
      <alignment horizontal="right" vertical="center" wrapText="1" readingOrder="1"/>
    </xf>
    <xf numFmtId="208" fontId="122" fillId="0" borderId="406" applyAlignment="1" pivotButton="0" quotePrefix="0" xfId="0">
      <alignment horizontal="right" vertical="center" wrapText="1" readingOrder="1"/>
    </xf>
    <xf numFmtId="207" fontId="104" fillId="42" borderId="406" applyAlignment="1" pivotButton="0" quotePrefix="0" xfId="0">
      <alignment horizontal="right" vertical="center" wrapText="1" readingOrder="1"/>
    </xf>
    <xf numFmtId="207" fontId="130" fillId="42" borderId="407" applyAlignment="1" pivotButton="0" quotePrefix="0" xfId="0">
      <alignment vertical="center" wrapText="1"/>
    </xf>
    <xf numFmtId="207" fontId="104" fillId="42" borderId="288" applyAlignment="1" pivotButton="0" quotePrefix="0" xfId="0">
      <alignment horizontal="right" vertical="center" wrapText="1" readingOrder="1"/>
    </xf>
    <xf numFmtId="207" fontId="104" fillId="42" borderId="294" applyAlignment="1" pivotButton="0" quotePrefix="0" xfId="0">
      <alignment horizontal="right" vertical="center" wrapText="1" readingOrder="1"/>
    </xf>
    <xf numFmtId="207" fontId="104" fillId="42" borderId="290" applyAlignment="1" pivotButton="0" quotePrefix="0" xfId="0">
      <alignment horizontal="right" vertical="center" wrapText="1" readingOrder="1"/>
    </xf>
    <xf numFmtId="207" fontId="104" fillId="42" borderId="407" applyAlignment="1" pivotButton="0" quotePrefix="0" xfId="0">
      <alignment horizontal="right" vertical="center" wrapText="1" readingOrder="1"/>
    </xf>
    <xf numFmtId="206" fontId="121" fillId="0" borderId="313" applyAlignment="1" pivotButton="0" quotePrefix="0" xfId="0">
      <alignment horizontal="right" vertical="center" wrapText="1" readingOrder="1"/>
    </xf>
    <xf numFmtId="206" fontId="121" fillId="0" borderId="132" applyAlignment="1" pivotButton="0" quotePrefix="0" xfId="0">
      <alignment horizontal="right" vertical="center" wrapText="1" readingOrder="1"/>
    </xf>
    <xf numFmtId="206" fontId="121" fillId="0" borderId="314" applyAlignment="1" pivotButton="0" quotePrefix="0" xfId="0">
      <alignment horizontal="right" vertical="center" wrapText="1" readingOrder="1"/>
    </xf>
    <xf numFmtId="206" fontId="121" fillId="0" borderId="338" applyAlignment="1" pivotButton="0" quotePrefix="0" xfId="0">
      <alignment horizontal="right" vertical="center" wrapText="1" readingOrder="1"/>
    </xf>
    <xf numFmtId="206" fontId="121" fillId="0" borderId="122" applyAlignment="1" pivotButton="0" quotePrefix="0" xfId="0">
      <alignment horizontal="right" vertical="center" wrapText="1" readingOrder="1"/>
    </xf>
    <xf numFmtId="206" fontId="121" fillId="0" borderId="339" applyAlignment="1" pivotButton="0" quotePrefix="0" xfId="0">
      <alignment horizontal="right" vertical="center" wrapText="1" readingOrder="1"/>
    </xf>
    <xf numFmtId="206" fontId="121" fillId="0" borderId="343" applyAlignment="1" pivotButton="0" quotePrefix="0" xfId="0">
      <alignment horizontal="right" vertical="center" wrapText="1" readingOrder="1"/>
    </xf>
    <xf numFmtId="206" fontId="121" fillId="0" borderId="129" applyAlignment="1" pivotButton="0" quotePrefix="0" xfId="0">
      <alignment horizontal="right" vertical="center" wrapText="1" readingOrder="1"/>
    </xf>
    <xf numFmtId="206" fontId="121" fillId="0" borderId="344" applyAlignment="1" pivotButton="0" quotePrefix="0" xfId="0">
      <alignment horizontal="right" vertical="center" wrapText="1" readingOrder="1"/>
    </xf>
    <xf numFmtId="206" fontId="105" fillId="0" borderId="380" applyAlignment="1" pivotButton="0" quotePrefix="0" xfId="0">
      <alignment horizontal="right" vertical="center" wrapText="1" readingOrder="1"/>
    </xf>
    <xf numFmtId="206" fontId="105" fillId="0" borderId="461" applyAlignment="1" pivotButton="0" quotePrefix="0" xfId="0">
      <alignment horizontal="right" vertical="center" wrapText="1" readingOrder="1"/>
    </xf>
    <xf numFmtId="206" fontId="105" fillId="0" borderId="453" applyAlignment="1" pivotButton="0" quotePrefix="0" xfId="0">
      <alignment horizontal="right" vertical="center" wrapText="1" readingOrder="1"/>
    </xf>
    <xf numFmtId="206" fontId="105" fillId="0" borderId="454" applyAlignment="1" pivotButton="0" quotePrefix="0" xfId="0">
      <alignment horizontal="right" vertical="center" wrapText="1" readingOrder="1"/>
    </xf>
    <xf numFmtId="206" fontId="105" fillId="0" borderId="463" applyAlignment="1" pivotButton="0" quotePrefix="0" xfId="0">
      <alignment horizontal="right" vertical="center" wrapText="1" readingOrder="1"/>
    </xf>
    <xf numFmtId="206" fontId="105" fillId="0" borderId="464" applyAlignment="1" pivotButton="0" quotePrefix="0" xfId="0">
      <alignment horizontal="right" vertical="center" wrapText="1" readingOrder="1"/>
    </xf>
    <xf numFmtId="206" fontId="105" fillId="0" borderId="465" applyAlignment="1" pivotButton="0" quotePrefix="0" xfId="0">
      <alignment horizontal="right" vertical="center" wrapText="1" readingOrder="1"/>
    </xf>
    <xf numFmtId="206" fontId="105" fillId="0" borderId="431" applyAlignment="1" pivotButton="0" quotePrefix="0" xfId="0">
      <alignment horizontal="right" vertical="center" wrapText="1" readingOrder="1"/>
    </xf>
    <xf numFmtId="206" fontId="105" fillId="0" borderId="334" applyAlignment="1" pivotButton="0" quotePrefix="0" xfId="0">
      <alignment horizontal="right" vertical="center" wrapText="1" readingOrder="1"/>
    </xf>
    <xf numFmtId="206" fontId="105" fillId="0" borderId="432" applyAlignment="1" pivotButton="0" quotePrefix="0" xfId="0">
      <alignment horizontal="right" vertical="center" wrapText="1" readingOrder="1"/>
    </xf>
    <xf numFmtId="206" fontId="105" fillId="0" borderId="433" applyAlignment="1" pivotButton="0" quotePrefix="0" xfId="0">
      <alignment horizontal="right" vertical="center" wrapText="1" readingOrder="1"/>
    </xf>
    <xf numFmtId="206" fontId="105" fillId="0" borderId="467" applyAlignment="1" pivotButton="0" quotePrefix="0" xfId="0">
      <alignment horizontal="right" vertical="center" wrapText="1" readingOrder="1"/>
    </xf>
    <xf numFmtId="206" fontId="105" fillId="0" borderId="457" applyAlignment="1" pivotButton="0" quotePrefix="0" xfId="0">
      <alignment horizontal="right" vertical="center" wrapText="1" readingOrder="1"/>
    </xf>
    <xf numFmtId="206" fontId="105" fillId="0" borderId="336" applyAlignment="1" pivotButton="0" quotePrefix="0" xfId="0">
      <alignment horizontal="right" vertical="center" wrapText="1" readingOrder="1"/>
    </xf>
    <xf numFmtId="206" fontId="105" fillId="0" borderId="468" applyAlignment="1" pivotButton="0" quotePrefix="0" xfId="0">
      <alignment horizontal="right" vertical="center" wrapText="1" readingOrder="1"/>
    </xf>
    <xf numFmtId="206" fontId="105" fillId="0" borderId="469" applyAlignment="1" pivotButton="0" quotePrefix="0" xfId="0">
      <alignment horizontal="right" vertical="center" wrapText="1" readingOrder="1"/>
    </xf>
    <xf numFmtId="206" fontId="105" fillId="0" borderId="470" applyAlignment="1" pivotButton="0" quotePrefix="0" xfId="0">
      <alignment horizontal="right" vertical="center" wrapText="1" readingOrder="1"/>
    </xf>
    <xf numFmtId="206" fontId="105" fillId="0" borderId="473" applyAlignment="1" pivotButton="0" quotePrefix="0" xfId="0">
      <alignment horizontal="right" vertical="center" wrapText="1" readingOrder="1"/>
    </xf>
    <xf numFmtId="206" fontId="105" fillId="0" borderId="351" applyAlignment="1" pivotButton="0" quotePrefix="0" xfId="0">
      <alignment horizontal="right" vertical="center" wrapText="1" readingOrder="1"/>
    </xf>
    <xf numFmtId="206" fontId="105" fillId="0" borderId="474" applyAlignment="1" pivotButton="0" quotePrefix="0" xfId="0">
      <alignment horizontal="right" vertical="center" wrapText="1" readingOrder="1"/>
    </xf>
    <xf numFmtId="206" fontId="105" fillId="0" borderId="445" applyAlignment="1" pivotButton="0" quotePrefix="0" xfId="0">
      <alignment horizontal="right" vertical="center" wrapText="1" readingOrder="1"/>
    </xf>
    <xf numFmtId="206" fontId="105" fillId="0" borderId="476" applyAlignment="1" pivotButton="0" quotePrefix="0" xfId="0">
      <alignment horizontal="right" vertical="center" wrapText="1" readingOrder="1"/>
    </xf>
    <xf numFmtId="206" fontId="105" fillId="0" borderId="458" applyAlignment="1" pivotButton="0" quotePrefix="0" xfId="0">
      <alignment horizontal="right" vertical="center" wrapText="1" readingOrder="1"/>
    </xf>
    <xf numFmtId="206" fontId="105" fillId="0" borderId="437" applyAlignment="1" pivotButton="0" quotePrefix="0" xfId="0">
      <alignment horizontal="right" vertical="center" wrapText="1" readingOrder="1"/>
    </xf>
    <xf numFmtId="206" fontId="105" fillId="0" borderId="436" applyAlignment="1" pivotButton="0" quotePrefix="0" xfId="0">
      <alignment horizontal="right" vertical="center" wrapText="1" readingOrder="1"/>
    </xf>
    <xf numFmtId="206" fontId="105" fillId="0" borderId="385" applyAlignment="1" pivotButton="0" quotePrefix="0" xfId="0">
      <alignment horizontal="right" vertical="center" wrapText="1" readingOrder="1"/>
    </xf>
    <xf numFmtId="206" fontId="105" fillId="0" borderId="438" applyAlignment="1" pivotButton="0" quotePrefix="0" xfId="0">
      <alignment horizontal="right" vertical="center" wrapText="1" readingOrder="1"/>
    </xf>
    <xf numFmtId="206" fontId="105" fillId="0" borderId="386" applyAlignment="1" pivotButton="0" quotePrefix="0" xfId="0">
      <alignment horizontal="right" vertical="center" wrapText="1" readingOrder="1"/>
    </xf>
    <xf numFmtId="206" fontId="104" fillId="42" borderId="406" applyAlignment="1" pivotButton="0" quotePrefix="0" xfId="0">
      <alignment horizontal="right" vertical="center" wrapText="1" readingOrder="1"/>
    </xf>
    <xf numFmtId="206" fontId="104" fillId="42" borderId="407" applyAlignment="1" pivotButton="0" quotePrefix="0" xfId="0">
      <alignment horizontal="right" vertical="center" wrapText="1" readingOrder="1"/>
    </xf>
    <xf numFmtId="206" fontId="104" fillId="42" borderId="378" applyAlignment="1" pivotButton="0" quotePrefix="0" xfId="0">
      <alignment horizontal="right" vertical="center" wrapText="1" readingOrder="1"/>
    </xf>
    <xf numFmtId="206" fontId="104" fillId="42" borderId="439" applyAlignment="1" pivotButton="0" quotePrefix="0" xfId="0">
      <alignment horizontal="right" vertical="center" wrapText="1" readingOrder="1"/>
    </xf>
    <xf numFmtId="206" fontId="104" fillId="42" borderId="410" applyAlignment="1" pivotButton="0" quotePrefix="0" xfId="0">
      <alignment horizontal="right" vertical="center" wrapText="1" readingOrder="1"/>
    </xf>
    <xf numFmtId="206" fontId="104" fillId="42" borderId="440" applyAlignment="1" pivotButton="0" quotePrefix="0" xfId="0">
      <alignment horizontal="right" vertical="center" wrapText="1" readingOrder="1"/>
    </xf>
    <xf numFmtId="206" fontId="117" fillId="42" borderId="380" applyAlignment="1" pivotButton="0" quotePrefix="0" xfId="0">
      <alignment horizontal="right" vertical="center" wrapText="1" readingOrder="1"/>
    </xf>
    <xf numFmtId="0" fontId="130" fillId="0" borderId="281" applyAlignment="1" pivotButton="0" quotePrefix="0" xfId="0">
      <alignment horizontal="left" vertical="center"/>
    </xf>
    <xf numFmtId="0" fontId="130" fillId="0" borderId="400" applyAlignment="1" pivotButton="0" quotePrefix="0" xfId="0">
      <alignment horizontal="left" vertical="center"/>
    </xf>
    <xf numFmtId="0" fontId="130" fillId="0" borderId="466" applyAlignment="1" pivotButton="0" quotePrefix="0" xfId="0">
      <alignment horizontal="left" vertical="center"/>
    </xf>
    <xf numFmtId="0" fontId="130" fillId="0" borderId="335" applyAlignment="1" pivotButton="0" quotePrefix="0" xfId="0">
      <alignment horizontal="left" vertical="center"/>
    </xf>
    <xf numFmtId="0" fontId="130" fillId="0" borderId="292" applyAlignment="1" pivotButton="0" quotePrefix="0" xfId="0">
      <alignment horizontal="left" vertical="center"/>
    </xf>
    <xf numFmtId="0" fontId="130" fillId="0" borderId="341" applyAlignment="1" pivotButton="0" quotePrefix="0" xfId="0">
      <alignment horizontal="left" vertical="center"/>
    </xf>
    <xf numFmtId="0" fontId="130" fillId="0" borderId="356" applyAlignment="1" pivotButton="0" quotePrefix="0" xfId="0">
      <alignment horizontal="left" vertical="center"/>
    </xf>
    <xf numFmtId="0" fontId="130" fillId="42" borderId="281" applyAlignment="1" pivotButton="0" quotePrefix="0" xfId="0">
      <alignment horizontal="left" vertical="center"/>
    </xf>
    <xf numFmtId="168" fontId="9" fillId="0" borderId="1" applyAlignment="1" pivotButton="0" quotePrefix="0" xfId="2">
      <alignment horizontal="right" vertical="center" readingOrder="1"/>
    </xf>
    <xf numFmtId="168" fontId="9" fillId="0" borderId="5" applyAlignment="1" pivotButton="0" quotePrefix="0" xfId="2">
      <alignment horizontal="right" vertical="center" readingOrder="1"/>
    </xf>
    <xf numFmtId="168" fontId="9" fillId="0" borderId="50" applyAlignment="1" pivotButton="0" quotePrefix="0" xfId="2">
      <alignment horizontal="right" vertical="center" readingOrder="1"/>
    </xf>
    <xf numFmtId="168" fontId="9" fillId="0" borderId="8" applyAlignment="1" pivotButton="0" quotePrefix="0" xfId="2">
      <alignment horizontal="right" vertical="center" readingOrder="1"/>
    </xf>
    <xf numFmtId="168" fontId="9" fillId="0" borderId="23" applyAlignment="1" pivotButton="0" quotePrefix="0" xfId="2">
      <alignment horizontal="right" vertical="center" readingOrder="1"/>
    </xf>
    <xf numFmtId="168" fontId="9" fillId="0" borderId="75" applyAlignment="1" pivotButton="0" quotePrefix="0" xfId="2">
      <alignment horizontal="right" vertical="center" readingOrder="1"/>
    </xf>
    <xf numFmtId="168" fontId="9" fillId="0" borderId="81" applyAlignment="1" pivotButton="0" quotePrefix="0" xfId="2">
      <alignment horizontal="right" vertical="center" readingOrder="1"/>
    </xf>
    <xf numFmtId="168" fontId="9" fillId="0" borderId="2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horizontal="right" vertical="center" readingOrder="1"/>
    </xf>
    <xf numFmtId="168" fontId="9" fillId="0" borderId="76" applyAlignment="1" pivotButton="0" quotePrefix="0" xfId="2">
      <alignment horizontal="right" vertical="center" readingOrder="1"/>
    </xf>
    <xf numFmtId="168" fontId="9" fillId="0" borderId="82" applyAlignment="1" pivotButton="0" quotePrefix="0" xfId="2">
      <alignment horizontal="right" vertical="center" readingOrder="1"/>
    </xf>
    <xf numFmtId="168" fontId="9" fillId="0" borderId="33" applyAlignment="1" pivotButton="0" quotePrefix="0" xfId="2">
      <alignment horizontal="right" vertical="center" readingOrder="1"/>
    </xf>
    <xf numFmtId="168" fontId="9" fillId="0" borderId="15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horizontal="right" vertical="center" readingOrder="1"/>
    </xf>
    <xf numFmtId="168" fontId="9" fillId="0" borderId="26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vertical="center" readingOrder="1"/>
    </xf>
    <xf numFmtId="168" fontId="9" fillId="0" borderId="84" applyAlignment="1" pivotButton="0" quotePrefix="0" xfId="2">
      <alignment horizontal="right" vertical="center" readingOrder="1"/>
    </xf>
    <xf numFmtId="168" fontId="9" fillId="0" borderId="30" applyAlignment="1" pivotButton="0" quotePrefix="0" xfId="2">
      <alignment horizontal="right" vertical="center" readingOrder="1"/>
    </xf>
    <xf numFmtId="168" fontId="6" fillId="0" borderId="30" applyAlignment="1" pivotButton="0" quotePrefix="0" xfId="2">
      <alignment horizontal="right" vertical="center" readingOrder="1"/>
    </xf>
    <xf numFmtId="168" fontId="9" fillId="0" borderId="39" applyAlignment="1" pivotButton="0" quotePrefix="0" xfId="2">
      <alignment horizontal="right" vertical="center" readingOrder="1"/>
    </xf>
    <xf numFmtId="168" fontId="9" fillId="0" borderId="71" applyAlignment="1" pivotButton="0" quotePrefix="0" xfId="2">
      <alignment horizontal="right" vertical="center" readingOrder="1"/>
    </xf>
    <xf numFmtId="168" fontId="9" fillId="0" borderId="7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vertical="center" readingOrder="1"/>
    </xf>
    <xf numFmtId="168" fontId="9" fillId="0" borderId="76" applyAlignment="1" pivotButton="0" quotePrefix="0" xfId="2">
      <alignment vertical="center" readingOrder="1"/>
    </xf>
    <xf numFmtId="168" fontId="9" fillId="0" borderId="82" applyAlignment="1" pivotButton="0" quotePrefix="0" xfId="2">
      <alignment vertical="center" readingOrder="1"/>
    </xf>
    <xf numFmtId="168" fontId="9" fillId="0" borderId="15" applyAlignment="1" pivotButton="0" quotePrefix="0" xfId="2">
      <alignment vertical="center" readingOrder="1"/>
    </xf>
    <xf numFmtId="168" fontId="9" fillId="0" borderId="19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vertical="center" readingOrder="1"/>
    </xf>
    <xf numFmtId="168" fontId="9" fillId="0" borderId="26" applyAlignment="1" pivotButton="0" quotePrefix="0" xfId="2">
      <alignment vertical="center" readingOrder="1"/>
    </xf>
    <xf numFmtId="168" fontId="9" fillId="0" borderId="27" applyAlignment="1" pivotButton="0" quotePrefix="0" xfId="2">
      <alignment horizontal="right" vertical="center" readingOrder="1"/>
    </xf>
    <xf numFmtId="168" fontId="9" fillId="0" borderId="84" applyAlignment="1" pivotButton="0" quotePrefix="0" xfId="2">
      <alignment vertical="center" readingOrder="1"/>
    </xf>
    <xf numFmtId="168" fontId="9" fillId="0" borderId="34" applyAlignment="1" pivotButton="0" quotePrefix="0" xfId="2">
      <alignment vertical="center" readingOrder="1"/>
    </xf>
    <xf numFmtId="168" fontId="9" fillId="0" borderId="37" applyAlignment="1" pivotButton="0" quotePrefix="0" xfId="2">
      <alignment horizontal="right" vertical="center" readingOrder="1"/>
    </xf>
    <xf numFmtId="168" fontId="9" fillId="0" borderId="34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vertical="center" readingOrder="1"/>
    </xf>
    <xf numFmtId="168" fontId="9" fillId="0" borderId="36" applyAlignment="1" pivotButton="0" quotePrefix="0" xfId="2">
      <alignment horizontal="right" vertical="center" readingOrder="1"/>
    </xf>
    <xf numFmtId="168" fontId="9" fillId="0" borderId="78" applyAlignment="1" pivotButton="0" quotePrefix="0" xfId="2">
      <alignment horizontal="right" vertical="center" readingOrder="1"/>
    </xf>
    <xf numFmtId="168" fontId="9" fillId="0" borderId="77" applyAlignment="1" pivotButton="0" quotePrefix="0" xfId="2">
      <alignment vertical="center" readingOrder="1"/>
    </xf>
    <xf numFmtId="168" fontId="9" fillId="0" borderId="66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vertical="center" readingOrder="1"/>
    </xf>
    <xf numFmtId="168" fontId="9" fillId="0" borderId="10" applyAlignment="1" pivotButton="0" quotePrefix="0" xfId="2">
      <alignment horizontal="right" vertical="center" readingOrder="1"/>
    </xf>
    <xf numFmtId="168" fontId="9" fillId="0" borderId="80" applyAlignment="1" pivotButton="0" quotePrefix="0" xfId="2">
      <alignment horizontal="right" vertical="center" readingOrder="1"/>
    </xf>
    <xf numFmtId="168" fontId="9" fillId="0" borderId="85" applyAlignment="1" pivotButton="0" quotePrefix="0" xfId="2">
      <alignment horizontal="right" vertical="center" readingOrder="1"/>
    </xf>
    <xf numFmtId="168" fontId="9" fillId="0" borderId="14" applyAlignment="1" pivotButton="0" quotePrefix="0" xfId="2">
      <alignment horizontal="right" vertical="center" readingOrder="1"/>
    </xf>
    <xf numFmtId="168" fontId="9" fillId="0" borderId="12" applyAlignment="1" pivotButton="0" quotePrefix="0" xfId="2">
      <alignment horizontal="right" vertical="center" readingOrder="1"/>
    </xf>
    <xf numFmtId="168" fontId="9" fillId="0" borderId="79" applyAlignment="1" pivotButton="0" quotePrefix="0" xfId="2">
      <alignment horizontal="right" vertical="center" readingOrder="1"/>
    </xf>
    <xf numFmtId="168" fontId="9" fillId="2" borderId="80" applyAlignment="1" pivotButton="0" quotePrefix="0" xfId="2">
      <alignment horizontal="right" vertical="center" readingOrder="1"/>
    </xf>
    <xf numFmtId="168" fontId="9" fillId="0" borderId="73" applyAlignment="1" pivotButton="0" quotePrefix="0" xfId="2">
      <alignment horizontal="right" vertical="center" readingOrder="1"/>
    </xf>
    <xf numFmtId="168" fontId="9" fillId="0" borderId="74" applyAlignment="1" pivotButton="0" quotePrefix="0" xfId="2">
      <alignment horizontal="right" vertical="center" readingOrder="1"/>
    </xf>
    <xf numFmtId="168" fontId="24" fillId="0" borderId="0" applyAlignment="1" pivotButton="0" quotePrefix="0" xfId="1">
      <alignment vertical="center"/>
    </xf>
    <xf numFmtId="198" fontId="30" fillId="46" borderId="248" applyAlignment="1" pivotButton="0" quotePrefix="0" xfId="60307">
      <alignment horizontal="right" vertical="center" readingOrder="1"/>
    </xf>
    <xf numFmtId="198" fontId="24" fillId="0" borderId="249" applyAlignment="1" pivotButton="0" quotePrefix="0" xfId="60307">
      <alignment horizontal="right" vertical="center" readingOrder="1"/>
    </xf>
    <xf numFmtId="198" fontId="24" fillId="0" borderId="250" applyAlignment="1" pivotButton="0" quotePrefix="0" xfId="60307">
      <alignment horizontal="right" vertical="center" readingOrder="1"/>
    </xf>
    <xf numFmtId="198" fontId="24" fillId="0" borderId="252" applyAlignment="1" pivotButton="0" quotePrefix="0" xfId="60307">
      <alignment horizontal="right" vertical="center" readingOrder="1"/>
    </xf>
    <xf numFmtId="198" fontId="24" fillId="5" borderId="250" applyAlignment="1" pivotButton="0" quotePrefix="0" xfId="60307">
      <alignment horizontal="right" vertical="center" readingOrder="1"/>
    </xf>
    <xf numFmtId="198" fontId="24" fillId="0" borderId="251" applyAlignment="1" pivotButton="0" quotePrefix="0" xfId="60307">
      <alignment horizontal="right" vertical="center" readingOrder="1"/>
    </xf>
    <xf numFmtId="198" fontId="24" fillId="0" borderId="480" applyAlignment="1" pivotButton="0" quotePrefix="0" xfId="60307">
      <alignment horizontal="right" vertical="center" readingOrder="1"/>
    </xf>
    <xf numFmtId="165" fontId="24" fillId="0" borderId="250" applyAlignment="1" pivotButton="0" quotePrefix="0" xfId="60307">
      <alignment horizontal="right" vertical="center" readingOrder="1"/>
    </xf>
    <xf numFmtId="165" fontId="24" fillId="0" borderId="251" applyAlignment="1" pivotButton="0" quotePrefix="0" xfId="60307">
      <alignment horizontal="right" vertical="center" readingOrder="1"/>
    </xf>
    <xf numFmtId="164" fontId="98" fillId="0" borderId="252" applyAlignment="1" pivotButton="0" quotePrefix="0" xfId="60307">
      <alignment horizontal="right" vertical="center" readingOrder="1"/>
    </xf>
    <xf numFmtId="164" fontId="98" fillId="5" borderId="248" applyAlignment="1" pivotButton="0" quotePrefix="0" xfId="60307">
      <alignment horizontal="right" vertical="center" readingOrder="1"/>
    </xf>
    <xf numFmtId="165" fontId="24" fillId="0" borderId="252" applyAlignment="1" pivotButton="0" quotePrefix="0" xfId="60307">
      <alignment horizontal="right" vertical="center" readingOrder="1"/>
    </xf>
    <xf numFmtId="165" fontId="24" fillId="0" borderId="248" applyAlignment="1" pivotButton="0" quotePrefix="0" xfId="60307">
      <alignment horizontal="right" vertical="center" readingOrder="1"/>
    </xf>
    <xf numFmtId="165" fontId="30" fillId="39" borderId="247" applyAlignment="1" pivotButton="0" quotePrefix="0" xfId="60307">
      <alignment horizontal="right" vertical="center" readingOrder="1"/>
    </xf>
    <xf numFmtId="170" fontId="37" fillId="0" borderId="0" applyAlignment="1" pivotButton="0" quotePrefix="0" xfId="60307">
      <alignment vertical="center"/>
    </xf>
    <xf numFmtId="165" fontId="28" fillId="3" borderId="481" applyAlignment="1" pivotButton="0" quotePrefix="0" xfId="60307">
      <alignment horizontal="center" vertical="center" wrapText="1" readingOrder="1"/>
    </xf>
    <xf numFmtId="198" fontId="30" fillId="46" borderId="482" applyAlignment="1" pivotButton="0" quotePrefix="0" xfId="60307">
      <alignment horizontal="right" vertical="center" readingOrder="1"/>
    </xf>
    <xf numFmtId="198" fontId="24" fillId="0" borderId="483" applyAlignment="1" pivotButton="0" quotePrefix="0" xfId="60307">
      <alignment horizontal="right" vertical="center" readingOrder="1"/>
    </xf>
    <xf numFmtId="198" fontId="24" fillId="0" borderId="484" applyAlignment="1" pivotButton="0" quotePrefix="0" xfId="60307">
      <alignment horizontal="right" vertical="center" readingOrder="1"/>
    </xf>
    <xf numFmtId="198" fontId="24" fillId="0" borderId="485" applyAlignment="1" pivotButton="0" quotePrefix="0" xfId="60307">
      <alignment horizontal="right" vertical="center" readingOrder="1"/>
    </xf>
    <xf numFmtId="198" fontId="24" fillId="5" borderId="484" applyAlignment="1" pivotButton="0" quotePrefix="0" xfId="60307">
      <alignment horizontal="right" vertical="center" readingOrder="1"/>
    </xf>
    <xf numFmtId="198" fontId="24" fillId="0" borderId="486" applyAlignment="1" pivotButton="0" quotePrefix="0" xfId="60307">
      <alignment horizontal="right" vertical="center" readingOrder="1"/>
    </xf>
    <xf numFmtId="198" fontId="24" fillId="0" borderId="487" applyAlignment="1" pivotButton="0" quotePrefix="0" xfId="60307">
      <alignment horizontal="right" vertical="center" readingOrder="1"/>
    </xf>
    <xf numFmtId="167" fontId="24" fillId="0" borderId="486" applyAlignment="1" pivotButton="0" quotePrefix="0" xfId="60307">
      <alignment horizontal="right" vertical="center" readingOrder="1"/>
    </xf>
    <xf numFmtId="165" fontId="24" fillId="0" borderId="484" applyAlignment="1" pivotButton="0" quotePrefix="0" xfId="60307">
      <alignment horizontal="right" vertical="center" readingOrder="1"/>
    </xf>
    <xf numFmtId="165" fontId="24" fillId="0" borderId="486" applyAlignment="1" pivotButton="0" quotePrefix="0" xfId="60307">
      <alignment horizontal="right" vertical="center" readingOrder="1"/>
    </xf>
    <xf numFmtId="164" fontId="98" fillId="0" borderId="485" applyAlignment="1" pivotButton="0" quotePrefix="0" xfId="60307">
      <alignment horizontal="right" vertical="center" readingOrder="1"/>
    </xf>
    <xf numFmtId="164" fontId="98" fillId="5" borderId="482" applyAlignment="1" pivotButton="0" quotePrefix="0" xfId="60307">
      <alignment horizontal="right" vertical="center" readingOrder="1"/>
    </xf>
    <xf numFmtId="165" fontId="24" fillId="0" borderId="485" applyAlignment="1" pivotButton="0" quotePrefix="0" xfId="60307">
      <alignment horizontal="right" vertical="center" readingOrder="1"/>
    </xf>
    <xf numFmtId="165" fontId="24" fillId="0" borderId="482" applyAlignment="1" pivotButton="0" quotePrefix="0" xfId="60307">
      <alignment horizontal="right" vertical="center" readingOrder="1"/>
    </xf>
    <xf numFmtId="165" fontId="30" fillId="39" borderId="481" applyAlignment="1" pivotButton="0" quotePrefix="0" xfId="60307">
      <alignment horizontal="right" vertical="center" readingOrder="1"/>
    </xf>
    <xf numFmtId="209" fontId="37" fillId="0" borderId="0" applyAlignment="1" pivotButton="0" quotePrefix="0" xfId="60307">
      <alignment vertical="center"/>
    </xf>
    <xf numFmtId="14" fontId="21" fillId="0" borderId="0" applyAlignment="1" pivotButton="0" quotePrefix="0" xfId="1">
      <alignment horizontal="right" vertical="center"/>
    </xf>
    <xf numFmtId="0" fontId="105" fillId="0" borderId="0" applyAlignment="1" pivotButton="0" quotePrefix="0" xfId="0">
      <alignment horizontal="left" vertical="center" wrapText="1" readingOrder="1"/>
    </xf>
    <xf numFmtId="0" fontId="105" fillId="0" borderId="337" applyAlignment="1" pivotButton="0" quotePrefix="0" xfId="0">
      <alignment horizontal="left" vertical="center" wrapText="1" readingOrder="1"/>
    </xf>
    <xf numFmtId="177" fontId="9" fillId="0" borderId="27" applyAlignment="1" pivotButton="0" quotePrefix="0" xfId="2">
      <alignment horizontal="right" vertical="center" readingOrder="1"/>
    </xf>
    <xf numFmtId="165" fontId="24" fillId="2" borderId="207" applyAlignment="1" pivotButton="0" quotePrefix="0" xfId="60307">
      <alignment horizontal="right" vertical="center" readingOrder="1"/>
    </xf>
    <xf numFmtId="0" fontId="133" fillId="0" borderId="0" applyAlignment="1" pivotButton="0" quotePrefix="0" xfId="60313">
      <alignment vertical="center"/>
    </xf>
    <xf numFmtId="210" fontId="133" fillId="0" borderId="0" applyAlignment="1" pivotButton="0" quotePrefix="0" xfId="60313">
      <alignment vertical="center"/>
    </xf>
    <xf numFmtId="210" fontId="1" fillId="0" borderId="0" applyAlignment="1" pivotButton="0" quotePrefix="0" xfId="60313">
      <alignment vertical="center"/>
    </xf>
    <xf numFmtId="210" fontId="133" fillId="2" borderId="0" applyAlignment="1" pivotButton="0" quotePrefix="0" xfId="60313">
      <alignment vertical="center"/>
    </xf>
    <xf numFmtId="0" fontId="1" fillId="0" borderId="0" applyAlignment="1" pivotButton="0" quotePrefix="0" xfId="60313">
      <alignment vertical="center"/>
    </xf>
    <xf numFmtId="0" fontId="36" fillId="0" borderId="0" applyAlignment="1" pivotButton="0" quotePrefix="0" xfId="60313">
      <alignment vertical="center"/>
    </xf>
    <xf numFmtId="0" fontId="133" fillId="5" borderId="0" applyAlignment="1" pivotButton="0" quotePrefix="0" xfId="60313">
      <alignment vertical="center"/>
    </xf>
    <xf numFmtId="0" fontId="116" fillId="0" borderId="84" applyAlignment="1" pivotButton="0" quotePrefix="0" xfId="60313">
      <alignment vertical="center"/>
    </xf>
    <xf numFmtId="0" fontId="116" fillId="0" borderId="0" applyAlignment="1" pivotButton="0" quotePrefix="0" xfId="60313">
      <alignment vertical="center"/>
    </xf>
    <xf numFmtId="0" fontId="134" fillId="54" borderId="0" applyAlignment="1" pivotButton="0" quotePrefix="0" xfId="60313">
      <alignment vertical="center"/>
    </xf>
    <xf numFmtId="211" fontId="135" fillId="54" borderId="0" applyAlignment="1" pivotButton="0" quotePrefix="0" xfId="60313">
      <alignment horizontal="center" vertical="center"/>
    </xf>
    <xf numFmtId="211" fontId="135" fillId="55" borderId="0" applyAlignment="1" pivotButton="0" quotePrefix="0" xfId="60313">
      <alignment horizontal="center" vertical="center"/>
    </xf>
    <xf numFmtId="0" fontId="136" fillId="55" borderId="0" applyAlignment="1" pivotButton="0" quotePrefix="0" xfId="60313">
      <alignment horizontal="center" vertical="center"/>
    </xf>
    <xf numFmtId="211" fontId="135" fillId="56" borderId="0" applyAlignment="1" pivotButton="0" quotePrefix="0" xfId="60313">
      <alignment horizontal="center" vertical="center"/>
    </xf>
    <xf numFmtId="212" fontId="137" fillId="57" borderId="0" applyAlignment="1" pivotButton="0" quotePrefix="0" xfId="60313">
      <alignment horizontal="center" vertical="center"/>
    </xf>
    <xf numFmtId="211" fontId="135" fillId="58" borderId="0" applyAlignment="1" pivotButton="0" quotePrefix="0" xfId="60313">
      <alignment horizontal="center" vertical="center"/>
    </xf>
    <xf numFmtId="0" fontId="139" fillId="50" borderId="0" applyAlignment="1" pivotButton="0" quotePrefix="0" xfId="60313">
      <alignment vertical="center"/>
    </xf>
    <xf numFmtId="210" fontId="140" fillId="50" borderId="0" applyAlignment="1" pivotButton="0" quotePrefix="0" xfId="60313">
      <alignment vertical="center"/>
    </xf>
    <xf numFmtId="210" fontId="140" fillId="59" borderId="0" applyAlignment="1" pivotButton="0" quotePrefix="0" xfId="60313">
      <alignment vertical="center"/>
    </xf>
    <xf numFmtId="210" fontId="140" fillId="60" borderId="0" applyAlignment="1" pivotButton="0" quotePrefix="0" xfId="60313">
      <alignment vertical="center"/>
    </xf>
    <xf numFmtId="0" fontId="141" fillId="0" borderId="0" applyAlignment="1" pivotButton="0" quotePrefix="0" xfId="60313">
      <alignment horizontal="left" vertical="center" indent="1"/>
    </xf>
    <xf numFmtId="210" fontId="142" fillId="5" borderId="0" applyAlignment="1" pivotButton="0" quotePrefix="0" xfId="60313">
      <alignment vertical="center"/>
    </xf>
    <xf numFmtId="210" fontId="142" fillId="59" borderId="0" applyAlignment="1" pivotButton="0" quotePrefix="0" xfId="60313">
      <alignment vertical="center"/>
    </xf>
    <xf numFmtId="210" fontId="142" fillId="0" borderId="0" applyAlignment="1" pivotButton="0" quotePrefix="0" xfId="60313">
      <alignment vertical="center"/>
    </xf>
    <xf numFmtId="210" fontId="142" fillId="60" borderId="0" applyAlignment="1" pivotButton="0" quotePrefix="0" xfId="60313">
      <alignment vertical="center"/>
    </xf>
    <xf numFmtId="210" fontId="142" fillId="2" borderId="0" applyAlignment="1" pivotButton="0" quotePrefix="0" xfId="60313">
      <alignment vertical="center"/>
    </xf>
    <xf numFmtId="3" fontId="142" fillId="5" borderId="0" applyAlignment="1" pivotButton="0" quotePrefix="0" xfId="60313">
      <alignment vertical="center"/>
    </xf>
    <xf numFmtId="165" fontId="1" fillId="0" borderId="0" applyAlignment="1" pivotButton="0" quotePrefix="0" xfId="60313">
      <alignment vertical="center"/>
    </xf>
    <xf numFmtId="0" fontId="143" fillId="0" borderId="0" applyAlignment="1" pivotButton="0" quotePrefix="0" xfId="60313">
      <alignment vertical="center"/>
    </xf>
    <xf numFmtId="165" fontId="0" fillId="0" borderId="0" applyAlignment="1" pivotButton="0" quotePrefix="0" xfId="60314">
      <alignment vertical="center"/>
    </xf>
    <xf numFmtId="0" fontId="142" fillId="0" borderId="0" applyAlignment="1" pivotButton="0" quotePrefix="0" xfId="60313">
      <alignment vertical="center"/>
    </xf>
    <xf numFmtId="0" fontId="142" fillId="0" borderId="0" applyAlignment="1" pivotButton="0" quotePrefix="0" xfId="60313">
      <alignment horizontal="center" vertical="center"/>
    </xf>
    <xf numFmtId="0" fontId="141" fillId="46" borderId="0" applyAlignment="1" pivotButton="0" quotePrefix="0" xfId="60313">
      <alignment horizontal="left" vertical="center" indent="1"/>
    </xf>
    <xf numFmtId="210" fontId="142" fillId="46" borderId="0" applyAlignment="1" pivotButton="0" quotePrefix="0" xfId="60313">
      <alignment vertical="center"/>
    </xf>
    <xf numFmtId="0" fontId="133" fillId="61" borderId="0" applyAlignment="1" pivotButton="0" quotePrefix="0" xfId="60313">
      <alignment vertical="center"/>
    </xf>
    <xf numFmtId="0" fontId="139" fillId="61" borderId="0" applyAlignment="1" pivotButton="0" quotePrefix="0" xfId="60313">
      <alignment vertical="center"/>
    </xf>
    <xf numFmtId="210" fontId="142" fillId="61" borderId="0" applyAlignment="1" pivotButton="0" quotePrefix="0" xfId="60313">
      <alignment vertical="center"/>
    </xf>
    <xf numFmtId="210" fontId="142" fillId="62" borderId="0" applyAlignment="1" pivotButton="0" quotePrefix="0" xfId="60313">
      <alignment vertical="center"/>
    </xf>
    <xf numFmtId="210" fontId="142" fillId="63" borderId="0" applyAlignment="1" pivotButton="0" quotePrefix="0" xfId="60313">
      <alignment vertical="center"/>
    </xf>
    <xf numFmtId="0" fontId="144" fillId="0" borderId="0" applyAlignment="1" pivotButton="0" quotePrefix="0" xfId="60313">
      <alignment vertical="center"/>
    </xf>
    <xf numFmtId="0" fontId="145" fillId="0" borderId="0" applyAlignment="1" pivotButton="0" quotePrefix="0" xfId="60313">
      <alignment vertical="center"/>
    </xf>
    <xf numFmtId="0" fontId="146" fillId="0" borderId="0" applyAlignment="1" pivotButton="0" quotePrefix="0" xfId="60313">
      <alignment vertical="center"/>
    </xf>
    <xf numFmtId="0" fontId="140" fillId="0" borderId="0" applyAlignment="1" pivotButton="0" quotePrefix="0" xfId="60313">
      <alignment vertical="center"/>
    </xf>
    <xf numFmtId="210" fontId="140" fillId="0" borderId="0" applyAlignment="1" pivotButton="0" quotePrefix="0" xfId="60313">
      <alignment vertical="center"/>
    </xf>
    <xf numFmtId="0" fontId="142" fillId="0" borderId="0" applyAlignment="1" pivotButton="0" quotePrefix="0" xfId="60313">
      <alignment horizontal="left" vertical="center" indent="1"/>
    </xf>
    <xf numFmtId="0" fontId="142" fillId="2" borderId="0" applyAlignment="1" pivotButton="0" quotePrefix="0" xfId="60313">
      <alignment horizontal="left" vertical="center" indent="1"/>
    </xf>
    <xf numFmtId="0" fontId="142" fillId="61" borderId="0" applyAlignment="1" pivotButton="0" quotePrefix="0" xfId="60313">
      <alignment horizontal="left" vertical="center" indent="1"/>
    </xf>
    <xf numFmtId="0" fontId="140" fillId="2" borderId="0" applyAlignment="1" pivotButton="0" quotePrefix="0" xfId="60313">
      <alignment vertical="center"/>
    </xf>
    <xf numFmtId="0" fontId="147" fillId="0" borderId="0" applyAlignment="1" pivotButton="0" quotePrefix="0" xfId="60313">
      <alignment vertical="center"/>
    </xf>
    <xf numFmtId="0" fontId="148" fillId="0" borderId="0" applyAlignment="1" pivotButton="0" quotePrefix="0" xfId="60313">
      <alignment vertical="center"/>
    </xf>
    <xf numFmtId="0" fontId="141" fillId="0" borderId="0" applyAlignment="1" pivotButton="0" quotePrefix="0" xfId="60313">
      <alignment horizontal="left" vertical="center"/>
    </xf>
    <xf numFmtId="210" fontId="148" fillId="0" borderId="0" applyAlignment="1" pivotButton="0" quotePrefix="0" xfId="60313">
      <alignment vertical="center"/>
    </xf>
    <xf numFmtId="210" fontId="148" fillId="59" borderId="0" applyAlignment="1" pivotButton="0" quotePrefix="0" xfId="60313">
      <alignment vertical="center"/>
    </xf>
    <xf numFmtId="210" fontId="148" fillId="60" borderId="0" applyAlignment="1" pivotButton="0" quotePrefix="0" xfId="60313">
      <alignment vertical="center"/>
    </xf>
    <xf numFmtId="0" fontId="149" fillId="0" borderId="0" applyAlignment="1" pivotButton="0" quotePrefix="0" xfId="60313">
      <alignment vertical="center"/>
    </xf>
    <xf numFmtId="0" fontId="147" fillId="0" borderId="0" applyAlignment="1" pivotButton="0" quotePrefix="0" xfId="60313">
      <alignment horizontal="left" vertical="center" indent="1"/>
    </xf>
    <xf numFmtId="0" fontId="148" fillId="0" borderId="0" applyAlignment="1" pivotButton="0" quotePrefix="0" xfId="60313">
      <alignment horizontal="left" vertical="center" indent="1"/>
    </xf>
    <xf numFmtId="165" fontId="1" fillId="0" borderId="0" applyAlignment="1" pivotButton="0" quotePrefix="0" xfId="60307">
      <alignment vertical="center"/>
    </xf>
    <xf numFmtId="0" fontId="133" fillId="64" borderId="0" applyAlignment="1" pivotButton="0" quotePrefix="0" xfId="60313">
      <alignment vertical="center"/>
    </xf>
    <xf numFmtId="0" fontId="141" fillId="64" borderId="0" applyAlignment="1" pivotButton="0" quotePrefix="0" xfId="60313">
      <alignment horizontal="left" vertical="center" indent="1"/>
    </xf>
    <xf numFmtId="210" fontId="142" fillId="64" borderId="0" applyAlignment="1" pivotButton="0" quotePrefix="0" xfId="60313">
      <alignment vertical="center"/>
    </xf>
    <xf numFmtId="0" fontId="142" fillId="64" borderId="0" applyAlignment="1" pivotButton="0" quotePrefix="0" xfId="60313">
      <alignment vertical="center"/>
    </xf>
    <xf numFmtId="0" fontId="1" fillId="64" borderId="0" applyAlignment="1" pivotButton="0" quotePrefix="0" xfId="60313">
      <alignment vertical="center"/>
    </xf>
    <xf numFmtId="165" fontId="0" fillId="64" borderId="0" applyAlignment="1" pivotButton="0" quotePrefix="0" xfId="60314">
      <alignment vertical="center"/>
    </xf>
    <xf numFmtId="0" fontId="143" fillId="64" borderId="0" applyAlignment="1" pivotButton="0" quotePrefix="0" xfId="60313">
      <alignment vertical="center"/>
    </xf>
    <xf numFmtId="0" fontId="144" fillId="64" borderId="0" applyAlignment="1" pivotButton="0" quotePrefix="0" xfId="60313">
      <alignment vertical="center"/>
    </xf>
    <xf numFmtId="165" fontId="143" fillId="0" borderId="0" applyAlignment="1" pivotButton="0" quotePrefix="0" xfId="60307">
      <alignment vertical="center"/>
    </xf>
    <xf numFmtId="0" fontId="18" fillId="63" borderId="488" applyAlignment="1" pivotButton="0" quotePrefix="0" xfId="0">
      <alignment horizontal="center" vertical="center"/>
    </xf>
    <xf numFmtId="0" fontId="18" fillId="63" borderId="488" applyAlignment="1" pivotButton="0" quotePrefix="0" xfId="0">
      <alignment horizontal="left" vertical="center"/>
    </xf>
    <xf numFmtId="0" fontId="13" fillId="63" borderId="488" applyAlignment="1" pivotButton="0" quotePrefix="0" xfId="1">
      <alignment horizontal="center" vertical="center"/>
    </xf>
    <xf numFmtId="165" fontId="13" fillId="63" borderId="488" applyAlignment="1" pivotButton="0" quotePrefix="0" xfId="2">
      <alignment vertical="center"/>
    </xf>
    <xf numFmtId="0" fontId="13" fillId="63" borderId="488" applyAlignment="1" pivotButton="0" quotePrefix="0" xfId="1">
      <alignment vertical="center"/>
    </xf>
    <xf numFmtId="10" fontId="13" fillId="0" borderId="0" applyAlignment="1" pivotButton="0" quotePrefix="1" xfId="1">
      <alignment horizontal="left" vertical="center"/>
    </xf>
    <xf numFmtId="167" fontId="24" fillId="0" borderId="212" applyAlignment="1" pivotButton="0" quotePrefix="0" xfId="60307">
      <alignment horizontal="right" vertical="center" readingOrder="1"/>
    </xf>
    <xf numFmtId="177" fontId="9" fillId="2" borderId="100" applyAlignment="1" pivotButton="0" quotePrefix="0" xfId="2">
      <alignment horizontal="right" vertical="center" readingOrder="1"/>
    </xf>
    <xf numFmtId="0" fontId="150" fillId="0" borderId="0" applyAlignment="1" pivotButton="0" quotePrefix="0" xfId="60312">
      <alignment vertical="center"/>
    </xf>
    <xf numFmtId="206" fontId="105" fillId="0" borderId="392" applyAlignment="1" pivotButton="0" quotePrefix="0" xfId="0">
      <alignment horizontal="right" vertical="center" wrapText="1" readingOrder="1"/>
    </xf>
    <xf numFmtId="206" fontId="105" fillId="0" borderId="394" applyAlignment="1" pivotButton="0" quotePrefix="0" xfId="0">
      <alignment horizontal="right" vertical="center" wrapText="1" readingOrder="1"/>
    </xf>
    <xf numFmtId="206" fontId="105" fillId="0" borderId="399" applyAlignment="1" pivotButton="0" quotePrefix="0" xfId="0">
      <alignment horizontal="right" vertical="center" wrapText="1" readingOrder="1"/>
    </xf>
    <xf numFmtId="206" fontId="105" fillId="0" borderId="402" applyAlignment="1" pivotButton="0" quotePrefix="0" xfId="0">
      <alignment horizontal="right" vertical="center" wrapText="1" readingOrder="1"/>
    </xf>
    <xf numFmtId="206" fontId="105" fillId="0" borderId="404" applyAlignment="1" pivotButton="0" quotePrefix="0" xfId="0">
      <alignment horizontal="right" vertical="center" wrapText="1" readingOrder="1"/>
    </xf>
    <xf numFmtId="206" fontId="120" fillId="53" borderId="406" applyAlignment="1" pivotButton="0" quotePrefix="0" xfId="0">
      <alignment horizontal="right" vertical="center" wrapText="1" readingOrder="1"/>
    </xf>
    <xf numFmtId="206" fontId="120" fillId="53" borderId="111" applyAlignment="1" pivotButton="0" quotePrefix="0" xfId="0">
      <alignment horizontal="right" vertical="center" wrapText="1" readingOrder="1"/>
    </xf>
    <xf numFmtId="206" fontId="105" fillId="42" borderId="406" applyAlignment="1" pivotButton="0" quotePrefix="0" xfId="0">
      <alignment horizontal="right" vertical="center" wrapText="1" readingOrder="1"/>
    </xf>
    <xf numFmtId="206" fontId="105" fillId="42" borderId="111" applyAlignment="1" pivotButton="0" quotePrefix="0" xfId="0">
      <alignment horizontal="right" vertical="center" wrapText="1" readingOrder="1"/>
    </xf>
    <xf numFmtId="206" fontId="105" fillId="0" borderId="409" applyAlignment="1" pivotButton="0" quotePrefix="0" xfId="0">
      <alignment horizontal="right" vertical="center" wrapText="1" readingOrder="1"/>
    </xf>
    <xf numFmtId="206" fontId="105" fillId="0" borderId="411" applyAlignment="1" pivotButton="0" quotePrefix="0" xfId="0">
      <alignment horizontal="right" vertical="center" wrapText="1" readingOrder="1"/>
    </xf>
    <xf numFmtId="206" fontId="104" fillId="0" borderId="418" applyAlignment="1" pivotButton="0" quotePrefix="0" xfId="0">
      <alignment horizontal="right" vertical="center" wrapText="1" readingOrder="1"/>
    </xf>
    <xf numFmtId="206" fontId="104" fillId="0" borderId="420" applyAlignment="1" pivotButton="0" quotePrefix="0" xfId="0">
      <alignment horizontal="right" vertical="center" wrapText="1" readingOrder="1"/>
    </xf>
    <xf numFmtId="206" fontId="121" fillId="0" borderId="403" applyAlignment="1" pivotButton="0" quotePrefix="0" xfId="0">
      <alignment horizontal="right" vertical="center" wrapText="1" readingOrder="1"/>
    </xf>
    <xf numFmtId="206" fontId="121" fillId="0" borderId="357" applyAlignment="1" pivotButton="0" quotePrefix="0" xfId="0">
      <alignment horizontal="right" vertical="center" wrapText="1" readingOrder="1"/>
    </xf>
    <xf numFmtId="206" fontId="121" fillId="0" borderId="358" applyAlignment="1" pivotButton="0" quotePrefix="0" xfId="0">
      <alignment horizontal="right" vertical="center" wrapText="1" readingOrder="1"/>
    </xf>
    <xf numFmtId="206" fontId="121" fillId="0" borderId="359" applyAlignment="1" pivotButton="0" quotePrefix="0" xfId="0">
      <alignment horizontal="right" vertical="center" wrapText="1" readingOrder="1"/>
    </xf>
    <xf numFmtId="206" fontId="121" fillId="0" borderId="402" applyAlignment="1" pivotButton="0" quotePrefix="0" xfId="60307">
      <alignment horizontal="right" vertical="center" wrapText="1" readingOrder="1"/>
    </xf>
    <xf numFmtId="206" fontId="121" fillId="0" borderId="403" applyAlignment="1" pivotButton="0" quotePrefix="0" xfId="60307">
      <alignment horizontal="right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5" applyAlignment="1" pivotButton="0" quotePrefix="0" xfId="60307">
      <alignment vertical="center" wrapText="1" readingOrder="1"/>
    </xf>
    <xf numFmtId="165" fontId="25" fillId="3" borderId="24" applyAlignment="1" pivotButton="0" quotePrefix="0" xfId="60307">
      <alignment vertical="center" wrapText="1" readingOrder="1"/>
    </xf>
    <xf numFmtId="165" fontId="25" fillId="3" borderId="0" applyAlignment="1" pivotButton="0" quotePrefix="0" xfId="60307">
      <alignment horizontal="center" vertical="center" wrapText="1" readingOrder="1"/>
    </xf>
    <xf numFmtId="165" fontId="25" fillId="3" borderId="29" applyAlignment="1" pivotButton="0" quotePrefix="0" xfId="60307">
      <alignment horizontal="center" vertical="center" wrapText="1" readingOrder="1"/>
    </xf>
    <xf numFmtId="165" fontId="151" fillId="3" borderId="373" applyAlignment="1" pivotButton="0" quotePrefix="0" xfId="60307">
      <alignment horizontal="center" vertical="center" readingOrder="1"/>
    </xf>
    <xf numFmtId="165" fontId="151" fillId="3" borderId="246" applyAlignment="1" pivotButton="0" quotePrefix="0" xfId="60307">
      <alignment horizontal="center" vertical="center" wrapText="1" readingOrder="1"/>
    </xf>
    <xf numFmtId="165" fontId="25" fillId="3" borderId="236" applyAlignment="1" pivotButton="0" quotePrefix="0" xfId="60307">
      <alignment horizontal="center" vertical="center" wrapText="1" readingOrder="1"/>
    </xf>
    <xf numFmtId="165" fontId="25" fillId="3" borderId="234" applyAlignment="1" pivotButton="0" quotePrefix="0" xfId="60307">
      <alignment horizontal="center" vertical="center" wrapText="1" readingOrder="1"/>
    </xf>
    <xf numFmtId="165" fontId="25" fillId="3" borderId="258" applyAlignment="1" pivotButton="0" quotePrefix="0" xfId="60307">
      <alignment horizontal="center" vertical="center" wrapText="1" readingOrder="1"/>
    </xf>
    <xf numFmtId="165" fontId="25" fillId="3" borderId="233" applyAlignment="1" pivotButton="0" quotePrefix="0" xfId="60307">
      <alignment horizontal="center" vertical="center" wrapText="1" readingOrder="1"/>
    </xf>
    <xf numFmtId="165" fontId="25" fillId="3" borderId="247" applyAlignment="1" pivotButton="0" quotePrefix="0" xfId="60307">
      <alignment horizontal="center" vertical="center" wrapText="1" readingOrder="1"/>
    </xf>
    <xf numFmtId="165" fontId="25" fillId="3" borderId="253" applyAlignment="1" pivotButton="0" quotePrefix="0" xfId="60307">
      <alignment horizontal="center" vertical="center" wrapText="1" readingOrder="1"/>
    </xf>
    <xf numFmtId="165" fontId="25" fillId="3" borderId="246" applyAlignment="1" pivotButton="0" quotePrefix="0" xfId="60307">
      <alignment horizontal="center" vertical="center" wrapText="1" readingOrder="1"/>
    </xf>
    <xf numFmtId="213" fontId="6" fillId="0" borderId="0" applyAlignment="1" pivotButton="0" quotePrefix="0" xfId="1">
      <alignment vertical="center"/>
    </xf>
    <xf numFmtId="164" fontId="9" fillId="0" borderId="18" applyAlignment="1" pivotButton="0" quotePrefix="0" xfId="2">
      <alignment vertical="center" readingOrder="1"/>
    </xf>
    <xf numFmtId="0" fontId="153" fillId="0" borderId="0" applyAlignment="1" pivotButton="0" quotePrefix="0" xfId="60315">
      <alignment horizontal="left" vertical="center" readingOrder="1"/>
    </xf>
    <xf numFmtId="170" fontId="6" fillId="0" borderId="0" applyAlignment="1" pivotButton="0" quotePrefix="0" xfId="60307">
      <alignment vertical="center"/>
    </xf>
    <xf numFmtId="165" fontId="24" fillId="65" borderId="211" applyAlignment="1" pivotButton="0" quotePrefix="0" xfId="60307">
      <alignment horizontal="right" vertical="center" readingOrder="1"/>
    </xf>
    <xf numFmtId="177" fontId="9" fillId="39" borderId="102" applyAlignment="1" pivotButton="0" quotePrefix="0" xfId="2">
      <alignment horizontal="right" vertical="center" readingOrder="1"/>
    </xf>
    <xf numFmtId="165" fontId="13" fillId="0" borderId="0" applyAlignment="1" pivotButton="0" quotePrefix="0" xfId="60307">
      <alignment horizontal="center" vertical="center"/>
    </xf>
    <xf numFmtId="164" fontId="9" fillId="2" borderId="218" applyAlignment="1" pivotButton="0" quotePrefix="0" xfId="2">
      <alignment horizontal="right" vertical="center" readingOrder="1"/>
    </xf>
    <xf numFmtId="165" fontId="24" fillId="39" borderId="204" applyAlignment="1" pivotButton="0" quotePrefix="0" xfId="60307">
      <alignment horizontal="right" vertical="center" readingOrder="1"/>
    </xf>
    <xf numFmtId="206" fontId="119" fillId="0" borderId="384" applyAlignment="1" pivotButton="0" quotePrefix="0" xfId="0">
      <alignment horizontal="right" vertical="center" wrapText="1" readingOrder="1"/>
    </xf>
    <xf numFmtId="206" fontId="119" fillId="0" borderId="445" applyAlignment="1" pivotButton="0" quotePrefix="0" xfId="0">
      <alignment horizontal="right" vertical="center" wrapText="1" readingOrder="1"/>
    </xf>
    <xf numFmtId="206" fontId="119" fillId="0" borderId="448" applyAlignment="1" pivotButton="0" quotePrefix="0" xfId="0">
      <alignment horizontal="right" vertical="center" wrapText="1" readingOrder="1"/>
    </xf>
    <xf numFmtId="167" fontId="24" fillId="0" borderId="0" applyAlignment="1" pivotButton="0" quotePrefix="0" xfId="60307">
      <alignment horizontal="right" vertical="center" readingOrder="1"/>
    </xf>
    <xf numFmtId="165" fontId="28" fillId="3" borderId="231" applyAlignment="1" pivotButton="0" quotePrefix="0" xfId="60307">
      <alignment horizontal="center" vertical="center" wrapText="1" readingOrder="1"/>
    </xf>
    <xf numFmtId="198" fontId="30" fillId="46" borderId="180" applyAlignment="1" pivotButton="0" quotePrefix="0" xfId="60307">
      <alignment horizontal="right" vertical="center" readingOrder="1"/>
    </xf>
    <xf numFmtId="198" fontId="24" fillId="0" borderId="489" applyAlignment="1" pivotButton="0" quotePrefix="0" xfId="60307">
      <alignment horizontal="right" vertical="center" readingOrder="1"/>
    </xf>
    <xf numFmtId="165" fontId="29" fillId="5" borderId="490" applyAlignment="1" pivotButton="0" quotePrefix="0" xfId="60307">
      <alignment horizontal="right" vertical="center" readingOrder="1"/>
    </xf>
    <xf numFmtId="198" fontId="24" fillId="0" borderId="490" applyAlignment="1" pivotButton="0" quotePrefix="0" xfId="60307">
      <alignment horizontal="right" vertical="center" readingOrder="1"/>
    </xf>
    <xf numFmtId="198" fontId="24" fillId="0" borderId="227" applyAlignment="1" pivotButton="0" quotePrefix="0" xfId="60307">
      <alignment horizontal="right" vertical="center" readingOrder="1"/>
    </xf>
    <xf numFmtId="198" fontId="24" fillId="5" borderId="490" applyAlignment="1" pivotButton="0" quotePrefix="0" xfId="60307">
      <alignment horizontal="right" vertical="center" readingOrder="1"/>
    </xf>
    <xf numFmtId="198" fontId="24" fillId="0" borderId="229" applyAlignment="1" pivotButton="0" quotePrefix="0" xfId="60307">
      <alignment horizontal="right" vertical="center" readingOrder="1"/>
    </xf>
    <xf numFmtId="198" fontId="24" fillId="0" borderId="491" applyAlignment="1" pivotButton="0" quotePrefix="0" xfId="60307">
      <alignment horizontal="right" vertical="center" readingOrder="1"/>
    </xf>
    <xf numFmtId="167" fontId="24" fillId="0" borderId="229" applyAlignment="1" pivotButton="0" quotePrefix="0" xfId="60307">
      <alignment horizontal="right" vertical="center" readingOrder="1"/>
    </xf>
    <xf numFmtId="165" fontId="24" fillId="0" borderId="490" applyAlignment="1" pivotButton="0" quotePrefix="0" xfId="60307">
      <alignment horizontal="right" vertical="center" readingOrder="1"/>
    </xf>
    <xf numFmtId="165" fontId="24" fillId="0" borderId="229" applyAlignment="1" pivotButton="0" quotePrefix="0" xfId="60307">
      <alignment horizontal="right" vertical="center" readingOrder="1"/>
    </xf>
    <xf numFmtId="164" fontId="98" fillId="0" borderId="227" applyAlignment="1" pivotButton="0" quotePrefix="0" xfId="60307">
      <alignment horizontal="right" vertical="center" readingOrder="1"/>
    </xf>
    <xf numFmtId="164" fontId="98" fillId="5" borderId="180" applyAlignment="1" pivotButton="0" quotePrefix="0" xfId="60307">
      <alignment horizontal="right" vertical="center" readingOrder="1"/>
    </xf>
    <xf numFmtId="165" fontId="24" fillId="0" borderId="227" applyAlignment="1" pivotButton="0" quotePrefix="0" xfId="60307">
      <alignment horizontal="right" vertical="center" readingOrder="1"/>
    </xf>
    <xf numFmtId="165" fontId="24" fillId="0" borderId="180" applyAlignment="1" pivotButton="0" quotePrefix="0" xfId="60307">
      <alignment horizontal="right" vertical="center" readingOrder="1"/>
    </xf>
    <xf numFmtId="165" fontId="30" fillId="39" borderId="231" applyAlignment="1" pivotButton="0" quotePrefix="0" xfId="60307">
      <alignment horizontal="right" vertical="center" readingOrder="1"/>
    </xf>
    <xf numFmtId="198" fontId="24" fillId="39" borderId="208" applyAlignment="1" pivotButton="0" quotePrefix="0" xfId="60307">
      <alignment horizontal="right" vertical="center" readingOrder="1"/>
    </xf>
    <xf numFmtId="214" fontId="9" fillId="0" borderId="2" applyAlignment="1" pivotButton="0" quotePrefix="0" xfId="2">
      <alignment horizontal="right" vertical="center" readingOrder="1"/>
    </xf>
    <xf numFmtId="214" fontId="6" fillId="0" borderId="21" applyAlignment="1" pivotButton="0" quotePrefix="0" xfId="2">
      <alignment horizontal="right" vertical="center" readingOrder="1"/>
    </xf>
    <xf numFmtId="214" fontId="6" fillId="0" borderId="69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horizontal="right" vertical="center" readingOrder="1"/>
    </xf>
    <xf numFmtId="214" fontId="6" fillId="0" borderId="29" applyAlignment="1" pivotButton="0" quotePrefix="0" xfId="2">
      <alignment horizontal="right" vertical="center" readingOrder="1"/>
    </xf>
    <xf numFmtId="214" fontId="6" fillId="0" borderId="32" applyAlignment="1" pivotButton="0" quotePrefix="0" xfId="2">
      <alignment horizontal="right" vertical="center" readingOrder="1"/>
    </xf>
    <xf numFmtId="214" fontId="6" fillId="0" borderId="35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vertical="center" readingOrder="1"/>
    </xf>
    <xf numFmtId="214" fontId="6" fillId="0" borderId="11" applyAlignment="1" pivotButton="0" quotePrefix="0" xfId="2">
      <alignment horizontal="right" vertical="center" readingOrder="1"/>
    </xf>
    <xf numFmtId="214" fontId="9" fillId="0" borderId="21" applyAlignment="1" pivotButton="0" quotePrefix="0" xfId="2">
      <alignment horizontal="right" vertical="center" readingOrder="1"/>
    </xf>
    <xf numFmtId="214" fontId="9" fillId="0" borderId="11" applyAlignment="1" pivotButton="0" quotePrefix="0" xfId="2">
      <alignment horizontal="right" vertical="center" readingOrder="1"/>
    </xf>
    <xf numFmtId="214" fontId="9" fillId="0" borderId="16" applyAlignment="1" pivotButton="0" quotePrefix="0" xfId="2">
      <alignment horizontal="right" vertical="center" readingOrder="1"/>
    </xf>
    <xf numFmtId="205" fontId="154" fillId="0" borderId="2" applyAlignment="1" pivotButton="0" quotePrefix="0" xfId="2">
      <alignment horizontal="right" vertical="center" readingOrder="1"/>
    </xf>
    <xf numFmtId="0" fontId="154" fillId="0" borderId="7" applyAlignment="1" pivotButton="0" quotePrefix="0" xfId="1">
      <alignment vertical="center" readingOrder="1"/>
    </xf>
    <xf numFmtId="0" fontId="154" fillId="0" borderId="2" applyAlignment="1" pivotButton="0" quotePrefix="0" xfId="1">
      <alignment vertical="center" readingOrder="1"/>
    </xf>
    <xf numFmtId="168" fontId="154" fillId="0" borderId="1" applyAlignment="1" pivotButton="0" quotePrefix="0" xfId="60307">
      <alignment horizontal="right" vertical="center" readingOrder="1"/>
    </xf>
    <xf numFmtId="168" fontId="154" fillId="0" borderId="5" applyAlignment="1" pivotButton="0" quotePrefix="0" xfId="2">
      <alignment horizontal="right" vertical="center" readingOrder="1"/>
    </xf>
    <xf numFmtId="168" fontId="154" fillId="0" borderId="1" applyAlignment="1" pivotButton="0" quotePrefix="0" xfId="2">
      <alignment horizontal="right" vertical="center" readingOrder="1"/>
    </xf>
    <xf numFmtId="168" fontId="154" fillId="0" borderId="86" applyAlignment="1" pivotButton="0" quotePrefix="0" xfId="2">
      <alignment horizontal="right" vertical="center" readingOrder="1"/>
    </xf>
    <xf numFmtId="168" fontId="12" fillId="0" borderId="4" applyAlignment="1" pivotButton="0" quotePrefix="0" xfId="2">
      <alignment horizontal="right" vertical="center" readingOrder="1"/>
    </xf>
    <xf numFmtId="168" fontId="154" fillId="0" borderId="3" applyAlignment="1" pivotButton="0" quotePrefix="0" xfId="2">
      <alignment horizontal="right" vertical="center" readingOrder="1"/>
    </xf>
    <xf numFmtId="0" fontId="39" fillId="0" borderId="1" applyAlignment="1" pivotButton="0" quotePrefix="0" xfId="1">
      <alignment vertical="center" wrapText="1"/>
    </xf>
    <xf numFmtId="3" fontId="39" fillId="0" borderId="0" applyAlignment="1" pivotButton="0" quotePrefix="0" xfId="1">
      <alignment vertical="center"/>
    </xf>
    <xf numFmtId="0" fontId="9" fillId="3" borderId="1" applyAlignment="1" pivotButton="0" quotePrefix="0" xfId="1">
      <alignment horizontal="center" vertical="center" wrapText="1" readingOrder="1"/>
    </xf>
    <xf numFmtId="0" fontId="9" fillId="3" borderId="7" applyAlignment="1" pivotButton="0" quotePrefix="0" xfId="1">
      <alignment horizontal="center" vertical="center" wrapText="1" readingOrder="1"/>
    </xf>
    <xf numFmtId="0" fontId="9" fillId="3" borderId="45" applyAlignment="1" pivotButton="0" quotePrefix="0" xfId="1">
      <alignment horizontal="center" vertical="center" wrapText="1" readingOrder="1"/>
    </xf>
    <xf numFmtId="0" fontId="9" fillId="3" borderId="44" applyAlignment="1" pivotButton="0" quotePrefix="0" xfId="1">
      <alignment horizontal="center" vertical="center" wrapText="1" readingOrder="1"/>
    </xf>
    <xf numFmtId="0" fontId="9" fillId="3" borderId="43" applyAlignment="1" pivotButton="0" quotePrefix="0" xfId="1">
      <alignment horizontal="center" vertical="center" wrapText="1" readingOrder="1"/>
    </xf>
    <xf numFmtId="0" fontId="9" fillId="3" borderId="24" applyAlignment="1" pivotButton="0" quotePrefix="0" xfId="1">
      <alignment horizontal="center" vertical="center" wrapText="1" readingOrder="1"/>
    </xf>
    <xf numFmtId="0" fontId="9" fillId="3" borderId="11" applyAlignment="1" pivotButton="0" quotePrefix="0" xfId="1">
      <alignment horizontal="center" vertical="center" wrapText="1" readingOrder="1"/>
    </xf>
    <xf numFmtId="0" fontId="9" fillId="3" borderId="20" applyAlignment="1" pivotButton="0" quotePrefix="0" xfId="1">
      <alignment horizontal="center" vertical="center" wrapText="1" readingOrder="1"/>
    </xf>
    <xf numFmtId="0" fontId="9" fillId="3" borderId="10" applyAlignment="1" pivotButton="0" quotePrefix="0" xfId="1">
      <alignment horizontal="center" vertical="center" wrapText="1" readingOrder="1"/>
    </xf>
    <xf numFmtId="0" fontId="9" fillId="3" borderId="25" applyAlignment="1" pivotButton="0" quotePrefix="0" xfId="1">
      <alignment horizontal="center" vertical="center" readingOrder="1"/>
    </xf>
    <xf numFmtId="0" fontId="9" fillId="3" borderId="24" applyAlignment="1" pivotButton="0" quotePrefix="0" xfId="1">
      <alignment horizontal="center" vertical="center" readingOrder="1"/>
    </xf>
    <xf numFmtId="0" fontId="9" fillId="3" borderId="13" applyAlignment="1" pivotButton="0" quotePrefix="0" xfId="1">
      <alignment horizontal="center" vertical="center" readingOrder="1"/>
    </xf>
    <xf numFmtId="0" fontId="9" fillId="3" borderId="11" applyAlignment="1" pivotButton="0" quotePrefix="0" xfId="1">
      <alignment horizontal="center" vertical="center" readingOrder="1"/>
    </xf>
    <xf numFmtId="215" fontId="30" fillId="6" borderId="0" applyAlignment="1" pivotButton="0" quotePrefix="0" xfId="1">
      <alignment horizontal="left" vertical="center"/>
    </xf>
    <xf numFmtId="0" fontId="25" fillId="0" borderId="24" applyAlignment="1" pivotButton="0" quotePrefix="0" xfId="1">
      <alignment horizontal="left" vertical="center" readingOrder="1"/>
    </xf>
    <xf numFmtId="0" fontId="25" fillId="0" borderId="29" applyAlignment="1" pivotButton="0" quotePrefix="0" xfId="1">
      <alignment horizontal="left" vertical="center" readingOrder="1"/>
    </xf>
    <xf numFmtId="0" fontId="91" fillId="3" borderId="25" applyAlignment="1" pivotButton="0" quotePrefix="0" xfId="60305">
      <alignment horizontal="center" vertical="center" readingOrder="1"/>
    </xf>
    <xf numFmtId="0" fontId="91" fillId="3" borderId="13" applyAlignment="1" pivotButton="0" quotePrefix="0" xfId="60305">
      <alignment horizontal="center" vertical="center" readingOrder="1"/>
    </xf>
    <xf numFmtId="0" fontId="91" fillId="3" borderId="1" applyAlignment="1" pivotButton="0" quotePrefix="0" xfId="60305">
      <alignment horizontal="center" vertical="center" readingOrder="1"/>
    </xf>
    <xf numFmtId="0" fontId="91" fillId="3" borderId="7" applyAlignment="1" pivotButton="0" quotePrefix="0" xfId="60305">
      <alignment horizontal="center" vertical="center" readingOrder="1"/>
    </xf>
    <xf numFmtId="0" fontId="91" fillId="3" borderId="24" applyAlignment="1" pivotButton="0" quotePrefix="0" xfId="60305">
      <alignment horizontal="center" vertical="center" readingOrder="1"/>
    </xf>
    <xf numFmtId="0" fontId="91" fillId="3" borderId="20" applyAlignment="1" pivotButton="0" quotePrefix="0" xfId="60305">
      <alignment horizontal="center" vertical="center" readingOrder="1"/>
    </xf>
    <xf numFmtId="0" fontId="91" fillId="3" borderId="10" applyAlignment="1" pivotButton="0" quotePrefix="0" xfId="60305">
      <alignment horizontal="center" vertical="center" readingOrder="1"/>
    </xf>
    <xf numFmtId="0" fontId="34" fillId="3" borderId="173" applyAlignment="1" pivotButton="0" quotePrefix="0" xfId="0">
      <alignment horizontal="center" vertical="center" wrapText="1" readingOrder="1"/>
    </xf>
    <xf numFmtId="0" fontId="34" fillId="3" borderId="85" applyAlignment="1" pivotButton="0" quotePrefix="0" xfId="0">
      <alignment horizontal="center" vertical="center" wrapText="1" readingOrder="1"/>
    </xf>
    <xf numFmtId="0" fontId="91" fillId="0" borderId="0" applyAlignment="1" pivotButton="0" quotePrefix="0" xfId="60305">
      <alignment horizontal="center" vertical="center" readingOrder="1"/>
    </xf>
    <xf numFmtId="0" fontId="32" fillId="0" borderId="7" applyAlignment="1" pivotButton="0" quotePrefix="0" xfId="0">
      <alignment horizontal="left" vertical="center" wrapText="1" readingOrder="1"/>
    </xf>
    <xf numFmtId="0" fontId="32" fillId="0" borderId="2" applyAlignment="1" pivotButton="0" quotePrefix="0" xfId="0">
      <alignment horizontal="left" vertical="center" wrapText="1" readingOrder="1"/>
    </xf>
    <xf numFmtId="0" fontId="32" fillId="0" borderId="25" applyAlignment="1" pivotButton="0" quotePrefix="0" xfId="0">
      <alignment horizontal="left" vertical="center" wrapText="1" readingOrder="1"/>
    </xf>
    <xf numFmtId="0" fontId="32" fillId="43" borderId="7" applyAlignment="1" pivotButton="0" quotePrefix="0" xfId="0">
      <alignment horizontal="left" vertical="center" wrapText="1" readingOrder="1"/>
    </xf>
    <xf numFmtId="0" fontId="32" fillId="43" borderId="2" applyAlignment="1" pivotButton="0" quotePrefix="0" xfId="0">
      <alignment horizontal="left" vertical="center" wrapText="1" readingOrder="1"/>
    </xf>
    <xf numFmtId="0" fontId="34" fillId="3" borderId="25" applyAlignment="1" pivotButton="0" quotePrefix="0" xfId="0">
      <alignment horizontal="center" vertical="center" wrapText="1" readingOrder="1"/>
    </xf>
    <xf numFmtId="0" fontId="34" fillId="3" borderId="24" applyAlignment="1" pivotButton="0" quotePrefix="0" xfId="0">
      <alignment horizontal="center" vertical="center" wrapText="1" readingOrder="1"/>
    </xf>
    <xf numFmtId="0" fontId="34" fillId="3" borderId="13" applyAlignment="1" pivotButton="0" quotePrefix="0" xfId="0">
      <alignment horizontal="center" vertical="center" wrapText="1" readingOrder="1"/>
    </xf>
    <xf numFmtId="0" fontId="34" fillId="3" borderId="11" applyAlignment="1" pivotButton="0" quotePrefix="0" xfId="0">
      <alignment horizontal="center" vertical="center" wrapText="1" readingOrder="1"/>
    </xf>
    <xf numFmtId="0" fontId="34" fillId="3" borderId="1" applyAlignment="1" pivotButton="0" quotePrefix="0" xfId="0">
      <alignment horizontal="center" vertical="center" wrapText="1" readingOrder="1"/>
    </xf>
    <xf numFmtId="0" fontId="34" fillId="3" borderId="7" applyAlignment="1" pivotButton="0" quotePrefix="0" xfId="0">
      <alignment horizontal="center" vertical="center" wrapText="1" readingOrder="1"/>
    </xf>
    <xf numFmtId="0" fontId="34" fillId="3" borderId="45" applyAlignment="1" pivotButton="0" quotePrefix="0" xfId="0">
      <alignment horizontal="center" vertical="center" wrapText="1" readingOrder="1"/>
    </xf>
    <xf numFmtId="0" fontId="34" fillId="3" borderId="44" applyAlignment="1" pivotButton="0" quotePrefix="0" xfId="0">
      <alignment horizontal="center" vertical="center" wrapText="1" readingOrder="1"/>
    </xf>
    <xf numFmtId="0" fontId="34" fillId="3" borderId="43" applyAlignment="1" pivotButton="0" quotePrefix="0" xfId="0">
      <alignment horizontal="center" vertical="center" wrapText="1" readingOrder="1"/>
    </xf>
    <xf numFmtId="0" fontId="34" fillId="3" borderId="7" applyAlignment="1" pivotButton="0" quotePrefix="0" xfId="1">
      <alignment horizontal="center" vertical="center" readingOrder="1"/>
    </xf>
    <xf numFmtId="0" fontId="34" fillId="3" borderId="2" applyAlignment="1" pivotButton="0" quotePrefix="0" xfId="1">
      <alignment horizontal="center" vertical="center" readingOrder="1"/>
    </xf>
    <xf numFmtId="0" fontId="32" fillId="0" borderId="13" applyAlignment="1" pivotButton="0" quotePrefix="0" xfId="1">
      <alignment horizontal="right" vertical="center" readingOrder="1"/>
    </xf>
    <xf numFmtId="0" fontId="32" fillId="0" borderId="11" applyAlignment="1" pivotButton="0" quotePrefix="0" xfId="1">
      <alignment horizontal="right" vertical="center" readingOrder="1"/>
    </xf>
    <xf numFmtId="0" fontId="32" fillId="0" borderId="64" applyAlignment="1" pivotButton="0" quotePrefix="0" xfId="1">
      <alignment horizontal="right" vertical="center" readingOrder="1"/>
    </xf>
    <xf numFmtId="0" fontId="32" fillId="0" borderId="63" applyAlignment="1" pivotButton="0" quotePrefix="0" xfId="1">
      <alignment horizontal="right" vertical="center" readingOrder="1"/>
    </xf>
    <xf numFmtId="0" fontId="34" fillId="3" borderId="13" applyAlignment="1" pivotButton="0" quotePrefix="0" xfId="1">
      <alignment horizontal="right" vertical="center" readingOrder="1"/>
    </xf>
    <xf numFmtId="0" fontId="34" fillId="3" borderId="11" applyAlignment="1" pivotButton="0" quotePrefix="0" xfId="1">
      <alignment horizontal="right" vertical="center" readingOrder="1"/>
    </xf>
    <xf numFmtId="0" fontId="9" fillId="3" borderId="89" applyAlignment="1" pivotButton="0" quotePrefix="0" xfId="1">
      <alignment horizontal="center" vertical="center" wrapText="1" readingOrder="1"/>
    </xf>
    <xf numFmtId="0" fontId="9" fillId="3" borderId="90" applyAlignment="1" pivotButton="0" quotePrefix="0" xfId="1">
      <alignment horizontal="center" vertical="center" wrapText="1" readingOrder="1"/>
    </xf>
    <xf numFmtId="0" fontId="9" fillId="3" borderId="91" applyAlignment="1" pivotButton="0" quotePrefix="0" xfId="1">
      <alignment horizontal="center" vertical="center" wrapText="1" readingOrder="1"/>
    </xf>
    <xf numFmtId="0" fontId="25" fillId="5" borderId="204" applyAlignment="1" pivotButton="0" quotePrefix="0" xfId="60310">
      <alignment horizontal="left" vertical="center" readingOrder="1"/>
    </xf>
    <xf numFmtId="0" fontId="25" fillId="5" borderId="205" applyAlignment="1" pivotButton="0" quotePrefix="0" xfId="60310">
      <alignment horizontal="left" vertical="center" readingOrder="1"/>
    </xf>
    <xf numFmtId="0" fontId="25" fillId="5" borderId="206" applyAlignment="1" pivotButton="0" quotePrefix="0" xfId="60310">
      <alignment horizontal="left" vertical="center" readingOrder="1"/>
    </xf>
    <xf numFmtId="0" fontId="25" fillId="3" borderId="25" applyAlignment="1" pivotButton="0" quotePrefix="0" xfId="60310">
      <alignment horizontal="center" vertical="center" readingOrder="1"/>
    </xf>
    <xf numFmtId="0" fontId="25" fillId="3" borderId="24" applyAlignment="1" pivotButton="0" quotePrefix="0" xfId="60310">
      <alignment horizontal="center" vertical="center" readingOrder="1"/>
    </xf>
    <xf numFmtId="0" fontId="25" fillId="3" borderId="189" applyAlignment="1" pivotButton="0" quotePrefix="0" xfId="60310">
      <alignment horizontal="center" vertical="center" readingOrder="1"/>
    </xf>
    <xf numFmtId="0" fontId="25" fillId="3" borderId="190" applyAlignment="1" pivotButton="0" quotePrefix="0" xfId="60310">
      <alignment horizontal="center" vertical="center" readingOrder="1"/>
    </xf>
    <xf numFmtId="0" fontId="28" fillId="3" borderId="20" applyAlignment="1" pivotButton="0" quotePrefix="0" xfId="60310">
      <alignment horizontal="center" vertical="center" wrapText="1" readingOrder="1"/>
    </xf>
    <xf numFmtId="0" fontId="28" fillId="3" borderId="25" applyAlignment="1" pivotButton="0" quotePrefix="0" xfId="60310">
      <alignment horizontal="center" vertical="center" wrapText="1" readingOrder="1"/>
    </xf>
    <xf numFmtId="0" fontId="28" fillId="3" borderId="24" applyAlignment="1" pivotButton="0" quotePrefix="0" xfId="60310">
      <alignment horizontal="center" vertical="center" wrapText="1" readingOrder="1"/>
    </xf>
    <xf numFmtId="216" fontId="28" fillId="46" borderId="13" applyAlignment="1" pivotButton="0" quotePrefix="0" xfId="60310">
      <alignment horizontal="left" vertical="center" readingOrder="1"/>
    </xf>
    <xf numFmtId="216" fontId="28" fillId="46" borderId="11" applyAlignment="1" pivotButton="0" quotePrefix="0" xfId="60310">
      <alignment horizontal="left" vertical="center" readingOrder="1"/>
    </xf>
    <xf numFmtId="0" fontId="25" fillId="0" borderId="25" applyAlignment="1" pivotButton="0" quotePrefix="0" xfId="60310">
      <alignment horizontal="left" vertical="center" readingOrder="1"/>
    </xf>
    <xf numFmtId="0" fontId="25" fillId="0" borderId="24" applyAlignment="1" pivotButton="0" quotePrefix="0" xfId="60310">
      <alignment horizontal="left" vertical="center" readingOrder="1"/>
    </xf>
    <xf numFmtId="0" fontId="28" fillId="39" borderId="7" applyAlignment="1" pivotButton="0" quotePrefix="0" xfId="60310">
      <alignment horizontal="left" vertical="center" readingOrder="1"/>
    </xf>
    <xf numFmtId="0" fontId="28" fillId="39" borderId="231" applyAlignment="1" pivotButton="0" quotePrefix="0" xfId="60310">
      <alignment horizontal="left" vertical="center" readingOrder="1"/>
    </xf>
    <xf numFmtId="0" fontId="25" fillId="0" borderId="204" applyAlignment="1" pivotButton="0" quotePrefix="0" xfId="60310">
      <alignment horizontal="left" vertical="center" readingOrder="1"/>
    </xf>
    <xf numFmtId="0" fontId="25" fillId="0" borderId="205" applyAlignment="1" pivotButton="0" quotePrefix="0" xfId="60310">
      <alignment horizontal="left" vertical="center" readingOrder="1"/>
    </xf>
    <xf numFmtId="0" fontId="25" fillId="0" borderId="206" applyAlignment="1" pivotButton="0" quotePrefix="0" xfId="60310">
      <alignment horizontal="left" vertical="center" readingOrder="1"/>
    </xf>
    <xf numFmtId="0" fontId="25" fillId="0" borderId="227" applyAlignment="1" pivotButton="0" quotePrefix="0" xfId="60310">
      <alignment horizontal="left" vertical="center" readingOrder="1"/>
    </xf>
    <xf numFmtId="0" fontId="25" fillId="3" borderId="0" applyAlignment="1" pivotButton="0" quotePrefix="0" xfId="60310">
      <alignment horizontal="center" vertical="center" readingOrder="1"/>
    </xf>
    <xf numFmtId="0" fontId="25" fillId="3" borderId="13" applyAlignment="1" pivotButton="0" quotePrefix="0" xfId="60310">
      <alignment horizontal="center" vertical="center" readingOrder="1"/>
    </xf>
    <xf numFmtId="0" fontId="25" fillId="3" borderId="371" applyAlignment="1" pivotButton="0" quotePrefix="0" xfId="60310">
      <alignment horizontal="center" vertical="center" readingOrder="1"/>
    </xf>
    <xf numFmtId="0" fontId="25" fillId="3" borderId="372" applyAlignment="1" pivotButton="0" quotePrefix="0" xfId="60310">
      <alignment horizontal="center" vertical="center" readingOrder="1"/>
    </xf>
    <xf numFmtId="0" fontId="25" fillId="3" borderId="100" applyAlignment="1" pivotButton="0" quotePrefix="0" xfId="60310">
      <alignment horizontal="center" vertical="center" readingOrder="1"/>
    </xf>
    <xf numFmtId="0" fontId="25" fillId="3" borderId="29" applyAlignment="1" pivotButton="0" quotePrefix="0" xfId="60310">
      <alignment horizontal="center" vertical="center" readingOrder="1"/>
    </xf>
    <xf numFmtId="165" fontId="25" fillId="3" borderId="1" applyAlignment="1" pivotButton="0" quotePrefix="0" xfId="60307">
      <alignment horizontal="center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" applyAlignment="1" pivotButton="0" quotePrefix="0" xfId="60307">
      <alignment horizontal="center" vertical="center" wrapText="1" readingOrder="1"/>
    </xf>
    <xf numFmtId="0" fontId="28" fillId="3" borderId="1" applyAlignment="1" pivotButton="0" quotePrefix="0" xfId="60310">
      <alignment horizontal="center" vertical="center" wrapText="1" readingOrder="1"/>
    </xf>
    <xf numFmtId="0" fontId="28" fillId="3" borderId="7" applyAlignment="1" pivotButton="0" quotePrefix="0" xfId="60310">
      <alignment horizontal="center" vertical="center" wrapText="1" readingOrder="1"/>
    </xf>
    <xf numFmtId="0" fontId="28" fillId="3" borderId="2" applyAlignment="1" pivotButton="0" quotePrefix="0" xfId="60310">
      <alignment horizontal="center" vertical="center" wrapText="1" readingOrder="1"/>
    </xf>
    <xf numFmtId="0" fontId="28" fillId="3" borderId="25" applyAlignment="1" pivotButton="0" quotePrefix="0" xfId="60310">
      <alignment horizontal="center" vertical="center" readingOrder="1"/>
    </xf>
    <xf numFmtId="0" fontId="28" fillId="3" borderId="0" applyAlignment="1" pivotButton="0" quotePrefix="0" xfId="60310">
      <alignment horizontal="center" vertical="center" readingOrder="1"/>
    </xf>
    <xf numFmtId="0" fontId="28" fillId="3" borderId="13" applyAlignment="1" pivotButton="0" quotePrefix="0" xfId="60310">
      <alignment horizontal="center" vertical="center" readingOrder="1"/>
    </xf>
    <xf numFmtId="165" fontId="25" fillId="3" borderId="231" applyAlignment="1" pivotButton="0" quotePrefix="0" xfId="60307">
      <alignment horizontal="center" vertical="center" wrapText="1" readingOrder="1"/>
    </xf>
    <xf numFmtId="0" fontId="105" fillId="3" borderId="422" applyAlignment="1" pivotButton="0" quotePrefix="0" xfId="0">
      <alignment horizontal="center" vertical="center" wrapText="1" readingOrder="1"/>
    </xf>
    <xf numFmtId="0" fontId="105" fillId="3" borderId="423" applyAlignment="1" pivotButton="0" quotePrefix="0" xfId="0">
      <alignment horizontal="center" vertical="center" wrapText="1" readingOrder="1"/>
    </xf>
    <xf numFmtId="0" fontId="105" fillId="3" borderId="424" applyAlignment="1" pivotButton="0" quotePrefix="0" xfId="0">
      <alignment horizontal="center" vertical="center" wrapText="1" readingOrder="1"/>
    </xf>
    <xf numFmtId="0" fontId="105" fillId="3" borderId="425" applyAlignment="1" pivotButton="0" quotePrefix="0" xfId="0">
      <alignment horizontal="center" vertical="center" wrapText="1" readingOrder="1"/>
    </xf>
    <xf numFmtId="0" fontId="105" fillId="3" borderId="426" applyAlignment="1" pivotButton="0" quotePrefix="0" xfId="0">
      <alignment horizontal="center" vertical="center" wrapText="1" readingOrder="1"/>
    </xf>
    <xf numFmtId="0" fontId="104" fillId="0" borderId="282" applyAlignment="1" pivotButton="0" quotePrefix="0" xfId="0">
      <alignment horizontal="left" vertical="center" wrapText="1" readingOrder="1"/>
    </xf>
    <xf numFmtId="0" fontId="104" fillId="0" borderId="283" applyAlignment="1" pivotButton="0" quotePrefix="0" xfId="0">
      <alignment horizontal="left" vertical="center" wrapText="1" readingOrder="1"/>
    </xf>
    <xf numFmtId="0" fontId="104" fillId="0" borderId="274" applyAlignment="1" pivotButton="0" quotePrefix="0" xfId="0">
      <alignment horizontal="left" vertical="center" wrapText="1" readingOrder="1"/>
    </xf>
    <xf numFmtId="0" fontId="104" fillId="0" borderId="275" applyAlignment="1" pivotButton="0" quotePrefix="0" xfId="0">
      <alignment horizontal="left" vertical="center" wrapText="1" readingOrder="1"/>
    </xf>
    <xf numFmtId="0" fontId="104" fillId="43" borderId="282" applyAlignment="1" pivotButton="0" quotePrefix="0" xfId="0">
      <alignment horizontal="left" vertical="center" wrapText="1" readingOrder="1"/>
    </xf>
    <xf numFmtId="0" fontId="104" fillId="43" borderId="283" applyAlignment="1" pivotButton="0" quotePrefix="0" xfId="0">
      <alignment horizontal="left" vertical="center" wrapText="1" readingOrder="1"/>
    </xf>
    <xf numFmtId="0" fontId="114" fillId="50" borderId="377" applyAlignment="1" pivotButton="0" quotePrefix="0" xfId="60312">
      <alignment horizontal="center" vertical="center" wrapText="1"/>
    </xf>
    <xf numFmtId="0" fontId="105" fillId="3" borderId="275" applyAlignment="1" pivotButton="0" quotePrefix="0" xfId="0">
      <alignment horizontal="center" vertical="center" wrapText="1" readingOrder="1"/>
    </xf>
    <xf numFmtId="0" fontId="105" fillId="3" borderId="390" applyAlignment="1" pivotButton="0" quotePrefix="0" xfId="0">
      <alignment horizontal="center" vertical="center" wrapText="1" readingOrder="1"/>
    </xf>
    <xf numFmtId="0" fontId="105" fillId="3" borderId="281" applyAlignment="1" pivotButton="0" quotePrefix="0" xfId="0">
      <alignment horizontal="center" vertical="center" wrapText="1" readingOrder="1"/>
    </xf>
    <xf numFmtId="0" fontId="105" fillId="3" borderId="282" applyAlignment="1" pivotButton="0" quotePrefix="0" xfId="0">
      <alignment horizontal="center" vertical="center" wrapText="1" readingOrder="1"/>
    </xf>
    <xf numFmtId="0" fontId="105" fillId="3" borderId="391" applyAlignment="1" pivotButton="0" quotePrefix="0" xfId="0">
      <alignment horizontal="center" vertical="center" wrapText="1" readingOrder="1"/>
    </xf>
    <xf numFmtId="0" fontId="105" fillId="3" borderId="274" applyAlignment="1" pivotButton="0" quotePrefix="0" xfId="0">
      <alignment horizontal="center" vertical="center" wrapText="1" readingOrder="1"/>
    </xf>
    <xf numFmtId="0" fontId="105" fillId="3" borderId="279" applyAlignment="1" pivotButton="0" quotePrefix="0" xfId="0">
      <alignment horizontal="center" vertical="center" wrapText="1" readingOrder="1"/>
    </xf>
    <xf numFmtId="0" fontId="105" fillId="3" borderId="280" applyAlignment="1" pivotButton="0" quotePrefix="0" xfId="0">
      <alignment horizontal="center" vertical="center" wrapText="1" readingOrder="1"/>
    </xf>
    <xf numFmtId="0" fontId="105" fillId="3" borderId="421" applyAlignment="1" pivotButton="0" quotePrefix="0" xfId="0">
      <alignment horizontal="center" vertical="center" wrapText="1" readingOrder="1"/>
    </xf>
    <xf numFmtId="0" fontId="121" fillId="3" borderId="365" applyAlignment="1" pivotButton="0" quotePrefix="0" xfId="0">
      <alignment horizontal="center" vertical="center" wrapText="1" readingOrder="1"/>
    </xf>
    <xf numFmtId="0" fontId="121" fillId="3" borderId="275" applyAlignment="1" pivotButton="0" quotePrefix="0" xfId="0">
      <alignment horizontal="center" vertical="center" wrapText="1" readingOrder="1"/>
    </xf>
    <xf numFmtId="0" fontId="121" fillId="3" borderId="281" applyAlignment="1" pivotButton="0" quotePrefix="0" xfId="0">
      <alignment horizontal="center" vertical="center" wrapText="1" readingOrder="1"/>
    </xf>
    <xf numFmtId="0" fontId="121" fillId="3" borderId="282" applyAlignment="1" pivotButton="0" quotePrefix="0" xfId="0">
      <alignment horizontal="center" vertical="center" wrapText="1" readingOrder="1"/>
    </xf>
    <xf numFmtId="0" fontId="121" fillId="3" borderId="283" applyAlignment="1" pivotButton="0" quotePrefix="0" xfId="0">
      <alignment horizontal="center" vertical="center" wrapText="1" readingOrder="1"/>
    </xf>
    <xf numFmtId="0" fontId="121" fillId="3" borderId="285" applyAlignment="1" pivotButton="0" quotePrefix="0" xfId="0">
      <alignment horizontal="center" vertical="center" wrapText="1" readingOrder="1"/>
    </xf>
    <xf numFmtId="0" fontId="121" fillId="3" borderId="286" applyAlignment="1" pivotButton="0" quotePrefix="0" xfId="0">
      <alignment horizontal="center" vertical="center" wrapText="1" readingOrder="1"/>
    </xf>
    <xf numFmtId="0" fontId="121" fillId="3" borderId="287" applyAlignment="1" pivotButton="0" quotePrefix="0" xfId="0">
      <alignment horizontal="center" vertical="center" wrapText="1" readingOrder="1"/>
    </xf>
    <xf numFmtId="0" fontId="121" fillId="3" borderId="292" applyAlignment="1" pivotButton="0" quotePrefix="0" xfId="0">
      <alignment horizontal="center" vertical="center" wrapText="1" readingOrder="1"/>
    </xf>
    <xf numFmtId="0" fontId="121" fillId="3" borderId="293" applyAlignment="1" pivotButton="0" quotePrefix="0" xfId="0">
      <alignment horizontal="center" vertical="center" wrapText="1" readingOrder="1"/>
    </xf>
    <xf numFmtId="0" fontId="102" fillId="3" borderId="282" applyAlignment="1" pivotButton="0" quotePrefix="0" xfId="0">
      <alignment horizontal="center" vertical="center" wrapText="1" readingOrder="1"/>
    </xf>
    <xf numFmtId="0" fontId="102" fillId="3" borderId="283" applyAlignment="1" pivotButton="0" quotePrefix="0" xfId="0">
      <alignment horizontal="center" vertical="center" wrapText="1" readingOrder="1"/>
    </xf>
    <xf numFmtId="0" fontId="105" fillId="3" borderId="283" applyAlignment="1" pivotButton="0" quotePrefix="0" xfId="0">
      <alignment horizontal="center" vertical="center" wrapText="1" readingOrder="1"/>
    </xf>
    <xf numFmtId="0" fontId="104" fillId="0" borderId="279" applyAlignment="1" pivotButton="0" quotePrefix="0" xfId="0">
      <alignment horizontal="right" vertical="center" wrapText="1" readingOrder="1"/>
    </xf>
    <xf numFmtId="0" fontId="104" fillId="0" borderId="280" applyAlignment="1" pivotButton="0" quotePrefix="0" xfId="0">
      <alignment horizontal="right" vertical="center" wrapText="1" readingOrder="1"/>
    </xf>
    <xf numFmtId="0" fontId="121" fillId="3" borderId="273" applyAlignment="1" pivotButton="0" quotePrefix="0" xfId="0">
      <alignment horizontal="center" vertical="center" wrapText="1" readingOrder="1"/>
    </xf>
    <xf numFmtId="0" fontId="121" fillId="3" borderId="274" applyAlignment="1" pivotButton="0" quotePrefix="0" xfId="0">
      <alignment horizontal="center" vertical="center" wrapText="1" readingOrder="1"/>
    </xf>
    <xf numFmtId="0" fontId="121" fillId="3" borderId="276" applyAlignment="1" pivotButton="0" quotePrefix="0" xfId="0">
      <alignment horizontal="center" vertical="center" wrapText="1" readingOrder="1"/>
    </xf>
    <xf numFmtId="0" fontId="121" fillId="3" borderId="0" applyAlignment="1" pivotButton="0" quotePrefix="0" xfId="0">
      <alignment horizontal="center" vertical="center" wrapText="1" readingOrder="1"/>
    </xf>
    <xf numFmtId="0" fontId="121" fillId="3" borderId="277" applyAlignment="1" pivotButton="0" quotePrefix="0" xfId="0">
      <alignment horizontal="center" vertical="center" wrapText="1" readingOrder="1"/>
    </xf>
    <xf numFmtId="0" fontId="121" fillId="3" borderId="278" applyAlignment="1" pivotButton="0" quotePrefix="0" xfId="0">
      <alignment horizontal="center" vertical="center" wrapText="1" readingOrder="1"/>
    </xf>
    <xf numFmtId="0" fontId="121" fillId="3" borderId="279" applyAlignment="1" pivotButton="0" quotePrefix="0" xfId="0">
      <alignment horizontal="center" vertical="center" wrapText="1" readingOrder="1"/>
    </xf>
    <xf numFmtId="0" fontId="121" fillId="3" borderId="280" applyAlignment="1" pivotButton="0" quotePrefix="0" xfId="0">
      <alignment horizontal="center" vertical="center" wrapText="1" readingOrder="1"/>
    </xf>
    <xf numFmtId="0" fontId="121" fillId="0" borderId="308" applyAlignment="1" pivotButton="0" quotePrefix="0" xfId="0">
      <alignment horizontal="left" vertical="center" wrapText="1" readingOrder="1"/>
    </xf>
    <xf numFmtId="0" fontId="121" fillId="0" borderId="326" applyAlignment="1" pivotButton="0" quotePrefix="0" xfId="0">
      <alignment horizontal="left" vertical="center" wrapText="1" readingOrder="1"/>
    </xf>
    <xf numFmtId="0" fontId="121" fillId="0" borderId="327" applyAlignment="1" pivotButton="0" quotePrefix="0" xfId="0">
      <alignment horizontal="left" vertical="center" wrapText="1" readingOrder="1"/>
    </xf>
    <xf numFmtId="0" fontId="121" fillId="0" borderId="352" applyAlignment="1" pivotButton="0" quotePrefix="0" xfId="0">
      <alignment horizontal="left" vertical="center" wrapText="1" readingOrder="1"/>
    </xf>
    <xf numFmtId="0" fontId="121" fillId="0" borderId="366" applyAlignment="1" pivotButton="0" quotePrefix="0" xfId="0">
      <alignment horizontal="left" vertical="center" wrapText="1" readingOrder="1"/>
    </xf>
    <xf numFmtId="0" fontId="121" fillId="0" borderId="367" applyAlignment="1" pivotButton="0" quotePrefix="0" xfId="0">
      <alignment horizontal="left" vertical="center" wrapText="1" readingOrder="1"/>
    </xf>
    <xf numFmtId="0" fontId="121" fillId="0" borderId="368" applyAlignment="1" pivotButton="0" quotePrefix="0" xfId="0">
      <alignment horizontal="left" vertical="center" wrapText="1" readingOrder="1"/>
    </xf>
    <xf numFmtId="0" fontId="121" fillId="0" borderId="370" applyAlignment="1" pivotButton="0" quotePrefix="0" xfId="0">
      <alignment horizontal="left" vertical="center" wrapText="1" readingOrder="1"/>
    </xf>
    <xf numFmtId="0" fontId="121" fillId="0" borderId="337" applyAlignment="1" pivotButton="0" quotePrefix="0" xfId="0">
      <alignment horizontal="left" vertical="center" wrapText="1" readingOrder="1"/>
    </xf>
    <xf numFmtId="0" fontId="121" fillId="0" borderId="277" applyAlignment="1" pivotButton="0" quotePrefix="0" xfId="0">
      <alignment horizontal="left" vertical="center" wrapText="1" readingOrder="1"/>
    </xf>
    <xf numFmtId="0" fontId="121" fillId="0" borderId="459" applyAlignment="1" pivotButton="0" quotePrefix="0" xfId="0">
      <alignment horizontal="left" vertical="center" wrapText="1" readingOrder="1"/>
    </xf>
    <xf numFmtId="0" fontId="121" fillId="0" borderId="460" applyAlignment="1" pivotButton="0" quotePrefix="0" xfId="0">
      <alignment horizontal="left" vertical="center" wrapText="1" readingOrder="1"/>
    </xf>
    <xf numFmtId="0" fontId="121" fillId="0" borderId="401" applyAlignment="1" pivotButton="0" quotePrefix="0" xfId="0">
      <alignment horizontal="left" vertical="center" wrapText="1" readingOrder="1"/>
    </xf>
    <xf numFmtId="0" fontId="122" fillId="0" borderId="297" applyAlignment="1" pivotButton="0" quotePrefix="0" xfId="0">
      <alignment horizontal="left" vertical="center" wrapText="1" readingOrder="1"/>
    </xf>
    <xf numFmtId="0" fontId="122" fillId="0" borderId="282" applyAlignment="1" pivotButton="0" quotePrefix="0" xfId="0">
      <alignment horizontal="left" vertical="center" wrapText="1" readingOrder="1"/>
    </xf>
    <xf numFmtId="0" fontId="122" fillId="0" borderId="283" applyAlignment="1" pivotButton="0" quotePrefix="0" xfId="0">
      <alignment horizontal="left" vertical="center" wrapText="1" readingOrder="1"/>
    </xf>
    <xf numFmtId="0" fontId="122" fillId="0" borderId="299" applyAlignment="1" pivotButton="0" quotePrefix="0" xfId="0">
      <alignment horizontal="left" vertical="center" wrapText="1" readingOrder="1"/>
    </xf>
    <xf numFmtId="0" fontId="122" fillId="0" borderId="300" applyAlignment="1" pivotButton="0" quotePrefix="0" xfId="0">
      <alignment horizontal="left" vertical="center" wrapText="1" readingOrder="1"/>
    </xf>
    <xf numFmtId="0" fontId="122" fillId="0" borderId="301" applyAlignment="1" pivotButton="0" quotePrefix="0" xfId="0">
      <alignment horizontal="left" vertical="center" wrapText="1" readingOrder="1"/>
    </xf>
    <xf numFmtId="0" fontId="121" fillId="0" borderId="309" applyAlignment="1" pivotButton="0" quotePrefix="0" xfId="0">
      <alignment horizontal="left" vertical="center" wrapText="1" readingOrder="1"/>
    </xf>
    <xf numFmtId="0" fontId="121" fillId="0" borderId="317" applyAlignment="1" pivotButton="0" quotePrefix="0" xfId="0">
      <alignment horizontal="left" vertical="center" wrapText="1" readingOrder="1"/>
    </xf>
    <xf numFmtId="0" fontId="121" fillId="0" borderId="318" applyAlignment="1" pivotButton="0" quotePrefix="0" xfId="0">
      <alignment horizontal="left" vertical="center" wrapText="1" readingOrder="1"/>
    </xf>
    <xf numFmtId="0" fontId="121" fillId="0" borderId="319" applyAlignment="1" pivotButton="0" quotePrefix="0" xfId="0">
      <alignment horizontal="left" vertical="center" wrapText="1" readingOrder="1"/>
    </xf>
    <xf numFmtId="0" fontId="122" fillId="42" borderId="297" applyAlignment="1" pivotButton="0" quotePrefix="0" xfId="0">
      <alignment horizontal="left" vertical="center" wrapText="1" readingOrder="1"/>
    </xf>
    <xf numFmtId="0" fontId="122" fillId="42" borderId="282" applyAlignment="1" pivotButton="0" quotePrefix="0" xfId="0">
      <alignment horizontal="left" vertical="center" wrapText="1" readingOrder="1"/>
    </xf>
    <xf numFmtId="0" fontId="122" fillId="42" borderId="283" applyAlignment="1" pivotButton="0" quotePrefix="0" xfId="0">
      <alignment horizontal="left" vertical="center" wrapText="1" readingOrder="1"/>
    </xf>
    <xf numFmtId="0" fontId="105" fillId="3" borderId="384" applyAlignment="1" pivotButton="0" quotePrefix="0" xfId="0">
      <alignment horizontal="center" vertical="center" wrapText="1" readingOrder="1"/>
    </xf>
    <xf numFmtId="0" fontId="105" fillId="3" borderId="386" applyAlignment="1" pivotButton="0" quotePrefix="0" xfId="0">
      <alignment horizontal="center" vertical="center" wrapText="1" readingOrder="1"/>
    </xf>
    <xf numFmtId="0" fontId="105" fillId="3" borderId="365" applyAlignment="1" pivotButton="0" quotePrefix="0" xfId="0">
      <alignment horizontal="center" vertical="center" wrapText="1" readingOrder="1"/>
    </xf>
    <xf numFmtId="0" fontId="105" fillId="3" borderId="356" applyAlignment="1" pivotButton="0" quotePrefix="0" xfId="0">
      <alignment horizontal="center" vertical="center" wrapText="1" readingOrder="1"/>
    </xf>
    <xf numFmtId="0" fontId="105" fillId="0" borderId="349" applyAlignment="1" pivotButton="0" quotePrefix="0" xfId="0">
      <alignment horizontal="left" vertical="center" wrapText="1" readingOrder="1"/>
    </xf>
    <xf numFmtId="0" fontId="105" fillId="0" borderId="471" applyAlignment="1" pivotButton="0" quotePrefix="0" xfId="0">
      <alignment horizontal="left" vertical="center" wrapText="1" readingOrder="1"/>
    </xf>
    <xf numFmtId="0" fontId="105" fillId="0" borderId="350" applyAlignment="1" pivotButton="0" quotePrefix="0" xfId="0">
      <alignment horizontal="left" vertical="center" wrapText="1" readingOrder="1"/>
    </xf>
    <xf numFmtId="0" fontId="105" fillId="0" borderId="472" applyAlignment="1" pivotButton="0" quotePrefix="0" xfId="0">
      <alignment horizontal="left" vertical="center" wrapText="1" readingOrder="1"/>
    </xf>
    <xf numFmtId="0" fontId="105" fillId="0" borderId="455" applyAlignment="1" pivotButton="0" quotePrefix="0" xfId="0">
      <alignment horizontal="left" vertical="center" wrapText="1" readingOrder="1"/>
    </xf>
    <xf numFmtId="0" fontId="105" fillId="0" borderId="462" applyAlignment="1" pivotButton="0" quotePrefix="0" xfId="0">
      <alignment horizontal="left" vertical="center" wrapText="1" readingOrder="1"/>
    </xf>
    <xf numFmtId="0" fontId="105" fillId="0" borderId="456" applyAlignment="1" pivotButton="0" quotePrefix="0" xfId="0">
      <alignment horizontal="left" vertical="center" wrapText="1" readingOrder="1"/>
    </xf>
    <xf numFmtId="0" fontId="105" fillId="0" borderId="337" applyAlignment="1" pivotButton="0" quotePrefix="0" xfId="0">
      <alignment horizontal="left" vertical="center" wrapText="1" readingOrder="1"/>
    </xf>
    <xf numFmtId="0" fontId="105" fillId="0" borderId="0" applyAlignment="1" pivotButton="0" quotePrefix="0" xfId="0">
      <alignment horizontal="left" vertical="center" wrapText="1" readingOrder="1"/>
    </xf>
    <xf numFmtId="0" fontId="105" fillId="0" borderId="347" applyAlignment="1" pivotButton="0" quotePrefix="0" xfId="0">
      <alignment horizontal="left" vertical="center" wrapText="1" readingOrder="1"/>
    </xf>
    <xf numFmtId="0" fontId="105" fillId="0" borderId="475" applyAlignment="1" pivotButton="0" quotePrefix="0" xfId="0">
      <alignment horizontal="left" vertical="center" wrapText="1" readingOrder="1"/>
    </xf>
    <xf numFmtId="0" fontId="105" fillId="0" borderId="277" applyAlignment="1" pivotButton="0" quotePrefix="0" xfId="0">
      <alignment horizontal="left" vertical="center" wrapText="1" readingOrder="1"/>
    </xf>
    <xf numFmtId="0" fontId="105" fillId="0" borderId="477" applyAlignment="1" pivotButton="0" quotePrefix="0" xfId="0">
      <alignment horizontal="left" vertical="center" wrapText="1" readingOrder="1"/>
    </xf>
    <xf numFmtId="0" fontId="105" fillId="0" borderId="478" applyAlignment="1" pivotButton="0" quotePrefix="0" xfId="0">
      <alignment horizontal="left" vertical="center" wrapText="1" readingOrder="1"/>
    </xf>
    <xf numFmtId="0" fontId="105" fillId="0" borderId="479" applyAlignment="1" pivotButton="0" quotePrefix="0" xfId="0">
      <alignment horizontal="left" vertical="center" wrapText="1" readingOrder="1"/>
    </xf>
    <xf numFmtId="0" fontId="105" fillId="0" borderId="293" applyAlignment="1" pivotButton="0" quotePrefix="0" xfId="0">
      <alignment horizontal="left" vertical="center" wrapText="1" readingOrder="1"/>
    </xf>
    <xf numFmtId="0" fontId="105" fillId="0" borderId="279" applyAlignment="1" pivotButton="0" quotePrefix="0" xfId="0">
      <alignment horizontal="left" vertical="center" wrapText="1" readingOrder="1"/>
    </xf>
    <xf numFmtId="0" fontId="105" fillId="0" borderId="435" applyAlignment="1" pivotButton="0" quotePrefix="0" xfId="0">
      <alignment horizontal="left" vertical="center" wrapText="1" readingOrder="1"/>
    </xf>
    <xf numFmtId="0" fontId="105" fillId="0" borderId="355" applyAlignment="1" pivotButton="0" quotePrefix="0" xfId="0">
      <alignment horizontal="left" vertical="center" wrapText="1" readingOrder="1"/>
    </xf>
    <xf numFmtId="0" fontId="105" fillId="0" borderId="280" applyAlignment="1" pivotButton="0" quotePrefix="0" xfId="0">
      <alignment horizontal="left" vertical="center" wrapText="1" readingOrder="1"/>
    </xf>
    <xf numFmtId="0" fontId="104" fillId="42" borderId="282" applyAlignment="1" pivotButton="0" quotePrefix="0" xfId="0">
      <alignment horizontal="left" vertical="center" wrapText="1" readingOrder="1"/>
    </xf>
    <xf numFmtId="0" fontId="104" fillId="42" borderId="283" applyAlignment="1" pivotButton="0" quotePrefix="0" xfId="0">
      <alignment horizontal="left" vertical="center" wrapText="1" readingOrder="1"/>
    </xf>
    <xf numFmtId="0" fontId="102" fillId="0" borderId="299" applyAlignment="1" pivotButton="0" quotePrefix="0" xfId="0">
      <alignment horizontal="left" vertical="center" wrapText="1" readingOrder="1"/>
    </xf>
    <xf numFmtId="0" fontId="102" fillId="0" borderId="300" applyAlignment="1" pivotButton="0" quotePrefix="0" xfId="0">
      <alignment horizontal="left" vertical="center" wrapText="1" readingOrder="1"/>
    </xf>
    <xf numFmtId="0" fontId="102" fillId="0" borderId="301" applyAlignment="1" pivotButton="0" quotePrefix="0" xfId="0">
      <alignment horizontal="left" vertical="center" wrapText="1" readingOrder="1"/>
    </xf>
    <xf numFmtId="0" fontId="102" fillId="0" borderId="317" applyAlignment="1" pivotButton="0" quotePrefix="0" xfId="0">
      <alignment horizontal="left" vertical="center" wrapText="1" readingOrder="1"/>
    </xf>
    <xf numFmtId="0" fontId="102" fillId="0" borderId="318" applyAlignment="1" pivotButton="0" quotePrefix="0" xfId="0">
      <alignment horizontal="left" vertical="center" wrapText="1" readingOrder="1"/>
    </xf>
    <xf numFmtId="0" fontId="102" fillId="0" borderId="319" applyAlignment="1" pivotButton="0" quotePrefix="0" xfId="0">
      <alignment horizontal="left" vertical="center" wrapText="1" readingOrder="1"/>
    </xf>
    <xf numFmtId="0" fontId="102" fillId="0" borderId="274" applyAlignment="1" pivotButton="0" quotePrefix="0" xfId="0">
      <alignment horizontal="left" vertical="center" wrapText="1" readingOrder="1"/>
    </xf>
    <xf numFmtId="0" fontId="102" fillId="0" borderId="275" applyAlignment="1" pivotButton="0" quotePrefix="0" xfId="0">
      <alignment horizontal="left" vertical="center" wrapText="1" readingOrder="1"/>
    </xf>
    <xf numFmtId="0" fontId="103" fillId="42" borderId="278" applyAlignment="1" pivotButton="0" quotePrefix="0" xfId="0">
      <alignment horizontal="left" vertical="center" wrapText="1" readingOrder="1"/>
    </xf>
    <xf numFmtId="0" fontId="103" fillId="42" borderId="279" applyAlignment="1" pivotButton="0" quotePrefix="0" xfId="0">
      <alignment horizontal="left" vertical="center" wrapText="1" readingOrder="1"/>
    </xf>
    <xf numFmtId="0" fontId="103" fillId="42" borderId="280" applyAlignment="1" pivotButton="0" quotePrefix="0" xfId="0">
      <alignment horizontal="left" vertical="center" wrapText="1" readingOrder="1"/>
    </xf>
    <xf numFmtId="0" fontId="102" fillId="0" borderId="352" applyAlignment="1" pivotButton="0" quotePrefix="0" xfId="0">
      <alignment horizontal="left" vertical="center" wrapText="1" readingOrder="1"/>
    </xf>
    <xf numFmtId="0" fontId="102" fillId="0" borderId="353" applyAlignment="1" pivotButton="0" quotePrefix="0" xfId="0">
      <alignment horizontal="left" vertical="center" wrapText="1" readingOrder="1"/>
    </xf>
    <xf numFmtId="0" fontId="102" fillId="0" borderId="337" applyAlignment="1" pivotButton="0" quotePrefix="0" xfId="0">
      <alignment horizontal="left" vertical="center" wrapText="1" readingOrder="1"/>
    </xf>
    <xf numFmtId="0" fontId="102" fillId="0" borderId="277" applyAlignment="1" pivotButton="0" quotePrefix="0" xfId="0">
      <alignment horizontal="left" vertical="center" wrapText="1" readingOrder="1"/>
    </xf>
    <xf numFmtId="0" fontId="102" fillId="0" borderId="354" applyAlignment="1" pivotButton="0" quotePrefix="0" xfId="0">
      <alignment horizontal="left" vertical="center" wrapText="1" readingOrder="1"/>
    </xf>
    <xf numFmtId="0" fontId="102" fillId="0" borderId="355" applyAlignment="1" pivotButton="0" quotePrefix="0" xfId="0">
      <alignment horizontal="left" vertical="center" wrapText="1" readingOrder="1"/>
    </xf>
    <xf numFmtId="0" fontId="102" fillId="0" borderId="280" applyAlignment="1" pivotButton="0" quotePrefix="0" xfId="0">
      <alignment horizontal="left" vertical="center" wrapText="1" readingOrder="1"/>
    </xf>
    <xf numFmtId="0" fontId="92" fillId="0" borderId="337" applyAlignment="1" pivotButton="0" quotePrefix="0" xfId="0">
      <alignment vertical="center" wrapText="1"/>
    </xf>
    <xf numFmtId="0" fontId="92" fillId="0" borderId="347" applyAlignment="1" pivotButton="0" quotePrefix="0" xfId="0">
      <alignment vertical="center" wrapText="1"/>
    </xf>
    <xf numFmtId="0" fontId="92" fillId="0" borderId="349" applyAlignment="1" pivotButton="0" quotePrefix="0" xfId="0">
      <alignment vertical="center" wrapText="1"/>
    </xf>
    <xf numFmtId="0" fontId="92" fillId="0" borderId="350" applyAlignment="1" pivotButton="0" quotePrefix="0" xfId="0">
      <alignment vertical="center" wrapText="1"/>
    </xf>
    <xf numFmtId="0" fontId="102" fillId="0" borderId="310" applyAlignment="1" pivotButton="0" quotePrefix="0" xfId="0">
      <alignment horizontal="left" vertical="center" wrapText="1" readingOrder="1"/>
    </xf>
    <xf numFmtId="0" fontId="102" fillId="0" borderId="311" applyAlignment="1" pivotButton="0" quotePrefix="0" xfId="0">
      <alignment horizontal="left" vertical="center" wrapText="1" readingOrder="1"/>
    </xf>
    <xf numFmtId="0" fontId="102" fillId="0" borderId="312" applyAlignment="1" pivotButton="0" quotePrefix="0" xfId="0">
      <alignment horizontal="left" vertical="center" wrapText="1" readingOrder="1"/>
    </xf>
    <xf numFmtId="0" fontId="102" fillId="0" borderId="368" applyAlignment="1" pivotButton="0" quotePrefix="0" xfId="0">
      <alignment horizontal="left" vertical="center" wrapText="1" readingOrder="1"/>
    </xf>
    <xf numFmtId="0" fontId="102" fillId="0" borderId="370" applyAlignment="1" pivotButton="0" quotePrefix="0" xfId="0">
      <alignment horizontal="left" vertical="center" wrapText="1" readingOrder="1"/>
    </xf>
    <xf numFmtId="0" fontId="103" fillId="0" borderId="299" applyAlignment="1" pivotButton="0" quotePrefix="0" xfId="0">
      <alignment horizontal="left" vertical="center" wrapText="1" readingOrder="1"/>
    </xf>
    <xf numFmtId="0" fontId="103" fillId="0" borderId="300" applyAlignment="1" pivotButton="0" quotePrefix="0" xfId="0">
      <alignment horizontal="left" vertical="center" wrapText="1" readingOrder="1"/>
    </xf>
    <xf numFmtId="0" fontId="103" fillId="0" borderId="301" applyAlignment="1" pivotButton="0" quotePrefix="0" xfId="0">
      <alignment horizontal="left" vertical="center" wrapText="1" readingOrder="1"/>
    </xf>
    <xf numFmtId="0" fontId="92" fillId="0" borderId="308" applyAlignment="1" pivotButton="0" quotePrefix="0" xfId="0">
      <alignment vertical="center" wrapText="1"/>
    </xf>
    <xf numFmtId="0" fontId="92" fillId="0" borderId="309" applyAlignment="1" pivotButton="0" quotePrefix="0" xfId="0">
      <alignment vertical="center" wrapText="1"/>
    </xf>
    <xf numFmtId="0" fontId="102" fillId="0" borderId="366" applyAlignment="1" pivotButton="0" quotePrefix="0" xfId="0">
      <alignment horizontal="left" vertical="center" wrapText="1" readingOrder="1"/>
    </xf>
    <xf numFmtId="0" fontId="102" fillId="0" borderId="367" applyAlignment="1" pivotButton="0" quotePrefix="0" xfId="0">
      <alignment horizontal="left" vertical="center" wrapText="1" readingOrder="1"/>
    </xf>
    <xf numFmtId="0" fontId="92" fillId="0" borderId="326" applyAlignment="1" pivotButton="0" quotePrefix="0" xfId="0">
      <alignment vertical="center" wrapText="1"/>
    </xf>
    <xf numFmtId="0" fontId="92" fillId="0" borderId="327" applyAlignment="1" pivotButton="0" quotePrefix="0" xfId="0">
      <alignment vertical="center" wrapText="1"/>
    </xf>
    <xf numFmtId="0" fontId="102" fillId="0" borderId="369" applyAlignment="1" pivotButton="0" quotePrefix="0" xfId="0">
      <alignment horizontal="left" vertical="center" wrapText="1" readingOrder="1"/>
    </xf>
    <xf numFmtId="0" fontId="102" fillId="0" borderId="0" applyAlignment="1" pivotButton="0" quotePrefix="0" xfId="0">
      <alignment horizontal="left" vertical="center" wrapText="1" readingOrder="1"/>
    </xf>
    <xf numFmtId="0" fontId="103" fillId="0" borderId="297" applyAlignment="1" pivotButton="0" quotePrefix="0" xfId="0">
      <alignment horizontal="left" vertical="center" wrapText="1" readingOrder="1"/>
    </xf>
    <xf numFmtId="0" fontId="103" fillId="0" borderId="282" applyAlignment="1" pivotButton="0" quotePrefix="0" xfId="0">
      <alignment horizontal="left" vertical="center" wrapText="1" readingOrder="1"/>
    </xf>
    <xf numFmtId="0" fontId="103" fillId="0" borderId="283" applyAlignment="1" pivotButton="0" quotePrefix="0" xfId="0">
      <alignment horizontal="left" vertical="center" wrapText="1" readingOrder="1"/>
    </xf>
    <xf numFmtId="0" fontId="102" fillId="3" borderId="273" applyAlignment="1" pivotButton="0" quotePrefix="0" xfId="0">
      <alignment horizontal="center" vertical="center" wrapText="1" readingOrder="1"/>
    </xf>
    <xf numFmtId="0" fontId="102" fillId="3" borderId="274" applyAlignment="1" pivotButton="0" quotePrefix="0" xfId="0">
      <alignment horizontal="center" vertical="center" wrapText="1" readingOrder="1"/>
    </xf>
    <xf numFmtId="0" fontId="102" fillId="3" borderId="275" applyAlignment="1" pivotButton="0" quotePrefix="0" xfId="0">
      <alignment horizontal="center" vertical="center" wrapText="1" readingOrder="1"/>
    </xf>
    <xf numFmtId="0" fontId="102" fillId="3" borderId="276" applyAlignment="1" pivotButton="0" quotePrefix="0" xfId="0">
      <alignment horizontal="center" vertical="center" wrapText="1" readingOrder="1"/>
    </xf>
    <xf numFmtId="0" fontId="102" fillId="3" borderId="0" applyAlignment="1" pivotButton="0" quotePrefix="0" xfId="0">
      <alignment horizontal="center" vertical="center" wrapText="1" readingOrder="1"/>
    </xf>
    <xf numFmtId="0" fontId="102" fillId="3" borderId="277" applyAlignment="1" pivotButton="0" quotePrefix="0" xfId="0">
      <alignment horizontal="center" vertical="center" wrapText="1" readingOrder="1"/>
    </xf>
    <xf numFmtId="0" fontId="102" fillId="3" borderId="278" applyAlignment="1" pivotButton="0" quotePrefix="0" xfId="0">
      <alignment horizontal="center" vertical="center" wrapText="1" readingOrder="1"/>
    </xf>
    <xf numFmtId="0" fontId="102" fillId="3" borderId="279" applyAlignment="1" pivotButton="0" quotePrefix="0" xfId="0">
      <alignment horizontal="center" vertical="center" wrapText="1" readingOrder="1"/>
    </xf>
    <xf numFmtId="0" fontId="102" fillId="3" borderId="280" applyAlignment="1" pivotButton="0" quotePrefix="0" xfId="0">
      <alignment horizontal="center" vertical="center" wrapText="1" readingOrder="1"/>
    </xf>
    <xf numFmtId="0" fontId="102" fillId="3" borderId="281" applyAlignment="1" pivotButton="0" quotePrefix="0" xfId="0">
      <alignment horizontal="center" vertical="center" wrapText="1" readingOrder="1"/>
    </xf>
    <xf numFmtId="0" fontId="102" fillId="3" borderId="285" applyAlignment="1" pivotButton="0" quotePrefix="0" xfId="0">
      <alignment horizontal="center" vertical="center" wrapText="1" readingOrder="1"/>
    </xf>
    <xf numFmtId="0" fontId="102" fillId="3" borderId="286" applyAlignment="1" pivotButton="0" quotePrefix="0" xfId="0">
      <alignment horizontal="center" vertical="center" wrapText="1" readingOrder="1"/>
    </xf>
    <xf numFmtId="0" fontId="102" fillId="3" borderId="287" applyAlignment="1" pivotButton="0" quotePrefix="0" xfId="0">
      <alignment horizontal="center" vertical="center" wrapText="1" readingOrder="1"/>
    </xf>
    <xf numFmtId="0" fontId="102" fillId="3" borderId="289" applyAlignment="1" pivotButton="0" quotePrefix="0" xfId="0">
      <alignment horizontal="center" vertical="center" wrapText="1" readingOrder="1"/>
    </xf>
    <xf numFmtId="0" fontId="102" fillId="3" borderId="291" applyAlignment="1" pivotButton="0" quotePrefix="0" xfId="0">
      <alignment horizontal="center" vertical="center" wrapText="1" readingOrder="1"/>
    </xf>
    <xf numFmtId="215" fontId="30" fillId="6" borderId="0" applyAlignment="1" pivotButton="0" quotePrefix="0" xfId="1">
      <alignment horizontal="left" vertical="center"/>
    </xf>
    <xf numFmtId="174" fontId="24" fillId="0" borderId="0" applyAlignment="1" pivotButton="0" quotePrefix="0" xfId="1">
      <alignment vertical="center"/>
    </xf>
    <xf numFmtId="168" fontId="25" fillId="0" borderId="186" applyAlignment="1" pivotButton="0" quotePrefix="0" xfId="1">
      <alignment horizontal="right" vertical="center" readingOrder="1"/>
    </xf>
    <xf numFmtId="168" fontId="28" fillId="0" borderId="53" applyAlignment="1" pivotButton="0" quotePrefix="0" xfId="1">
      <alignment horizontal="right" vertical="center" readingOrder="1"/>
    </xf>
    <xf numFmtId="173" fontId="26" fillId="0" borderId="42" applyAlignment="1" pivotButton="0" quotePrefix="0" xfId="1">
      <alignment horizontal="right" vertical="center" readingOrder="1"/>
    </xf>
    <xf numFmtId="168" fontId="25" fillId="0" borderId="187" applyAlignment="1" pivotButton="0" quotePrefix="0" xfId="1">
      <alignment horizontal="right" vertical="center" readingOrder="1"/>
    </xf>
    <xf numFmtId="168" fontId="25" fillId="0" borderId="48" applyAlignment="1" pivotButton="0" quotePrefix="0" xfId="1">
      <alignment horizontal="right" vertical="center" readingOrder="1"/>
    </xf>
    <xf numFmtId="173" fontId="27" fillId="0" borderId="56" applyAlignment="1" pivotButton="0" quotePrefix="0" xfId="1">
      <alignment horizontal="right" vertical="center" readingOrder="1"/>
    </xf>
    <xf numFmtId="0" fontId="0" fillId="0" borderId="29" pivotButton="0" quotePrefix="0" xfId="0"/>
    <xf numFmtId="168" fontId="25" fillId="0" borderId="188" applyAlignment="1" pivotButton="0" quotePrefix="0" xfId="1">
      <alignment horizontal="right" vertical="center" readingOrder="1"/>
    </xf>
    <xf numFmtId="168" fontId="25" fillId="0" borderId="55" applyAlignment="1" pivotButton="0" quotePrefix="0" xfId="1">
      <alignment horizontal="right" vertical="center" readingOrder="1"/>
    </xf>
    <xf numFmtId="173" fontId="27" fillId="0" borderId="54" applyAlignment="1" pivotButton="0" quotePrefix="0" xfId="1">
      <alignment horizontal="right" vertical="center" readingOrder="1"/>
    </xf>
    <xf numFmtId="173" fontId="28" fillId="0" borderId="54" applyAlignment="1" pivotButton="0" quotePrefix="0" xfId="1">
      <alignment horizontal="right" vertical="center" readingOrder="1"/>
    </xf>
    <xf numFmtId="168" fontId="24" fillId="0" borderId="186" applyAlignment="1" pivotButton="0" quotePrefix="0" xfId="1">
      <alignment horizontal="right" vertical="center" readingOrder="1"/>
    </xf>
    <xf numFmtId="168" fontId="24" fillId="0" borderId="8" applyAlignment="1" pivotButton="0" quotePrefix="0" xfId="1">
      <alignment horizontal="right" vertical="center" readingOrder="1"/>
    </xf>
    <xf numFmtId="168" fontId="25" fillId="0" borderId="53" applyAlignment="1" pivotButton="0" quotePrefix="0" xfId="1">
      <alignment horizontal="right" vertical="center" readingOrder="1"/>
    </xf>
    <xf numFmtId="168" fontId="25" fillId="5" borderId="186" applyAlignment="1" pivotButton="0" quotePrefix="0" xfId="1">
      <alignment horizontal="right" vertical="center" readingOrder="1"/>
    </xf>
    <xf numFmtId="168" fontId="28" fillId="5" borderId="52" applyAlignment="1" pivotButton="0" quotePrefix="0" xfId="1">
      <alignment horizontal="right" vertical="center" readingOrder="1"/>
    </xf>
    <xf numFmtId="173" fontId="26" fillId="5" borderId="42" applyAlignment="1" pivotButton="0" quotePrefix="0" xfId="1">
      <alignment horizontal="right" vertical="center" readingOrder="1"/>
    </xf>
    <xf numFmtId="168" fontId="24" fillId="0" borderId="0" applyAlignment="1" pivotButton="0" quotePrefix="0" xfId="1">
      <alignment vertical="center"/>
    </xf>
    <xf numFmtId="196" fontId="24" fillId="0" borderId="0" applyAlignment="1" pivotButton="0" quotePrefix="0" xfId="1">
      <alignment vertical="center"/>
    </xf>
    <xf numFmtId="197" fontId="24" fillId="0" borderId="0" applyAlignment="1" pivotButton="0" quotePrefix="0" xfId="1">
      <alignment vertical="center"/>
    </xf>
    <xf numFmtId="165" fontId="24" fillId="0" borderId="0" applyAlignment="1" pivotButton="0" quotePrefix="0" xfId="60307">
      <alignment vertical="center"/>
    </xf>
    <xf numFmtId="200" fontId="24" fillId="0" borderId="0" applyAlignment="1" pivotButton="0" quotePrefix="0" xfId="1">
      <alignment vertical="center"/>
    </xf>
    <xf numFmtId="165" fontId="24" fillId="0" borderId="0" applyAlignment="1" pivotButton="0" quotePrefix="0" xfId="1">
      <alignment vertical="center"/>
    </xf>
    <xf numFmtId="0" fontId="91" fillId="3" borderId="118" applyAlignment="1" pivotButton="0" quotePrefix="0" xfId="60305">
      <alignment horizontal="center" vertical="center" readingOrder="1"/>
    </xf>
    <xf numFmtId="0" fontId="0" fillId="0" borderId="7" pivotButton="0" quotePrefix="0" xfId="0"/>
    <xf numFmtId="0" fontId="0" fillId="0" borderId="2" pivotButton="0" quotePrefix="0" xfId="0"/>
    <xf numFmtId="0" fontId="0" fillId="0" borderId="13" pivotButton="0" quotePrefix="0" xfId="0"/>
    <xf numFmtId="0" fontId="0" fillId="0" borderId="10" pivotButton="0" quotePrefix="0" xfId="0"/>
    <xf numFmtId="168" fontId="91" fillId="38" borderId="1" applyAlignment="1" pivotButton="0" quotePrefix="0" xfId="60305">
      <alignment horizontal="right" vertical="center" readingOrder="1"/>
    </xf>
    <xf numFmtId="168" fontId="91" fillId="39" borderId="1" applyAlignment="1" pivotButton="0" quotePrefix="0" xfId="60307">
      <alignment horizontal="right" vertical="center" readingOrder="1"/>
    </xf>
    <xf numFmtId="168" fontId="91" fillId="38" borderId="118" applyAlignment="1" pivotButton="0" quotePrefix="0" xfId="60305">
      <alignment horizontal="right" vertical="center" readingOrder="1"/>
    </xf>
    <xf numFmtId="168" fontId="91" fillId="0" borderId="20" applyAlignment="1" pivotButton="0" quotePrefix="0" xfId="60305">
      <alignment horizontal="right" vertical="center" readingOrder="1"/>
    </xf>
    <xf numFmtId="168" fontId="91" fillId="0" borderId="168" applyAlignment="1" pivotButton="0" quotePrefix="0" xfId="60305">
      <alignment horizontal="right" vertical="center" readingOrder="1"/>
    </xf>
    <xf numFmtId="168" fontId="91" fillId="0" borderId="169" applyAlignment="1" pivotButton="0" quotePrefix="0" xfId="60306">
      <alignment horizontal="right" vertical="center" readingOrder="1"/>
    </xf>
    <xf numFmtId="168" fontId="91" fillId="0" borderId="126" applyAlignment="1" pivotButton="0" quotePrefix="0" xfId="60306">
      <alignment horizontal="right" vertical="center" readingOrder="1"/>
    </xf>
    <xf numFmtId="168" fontId="91" fillId="39" borderId="169" applyAlignment="1" pivotButton="0" quotePrefix="0" xfId="60307">
      <alignment horizontal="right" vertical="center" readingOrder="1"/>
    </xf>
    <xf numFmtId="168" fontId="91" fillId="39" borderId="126" applyAlignment="1" pivotButton="0" quotePrefix="0" xfId="60307">
      <alignment horizontal="right" vertical="center" readingOrder="1"/>
    </xf>
    <xf numFmtId="168" fontId="91" fillId="5" borderId="170" applyAlignment="1" pivotButton="0" quotePrefix="0" xfId="60307">
      <alignment horizontal="right" vertical="center" readingOrder="1"/>
    </xf>
    <xf numFmtId="168" fontId="91" fillId="5" borderId="134" applyAlignment="1" pivotButton="0" quotePrefix="0" xfId="60307">
      <alignment horizontal="right" vertical="center" readingOrder="1"/>
    </xf>
    <xf numFmtId="168" fontId="91" fillId="0" borderId="169" applyAlignment="1" pivotButton="0" quotePrefix="0" xfId="60305">
      <alignment horizontal="right" vertical="center" readingOrder="1"/>
    </xf>
    <xf numFmtId="168" fontId="91" fillId="0" borderId="125" applyAlignment="1" pivotButton="0" quotePrefix="0" xfId="60305">
      <alignment horizontal="right" vertical="center" readingOrder="1"/>
    </xf>
    <xf numFmtId="168" fontId="91" fillId="5" borderId="162" applyAlignment="1" pivotButton="0" quotePrefix="0" xfId="60305">
      <alignment horizontal="right" vertical="center" readingOrder="1"/>
    </xf>
    <xf numFmtId="168" fontId="91" fillId="5" borderId="162" applyAlignment="1" pivotButton="0" quotePrefix="0" xfId="60307">
      <alignment horizontal="right" vertical="center" readingOrder="1"/>
    </xf>
    <xf numFmtId="168" fontId="91" fillId="0" borderId="171" applyAlignment="1" pivotButton="0" quotePrefix="0" xfId="60305">
      <alignment horizontal="right" vertical="center" readingOrder="1"/>
    </xf>
    <xf numFmtId="168" fontId="91" fillId="0" borderId="140" applyAlignment="1" pivotButton="0" quotePrefix="0" xfId="60305">
      <alignment horizontal="right" vertical="center" readingOrder="1"/>
    </xf>
    <xf numFmtId="168" fontId="91" fillId="40" borderId="172" applyAlignment="1" pivotButton="0" quotePrefix="0" xfId="60305">
      <alignment horizontal="right" vertical="center" readingOrder="1"/>
    </xf>
    <xf numFmtId="168" fontId="91" fillId="40" borderId="172" applyAlignment="1" pivotButton="0" quotePrefix="0" xfId="60307">
      <alignment horizontal="right" vertical="center" readingOrder="1"/>
    </xf>
    <xf numFmtId="168" fontId="91" fillId="40" borderId="142" applyAlignment="1" pivotButton="0" quotePrefix="0" xfId="60305">
      <alignment horizontal="right" vertical="center" readingOrder="1"/>
    </xf>
    <xf numFmtId="164" fontId="91" fillId="0" borderId="0" applyAlignment="1" pivotButton="0" quotePrefix="0" xfId="60305">
      <alignment horizontal="right" vertical="center" readingOrder="1"/>
    </xf>
    <xf numFmtId="168" fontId="91" fillId="38" borderId="6" applyAlignment="1" pivotButton="0" quotePrefix="0" xfId="60305">
      <alignment horizontal="right" vertical="center" readingOrder="1"/>
    </xf>
    <xf numFmtId="168" fontId="91" fillId="38" borderId="5" applyAlignment="1" pivotButton="0" quotePrefix="0" xfId="60305">
      <alignment horizontal="right" vertical="center" readingOrder="1"/>
    </xf>
    <xf numFmtId="168" fontId="91" fillId="0" borderId="146" applyAlignment="1" pivotButton="0" quotePrefix="0" xfId="60305">
      <alignment horizontal="right" vertical="center" readingOrder="1"/>
    </xf>
    <xf numFmtId="168" fontId="91" fillId="0" borderId="75" applyAlignment="1" pivotButton="0" quotePrefix="0" xfId="60305">
      <alignment horizontal="right" vertical="center" readingOrder="1"/>
    </xf>
    <xf numFmtId="168" fontId="91" fillId="0" borderId="147" applyAlignment="1" pivotButton="0" quotePrefix="0" xfId="60305">
      <alignment horizontal="right" vertical="center" readingOrder="1"/>
    </xf>
    <xf numFmtId="167" fontId="91" fillId="0" borderId="119" applyAlignment="1" pivotButton="0" quotePrefix="0" xfId="60306">
      <alignment horizontal="right" vertical="center" readingOrder="1"/>
    </xf>
    <xf numFmtId="167" fontId="91" fillId="0" borderId="41" applyAlignment="1" pivotButton="0" quotePrefix="0" xfId="60306">
      <alignment horizontal="right" vertical="center" readingOrder="1"/>
    </xf>
    <xf numFmtId="167" fontId="91" fillId="0" borderId="120" applyAlignment="1" pivotButton="0" quotePrefix="0" xfId="60306">
      <alignment horizontal="right" vertical="center" readingOrder="1"/>
    </xf>
    <xf numFmtId="167" fontId="91" fillId="0" borderId="123" applyAlignment="1" pivotButton="0" quotePrefix="0" xfId="60306">
      <alignment horizontal="right" vertical="center" readingOrder="1"/>
    </xf>
    <xf numFmtId="167" fontId="91" fillId="0" borderId="66" applyAlignment="1" pivotButton="0" quotePrefix="0" xfId="60306">
      <alignment horizontal="right" vertical="center" readingOrder="1"/>
    </xf>
    <xf numFmtId="167" fontId="91" fillId="0" borderId="124" applyAlignment="1" pivotButton="0" quotePrefix="0" xfId="60306">
      <alignment horizontal="right" vertical="center" readingOrder="1"/>
    </xf>
    <xf numFmtId="167" fontId="91" fillId="0" borderId="149" applyAlignment="1" pivotButton="0" quotePrefix="0" xfId="60306">
      <alignment horizontal="right" vertical="center" readingOrder="1"/>
    </xf>
    <xf numFmtId="167" fontId="91" fillId="0" borderId="150" applyAlignment="1" pivotButton="0" quotePrefix="0" xfId="60306">
      <alignment horizontal="right" vertical="center" readingOrder="1"/>
    </xf>
    <xf numFmtId="167" fontId="91" fillId="0" borderId="151" applyAlignment="1" pivotButton="0" quotePrefix="0" xfId="60306">
      <alignment horizontal="right" vertical="center" readingOrder="1"/>
    </xf>
    <xf numFmtId="167" fontId="91" fillId="0" borderId="128" applyAlignment="1" pivotButton="0" quotePrefix="0" xfId="60306">
      <alignment horizontal="right" vertical="center" readingOrder="1"/>
    </xf>
    <xf numFmtId="167" fontId="91" fillId="0" borderId="127" applyAlignment="1" pivotButton="0" quotePrefix="0" xfId="60306">
      <alignment horizontal="right" vertical="center" readingOrder="1"/>
    </xf>
    <xf numFmtId="167" fontId="91" fillId="0" borderId="129" applyAlignment="1" pivotButton="0" quotePrefix="0" xfId="60306">
      <alignment horizontal="right" vertical="center" readingOrder="1"/>
    </xf>
    <xf numFmtId="167" fontId="91" fillId="0" borderId="131" applyAlignment="1" pivotButton="0" quotePrefix="0" xfId="60306">
      <alignment horizontal="right" vertical="center" readingOrder="1"/>
    </xf>
    <xf numFmtId="167" fontId="91" fillId="0" borderId="130" applyAlignment="1" pivotButton="0" quotePrefix="0" xfId="60306">
      <alignment horizontal="right" vertical="center" readingOrder="1"/>
    </xf>
    <xf numFmtId="167" fontId="91" fillId="0" borderId="132" applyAlignment="1" pivotButton="0" quotePrefix="0" xfId="60306">
      <alignment horizontal="right" vertical="center" readingOrder="1"/>
    </xf>
    <xf numFmtId="168" fontId="91" fillId="41" borderId="149" applyAlignment="1" pivotButton="0" quotePrefix="0" xfId="60305">
      <alignment horizontal="right" vertical="center" readingOrder="1"/>
    </xf>
    <xf numFmtId="168" fontId="91" fillId="41" borderId="150" applyAlignment="1" pivotButton="0" quotePrefix="0" xfId="60305">
      <alignment horizontal="right" vertical="center" readingOrder="1"/>
    </xf>
    <xf numFmtId="168" fontId="91" fillId="41" borderId="151" applyAlignment="1" pivotButton="0" quotePrefix="0" xfId="60305">
      <alignment horizontal="right" vertical="center" readingOrder="1"/>
    </xf>
    <xf numFmtId="168" fontId="91" fillId="0" borderId="155" applyAlignment="1" pivotButton="0" quotePrefix="0" xfId="60305">
      <alignment horizontal="right" vertical="center" readingOrder="1"/>
    </xf>
    <xf numFmtId="168" fontId="91" fillId="0" borderId="156" applyAlignment="1" pivotButton="0" quotePrefix="0" xfId="60305">
      <alignment horizontal="right" vertical="center" readingOrder="1"/>
    </xf>
    <xf numFmtId="168" fontId="91" fillId="0" borderId="157" applyAlignment="1" pivotButton="0" quotePrefix="0" xfId="60305">
      <alignment horizontal="right" vertical="center" readingOrder="1"/>
    </xf>
    <xf numFmtId="164" fontId="91" fillId="0" borderId="121" applyAlignment="1" pivotButton="0" quotePrefix="0" xfId="60305">
      <alignment horizontal="right" vertical="center" readingOrder="1"/>
    </xf>
    <xf numFmtId="165" fontId="91" fillId="0" borderId="40" applyAlignment="1" pivotButton="0" quotePrefix="0" xfId="60306">
      <alignment horizontal="right" vertical="center" readingOrder="1"/>
    </xf>
    <xf numFmtId="164" fontId="91" fillId="0" borderId="122" applyAlignment="1" pivotButton="0" quotePrefix="0" xfId="60305">
      <alignment horizontal="right" vertical="center" readingOrder="1"/>
    </xf>
    <xf numFmtId="168" fontId="91" fillId="0" borderId="137" applyAlignment="1" pivotButton="0" quotePrefix="0" xfId="60305">
      <alignment horizontal="right" vertical="center" readingOrder="1"/>
    </xf>
    <xf numFmtId="168" fontId="91" fillId="0" borderId="160" applyAlignment="1" pivotButton="0" quotePrefix="0" xfId="60305">
      <alignment horizontal="right" vertical="center" readingOrder="1"/>
    </xf>
    <xf numFmtId="168" fontId="91" fillId="0" borderId="161" applyAlignment="1" pivotButton="0" quotePrefix="0" xfId="60305">
      <alignment horizontal="right" vertical="center" readingOrder="1"/>
    </xf>
    <xf numFmtId="165" fontId="91" fillId="2" borderId="164" applyAlignment="1" pivotButton="0" quotePrefix="0" xfId="60306">
      <alignment horizontal="right" vertical="center" readingOrder="1"/>
    </xf>
    <xf numFmtId="168" fontId="91" fillId="2" borderId="165" applyAlignment="1" pivotButton="0" quotePrefix="0" xfId="60305">
      <alignment horizontal="right" vertical="center" readingOrder="1"/>
    </xf>
    <xf numFmtId="168" fontId="91" fillId="2" borderId="166" applyAlignment="1" pivotButton="0" quotePrefix="0" xfId="60305">
      <alignment horizontal="right" vertical="center" readingOrder="1"/>
    </xf>
    <xf numFmtId="168" fontId="91" fillId="40" borderId="143" applyAlignment="1" pivotButton="0" quotePrefix="0" xfId="60305">
      <alignment horizontal="right" vertical="center" readingOrder="1"/>
    </xf>
    <xf numFmtId="168" fontId="91" fillId="40" borderId="144" applyAlignment="1" pivotButton="0" quotePrefix="0" xfId="60305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34" fillId="3" borderId="2" applyAlignment="1" pivotButton="0" quotePrefix="0" xfId="0">
      <alignment horizontal="center" vertical="center" wrapText="1" readingOrder="1"/>
    </xf>
    <xf numFmtId="0" fontId="0" fillId="0" borderId="24" pivotButton="0" quotePrefix="0" xfId="0"/>
    <xf numFmtId="0" fontId="34" fillId="3" borderId="51" applyAlignment="1" pivotButton="0" quotePrefix="0" xfId="0">
      <alignment horizontal="center" vertical="center" wrapText="1" readingOrder="1"/>
    </xf>
    <xf numFmtId="0" fontId="0" fillId="0" borderId="44" pivotButton="0" quotePrefix="0" xfId="0"/>
    <xf numFmtId="0" fontId="0" fillId="0" borderId="43" pivotButton="0" quotePrefix="0" xfId="0"/>
    <xf numFmtId="0" fontId="34" fillId="3" borderId="50" applyAlignment="1" pivotButton="0" quotePrefix="0" xfId="0">
      <alignment horizontal="center" vertical="center" wrapText="1" readingOrder="1"/>
    </xf>
    <xf numFmtId="0" fontId="0" fillId="0" borderId="11" pivotButton="0" quotePrefix="0" xfId="0"/>
    <xf numFmtId="0" fontId="0" fillId="0" borderId="85" pivotButton="0" quotePrefix="0" xfId="0"/>
    <xf numFmtId="165" fontId="34" fillId="0" borderId="6" applyAlignment="1" pivotButton="0" quotePrefix="0" xfId="60307">
      <alignment horizontal="right" vertical="center" wrapText="1" readingOrder="1"/>
    </xf>
    <xf numFmtId="165" fontId="34" fillId="0" borderId="5" applyAlignment="1" pivotButton="0" quotePrefix="0" xfId="60307">
      <alignment horizontal="right" vertical="center" wrapText="1" readingOrder="1"/>
    </xf>
    <xf numFmtId="165" fontId="34" fillId="0" borderId="1" applyAlignment="1" pivotButton="0" quotePrefix="0" xfId="60307">
      <alignment horizontal="right" vertical="center" wrapText="1" readingOrder="1"/>
    </xf>
    <xf numFmtId="165" fontId="34" fillId="0" borderId="9" applyAlignment="1" pivotButton="0" quotePrefix="0" xfId="60307">
      <alignment horizontal="right" vertical="center" wrapText="1" readingOrder="1"/>
    </xf>
    <xf numFmtId="165" fontId="34" fillId="0" borderId="8" applyAlignment="1" pivotButton="0" quotePrefix="0" xfId="60307">
      <alignment horizontal="right" vertical="center" wrapText="1" readingOrder="1"/>
    </xf>
    <xf numFmtId="0" fontId="0" fillId="0" borderId="25" pivotButton="0" quotePrefix="0" xfId="0"/>
    <xf numFmtId="165" fontId="34" fillId="0" borderId="96" applyAlignment="1" pivotButton="0" quotePrefix="0" xfId="60307">
      <alignment horizontal="right" vertical="center" wrapText="1" readingOrder="1"/>
    </xf>
    <xf numFmtId="165" fontId="34" fillId="0" borderId="179" applyAlignment="1" pivotButton="0" quotePrefix="0" xfId="60307">
      <alignment horizontal="right" vertical="center" wrapText="1" readingOrder="1"/>
    </xf>
    <xf numFmtId="165" fontId="34" fillId="0" borderId="81" applyAlignment="1" pivotButton="0" quotePrefix="0" xfId="60307">
      <alignment horizontal="right" vertical="center" wrapText="1" readingOrder="1"/>
    </xf>
    <xf numFmtId="165" fontId="34" fillId="0" borderId="178" applyAlignment="1" pivotButton="0" quotePrefix="0" xfId="60307">
      <alignment horizontal="right" vertical="center" wrapText="1" readingOrder="1"/>
    </xf>
    <xf numFmtId="165" fontId="34" fillId="42" borderId="119" applyAlignment="1" pivotButton="0" quotePrefix="0" xfId="60307">
      <alignment horizontal="right" vertical="center" wrapText="1" readingOrder="1"/>
    </xf>
    <xf numFmtId="165" fontId="34" fillId="42" borderId="16" applyAlignment="1" pivotButton="0" quotePrefix="0" xfId="60307">
      <alignment horizontal="right" vertical="center" wrapText="1" readingOrder="1"/>
    </xf>
    <xf numFmtId="165" fontId="34" fillId="42" borderId="15" applyAlignment="1" pivotButton="0" quotePrefix="0" xfId="60307">
      <alignment horizontal="right" vertical="center" wrapText="1" readingOrder="1"/>
    </xf>
    <xf numFmtId="165" fontId="34" fillId="42" borderId="174" applyAlignment="1" pivotButton="0" quotePrefix="0" xfId="60307">
      <alignment horizontal="right" vertical="center" wrapText="1" readingOrder="1"/>
    </xf>
    <xf numFmtId="165" fontId="34" fillId="42" borderId="17" applyAlignment="1" pivotButton="0" quotePrefix="0" xfId="60307">
      <alignment horizontal="right" vertical="center" wrapText="1" readingOrder="1"/>
    </xf>
    <xf numFmtId="165" fontId="34" fillId="42" borderId="181" applyAlignment="1" pivotButton="0" quotePrefix="0" xfId="60307">
      <alignment horizontal="right" vertical="center" wrapText="1" readingOrder="1"/>
    </xf>
    <xf numFmtId="165" fontId="34" fillId="42" borderId="180" applyAlignment="1" pivotButton="0" quotePrefix="0" xfId="60307">
      <alignment horizontal="right" vertical="center" wrapText="1" readingOrder="1"/>
    </xf>
    <xf numFmtId="165" fontId="34" fillId="42" borderId="74" applyAlignment="1" pivotButton="0" quotePrefix="0" xfId="60307">
      <alignment horizontal="right" vertical="center" wrapText="1" readingOrder="1"/>
    </xf>
    <xf numFmtId="165" fontId="34" fillId="42" borderId="182" applyAlignment="1" pivotButton="0" quotePrefix="0" xfId="60307">
      <alignment horizontal="right" vertical="center" wrapText="1" readingOrder="1"/>
    </xf>
    <xf numFmtId="165" fontId="34" fillId="42" borderId="177" applyAlignment="1" pivotButton="0" quotePrefix="0" xfId="60307">
      <alignment horizontal="right" vertical="center" wrapText="1" readingOrder="1"/>
    </xf>
    <xf numFmtId="202" fontId="34" fillId="43" borderId="6" applyAlignment="1" pivotButton="0" quotePrefix="0" xfId="60307">
      <alignment horizontal="right" vertical="center" wrapText="1" readingOrder="1"/>
    </xf>
    <xf numFmtId="202" fontId="34" fillId="43" borderId="87" applyAlignment="1" pivotButton="0" quotePrefix="0" xfId="60307">
      <alignment horizontal="right" vertical="center" wrapText="1" readingOrder="1"/>
    </xf>
    <xf numFmtId="202" fontId="34" fillId="43" borderId="1" applyAlignment="1" pivotButton="0" quotePrefix="0" xfId="60307">
      <alignment horizontal="right" vertical="center" wrapText="1" readingOrder="1"/>
    </xf>
    <xf numFmtId="202" fontId="34" fillId="43" borderId="9" applyAlignment="1" pivotButton="0" quotePrefix="0" xfId="60307">
      <alignment horizontal="right" vertical="center" wrapText="1" readingOrder="1"/>
    </xf>
    <xf numFmtId="202" fontId="34" fillId="43" borderId="8" applyAlignment="1" pivotButton="0" quotePrefix="0" xfId="60307">
      <alignment horizontal="right" vertical="center" wrapText="1" readingOrder="1"/>
    </xf>
    <xf numFmtId="202" fontId="34" fillId="43" borderId="50" applyAlignment="1" pivotButton="0" quotePrefix="0" xfId="0">
      <alignment horizontal="left" vertical="center" wrapText="1" readingOrder="1"/>
    </xf>
    <xf numFmtId="165" fontId="34" fillId="0" borderId="87" applyAlignment="1" pivotButton="0" quotePrefix="0" xfId="60307">
      <alignment horizontal="right" vertical="center" wrapText="1" readingOrder="1"/>
    </xf>
    <xf numFmtId="165" fontId="34" fillId="0" borderId="176" applyAlignment="1" pivotButton="0" quotePrefix="0" xfId="60307">
      <alignment horizontal="right" vertical="center" wrapText="1" readingOrder="1"/>
    </xf>
    <xf numFmtId="165" fontId="34" fillId="0" borderId="183" applyAlignment="1" pivotButton="0" quotePrefix="0" xfId="60307">
      <alignment horizontal="right" vertical="center" wrapText="1" readingOrder="1"/>
    </xf>
    <xf numFmtId="165" fontId="34" fillId="0" borderId="3" applyAlignment="1" pivotButton="0" quotePrefix="0" xfId="60307">
      <alignment horizontal="right" vertical="center" wrapText="1" readingOrder="1"/>
    </xf>
    <xf numFmtId="168" fontId="91" fillId="0" borderId="0" applyAlignment="1" pivotButton="0" quotePrefix="0" xfId="60305">
      <alignment horizontal="right" vertical="center" readingOrder="1"/>
    </xf>
    <xf numFmtId="167" fontId="91" fillId="0" borderId="0" applyAlignment="1" pivotButton="0" quotePrefix="0" xfId="60306">
      <alignment horizontal="right" vertical="center" readingOrder="1"/>
    </xf>
    <xf numFmtId="165" fontId="91" fillId="0" borderId="0" applyAlignment="1" pivotButton="0" quotePrefix="0" xfId="60306">
      <alignment horizontal="right" vertical="center" readingOrder="1"/>
    </xf>
    <xf numFmtId="168" fontId="34" fillId="0" borderId="49" applyAlignment="1" pivotButton="0" quotePrefix="0" xfId="1">
      <alignment vertical="center" readingOrder="1"/>
    </xf>
    <xf numFmtId="168" fontId="34" fillId="0" borderId="48" applyAlignment="1" pivotButton="0" quotePrefix="0" xfId="1">
      <alignment vertical="center" readingOrder="1"/>
    </xf>
    <xf numFmtId="201" fontId="93" fillId="0" borderId="56" applyAlignment="1" pivotButton="0" quotePrefix="0" xfId="1">
      <alignment vertical="center" readingOrder="1"/>
    </xf>
    <xf numFmtId="168" fontId="34" fillId="0" borderId="36" applyAlignment="1" pivotButton="0" quotePrefix="0" xfId="1">
      <alignment vertical="center" readingOrder="1"/>
    </xf>
    <xf numFmtId="168" fontId="34" fillId="0" borderId="47" applyAlignment="1" pivotButton="0" quotePrefix="0" xfId="1">
      <alignment vertical="center" readingOrder="1"/>
    </xf>
    <xf numFmtId="201" fontId="35" fillId="0" borderId="65" applyAlignment="1" pivotButton="0" quotePrefix="0" xfId="1">
      <alignment vertical="center" readingOrder="1"/>
    </xf>
    <xf numFmtId="168" fontId="34" fillId="0" borderId="30" applyAlignment="1" pivotButton="0" quotePrefix="0" xfId="1">
      <alignment vertical="center" readingOrder="1"/>
    </xf>
    <xf numFmtId="168" fontId="34" fillId="0" borderId="55" applyAlignment="1" pivotButton="0" quotePrefix="0" xfId="1">
      <alignment vertical="center" readingOrder="1"/>
    </xf>
    <xf numFmtId="201" fontId="38" fillId="0" borderId="54" applyAlignment="1" pivotButton="0" quotePrefix="0" xfId="1">
      <alignment vertical="center" readingOrder="1"/>
    </xf>
    <xf numFmtId="201" fontId="38" fillId="0" borderId="65" applyAlignment="1" pivotButton="0" quotePrefix="0" xfId="1">
      <alignment vertical="center" readingOrder="1"/>
    </xf>
    <xf numFmtId="168" fontId="32" fillId="0" borderId="12" applyAlignment="1" pivotButton="0" quotePrefix="0" xfId="1">
      <alignment horizontal="right" vertical="center" readingOrder="1"/>
    </xf>
    <xf numFmtId="168" fontId="36" fillId="0" borderId="67" applyAlignment="1" pivotButton="0" quotePrefix="0" xfId="1">
      <alignment horizontal="right" vertical="center" readingOrder="1"/>
    </xf>
    <xf numFmtId="201" fontId="93" fillId="0" borderId="59" applyAlignment="1" pivotButton="0" quotePrefix="0" xfId="1">
      <alignment horizontal="right" vertical="center" readingOrder="1"/>
    </xf>
    <xf numFmtId="168" fontId="34" fillId="0" borderId="49" applyAlignment="1" pivotButton="0" quotePrefix="0" xfId="1">
      <alignment horizontal="right" vertical="center" readingOrder="1"/>
    </xf>
    <xf numFmtId="168" fontId="33" fillId="0" borderId="48" applyAlignment="1" pivotButton="0" quotePrefix="0" xfId="1">
      <alignment horizontal="right" vertical="center" readingOrder="1"/>
    </xf>
    <xf numFmtId="201" fontId="97" fillId="0" borderId="56" applyAlignment="1" pivotButton="0" quotePrefix="0" xfId="1">
      <alignment horizontal="right" vertical="center" readingOrder="1"/>
    </xf>
    <xf numFmtId="168" fontId="34" fillId="0" borderId="36" applyAlignment="1" pivotButton="0" quotePrefix="0" xfId="1">
      <alignment horizontal="right" vertical="center" readingOrder="1"/>
    </xf>
    <xf numFmtId="168" fontId="33" fillId="0" borderId="47" applyAlignment="1" pivotButton="0" quotePrefix="0" xfId="1">
      <alignment horizontal="right" vertical="center" readingOrder="1"/>
    </xf>
    <xf numFmtId="201" fontId="97" fillId="0" borderId="65" applyAlignment="1" pivotButton="0" quotePrefix="0" xfId="1">
      <alignment horizontal="right" vertical="center" readingOrder="1"/>
    </xf>
    <xf numFmtId="201" fontId="93" fillId="0" borderId="56" applyAlignment="1" pivotButton="0" quotePrefix="0" xfId="1">
      <alignment horizontal="right" vertical="center" readingOrder="1"/>
    </xf>
    <xf numFmtId="201" fontId="35" fillId="0" borderId="65" applyAlignment="1" pivotButton="0" quotePrefix="0" xfId="1">
      <alignment horizontal="right" vertical="center" readingOrder="1"/>
    </xf>
    <xf numFmtId="0" fontId="0" fillId="0" borderId="63" pivotButton="0" quotePrefix="0" xfId="0"/>
    <xf numFmtId="168" fontId="32" fillId="0" borderId="68" applyAlignment="1" pivotButton="0" quotePrefix="0" xfId="1">
      <alignment horizontal="right" vertical="center" readingOrder="1"/>
    </xf>
    <xf numFmtId="168" fontId="36" fillId="0" borderId="184" applyAlignment="1" pivotButton="0" quotePrefix="0" xfId="1">
      <alignment horizontal="right" vertical="center" readingOrder="1"/>
    </xf>
    <xf numFmtId="201" fontId="93" fillId="0" borderId="62" applyAlignment="1" pivotButton="0" quotePrefix="0" xfId="1">
      <alignment horizontal="right" vertical="center" readingOrder="1"/>
    </xf>
    <xf numFmtId="176" fontId="34" fillId="3" borderId="12" applyAlignment="1" pivotButton="0" quotePrefix="0" xfId="1">
      <alignment horizontal="right" vertical="center" readingOrder="1"/>
    </xf>
    <xf numFmtId="176" fontId="33" fillId="3" borderId="60" applyAlignment="1" pivotButton="0" quotePrefix="0" xfId="1">
      <alignment horizontal="right" vertical="center" readingOrder="1"/>
    </xf>
    <xf numFmtId="175" fontId="32" fillId="3" borderId="59" applyAlignment="1" pivotButton="0" quotePrefix="0" xfId="1">
      <alignment horizontal="right" vertical="center" readingOrder="1"/>
    </xf>
    <xf numFmtId="164" fontId="6" fillId="0" borderId="0" applyAlignment="1" pivotButton="0" quotePrefix="0" xfId="1">
      <alignment vertical="center"/>
    </xf>
    <xf numFmtId="164" fontId="42" fillId="0" borderId="0" applyAlignment="1" pivotButton="0" quotePrefix="0" xfId="1">
      <alignment vertical="center"/>
    </xf>
    <xf numFmtId="164" fontId="39" fillId="0" borderId="0" applyAlignment="1" pivotButton="0" quotePrefix="0" xfId="1">
      <alignment vertical="center"/>
    </xf>
    <xf numFmtId="177" fontId="6" fillId="0" borderId="0" applyAlignment="1" pivotButton="0" quotePrefix="0" xfId="1">
      <alignment vertical="center"/>
    </xf>
    <xf numFmtId="0" fontId="9" fillId="3" borderId="2" applyAlignment="1" pivotButton="0" quotePrefix="0" xfId="1">
      <alignment horizontal="center" vertical="center" readingOrder="1"/>
    </xf>
    <xf numFmtId="0" fontId="9" fillId="3" borderId="51" applyAlignment="1" pivotButton="0" quotePrefix="0" xfId="1">
      <alignment horizontal="center" vertical="center" wrapText="1" readingOrder="1"/>
    </xf>
    <xf numFmtId="168" fontId="6" fillId="0" borderId="0" applyAlignment="1" pivotButton="0" quotePrefix="0" xfId="1">
      <alignment vertical="center"/>
    </xf>
    <xf numFmtId="168" fontId="9" fillId="0" borderId="1" applyAlignment="1" pivotButton="0" quotePrefix="0" xfId="2">
      <alignment horizontal="right" vertical="center" readingOrder="1"/>
    </xf>
    <xf numFmtId="168" fontId="9" fillId="0" borderId="5" applyAlignment="1" pivotButton="0" quotePrefix="0" xfId="2">
      <alignment horizontal="right" vertical="center" readingOrder="1"/>
    </xf>
    <xf numFmtId="168" fontId="9" fillId="0" borderId="50" applyAlignment="1" pivotButton="0" quotePrefix="0" xfId="2">
      <alignment horizontal="right" vertical="center" readingOrder="1"/>
    </xf>
    <xf numFmtId="168" fontId="9" fillId="0" borderId="8" applyAlignment="1" pivotButton="0" quotePrefix="0" xfId="2">
      <alignment horizontal="right" vertical="center" readingOrder="1"/>
    </xf>
    <xf numFmtId="214" fontId="9" fillId="0" borderId="2" applyAlignment="1" pivotButton="0" quotePrefix="0" xfId="2">
      <alignment horizontal="right" vertical="center" readingOrder="1"/>
    </xf>
    <xf numFmtId="168" fontId="9" fillId="0" borderId="23" applyAlignment="1" pivotButton="0" quotePrefix="0" xfId="2">
      <alignment horizontal="right" vertical="center" readingOrder="1"/>
    </xf>
    <xf numFmtId="168" fontId="9" fillId="0" borderId="75" applyAlignment="1" pivotButton="0" quotePrefix="0" xfId="2">
      <alignment horizontal="right" vertical="center" readingOrder="1"/>
    </xf>
    <xf numFmtId="168" fontId="9" fillId="0" borderId="81" applyAlignment="1" pivotButton="0" quotePrefix="0" xfId="2">
      <alignment horizontal="right" vertical="center" readingOrder="1"/>
    </xf>
    <xf numFmtId="168" fontId="9" fillId="0" borderId="22" applyAlignment="1" pivotButton="0" quotePrefix="0" xfId="2">
      <alignment horizontal="right" vertical="center" readingOrder="1"/>
    </xf>
    <xf numFmtId="214" fontId="6" fillId="0" borderId="21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horizontal="right" vertical="center" readingOrder="1"/>
    </xf>
    <xf numFmtId="168" fontId="9" fillId="0" borderId="76" applyAlignment="1" pivotButton="0" quotePrefix="0" xfId="2">
      <alignment horizontal="right" vertical="center" readingOrder="1"/>
    </xf>
    <xf numFmtId="168" fontId="9" fillId="0" borderId="82" applyAlignment="1" pivotButton="0" quotePrefix="0" xfId="2">
      <alignment horizontal="right" vertical="center" readingOrder="1"/>
    </xf>
    <xf numFmtId="168" fontId="9" fillId="0" borderId="33" applyAlignment="1" pivotButton="0" quotePrefix="0" xfId="2">
      <alignment horizontal="right" vertical="center" readingOrder="1"/>
    </xf>
    <xf numFmtId="214" fontId="6" fillId="0" borderId="69" applyAlignment="1" pivotButton="0" quotePrefix="0" xfId="2">
      <alignment horizontal="right" vertical="center" readingOrder="1"/>
    </xf>
    <xf numFmtId="168" fontId="9" fillId="0" borderId="15" applyAlignment="1" pivotButton="0" quotePrefix="0" xfId="2">
      <alignment horizontal="right" vertical="center" readingOrder="1"/>
    </xf>
    <xf numFmtId="168" fontId="9" fillId="0" borderId="41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horizontal="right" vertical="center" readingOrder="1"/>
    </xf>
    <xf numFmtId="168" fontId="9" fillId="0" borderId="26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vertical="center" readingOrder="1"/>
    </xf>
    <xf numFmtId="168" fontId="9" fillId="0" borderId="84" applyAlignment="1" pivotButton="0" quotePrefix="0" xfId="2">
      <alignment horizontal="right" vertical="center" readingOrder="1"/>
    </xf>
    <xf numFmtId="168" fontId="9" fillId="0" borderId="30" applyAlignment="1" pivotButton="0" quotePrefix="0" xfId="2">
      <alignment horizontal="right" vertical="center" readingOrder="1"/>
    </xf>
    <xf numFmtId="214" fontId="6" fillId="0" borderId="29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horizontal="right" vertical="center" readingOrder="1"/>
    </xf>
    <xf numFmtId="168" fontId="6" fillId="0" borderId="30" applyAlignment="1" pivotButton="0" quotePrefix="0" xfId="2">
      <alignment horizontal="right" vertical="center" readingOrder="1"/>
    </xf>
    <xf numFmtId="168" fontId="9" fillId="0" borderId="39" applyAlignment="1" pivotButton="0" quotePrefix="0" xfId="2">
      <alignment horizontal="right" vertical="center" readingOrder="1"/>
    </xf>
    <xf numFmtId="168" fontId="9" fillId="0" borderId="71" applyAlignment="1" pivotButton="0" quotePrefix="0" xfId="2">
      <alignment horizontal="right" vertical="center" readingOrder="1"/>
    </xf>
    <xf numFmtId="168" fontId="9" fillId="0" borderId="72" applyAlignment="1" pivotButton="0" quotePrefix="0" xfId="2">
      <alignment horizontal="right" vertical="center" readingOrder="1"/>
    </xf>
    <xf numFmtId="214" fontId="6" fillId="0" borderId="3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vertical="center" readingOrder="1"/>
    </xf>
    <xf numFmtId="168" fontId="9" fillId="0" borderId="76" applyAlignment="1" pivotButton="0" quotePrefix="0" xfId="2">
      <alignment vertical="center" readingOrder="1"/>
    </xf>
    <xf numFmtId="168" fontId="9" fillId="0" borderId="82" applyAlignment="1" pivotButton="0" quotePrefix="0" xfId="2">
      <alignment vertical="center" readingOrder="1"/>
    </xf>
    <xf numFmtId="168" fontId="9" fillId="0" borderId="15" applyAlignment="1" pivotButton="0" quotePrefix="0" xfId="2">
      <alignment vertical="center" readingOrder="1"/>
    </xf>
    <xf numFmtId="168" fontId="9" fillId="0" borderId="19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vertical="center" readingOrder="1"/>
    </xf>
    <xf numFmtId="168" fontId="9" fillId="0" borderId="26" applyAlignment="1" pivotButton="0" quotePrefix="0" xfId="2">
      <alignment vertical="center" readingOrder="1"/>
    </xf>
    <xf numFmtId="168" fontId="9" fillId="0" borderId="27" applyAlignment="1" pivotButton="0" quotePrefix="0" xfId="2">
      <alignment horizontal="right" vertical="center" readingOrder="1"/>
    </xf>
    <xf numFmtId="168" fontId="9" fillId="0" borderId="84" applyAlignment="1" pivotButton="0" quotePrefix="0" xfId="2">
      <alignment vertical="center" readingOrder="1"/>
    </xf>
    <xf numFmtId="199" fontId="6" fillId="0" borderId="0" applyAlignment="1" pivotButton="0" quotePrefix="0" xfId="1">
      <alignment vertical="center"/>
    </xf>
    <xf numFmtId="168" fontId="9" fillId="0" borderId="34" applyAlignment="1" pivotButton="0" quotePrefix="0" xfId="2">
      <alignment vertical="center" readingOrder="1"/>
    </xf>
    <xf numFmtId="168" fontId="9" fillId="0" borderId="37" applyAlignment="1" pivotButton="0" quotePrefix="0" xfId="2">
      <alignment horizontal="right" vertical="center" readingOrder="1"/>
    </xf>
    <xf numFmtId="168" fontId="9" fillId="0" borderId="34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vertical="center" readingOrder="1"/>
    </xf>
    <xf numFmtId="168" fontId="9" fillId="0" borderId="36" applyAlignment="1" pivotButton="0" quotePrefix="0" xfId="2">
      <alignment horizontal="right" vertical="center" readingOrder="1"/>
    </xf>
    <xf numFmtId="214" fontId="6" fillId="0" borderId="35" applyAlignment="1" pivotButton="0" quotePrefix="0" xfId="2">
      <alignment horizontal="right" vertical="center" readingOrder="1"/>
    </xf>
    <xf numFmtId="168" fontId="9" fillId="0" borderId="78" applyAlignment="1" pivotButton="0" quotePrefix="0" xfId="2">
      <alignment horizontal="right" vertical="center" readingOrder="1"/>
    </xf>
    <xf numFmtId="165" fontId="10" fillId="0" borderId="26" applyAlignment="1" pivotButton="0" quotePrefix="1" xfId="2">
      <alignment horizontal="left" vertical="center" readingOrder="1"/>
    </xf>
    <xf numFmtId="168" fontId="9" fillId="0" borderId="77" applyAlignment="1" pivotButton="0" quotePrefix="0" xfId="2">
      <alignment vertical="center" readingOrder="1"/>
    </xf>
    <xf numFmtId="168" fontId="9" fillId="0" borderId="66" applyAlignment="1" pivotButton="0" quotePrefix="0" xfId="2">
      <alignment horizontal="right" vertical="center" readingOrder="1"/>
    </xf>
    <xf numFmtId="165" fontId="6" fillId="0" borderId="0" applyAlignment="1" pivotButton="0" quotePrefix="0" xfId="60307">
      <alignment vertical="center"/>
    </xf>
    <xf numFmtId="164" fontId="6" fillId="0" borderId="0" applyAlignment="1" pivotButton="0" quotePrefix="1" xfId="1">
      <alignment vertical="center"/>
    </xf>
    <xf numFmtId="168" fontId="9" fillId="0" borderId="46" applyAlignment="1" pivotButton="0" quotePrefix="0" xfId="2">
      <alignment horizontal="right" vertical="center" readingOrder="1"/>
    </xf>
    <xf numFmtId="165" fontId="6" fillId="0" borderId="0" applyAlignment="1" pivotButton="0" quotePrefix="0" xfId="1">
      <alignment vertical="center"/>
    </xf>
    <xf numFmtId="168" fontId="9" fillId="0" borderId="17" applyAlignment="1" pivotButton="0" quotePrefix="0" xfId="2">
      <alignment vertical="center" readingOrder="1"/>
    </xf>
    <xf numFmtId="214" fontId="6" fillId="0" borderId="16" applyAlignment="1" pivotButton="0" quotePrefix="0" xfId="2">
      <alignment vertical="center" readingOrder="1"/>
    </xf>
    <xf numFmtId="179" fontId="10" fillId="0" borderId="26" applyAlignment="1" pivotButton="0" quotePrefix="0" xfId="1">
      <alignment horizontal="left" vertical="center" readingOrder="1"/>
    </xf>
    <xf numFmtId="168" fontId="9" fillId="0" borderId="10" applyAlignment="1" pivotButton="0" quotePrefix="0" xfId="2">
      <alignment horizontal="right" vertical="center" readingOrder="1"/>
    </xf>
    <xf numFmtId="168" fontId="9" fillId="0" borderId="80" applyAlignment="1" pivotButton="0" quotePrefix="0" xfId="2">
      <alignment horizontal="right" vertical="center" readingOrder="1"/>
    </xf>
    <xf numFmtId="168" fontId="9" fillId="0" borderId="85" applyAlignment="1" pivotButton="0" quotePrefix="0" xfId="2">
      <alignment horizontal="right" vertical="center" readingOrder="1"/>
    </xf>
    <xf numFmtId="168" fontId="9" fillId="0" borderId="14" applyAlignment="1" pivotButton="0" quotePrefix="0" xfId="2">
      <alignment horizontal="right" vertical="center" readingOrder="1"/>
    </xf>
    <xf numFmtId="168" fontId="9" fillId="0" borderId="12" applyAlignment="1" pivotButton="0" quotePrefix="0" xfId="2">
      <alignment horizontal="right" vertical="center" readingOrder="1"/>
    </xf>
    <xf numFmtId="214" fontId="6" fillId="0" borderId="11" applyAlignment="1" pivotButton="0" quotePrefix="0" xfId="2">
      <alignment horizontal="right" vertical="center" readingOrder="1"/>
    </xf>
    <xf numFmtId="214" fontId="9" fillId="0" borderId="21" applyAlignment="1" pivotButton="0" quotePrefix="0" xfId="2">
      <alignment horizontal="right" vertical="center" readingOrder="1"/>
    </xf>
    <xf numFmtId="168" fontId="9" fillId="0" borderId="79" applyAlignment="1" pivotButton="0" quotePrefix="0" xfId="2">
      <alignment horizontal="right" vertical="center" readingOrder="1"/>
    </xf>
    <xf numFmtId="168" fontId="9" fillId="2" borderId="80" applyAlignment="1" pivotButton="0" quotePrefix="0" xfId="2">
      <alignment horizontal="right" vertical="center" readingOrder="1"/>
    </xf>
    <xf numFmtId="214" fontId="9" fillId="0" borderId="11" applyAlignment="1" pivotButton="0" quotePrefix="0" xfId="2">
      <alignment horizontal="right" vertical="center" readingOrder="1"/>
    </xf>
    <xf numFmtId="168" fontId="9" fillId="0" borderId="73" applyAlignment="1" pivotButton="0" quotePrefix="0" xfId="2">
      <alignment horizontal="right" vertical="center" readingOrder="1"/>
    </xf>
    <xf numFmtId="214" fontId="9" fillId="0" borderId="16" applyAlignment="1" pivotButton="0" quotePrefix="0" xfId="2">
      <alignment horizontal="right" vertical="center" readingOrder="1"/>
    </xf>
    <xf numFmtId="168" fontId="9" fillId="0" borderId="74" applyAlignment="1" pivotButton="0" quotePrefix="0" xfId="2">
      <alignment horizontal="right" vertical="center" readingOrder="1"/>
    </xf>
    <xf numFmtId="168" fontId="154" fillId="0" borderId="1" applyAlignment="1" pivotButton="0" quotePrefix="0" xfId="60307">
      <alignment horizontal="right" vertical="center" readingOrder="1"/>
    </xf>
    <xf numFmtId="168" fontId="154" fillId="0" borderId="5" applyAlignment="1" pivotButton="0" quotePrefix="0" xfId="2">
      <alignment horizontal="right" vertical="center" readingOrder="1"/>
    </xf>
    <xf numFmtId="168" fontId="154" fillId="0" borderId="1" applyAlignment="1" pivotButton="0" quotePrefix="0" xfId="2">
      <alignment horizontal="right" vertical="center" readingOrder="1"/>
    </xf>
    <xf numFmtId="168" fontId="154" fillId="0" borderId="86" applyAlignment="1" pivotButton="0" quotePrefix="0" xfId="2">
      <alignment horizontal="right" vertical="center" readingOrder="1"/>
    </xf>
    <xf numFmtId="168" fontId="12" fillId="0" borderId="4" applyAlignment="1" pivotButton="0" quotePrefix="0" xfId="2">
      <alignment horizontal="right" vertical="center" readingOrder="1"/>
    </xf>
    <xf numFmtId="168" fontId="154" fillId="0" borderId="3" applyAlignment="1" pivotButton="0" quotePrefix="0" xfId="2">
      <alignment horizontal="right" vertical="center" readingOrder="1"/>
    </xf>
    <xf numFmtId="205" fontId="154" fillId="0" borderId="2" applyAlignment="1" pivotButton="0" quotePrefix="0" xfId="2">
      <alignment horizontal="right" vertical="center" readingOrder="1"/>
    </xf>
    <xf numFmtId="170" fontId="6" fillId="0" borderId="0" applyAlignment="1" pivotButton="0" quotePrefix="0" xfId="60307">
      <alignment vertical="center"/>
    </xf>
    <xf numFmtId="213" fontId="6" fillId="0" borderId="0" applyAlignment="1" pivotButton="0" quotePrefix="0" xfId="1">
      <alignment vertical="center"/>
    </xf>
    <xf numFmtId="203" fontId="6" fillId="0" borderId="0" applyAlignment="1" pivotButton="0" quotePrefix="0" xfId="1">
      <alignment vertical="center"/>
    </xf>
    <xf numFmtId="166" fontId="6" fillId="0" borderId="0" applyAlignment="1" pivotButton="0" quotePrefix="0" xfId="1">
      <alignment vertical="center"/>
    </xf>
    <xf numFmtId="167" fontId="6" fillId="0" borderId="0" applyAlignment="1" pivotButton="0" quotePrefix="0" xfId="2">
      <alignment vertical="center"/>
    </xf>
    <xf numFmtId="188" fontId="6" fillId="0" borderId="0" applyAlignment="1" pivotButton="0" quotePrefix="0" xfId="60307">
      <alignment vertical="center"/>
    </xf>
    <xf numFmtId="190" fontId="6" fillId="0" borderId="0" applyAlignment="1" pivotButton="0" quotePrefix="0" xfId="60307">
      <alignment vertical="center"/>
    </xf>
    <xf numFmtId="187" fontId="6" fillId="0" borderId="0" applyAlignment="1" pivotButton="0" quotePrefix="0" xfId="1">
      <alignment vertical="center"/>
    </xf>
    <xf numFmtId="0" fontId="9" fillId="3" borderId="494" applyAlignment="1" pivotButton="0" quotePrefix="0" xfId="1">
      <alignment horizontal="center" vertical="center" wrapText="1" readingOrder="1"/>
    </xf>
    <xf numFmtId="0" fontId="0" fillId="0" borderId="90" pivotButton="0" quotePrefix="0" xfId="0"/>
    <xf numFmtId="0" fontId="0" fillId="0" borderId="91" pivotButton="0" quotePrefix="0" xfId="0"/>
    <xf numFmtId="164" fontId="9" fillId="0" borderId="1" applyAlignment="1" pivotButton="0" quotePrefix="0" xfId="2">
      <alignment horizontal="right" vertical="center" readingOrder="1"/>
    </xf>
    <xf numFmtId="164" fontId="9" fillId="0" borderId="5" applyAlignment="1" pivotButton="0" quotePrefix="0" xfId="2">
      <alignment horizontal="right" vertical="center" readingOrder="1"/>
    </xf>
    <xf numFmtId="164" fontId="9" fillId="0" borderId="94" applyAlignment="1" pivotButton="0" quotePrefix="0" xfId="2">
      <alignment horizontal="right" vertical="center" readingOrder="1"/>
    </xf>
    <xf numFmtId="164" fontId="9" fillId="0" borderId="95" applyAlignment="1" pivotButton="0" quotePrefix="0" xfId="2">
      <alignment horizontal="right" vertical="center" readingOrder="1"/>
    </xf>
    <xf numFmtId="164" fontId="9" fillId="0" borderId="7" applyAlignment="1" pivotButton="0" quotePrefix="0" xfId="2">
      <alignment horizontal="right" vertical="center" readingOrder="1"/>
    </xf>
    <xf numFmtId="164" fontId="9" fillId="0" borderId="23" applyAlignment="1" pivotButton="0" quotePrefix="0" xfId="2">
      <alignment horizontal="right" vertical="center" readingOrder="1"/>
    </xf>
    <xf numFmtId="164" fontId="9" fillId="0" borderId="75" applyAlignment="1" pivotButton="0" quotePrefix="0" xfId="2">
      <alignment horizontal="right" vertical="center" readingOrder="1"/>
    </xf>
    <xf numFmtId="164" fontId="9" fillId="0" borderId="96" applyAlignment="1" pivotButton="0" quotePrefix="0" xfId="2">
      <alignment horizontal="right" vertical="center" readingOrder="1"/>
    </xf>
    <xf numFmtId="164" fontId="9" fillId="0" borderId="97" applyAlignment="1" pivotButton="0" quotePrefix="0" xfId="2">
      <alignment horizontal="right" vertical="center" readingOrder="1"/>
    </xf>
    <xf numFmtId="164" fontId="9" fillId="0" borderId="88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horizontal="right" vertical="center" readingOrder="1"/>
    </xf>
    <xf numFmtId="164" fontId="9" fillId="0" borderId="98" applyAlignment="1" pivotButton="0" quotePrefix="0" xfId="2">
      <alignment horizontal="right" vertical="center" readingOrder="1"/>
    </xf>
    <xf numFmtId="164" fontId="9" fillId="0" borderId="69" applyAlignment="1" pivotButton="0" quotePrefix="0" xfId="2">
      <alignment horizontal="right" vertical="center" readingOrder="1"/>
    </xf>
    <xf numFmtId="164" fontId="9" fillId="0" borderId="15" applyAlignment="1" pivotButton="0" quotePrefix="0" xfId="2">
      <alignment vertical="center" readingOrder="1"/>
    </xf>
    <xf numFmtId="164" fontId="9" fillId="0" borderId="19" applyAlignment="1" pivotButton="0" quotePrefix="0" xfId="2">
      <alignment horizontal="right" vertical="center" readingOrder="1"/>
    </xf>
    <xf numFmtId="164" fontId="9" fillId="0" borderId="15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horizontal="right" vertical="center" readingOrder="1"/>
    </xf>
    <xf numFmtId="165" fontId="9" fillId="0" borderId="73" applyAlignment="1" pivotButton="0" quotePrefix="0" xfId="2">
      <alignment horizontal="right" vertical="center" readingOrder="1"/>
    </xf>
    <xf numFmtId="165" fontId="9" fillId="0" borderId="237" applyAlignment="1" pivotButton="0" quotePrefix="0" xfId="2">
      <alignment horizontal="right" vertical="center" readingOrder="1"/>
    </xf>
    <xf numFmtId="165" fontId="9" fillId="0" borderId="238" applyAlignment="1" pivotButton="0" quotePrefix="0" xfId="2">
      <alignment horizontal="right" vertical="center" readingOrder="1"/>
    </xf>
    <xf numFmtId="164" fontId="9" fillId="0" borderId="26" applyAlignment="1" pivotButton="0" quotePrefix="0" xfId="2">
      <alignment vertical="center" readingOrder="1"/>
    </xf>
    <xf numFmtId="164" fontId="9" fillId="0" borderId="27" applyAlignment="1" pivotButton="0" quotePrefix="0" xfId="2">
      <alignment horizontal="right" vertical="center" readingOrder="1"/>
    </xf>
    <xf numFmtId="164" fontId="9" fillId="0" borderId="26" applyAlignment="1" pivotButton="0" quotePrefix="0" xfId="2">
      <alignment horizontal="right" vertical="center" readingOrder="1"/>
    </xf>
    <xf numFmtId="164" fontId="9" fillId="0" borderId="101" applyAlignment="1" pivotButton="0" quotePrefix="0" xfId="2">
      <alignment horizontal="right" vertical="center" readingOrder="1"/>
    </xf>
    <xf numFmtId="177" fontId="9" fillId="0" borderId="100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vertical="center" readingOrder="1"/>
    </xf>
    <xf numFmtId="165" fontId="9" fillId="0" borderId="239" applyAlignment="1" pivotButton="0" quotePrefix="0" xfId="2">
      <alignment horizontal="right" vertical="center" readingOrder="1"/>
    </xf>
    <xf numFmtId="165" fontId="9" fillId="0" borderId="240" applyAlignment="1" pivotButton="0" quotePrefix="0" xfId="2">
      <alignment horizontal="right" vertical="center" readingOrder="1"/>
    </xf>
    <xf numFmtId="164" fontId="6" fillId="0" borderId="101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horizontal="right" vertical="center" readingOrder="1"/>
    </xf>
    <xf numFmtId="164" fontId="9" fillId="0" borderId="34" applyAlignment="1" pivotButton="0" quotePrefix="0" xfId="2">
      <alignment vertical="center" readingOrder="1"/>
    </xf>
    <xf numFmtId="164" fontId="9" fillId="0" borderId="37" applyAlignment="1" pivotButton="0" quotePrefix="0" xfId="2">
      <alignment horizontal="right" vertical="center" readingOrder="1"/>
    </xf>
    <xf numFmtId="164" fontId="9" fillId="0" borderId="34" applyAlignment="1" pivotButton="0" quotePrefix="0" xfId="2">
      <alignment horizontal="right" vertical="center" readingOrder="1"/>
    </xf>
    <xf numFmtId="164" fontId="9" fillId="0" borderId="103" applyAlignment="1" pivotButton="0" quotePrefix="0" xfId="2">
      <alignment horizontal="right" vertical="center" readingOrder="1"/>
    </xf>
    <xf numFmtId="177" fontId="9" fillId="39" borderId="102" applyAlignment="1" pivotButton="0" quotePrefix="0" xfId="2">
      <alignment horizontal="right" vertical="center" readingOrder="1"/>
    </xf>
    <xf numFmtId="177" fontId="9" fillId="0" borderId="77" applyAlignment="1" pivotButton="0" quotePrefix="0" xfId="2">
      <alignment horizontal="right" vertical="center" readingOrder="1"/>
    </xf>
    <xf numFmtId="177" fontId="9" fillId="0" borderId="102" applyAlignment="1" pivotButton="0" quotePrefix="0" xfId="2">
      <alignment horizontal="right" vertical="center" readingOrder="1"/>
    </xf>
    <xf numFmtId="165" fontId="9" fillId="0" borderId="241" applyAlignment="1" pivotButton="0" quotePrefix="0" xfId="2">
      <alignment horizontal="right" vertical="center" readingOrder="1"/>
    </xf>
    <xf numFmtId="165" fontId="9" fillId="0" borderId="242" applyAlignment="1" pivotButton="0" quotePrefix="0" xfId="2">
      <alignment horizontal="right" vertical="center" readingOrder="1"/>
    </xf>
    <xf numFmtId="164" fontId="9" fillId="0" borderId="104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vertical="center" readingOrder="1"/>
    </xf>
    <xf numFmtId="164" fontId="9" fillId="0" borderId="76" applyAlignment="1" pivotButton="0" quotePrefix="0" xfId="2">
      <alignment vertical="center" readingOrder="1"/>
    </xf>
    <xf numFmtId="164" fontId="9" fillId="0" borderId="71" applyAlignment="1" pivotButton="0" quotePrefix="0" xfId="2">
      <alignment vertical="center" readingOrder="1"/>
    </xf>
    <xf numFmtId="164" fontId="9" fillId="0" borderId="69" applyAlignment="1" pivotButton="0" quotePrefix="0" xfId="2">
      <alignment vertical="center" readingOrder="1"/>
    </xf>
    <xf numFmtId="164" fontId="9" fillId="0" borderId="120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vertical="center" readingOrder="1"/>
    </xf>
    <xf numFmtId="164" fontId="9" fillId="0" borderId="73" applyAlignment="1" pivotButton="0" quotePrefix="0" xfId="2">
      <alignment vertical="center" readingOrder="1"/>
    </xf>
    <xf numFmtId="164" fontId="9" fillId="0" borderId="41" applyAlignment="1" pivotButton="0" quotePrefix="0" xfId="2">
      <alignment horizontal="right" vertical="center" readingOrder="1"/>
    </xf>
    <xf numFmtId="164" fontId="9" fillId="0" borderId="237" applyAlignment="1" pivotButton="0" quotePrefix="0" xfId="2">
      <alignment vertical="center" readingOrder="1"/>
    </xf>
    <xf numFmtId="164" fontId="9" fillId="0" borderId="238" applyAlignment="1" pivotButton="0" quotePrefix="0" xfId="2">
      <alignment vertical="center" readingOrder="1"/>
    </xf>
    <xf numFmtId="164" fontId="9" fillId="0" borderId="100" applyAlignment="1" pivotButton="0" quotePrefix="0" xfId="2">
      <alignment vertical="center" readingOrder="1"/>
    </xf>
    <xf numFmtId="164" fontId="9" fillId="0" borderId="239" applyAlignment="1" pivotButton="0" quotePrefix="0" xfId="2">
      <alignment vertical="center" readingOrder="1"/>
    </xf>
    <xf numFmtId="164" fontId="9" fillId="0" borderId="240" applyAlignment="1" pivotButton="0" quotePrefix="0" xfId="2">
      <alignment vertical="center" readingOrder="1"/>
    </xf>
    <xf numFmtId="164" fontId="9" fillId="0" borderId="102" applyAlignment="1" pivotButton="0" quotePrefix="0" xfId="2">
      <alignment vertical="center" readingOrder="1"/>
    </xf>
    <xf numFmtId="164" fontId="9" fillId="0" borderId="66" applyAlignment="1" pivotButton="0" quotePrefix="0" xfId="2">
      <alignment horizontal="right" vertical="center" readingOrder="1"/>
    </xf>
    <xf numFmtId="164" fontId="9" fillId="0" borderId="241" applyAlignment="1" pivotButton="0" quotePrefix="0" xfId="2">
      <alignment vertical="center" readingOrder="1"/>
    </xf>
    <xf numFmtId="164" fontId="9" fillId="0" borderId="242" applyAlignment="1" pivotButton="0" quotePrefix="0" xfId="2">
      <alignment vertical="center" readingOrder="1"/>
    </xf>
    <xf numFmtId="177" fontId="9" fillId="0" borderId="15" applyAlignment="1" pivotButton="0" quotePrefix="0" xfId="2">
      <alignment horizontal="right" vertical="center" readingOrder="1"/>
    </xf>
    <xf numFmtId="177" fontId="9" fillId="0" borderId="78" applyAlignment="1" pivotButton="0" quotePrefix="0" xfId="2">
      <alignment horizontal="right" vertical="center" readingOrder="1"/>
    </xf>
    <xf numFmtId="177" fontId="9" fillId="0" borderId="73" applyAlignment="1" pivotButton="0" quotePrefix="0" xfId="2">
      <alignment horizontal="right" vertical="center" readingOrder="1"/>
    </xf>
    <xf numFmtId="177" fontId="9" fillId="0" borderId="18" applyAlignment="1" pivotButton="0" quotePrefix="0" xfId="2">
      <alignment horizontal="right" vertical="center" readingOrder="1"/>
    </xf>
    <xf numFmtId="164" fontId="9" fillId="0" borderId="77" applyAlignment="1" pivotButton="0" quotePrefix="0" xfId="2">
      <alignment vertical="center" readingOrder="1"/>
    </xf>
    <xf numFmtId="164" fontId="9" fillId="0" borderId="70" applyAlignment="1" pivotButton="0" quotePrefix="0" xfId="2">
      <alignment vertical="center" readingOrder="1"/>
    </xf>
    <xf numFmtId="164" fontId="9" fillId="0" borderId="244" applyAlignment="1" pivotButton="0" quotePrefix="0" xfId="2">
      <alignment vertical="center" readingOrder="1"/>
    </xf>
    <xf numFmtId="165" fontId="9" fillId="0" borderId="102" applyAlignment="1" pivotButton="0" quotePrefix="0" xfId="60307">
      <alignment vertical="center" readingOrder="1"/>
    </xf>
    <xf numFmtId="164" fontId="9" fillId="0" borderId="245" applyAlignment="1" pivotButton="0" quotePrefix="0" xfId="2">
      <alignment vertical="center" readingOrder="1"/>
    </xf>
    <xf numFmtId="177" fontId="9" fillId="0" borderId="26" applyAlignment="1" pivotButton="0" quotePrefix="0" xfId="2">
      <alignment horizontal="right" vertical="center" readingOrder="1"/>
    </xf>
    <xf numFmtId="177" fontId="9" fillId="0" borderId="0" applyAlignment="1" pivotButton="0" quotePrefix="0" xfId="2">
      <alignment horizontal="right" vertical="center" readingOrder="1"/>
    </xf>
    <xf numFmtId="164" fontId="9" fillId="0" borderId="243" applyAlignment="1" pivotButton="0" quotePrefix="0" xfId="2">
      <alignment vertical="center" readingOrder="1"/>
    </xf>
    <xf numFmtId="177" fontId="9" fillId="0" borderId="39" applyAlignment="1" pivotButton="0" quotePrefix="0" xfId="2">
      <alignment horizontal="right" vertical="center" readingOrder="1"/>
    </xf>
    <xf numFmtId="177" fontId="9" fillId="0" borderId="27" applyAlignment="1" pivotButton="0" quotePrefix="0" xfId="2">
      <alignment horizontal="right" vertical="center" readingOrder="1"/>
    </xf>
    <xf numFmtId="177" fontId="9" fillId="2" borderId="100" applyAlignment="1" pivotButton="0" quotePrefix="0" xfId="2">
      <alignment horizontal="right" vertical="center" readingOrder="1"/>
    </xf>
    <xf numFmtId="164" fontId="9" fillId="0" borderId="102" applyAlignment="1" pivotButton="0" quotePrefix="0" xfId="2">
      <alignment horizontal="right" vertical="center" readingOrder="1"/>
    </xf>
    <xf numFmtId="164" fontId="9" fillId="0" borderId="70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vertical="center" readingOrder="1"/>
    </xf>
    <xf numFmtId="164" fontId="9" fillId="0" borderId="10" applyAlignment="1" pivotButton="0" quotePrefix="0" xfId="2">
      <alignment vertical="center" readingOrder="1"/>
    </xf>
    <xf numFmtId="164" fontId="9" fillId="0" borderId="93" applyAlignment="1" pivotButton="0" quotePrefix="0" xfId="2">
      <alignment horizontal="right" vertical="center" readingOrder="1"/>
    </xf>
    <xf numFmtId="164" fontId="9" fillId="0" borderId="181" applyAlignment="1" pivotButton="0" quotePrefix="0" xfId="2">
      <alignment vertical="center" readingOrder="1"/>
    </xf>
    <xf numFmtId="164" fontId="9" fillId="0" borderId="147" applyAlignment="1" pivotButton="0" quotePrefix="0" xfId="2">
      <alignment horizontal="right" vertical="center" readingOrder="1"/>
    </xf>
    <xf numFmtId="177" fontId="9" fillId="0" borderId="243" applyAlignment="1" pivotButton="0" quotePrefix="0" xfId="2">
      <alignment horizontal="right" vertical="center" readingOrder="1"/>
    </xf>
    <xf numFmtId="177" fontId="9" fillId="0" borderId="10" applyAlignment="1" pivotButton="0" quotePrefix="0" xfId="2">
      <alignment horizontal="right" vertical="center" readingOrder="1"/>
    </xf>
    <xf numFmtId="177" fontId="9" fillId="0" borderId="79" applyAlignment="1" pivotButton="0" quotePrefix="0" xfId="2">
      <alignment horizontal="right" vertical="center" readingOrder="1"/>
    </xf>
    <xf numFmtId="164" fontId="9" fillId="0" borderId="117" applyAlignment="1" pivotButton="0" quotePrefix="0" xfId="2">
      <alignment horizontal="right" vertical="center" readingOrder="1"/>
    </xf>
    <xf numFmtId="177" fontId="9" fillId="2" borderId="13" applyAlignment="1" pivotButton="0" quotePrefix="0" xfId="2">
      <alignment horizontal="right" vertical="center" readingOrder="1"/>
    </xf>
    <xf numFmtId="164" fontId="9" fillId="2" borderId="80" applyAlignment="1" pivotButton="0" quotePrefix="0" xfId="2">
      <alignment horizontal="right" vertical="center" readingOrder="1"/>
    </xf>
    <xf numFmtId="177" fontId="9" fillId="0" borderId="13" applyAlignment="1" pivotButton="0" quotePrefix="0" xfId="2">
      <alignment horizontal="right" vertical="center" readingOrder="1"/>
    </xf>
    <xf numFmtId="177" fontId="9" fillId="0" borderId="74" applyAlignment="1" pivotButton="0" quotePrefix="0" xfId="2">
      <alignment horizontal="right" vertical="center" readingOrder="1"/>
    </xf>
    <xf numFmtId="177" fontId="9" fillId="47" borderId="74" applyAlignment="1" pivotButton="0" quotePrefix="0" xfId="2">
      <alignment horizontal="right" vertical="center" readingOrder="1"/>
    </xf>
    <xf numFmtId="177" fontId="9" fillId="2" borderId="74" applyAlignment="1" pivotButton="0" quotePrefix="0" xfId="2">
      <alignment horizontal="right" vertical="center" readingOrder="1"/>
    </xf>
    <xf numFmtId="177" fontId="9" fillId="0" borderId="181" applyAlignment="1" pivotButton="0" quotePrefix="0" xfId="2">
      <alignment horizontal="right" vertical="center" readingOrder="1"/>
    </xf>
    <xf numFmtId="164" fontId="9" fillId="0" borderId="73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horizontal="right" vertical="center" readingOrder="1"/>
    </xf>
    <xf numFmtId="164" fontId="9" fillId="0" borderId="74" applyAlignment="1" pivotButton="0" quotePrefix="0" xfId="2">
      <alignment horizontal="right" vertical="center" readingOrder="1"/>
    </xf>
    <xf numFmtId="164" fontId="9" fillId="0" borderId="80" applyAlignment="1" pivotButton="0" quotePrefix="0" xfId="2">
      <alignment horizontal="right" vertical="center" readingOrder="1"/>
    </xf>
    <xf numFmtId="164" fontId="9" fillId="0" borderId="10" applyAlignment="1" pivotButton="0" quotePrefix="0" xfId="2">
      <alignment horizontal="right" vertical="center" readingOrder="1"/>
    </xf>
    <xf numFmtId="164" fontId="9" fillId="0" borderId="13" applyAlignment="1" pivotButton="0" quotePrefix="0" xfId="2">
      <alignment horizontal="right" vertical="center" readingOrder="1"/>
    </xf>
    <xf numFmtId="164" fontId="9" fillId="0" borderId="218" applyAlignment="1" pivotButton="0" quotePrefix="0" xfId="2">
      <alignment horizontal="right" vertical="center" readingOrder="1"/>
    </xf>
    <xf numFmtId="164" fontId="9" fillId="0" borderId="57" applyAlignment="1" pivotButton="0" quotePrefix="0" xfId="2">
      <alignment horizontal="right" vertical="center" readingOrder="1"/>
    </xf>
    <xf numFmtId="164" fontId="9" fillId="0" borderId="374" applyAlignment="1" pivotButton="0" quotePrefix="0" xfId="2">
      <alignment horizontal="right" vertical="center" readingOrder="1"/>
    </xf>
    <xf numFmtId="164" fontId="9" fillId="2" borderId="218" applyAlignment="1" pivotButton="0" quotePrefix="0" xfId="2">
      <alignment horizontal="right" vertical="center" readingOrder="1"/>
    </xf>
    <xf numFmtId="164" fontId="9" fillId="0" borderId="105" applyAlignment="1" pivotButton="0" quotePrefix="0" xfId="2">
      <alignment horizontal="right" vertical="center" readingOrder="1"/>
    </xf>
    <xf numFmtId="164" fontId="10" fillId="0" borderId="106" applyAlignment="1" pivotButton="0" quotePrefix="0" xfId="2">
      <alignment horizontal="right" vertical="center" readingOrder="1"/>
    </xf>
    <xf numFmtId="164" fontId="9" fillId="0" borderId="107" applyAlignment="1" pivotButton="0" quotePrefix="0" xfId="2">
      <alignment horizontal="right" vertical="center" readingOrder="1"/>
    </xf>
    <xf numFmtId="165" fontId="9" fillId="0" borderId="105" applyAlignment="1" pivotButton="0" quotePrefix="0" xfId="60307">
      <alignment horizontal="right" vertical="center" readingOrder="1"/>
    </xf>
    <xf numFmtId="167" fontId="6" fillId="0" borderId="0" applyAlignment="1" pivotButton="0" quotePrefix="0" xfId="60307">
      <alignment vertical="center"/>
    </xf>
    <xf numFmtId="180" fontId="6" fillId="0" borderId="0" applyAlignment="1" pivotButton="0" quotePrefix="0" xfId="1">
      <alignment vertical="center"/>
    </xf>
    <xf numFmtId="165" fontId="13" fillId="0" borderId="0" applyAlignment="1" pivotButton="0" quotePrefix="0" xfId="60307">
      <alignment vertical="center"/>
    </xf>
    <xf numFmtId="164" fontId="13" fillId="0" borderId="0" applyAlignment="1" pivotButton="0" quotePrefix="0" xfId="60307">
      <alignment horizontal="right" vertical="center"/>
    </xf>
    <xf numFmtId="165" fontId="17" fillId="0" borderId="0" applyAlignment="1" pivotButton="0" quotePrefix="0" xfId="2">
      <alignment horizontal="center" vertical="center"/>
    </xf>
    <xf numFmtId="165" fontId="17" fillId="0" borderId="0" applyAlignment="1" pivotButton="0" quotePrefix="0" xfId="2">
      <alignment horizontal="left" vertical="center"/>
    </xf>
    <xf numFmtId="165" fontId="17" fillId="0" borderId="0" applyAlignment="1" pivotButton="0" quotePrefix="0" xfId="60307">
      <alignment vertical="center"/>
    </xf>
    <xf numFmtId="164" fontId="17" fillId="0" borderId="0" applyAlignment="1" pivotButton="0" quotePrefix="0" xfId="60307">
      <alignment horizontal="right" vertical="center"/>
    </xf>
    <xf numFmtId="165" fontId="13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left" vertical="center"/>
    </xf>
    <xf numFmtId="165" fontId="13" fillId="4" borderId="0" applyAlignment="1" pivotButton="0" quotePrefix="0" xfId="60307">
      <alignment horizontal="center" vertical="center"/>
    </xf>
    <xf numFmtId="164" fontId="13" fillId="4" borderId="0" applyAlignment="1" pivotButton="0" quotePrefix="0" xfId="60307">
      <alignment horizontal="center" vertical="center"/>
    </xf>
    <xf numFmtId="165" fontId="29" fillId="0" borderId="0" applyAlignment="1" pivotButton="0" quotePrefix="0" xfId="60307">
      <alignment vertical="center"/>
    </xf>
    <xf numFmtId="165" fontId="24" fillId="0" borderId="0" applyAlignment="1" pivotButton="0" quotePrefix="0" xfId="60307">
      <alignment horizontal="center" vertical="center"/>
    </xf>
    <xf numFmtId="164" fontId="29" fillId="0" borderId="0" applyAlignment="1" pivotButton="0" quotePrefix="0" xfId="60307">
      <alignment horizontal="right" vertical="center"/>
    </xf>
    <xf numFmtId="165" fontId="13" fillId="0" borderId="0" applyAlignment="1" pivotButton="0" quotePrefix="0" xfId="1">
      <alignment horizontal="right" vertical="center"/>
    </xf>
    <xf numFmtId="165" fontId="29" fillId="0" borderId="0" applyAlignment="1" pivotButton="0" quotePrefix="0" xfId="60307">
      <alignment horizontal="center" vertical="center"/>
    </xf>
    <xf numFmtId="165" fontId="13" fillId="0" borderId="0" applyAlignment="1" pivotButton="0" quotePrefix="0" xfId="60307">
      <alignment horizontal="center" vertical="center"/>
    </xf>
    <xf numFmtId="165" fontId="13" fillId="0" borderId="0" applyAlignment="1" pivotButton="0" quotePrefix="0" xfId="1">
      <alignment vertical="center"/>
    </xf>
    <xf numFmtId="170" fontId="13" fillId="0" borderId="0" applyAlignment="1" pivotButton="0" quotePrefix="0" xfId="60307">
      <alignment horizontal="center" vertical="center"/>
    </xf>
    <xf numFmtId="178" fontId="13" fillId="0" borderId="0" applyAlignment="1" pivotButton="0" quotePrefix="0" xfId="1">
      <alignment vertical="center"/>
    </xf>
    <xf numFmtId="165" fontId="13" fillId="0" borderId="0" applyAlignment="1" pivotButton="0" quotePrefix="0" xfId="2">
      <alignment vertical="center"/>
    </xf>
    <xf numFmtId="165" fontId="13" fillId="0" borderId="0" applyAlignment="1" pivotButton="0" quotePrefix="0" xfId="2">
      <alignment horizontal="center" vertical="center"/>
    </xf>
    <xf numFmtId="179" fontId="13" fillId="0" borderId="0" applyAlignment="1" pivotButton="0" quotePrefix="0" xfId="1">
      <alignment vertical="center"/>
    </xf>
    <xf numFmtId="169" fontId="13" fillId="0" borderId="0" applyAlignment="1" pivotButton="0" quotePrefix="0" xfId="1">
      <alignment vertical="center"/>
    </xf>
    <xf numFmtId="180" fontId="13" fillId="0" borderId="0" applyAlignment="1" pivotButton="0" quotePrefix="0" xfId="1">
      <alignment vertical="center"/>
    </xf>
    <xf numFmtId="170" fontId="13" fillId="0" borderId="0" applyAlignment="1" pivotButton="0" quotePrefix="0" xfId="2">
      <alignment vertical="center"/>
    </xf>
    <xf numFmtId="169" fontId="13" fillId="0" borderId="0" applyAlignment="1" pivotButton="0" quotePrefix="0" xfId="1">
      <alignment horizontal="right" vertical="center"/>
    </xf>
    <xf numFmtId="170" fontId="13" fillId="0" borderId="0" applyAlignment="1" pivotButton="0" quotePrefix="0" xfId="2">
      <alignment horizontal="center" vertical="center"/>
    </xf>
    <xf numFmtId="172" fontId="13" fillId="0" borderId="0" applyAlignment="1" pivotButton="0" quotePrefix="0" xfId="2">
      <alignment vertical="center"/>
    </xf>
    <xf numFmtId="172" fontId="13" fillId="0" borderId="0" applyAlignment="1" pivotButton="0" quotePrefix="0" xfId="2">
      <alignment horizontal="center" vertical="center"/>
    </xf>
    <xf numFmtId="171" fontId="13" fillId="0" borderId="0" applyAlignment="1" pivotButton="0" quotePrefix="0" xfId="1">
      <alignment vertical="center"/>
    </xf>
    <xf numFmtId="165" fontId="16" fillId="0" borderId="0" applyAlignment="1" pivotButton="0" quotePrefix="0" xfId="2">
      <alignment vertical="center"/>
    </xf>
    <xf numFmtId="165" fontId="16" fillId="0" borderId="0" applyAlignment="1" pivotButton="0" quotePrefix="0" xfId="60307">
      <alignment vertical="center"/>
    </xf>
    <xf numFmtId="165" fontId="21" fillId="4" borderId="0" applyAlignment="1" pivotButton="0" quotePrefix="0" xfId="2">
      <alignment horizontal="right" vertical="center"/>
    </xf>
    <xf numFmtId="165" fontId="21" fillId="0" borderId="0" applyAlignment="1" pivotButton="0" quotePrefix="0" xfId="60307">
      <alignment horizontal="right" vertical="center"/>
    </xf>
    <xf numFmtId="170" fontId="16" fillId="0" borderId="0" applyAlignment="1" pivotButton="0" quotePrefix="0" xfId="2">
      <alignment vertical="center"/>
    </xf>
    <xf numFmtId="165" fontId="16" fillId="0" borderId="0" applyAlignment="1" pivotButton="0" quotePrefix="0" xfId="60307">
      <alignment horizontal="center" vertical="center"/>
    </xf>
    <xf numFmtId="165" fontId="13" fillId="4" borderId="0" applyAlignment="1" pivotButton="0" quotePrefix="0" xfId="2">
      <alignment horizontal="center" vertical="center"/>
    </xf>
    <xf numFmtId="165" fontId="13" fillId="2" borderId="0" applyAlignment="1" pivotButton="0" quotePrefix="0" xfId="2">
      <alignment vertical="center"/>
    </xf>
    <xf numFmtId="165" fontId="13" fillId="2" borderId="185" applyAlignment="1" pivotButton="0" quotePrefix="0" xfId="2">
      <alignment vertical="center"/>
    </xf>
    <xf numFmtId="165" fontId="13" fillId="63" borderId="488" applyAlignment="1" pivotButton="0" quotePrefix="0" xfId="2">
      <alignment vertical="center"/>
    </xf>
    <xf numFmtId="165" fontId="18" fillId="0" borderId="0" applyAlignment="1" pivotButton="0" quotePrefix="0" xfId="2">
      <alignment vertical="center"/>
    </xf>
    <xf numFmtId="165" fontId="13" fillId="0" borderId="0" applyAlignment="1" pivotButton="0" quotePrefix="0" xfId="60307">
      <alignment horizontal="right" vertical="center"/>
    </xf>
    <xf numFmtId="181" fontId="37" fillId="0" borderId="0" applyAlignment="1" pivotButton="0" quotePrefix="0" xfId="60310">
      <alignment vertical="center"/>
    </xf>
    <xf numFmtId="182" fontId="37" fillId="0" borderId="0" applyAlignment="1" pivotButton="0" quotePrefix="0" xfId="60310">
      <alignment horizontal="right"/>
    </xf>
    <xf numFmtId="181" fontId="37" fillId="45" borderId="0" applyAlignment="1" pivotButton="0" quotePrefix="0" xfId="60310">
      <alignment vertical="center"/>
    </xf>
    <xf numFmtId="0" fontId="25" fillId="3" borderId="496" applyAlignment="1" pivotButton="0" quotePrefix="0" xfId="60310">
      <alignment horizontal="center" vertical="center" readingOrder="1"/>
    </xf>
    <xf numFmtId="0" fontId="28" fillId="3" borderId="168" applyAlignment="1" pivotButton="0" quotePrefix="0" xfId="60310">
      <alignment horizontal="center" vertical="center" wrapText="1" readingOrder="1"/>
    </xf>
    <xf numFmtId="0" fontId="25" fillId="3" borderId="497" applyAlignment="1" pivotButton="0" quotePrefix="0" xfId="60310">
      <alignment horizontal="center" vertical="center" readingOrder="1"/>
    </xf>
    <xf numFmtId="0" fontId="0" fillId="0" borderId="189" pivotButton="0" quotePrefix="0" xfId="0"/>
    <xf numFmtId="0" fontId="0" fillId="0" borderId="190" pivotButton="0" quotePrefix="0" xfId="0"/>
    <xf numFmtId="216" fontId="28" fillId="46" borderId="11" applyAlignment="1" pivotButton="0" quotePrefix="0" xfId="60310">
      <alignment horizontal="left" vertical="center" readingOrder="1"/>
    </xf>
    <xf numFmtId="183" fontId="30" fillId="44" borderId="196" applyAlignment="1" pivotButton="0" quotePrefix="0" xfId="60310">
      <alignment horizontal="right" vertical="center" readingOrder="1"/>
    </xf>
    <xf numFmtId="183" fontId="30" fillId="44" borderId="197" applyAlignment="1" pivotButton="0" quotePrefix="0" xfId="60310">
      <alignment horizontal="right" vertical="center" readingOrder="1"/>
    </xf>
    <xf numFmtId="183" fontId="30" fillId="46" borderId="197" applyAlignment="1" pivotButton="0" quotePrefix="0" xfId="60310">
      <alignment horizontal="right" vertical="center" readingOrder="1"/>
    </xf>
    <xf numFmtId="183" fontId="30" fillId="46" borderId="198" applyAlignment="1" pivotButton="0" quotePrefix="0" xfId="60310">
      <alignment horizontal="right" vertical="center" readingOrder="1"/>
    </xf>
    <xf numFmtId="183" fontId="30" fillId="46" borderId="74" applyAlignment="1" pivotButton="0" quotePrefix="0" xfId="60310">
      <alignment horizontal="right" vertical="center" readingOrder="1"/>
    </xf>
    <xf numFmtId="183" fontId="30" fillId="46" borderId="199" applyAlignment="1" pivotButton="0" quotePrefix="0" xfId="60310">
      <alignment horizontal="right" vertical="center" readingOrder="1"/>
    </xf>
    <xf numFmtId="183" fontId="24" fillId="44" borderId="200" applyAlignment="1" pivotButton="0" quotePrefix="0" xfId="60310">
      <alignment horizontal="right" vertical="center" readingOrder="1"/>
    </xf>
    <xf numFmtId="183" fontId="24" fillId="44" borderId="201" applyAlignment="1" pivotButton="0" quotePrefix="0" xfId="60310">
      <alignment horizontal="right" vertical="center" readingOrder="1"/>
    </xf>
    <xf numFmtId="183" fontId="24" fillId="0" borderId="201" applyAlignment="1" pivotButton="0" quotePrefix="0" xfId="60310">
      <alignment horizontal="right" vertical="center" readingOrder="1"/>
    </xf>
    <xf numFmtId="183" fontId="24" fillId="0" borderId="202" applyAlignment="1" pivotButton="0" quotePrefix="0" xfId="60310">
      <alignment horizontal="right" vertical="center" readingOrder="1"/>
    </xf>
    <xf numFmtId="183" fontId="24" fillId="0" borderId="73" applyAlignment="1" pivotButton="0" quotePrefix="0" xfId="60310">
      <alignment horizontal="right" vertical="center" readingOrder="1"/>
    </xf>
    <xf numFmtId="183" fontId="24" fillId="0" borderId="203" applyAlignment="1" pivotButton="0" quotePrefix="0" xfId="60310">
      <alignment horizontal="right" vertical="center" readingOrder="1"/>
    </xf>
    <xf numFmtId="0" fontId="25" fillId="5" borderId="250" applyAlignment="1" pivotButton="0" quotePrefix="0" xfId="60310">
      <alignment horizontal="left" vertical="center" readingOrder="1"/>
    </xf>
    <xf numFmtId="0" fontId="0" fillId="0" borderId="205" pivotButton="0" quotePrefix="0" xfId="0"/>
    <xf numFmtId="0" fontId="0" fillId="0" borderId="206" pivotButton="0" quotePrefix="0" xfId="0"/>
    <xf numFmtId="183" fontId="24" fillId="44" borderId="207" applyAlignment="1" pivotButton="0" quotePrefix="0" xfId="60310">
      <alignment horizontal="right" vertical="center" readingOrder="1"/>
    </xf>
    <xf numFmtId="183" fontId="24" fillId="44" borderId="208" applyAlignment="1" pivotButton="0" quotePrefix="0" xfId="60310">
      <alignment horizontal="right" vertical="center" readingOrder="1"/>
    </xf>
    <xf numFmtId="183" fontId="24" fillId="5" borderId="208" applyAlignment="1" pivotButton="0" quotePrefix="0" xfId="60310">
      <alignment horizontal="right" vertical="center" readingOrder="1"/>
    </xf>
    <xf numFmtId="183" fontId="24" fillId="5" borderId="204" applyAlignment="1" pivotButton="0" quotePrefix="0" xfId="60310">
      <alignment horizontal="right" vertical="center" readingOrder="1"/>
    </xf>
    <xf numFmtId="183" fontId="24" fillId="5" borderId="209" applyAlignment="1" pivotButton="0" quotePrefix="0" xfId="60310">
      <alignment horizontal="right" vertical="center" readingOrder="1"/>
    </xf>
    <xf numFmtId="183" fontId="24" fillId="5" borderId="210" applyAlignment="1" pivotButton="0" quotePrefix="0" xfId="60310">
      <alignment horizontal="right" vertical="center" readingOrder="1"/>
    </xf>
    <xf numFmtId="183" fontId="24" fillId="44" borderId="212" applyAlignment="1" pivotButton="0" quotePrefix="0" xfId="60310">
      <alignment horizontal="right" vertical="center" readingOrder="1"/>
    </xf>
    <xf numFmtId="183" fontId="24" fillId="44" borderId="213" applyAlignment="1" pivotButton="0" quotePrefix="0" xfId="60310">
      <alignment horizontal="right" vertical="center" readingOrder="1"/>
    </xf>
    <xf numFmtId="183" fontId="24" fillId="0" borderId="213" applyAlignment="1" pivotButton="0" quotePrefix="0" xfId="60310">
      <alignment horizontal="right" vertical="center" readingOrder="1"/>
    </xf>
    <xf numFmtId="183" fontId="24" fillId="0" borderId="211" applyAlignment="1" pivotButton="0" quotePrefix="0" xfId="60310">
      <alignment horizontal="right" vertical="center" readingOrder="1"/>
    </xf>
    <xf numFmtId="183" fontId="24" fillId="0" borderId="100" applyAlignment="1" pivotButton="0" quotePrefix="0" xfId="60310">
      <alignment horizontal="right" vertical="center" readingOrder="1"/>
    </xf>
    <xf numFmtId="183" fontId="24" fillId="0" borderId="214" applyAlignment="1" pivotButton="0" quotePrefix="0" xfId="60310">
      <alignment horizontal="right" vertical="center" readingOrder="1"/>
    </xf>
    <xf numFmtId="0" fontId="25" fillId="0" borderId="250" applyAlignment="1" pivotButton="0" quotePrefix="0" xfId="60310">
      <alignment horizontal="left" vertical="center" readingOrder="1"/>
    </xf>
    <xf numFmtId="183" fontId="24" fillId="0" borderId="208" applyAlignment="1" pivotButton="0" quotePrefix="0" xfId="60310">
      <alignment horizontal="right" vertical="center" readingOrder="1"/>
    </xf>
    <xf numFmtId="183" fontId="24" fillId="0" borderId="204" applyAlignment="1" pivotButton="0" quotePrefix="0" xfId="60310">
      <alignment horizontal="right" vertical="center" readingOrder="1"/>
    </xf>
    <xf numFmtId="183" fontId="24" fillId="0" borderId="209" applyAlignment="1" pivotButton="0" quotePrefix="0" xfId="60310">
      <alignment horizontal="right" vertical="center" readingOrder="1"/>
    </xf>
    <xf numFmtId="183" fontId="24" fillId="0" borderId="210" applyAlignment="1" pivotButton="0" quotePrefix="0" xfId="60310">
      <alignment horizontal="right" vertical="center" readingOrder="1"/>
    </xf>
    <xf numFmtId="183" fontId="24" fillId="44" borderId="196" applyAlignment="1" pivotButton="0" quotePrefix="0" xfId="60310">
      <alignment horizontal="right" vertical="center" readingOrder="1"/>
    </xf>
    <xf numFmtId="183" fontId="24" fillId="44" borderId="197" applyAlignment="1" pivotButton="0" quotePrefix="0" xfId="60310">
      <alignment horizontal="right" vertical="center" readingOrder="1"/>
    </xf>
    <xf numFmtId="183" fontId="24" fillId="0" borderId="197" applyAlignment="1" pivotButton="0" quotePrefix="0" xfId="60310">
      <alignment horizontal="right" vertical="center" readingOrder="1"/>
    </xf>
    <xf numFmtId="183" fontId="24" fillId="0" borderId="198" applyAlignment="1" pivotButton="0" quotePrefix="0" xfId="60310">
      <alignment horizontal="right" vertical="center" readingOrder="1"/>
    </xf>
    <xf numFmtId="183" fontId="24" fillId="0" borderId="74" applyAlignment="1" pivotButton="0" quotePrefix="0" xfId="60310">
      <alignment horizontal="right" vertical="center" readingOrder="1"/>
    </xf>
    <xf numFmtId="183" fontId="24" fillId="0" borderId="199" applyAlignment="1" pivotButton="0" quotePrefix="0" xfId="60310">
      <alignment horizontal="right" vertical="center" readingOrder="1"/>
    </xf>
    <xf numFmtId="183" fontId="24" fillId="44" borderId="215" applyAlignment="1" pivotButton="0" quotePrefix="0" xfId="60310">
      <alignment horizontal="right" vertical="center" readingOrder="1"/>
    </xf>
    <xf numFmtId="183" fontId="24" fillId="44" borderId="216" applyAlignment="1" pivotButton="0" quotePrefix="0" xfId="60310">
      <alignment horizontal="right" vertical="center" readingOrder="1"/>
    </xf>
    <xf numFmtId="183" fontId="24" fillId="0" borderId="216" applyAlignment="1" pivotButton="0" quotePrefix="0" xfId="60310">
      <alignment horizontal="right" vertical="center" readingOrder="1"/>
    </xf>
    <xf numFmtId="183" fontId="24" fillId="0" borderId="217" applyAlignment="1" pivotButton="0" quotePrefix="0" xfId="60310">
      <alignment horizontal="right" vertical="center" readingOrder="1"/>
    </xf>
    <xf numFmtId="183" fontId="24" fillId="0" borderId="218" applyAlignment="1" pivotButton="0" quotePrefix="0" xfId="60310">
      <alignment horizontal="right" vertical="center" readingOrder="1"/>
    </xf>
    <xf numFmtId="183" fontId="24" fillId="0" borderId="219" applyAlignment="1" pivotButton="0" quotePrefix="0" xfId="60310">
      <alignment horizontal="right" vertical="center" readingOrder="1"/>
    </xf>
    <xf numFmtId="176" fontId="33" fillId="0" borderId="0" applyAlignment="1" pivotButton="0" quotePrefix="0" xfId="60311">
      <alignment vertical="center"/>
    </xf>
    <xf numFmtId="183" fontId="24" fillId="44" borderId="222" applyAlignment="1" pivotButton="0" quotePrefix="0" xfId="60310">
      <alignment horizontal="right" vertical="center" readingOrder="1"/>
    </xf>
    <xf numFmtId="183" fontId="24" fillId="44" borderId="223" applyAlignment="1" pivotButton="0" quotePrefix="0" xfId="60310">
      <alignment horizontal="right" vertical="center" readingOrder="1"/>
    </xf>
    <xf numFmtId="183" fontId="24" fillId="0" borderId="223" applyAlignment="1" pivotButton="0" quotePrefix="0" xfId="60310">
      <alignment horizontal="right" vertical="center" readingOrder="1"/>
    </xf>
    <xf numFmtId="183" fontId="24" fillId="0" borderId="224" applyAlignment="1" pivotButton="0" quotePrefix="0" xfId="60310">
      <alignment horizontal="right" vertical="center" readingOrder="1"/>
    </xf>
    <xf numFmtId="183" fontId="24" fillId="0" borderId="225" applyAlignment="1" pivotButton="0" quotePrefix="0" xfId="60310">
      <alignment horizontal="right" vertical="center" readingOrder="1"/>
    </xf>
    <xf numFmtId="183" fontId="24" fillId="44" borderId="226" applyAlignment="1" pivotButton="0" quotePrefix="0" xfId="60310">
      <alignment horizontal="right" vertical="center" readingOrder="1"/>
    </xf>
    <xf numFmtId="183" fontId="24" fillId="5" borderId="197" applyAlignment="1" pivotButton="0" quotePrefix="0" xfId="60310">
      <alignment horizontal="right" vertical="center" readingOrder="1"/>
    </xf>
    <xf numFmtId="183" fontId="24" fillId="5" borderId="198" applyAlignment="1" pivotButton="0" quotePrefix="0" xfId="60310">
      <alignment horizontal="right" vertical="center" readingOrder="1"/>
    </xf>
    <xf numFmtId="183" fontId="24" fillId="5" borderId="74" applyAlignment="1" pivotButton="0" quotePrefix="0" xfId="60310">
      <alignment horizontal="right" vertical="center" readingOrder="1"/>
    </xf>
    <xf numFmtId="183" fontId="24" fillId="5" borderId="199" applyAlignment="1" pivotButton="0" quotePrefix="0" xfId="60310">
      <alignment horizontal="right" vertical="center" readingOrder="1"/>
    </xf>
    <xf numFmtId="0" fontId="0" fillId="0" borderId="227" pivotButton="0" quotePrefix="0" xfId="0"/>
    <xf numFmtId="183" fontId="24" fillId="44" borderId="228" applyAlignment="1" pivotButton="0" quotePrefix="0" xfId="60310">
      <alignment horizontal="right" vertical="center" readingOrder="1"/>
    </xf>
    <xf numFmtId="183" fontId="30" fillId="2" borderId="218" applyAlignment="1" pivotButton="0" quotePrefix="0" xfId="60310">
      <alignment horizontal="right" vertical="center" readingOrder="1"/>
    </xf>
    <xf numFmtId="183" fontId="24" fillId="44" borderId="230" applyAlignment="1" pivotButton="0" quotePrefix="0" xfId="60310">
      <alignment horizontal="right" vertical="center" readingOrder="1"/>
    </xf>
    <xf numFmtId="0" fontId="0" fillId="0" borderId="231" pivotButton="0" quotePrefix="0" xfId="0"/>
    <xf numFmtId="183" fontId="30" fillId="44" borderId="232" applyAlignment="1" pivotButton="0" quotePrefix="0" xfId="60310">
      <alignment horizontal="right" vertical="center" readingOrder="1"/>
    </xf>
    <xf numFmtId="183" fontId="30" fillId="44" borderId="233" applyAlignment="1" pivotButton="0" quotePrefix="0" xfId="60310">
      <alignment horizontal="right" vertical="center" readingOrder="1"/>
    </xf>
    <xf numFmtId="183" fontId="30" fillId="39" borderId="233" applyAlignment="1" pivotButton="0" quotePrefix="0" xfId="60310">
      <alignment horizontal="right" vertical="center" readingOrder="1"/>
    </xf>
    <xf numFmtId="183" fontId="30" fillId="39" borderId="234" applyAlignment="1" pivotButton="0" quotePrefix="0" xfId="60310">
      <alignment horizontal="right" vertical="center" readingOrder="1"/>
    </xf>
    <xf numFmtId="183" fontId="30" fillId="39" borderId="94" applyAlignment="1" pivotButton="0" quotePrefix="0" xfId="60310">
      <alignment horizontal="right" vertical="center" readingOrder="1"/>
    </xf>
    <xf numFmtId="183" fontId="30" fillId="39" borderId="235" applyAlignment="1" pivotButton="0" quotePrefix="0" xfId="60310">
      <alignment horizontal="right" vertical="center" readingOrder="1"/>
    </xf>
    <xf numFmtId="184" fontId="37" fillId="0" borderId="0" applyAlignment="1" pivotButton="0" quotePrefix="0" xfId="60310">
      <alignment vertical="center"/>
    </xf>
    <xf numFmtId="165" fontId="37" fillId="0" borderId="0" applyAlignment="1" pivotButton="0" quotePrefix="0" xfId="60307">
      <alignment vertical="center"/>
    </xf>
    <xf numFmtId="165" fontId="37" fillId="45" borderId="0" applyAlignment="1" pivotButton="0" quotePrefix="0" xfId="60307">
      <alignment vertical="center"/>
    </xf>
    <xf numFmtId="0" fontId="25" fillId="3" borderId="7" applyAlignment="1" pivotButton="0" quotePrefix="0" xfId="60310">
      <alignment horizontal="center" vertical="center" readingOrder="1"/>
    </xf>
    <xf numFmtId="0" fontId="25" fillId="3" borderId="498" applyAlignment="1" pivotButton="0" quotePrefix="0" xfId="60310">
      <alignment horizontal="center" vertical="center" readingOrder="1"/>
    </xf>
    <xf numFmtId="0" fontId="0" fillId="0" borderId="372" pivotButton="0" quotePrefix="0" xfId="0"/>
    <xf numFmtId="165" fontId="25" fillId="3" borderId="1" applyAlignment="1" pivotButton="0" quotePrefix="0" xfId="60307">
      <alignment horizontal="center" vertical="center" wrapText="1" readingOrder="1"/>
    </xf>
    <xf numFmtId="165" fontId="25" fillId="3" borderId="25" applyAlignment="1" pivotButton="0" quotePrefix="0" xfId="60307">
      <alignment vertical="center" wrapText="1" readingOrder="1"/>
    </xf>
    <xf numFmtId="165" fontId="25" fillId="3" borderId="24" applyAlignment="1" pivotButton="0" quotePrefix="0" xfId="60307">
      <alignment vertical="center" wrapText="1" readingOrder="1"/>
    </xf>
    <xf numFmtId="0" fontId="0" fillId="0" borderId="100" pivotButton="0" quotePrefix="0" xfId="0"/>
    <xf numFmtId="165" fontId="25" fillId="3" borderId="118" applyAlignment="1" pivotButton="0" quotePrefix="0" xfId="60307">
      <alignment horizontal="center" vertical="center" wrapText="1" readingOrder="1"/>
    </xf>
    <xf numFmtId="165" fontId="25" fillId="3" borderId="0" applyAlignment="1" pivotButton="0" quotePrefix="0" xfId="60307">
      <alignment horizontal="center" vertical="center" wrapText="1" readingOrder="1"/>
    </xf>
    <xf numFmtId="165" fontId="25" fillId="3" borderId="29" applyAlignment="1" pivotButton="0" quotePrefix="0" xfId="60307">
      <alignment horizontal="center" vertical="center" wrapText="1" readingOrder="1"/>
    </xf>
    <xf numFmtId="165" fontId="151" fillId="3" borderId="373" applyAlignment="1" pivotButton="0" quotePrefix="0" xfId="60307">
      <alignment horizontal="center" vertical="center" readingOrder="1"/>
    </xf>
    <xf numFmtId="165" fontId="151" fillId="3" borderId="246" applyAlignment="1" pivotButton="0" quotePrefix="0" xfId="60307">
      <alignment horizontal="center" vertical="center" wrapText="1" readingOrder="1"/>
    </xf>
    <xf numFmtId="165" fontId="25" fillId="3" borderId="236" applyAlignment="1" pivotButton="0" quotePrefix="0" xfId="60307">
      <alignment horizontal="center" vertical="center" wrapText="1" readingOrder="1"/>
    </xf>
    <xf numFmtId="165" fontId="25" fillId="3" borderId="234" applyAlignment="1" pivotButton="0" quotePrefix="0" xfId="60307">
      <alignment horizontal="center" vertical="center" wrapText="1" readingOrder="1"/>
    </xf>
    <xf numFmtId="165" fontId="25" fillId="3" borderId="258" applyAlignment="1" pivotButton="0" quotePrefix="0" xfId="60307">
      <alignment horizontal="center" vertical="center" wrapText="1" readingOrder="1"/>
    </xf>
    <xf numFmtId="165" fontId="25" fillId="3" borderId="233" applyAlignment="1" pivotButton="0" quotePrefix="0" xfId="60307">
      <alignment horizontal="center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47" applyAlignment="1" pivotButton="0" quotePrefix="0" xfId="60307">
      <alignment horizontal="center" vertical="center" wrapText="1" readingOrder="1"/>
    </xf>
    <xf numFmtId="165" fontId="25" fillId="3" borderId="253" applyAlignment="1" pivotButton="0" quotePrefix="0" xfId="60307">
      <alignment horizontal="center" vertical="center" wrapText="1" readingOrder="1"/>
    </xf>
    <xf numFmtId="165" fontId="25" fillId="3" borderId="246" applyAlignment="1" pivotButton="0" quotePrefix="0" xfId="60307">
      <alignment horizontal="center" vertical="center" wrapText="1" readingOrder="1"/>
    </xf>
    <xf numFmtId="216" fontId="28" fillId="46" borderId="13" applyAlignment="1" pivotButton="0" quotePrefix="0" xfId="60310">
      <alignment horizontal="left" vertical="center" readingOrder="1"/>
    </xf>
    <xf numFmtId="165" fontId="28" fillId="46" borderId="74" applyAlignment="1" pivotButton="0" quotePrefix="0" xfId="60307">
      <alignment horizontal="left" vertical="center" readingOrder="1"/>
    </xf>
    <xf numFmtId="165" fontId="28" fillId="46" borderId="235" applyAlignment="1" pivotButton="0" quotePrefix="0" xfId="60307">
      <alignment horizontal="left" vertical="center" readingOrder="1"/>
    </xf>
    <xf numFmtId="165" fontId="30" fillId="46" borderId="196" applyAlignment="1" pivotButton="0" quotePrefix="0" xfId="60307">
      <alignment horizontal="right" vertical="center" readingOrder="1"/>
    </xf>
    <xf numFmtId="165" fontId="30" fillId="46" borderId="198" applyAlignment="1" pivotButton="0" quotePrefix="0" xfId="60307">
      <alignment horizontal="right" vertical="center" readingOrder="1"/>
    </xf>
    <xf numFmtId="165" fontId="30" fillId="46" borderId="259" applyAlignment="1" pivotButton="0" quotePrefix="0" xfId="60307">
      <alignment horizontal="right" vertical="center" readingOrder="1"/>
    </xf>
    <xf numFmtId="198" fontId="30" fillId="46" borderId="197" applyAlignment="1" pivotButton="0" quotePrefix="0" xfId="60307">
      <alignment horizontal="right" vertical="center" readingOrder="1"/>
    </xf>
    <xf numFmtId="198" fontId="30" fillId="46" borderId="13" applyAlignment="1" pivotButton="0" quotePrefix="0" xfId="60307">
      <alignment horizontal="right" vertical="center" readingOrder="1"/>
    </xf>
    <xf numFmtId="198" fontId="30" fillId="46" borderId="198" applyAlignment="1" pivotButton="0" quotePrefix="0" xfId="60307">
      <alignment horizontal="right" vertical="center" readingOrder="1"/>
    </xf>
    <xf numFmtId="198" fontId="30" fillId="46" borderId="248" applyAlignment="1" pivotButton="0" quotePrefix="0" xfId="60307">
      <alignment horizontal="right" vertical="center" readingOrder="1"/>
    </xf>
    <xf numFmtId="198" fontId="30" fillId="46" borderId="199" applyAlignment="1" pivotButton="0" quotePrefix="0" xfId="60307">
      <alignment horizontal="right" vertical="center" readingOrder="1"/>
    </xf>
    <xf numFmtId="165" fontId="25" fillId="0" borderId="100" applyAlignment="1" pivotButton="0" quotePrefix="0" xfId="60307">
      <alignment horizontal="left" vertical="center" readingOrder="1"/>
    </xf>
    <xf numFmtId="198" fontId="24" fillId="0" borderId="203" applyAlignment="1" pivotButton="0" quotePrefix="0" xfId="60307">
      <alignment horizontal="right" vertical="center" readingOrder="1"/>
    </xf>
    <xf numFmtId="165" fontId="24" fillId="0" borderId="200" applyAlignment="1" pivotButton="0" quotePrefix="0" xfId="60307">
      <alignment horizontal="right" vertical="center" readingOrder="1"/>
    </xf>
    <xf numFmtId="165" fontId="24" fillId="0" borderId="202" applyAlignment="1" pivotButton="0" quotePrefix="0" xfId="60307">
      <alignment horizontal="right" vertical="center" readingOrder="1"/>
    </xf>
    <xf numFmtId="165" fontId="24" fillId="0" borderId="260" applyAlignment="1" pivotButton="0" quotePrefix="0" xfId="60307">
      <alignment horizontal="right" vertical="center" readingOrder="1"/>
    </xf>
    <xf numFmtId="198" fontId="24" fillId="0" borderId="201" applyAlignment="1" pivotButton="0" quotePrefix="0" xfId="60307">
      <alignment horizontal="right" vertical="center" readingOrder="1"/>
    </xf>
    <xf numFmtId="198" fontId="24" fillId="0" borderId="18" applyAlignment="1" pivotButton="0" quotePrefix="0" xfId="60307">
      <alignment horizontal="right" vertical="center" readingOrder="1"/>
    </xf>
    <xf numFmtId="198" fontId="24" fillId="0" borderId="202" applyAlignment="1" pivotButton="0" quotePrefix="0" xfId="60307">
      <alignment horizontal="right" vertical="center" readingOrder="1"/>
    </xf>
    <xf numFmtId="198" fontId="24" fillId="0" borderId="249" applyAlignment="1" pivotButton="0" quotePrefix="0" xfId="60307">
      <alignment horizontal="right" vertical="center" readingOrder="1"/>
    </xf>
    <xf numFmtId="165" fontId="25" fillId="5" borderId="209" applyAlignment="1" pivotButton="0" quotePrefix="0" xfId="60307">
      <alignment horizontal="left" vertical="center" readingOrder="1"/>
    </xf>
    <xf numFmtId="198" fontId="24" fillId="5" borderId="210" applyAlignment="1" pivotButton="0" quotePrefix="0" xfId="60307">
      <alignment horizontal="right" vertical="center" readingOrder="1"/>
    </xf>
    <xf numFmtId="165" fontId="29" fillId="5" borderId="207" applyAlignment="1" pivotButton="0" quotePrefix="0" xfId="60307">
      <alignment horizontal="right" vertical="center" readingOrder="1"/>
    </xf>
    <xf numFmtId="165" fontId="29" fillId="5" borderId="208" applyAlignment="1" pivotButton="0" quotePrefix="0" xfId="60307">
      <alignment horizontal="right" vertical="center" readingOrder="1"/>
    </xf>
    <xf numFmtId="165" fontId="24" fillId="5" borderId="208" applyAlignment="1" pivotButton="0" quotePrefix="0" xfId="60307">
      <alignment horizontal="right" vertical="center" readingOrder="1"/>
    </xf>
    <xf numFmtId="165" fontId="29" fillId="5" borderId="205" applyAlignment="1" pivotButton="0" quotePrefix="0" xfId="60307">
      <alignment horizontal="right" vertical="center" readingOrder="1"/>
    </xf>
    <xf numFmtId="165" fontId="29" fillId="5" borderId="204" applyAlignment="1" pivotButton="0" quotePrefix="0" xfId="60307">
      <alignment horizontal="right" vertical="center" readingOrder="1"/>
    </xf>
    <xf numFmtId="198" fontId="24" fillId="5" borderId="208" applyAlignment="1" pivotButton="0" quotePrefix="0" xfId="60307">
      <alignment horizontal="right" vertical="center" readingOrder="1"/>
    </xf>
    <xf numFmtId="198" fontId="24" fillId="5" borderId="204" applyAlignment="1" pivotButton="0" quotePrefix="0" xfId="60307">
      <alignment horizontal="right" vertical="center" readingOrder="1"/>
    </xf>
    <xf numFmtId="165" fontId="29" fillId="5" borderId="250" applyAlignment="1" pivotButton="0" quotePrefix="0" xfId="60307">
      <alignment horizontal="right" vertical="center" readingOrder="1"/>
    </xf>
    <xf numFmtId="198" fontId="24" fillId="5" borderId="205" applyAlignment="1" pivotButton="0" quotePrefix="0" xfId="60307">
      <alignment horizontal="right" vertical="center" readingOrder="1"/>
    </xf>
    <xf numFmtId="165" fontId="25" fillId="0" borderId="209" applyAlignment="1" pivotButton="0" quotePrefix="0" xfId="60307">
      <alignment horizontal="left" vertical="center" readingOrder="1"/>
    </xf>
    <xf numFmtId="198" fontId="24" fillId="0" borderId="210" applyAlignment="1" pivotButton="0" quotePrefix="0" xfId="60307">
      <alignment horizontal="right" vertical="center" readingOrder="1"/>
    </xf>
    <xf numFmtId="165" fontId="24" fillId="0" borderId="207" applyAlignment="1" pivotButton="0" quotePrefix="0" xfId="60307">
      <alignment horizontal="right" vertical="center" readingOrder="1"/>
    </xf>
    <xf numFmtId="165" fontId="24" fillId="0" borderId="204" applyAlignment="1" pivotButton="0" quotePrefix="0" xfId="60307">
      <alignment horizontal="right" vertical="center" readingOrder="1"/>
    </xf>
    <xf numFmtId="165" fontId="24" fillId="0" borderId="261" applyAlignment="1" pivotButton="0" quotePrefix="0" xfId="60307">
      <alignment horizontal="right" vertical="center" readingOrder="1"/>
    </xf>
    <xf numFmtId="198" fontId="24" fillId="0" borderId="208" applyAlignment="1" pivotButton="0" quotePrefix="0" xfId="60307">
      <alignment horizontal="right" vertical="center" readingOrder="1"/>
    </xf>
    <xf numFmtId="198" fontId="24" fillId="0" borderId="205" applyAlignment="1" pivotButton="0" quotePrefix="0" xfId="60307">
      <alignment horizontal="right" vertical="center" readingOrder="1"/>
    </xf>
    <xf numFmtId="198" fontId="24" fillId="0" borderId="204" applyAlignment="1" pivotButton="0" quotePrefix="0" xfId="60307">
      <alignment horizontal="right" vertical="center" readingOrder="1"/>
    </xf>
    <xf numFmtId="198" fontId="24" fillId="0" borderId="250" applyAlignment="1" pivotButton="0" quotePrefix="0" xfId="60307">
      <alignment horizontal="right" vertical="center" readingOrder="1"/>
    </xf>
    <xf numFmtId="165" fontId="25" fillId="0" borderId="218" applyAlignment="1" pivotButton="0" quotePrefix="0" xfId="60307">
      <alignment horizontal="left" vertical="center" readingOrder="1"/>
    </xf>
    <xf numFmtId="198" fontId="24" fillId="0" borderId="219" applyAlignment="1" pivotButton="0" quotePrefix="0" xfId="60307">
      <alignment horizontal="right" vertical="center" readingOrder="1"/>
    </xf>
    <xf numFmtId="165" fontId="24" fillId="0" borderId="215" applyAlignment="1" pivotButton="0" quotePrefix="0" xfId="60307">
      <alignment horizontal="right" vertical="center" readingOrder="1"/>
    </xf>
    <xf numFmtId="165" fontId="24" fillId="0" borderId="217" applyAlignment="1" pivotButton="0" quotePrefix="0" xfId="60307">
      <alignment horizontal="right" vertical="center" readingOrder="1"/>
    </xf>
    <xf numFmtId="165" fontId="24" fillId="0" borderId="263" applyAlignment="1" pivotButton="0" quotePrefix="0" xfId="60307">
      <alignment horizontal="right" vertical="center" readingOrder="1"/>
    </xf>
    <xf numFmtId="198" fontId="24" fillId="0" borderId="216" applyAlignment="1" pivotButton="0" quotePrefix="0" xfId="60307">
      <alignment horizontal="right" vertical="center" readingOrder="1"/>
    </xf>
    <xf numFmtId="198" fontId="24" fillId="0" borderId="25" applyAlignment="1" pivotButton="0" quotePrefix="0" xfId="60307">
      <alignment horizontal="right" vertical="center" readingOrder="1"/>
    </xf>
    <xf numFmtId="198" fontId="24" fillId="0" borderId="217" applyAlignment="1" pivotButton="0" quotePrefix="0" xfId="60307">
      <alignment horizontal="right" vertical="center" readingOrder="1"/>
    </xf>
    <xf numFmtId="198" fontId="24" fillId="0" borderId="252" applyAlignment="1" pivotButton="0" quotePrefix="0" xfId="60307">
      <alignment horizontal="right" vertical="center" readingOrder="1"/>
    </xf>
    <xf numFmtId="165" fontId="24" fillId="5" borderId="207" applyAlignment="1" pivotButton="0" quotePrefix="0" xfId="60307">
      <alignment horizontal="right" vertical="center" readingOrder="1"/>
    </xf>
    <xf numFmtId="165" fontId="24" fillId="5" borderId="204" applyAlignment="1" pivotButton="0" quotePrefix="0" xfId="60307">
      <alignment horizontal="right" vertical="center" readingOrder="1"/>
    </xf>
    <xf numFmtId="165" fontId="24" fillId="5" borderId="261" applyAlignment="1" pivotButton="0" quotePrefix="0" xfId="60307">
      <alignment horizontal="right" vertical="center" readingOrder="1"/>
    </xf>
    <xf numFmtId="198" fontId="24" fillId="5" borderId="250" applyAlignment="1" pivotButton="0" quotePrefix="0" xfId="60307">
      <alignment horizontal="right" vertical="center" readingOrder="1"/>
    </xf>
    <xf numFmtId="198" fontId="24" fillId="0" borderId="214" applyAlignment="1" pivotButton="0" quotePrefix="0" xfId="60307">
      <alignment horizontal="right" vertical="center" readingOrder="1"/>
    </xf>
    <xf numFmtId="165" fontId="24" fillId="0" borderId="212" applyAlignment="1" pivotButton="0" quotePrefix="0" xfId="60307">
      <alignment horizontal="right" vertical="center" readingOrder="1"/>
    </xf>
    <xf numFmtId="165" fontId="24" fillId="0" borderId="211" applyAlignment="1" pivotButton="0" quotePrefix="0" xfId="60307">
      <alignment horizontal="right" vertical="center" readingOrder="1"/>
    </xf>
    <xf numFmtId="165" fontId="24" fillId="0" borderId="262" applyAlignment="1" pivotButton="0" quotePrefix="0" xfId="60307">
      <alignment horizontal="right" vertical="center" readingOrder="1"/>
    </xf>
    <xf numFmtId="198" fontId="24" fillId="0" borderId="213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98" fontId="24" fillId="0" borderId="211" applyAlignment="1" pivotButton="0" quotePrefix="0" xfId="60307">
      <alignment horizontal="right" vertical="center" readingOrder="1"/>
    </xf>
    <xf numFmtId="198" fontId="24" fillId="0" borderId="251" applyAlignment="1" pivotButton="0" quotePrefix="0" xfId="60307">
      <alignment horizontal="right" vertical="center" readingOrder="1"/>
    </xf>
    <xf numFmtId="165" fontId="25" fillId="0" borderId="224" applyAlignment="1" pivotButton="0" quotePrefix="0" xfId="60307">
      <alignment horizontal="left" vertical="center" readingOrder="1"/>
    </xf>
    <xf numFmtId="198" fontId="24" fillId="0" borderId="225" applyAlignment="1" pivotButton="0" quotePrefix="0" xfId="60307">
      <alignment horizontal="right" vertical="center" readingOrder="1"/>
    </xf>
    <xf numFmtId="165" fontId="24" fillId="0" borderId="222" applyAlignment="1" pivotButton="0" quotePrefix="0" xfId="60307">
      <alignment horizontal="right" vertical="center" readingOrder="1"/>
    </xf>
    <xf numFmtId="165" fontId="24" fillId="0" borderId="220" applyAlignment="1" pivotButton="0" quotePrefix="0" xfId="60307">
      <alignment horizontal="right" vertical="center" readingOrder="1"/>
    </xf>
    <xf numFmtId="165" fontId="24" fillId="0" borderId="264" applyAlignment="1" pivotButton="0" quotePrefix="0" xfId="60307">
      <alignment horizontal="right" vertical="center" readingOrder="1"/>
    </xf>
    <xf numFmtId="198" fontId="24" fillId="0" borderId="223" applyAlignment="1" pivotButton="0" quotePrefix="0" xfId="60307">
      <alignment horizontal="right" vertical="center" readingOrder="1"/>
    </xf>
    <xf numFmtId="198" fontId="24" fillId="0" borderId="221" applyAlignment="1" pivotButton="0" quotePrefix="0" xfId="60307">
      <alignment horizontal="right" vertical="center" readingOrder="1"/>
    </xf>
    <xf numFmtId="198" fontId="24" fillId="0" borderId="220" applyAlignment="1" pivotButton="0" quotePrefix="0" xfId="60307">
      <alignment horizontal="right" vertical="center" readingOrder="1"/>
    </xf>
    <xf numFmtId="198" fontId="24" fillId="0" borderId="480" applyAlignment="1" pivotButton="0" quotePrefix="0" xfId="60307">
      <alignment horizontal="right" vertical="center" readingOrder="1"/>
    </xf>
    <xf numFmtId="165" fontId="24" fillId="0" borderId="210" applyAlignment="1" pivotButton="0" quotePrefix="0" xfId="60307">
      <alignment horizontal="right" vertical="center" readingOrder="1"/>
    </xf>
    <xf numFmtId="167" fontId="24" fillId="0" borderId="212" applyAlignment="1" pivotButton="0" quotePrefix="0" xfId="60307">
      <alignment horizontal="right" vertical="center" readingOrder="1"/>
    </xf>
    <xf numFmtId="167" fontId="24" fillId="0" borderId="211" applyAlignment="1" pivotButton="0" quotePrefix="0" xfId="60307">
      <alignment horizontal="right" vertical="center" readingOrder="1"/>
    </xf>
    <xf numFmtId="167" fontId="24" fillId="0" borderId="262" applyAlignment="1" pivotButton="0" quotePrefix="0" xfId="60307">
      <alignment horizontal="right" vertical="center" readingOrder="1"/>
    </xf>
    <xf numFmtId="167" fontId="24" fillId="0" borderId="213" applyAlignment="1" pivotButton="0" quotePrefix="0" xfId="60307">
      <alignment horizontal="right" vertical="center" readingOrder="1"/>
    </xf>
    <xf numFmtId="167" fontId="24" fillId="0" borderId="0" applyAlignment="1" pivotButton="0" quotePrefix="0" xfId="60307">
      <alignment horizontal="right" vertical="center" readingOrder="1"/>
    </xf>
    <xf numFmtId="167" fontId="24" fillId="0" borderId="251" applyAlignment="1" pivotButton="0" quotePrefix="0" xfId="60307">
      <alignment horizontal="right" vertical="center" readingOrder="1"/>
    </xf>
    <xf numFmtId="165" fontId="24" fillId="0" borderId="256" applyAlignment="1" pivotButton="0" quotePrefix="0" xfId="60307">
      <alignment horizontal="right" vertical="center" readingOrder="1"/>
    </xf>
    <xf numFmtId="165" fontId="91" fillId="0" borderId="100" applyAlignment="1" pivotButton="0" quotePrefix="0" xfId="60307">
      <alignment vertical="center" readingOrder="1"/>
    </xf>
    <xf numFmtId="165" fontId="24" fillId="0" borderId="214" applyAlignment="1" pivotButton="0" quotePrefix="0" xfId="60307">
      <alignment horizontal="right" vertical="center" readingOrder="1"/>
    </xf>
    <xf numFmtId="165" fontId="24" fillId="0" borderId="26" applyAlignment="1" pivotButton="0" quotePrefix="0" xfId="60307">
      <alignment horizontal="right" vertical="center" readingOrder="1"/>
    </xf>
    <xf numFmtId="165" fontId="24" fillId="0" borderId="225" applyAlignment="1" pivotButton="0" quotePrefix="0" xfId="60307">
      <alignment horizontal="right" vertical="center" readingOrder="1"/>
    </xf>
    <xf numFmtId="165" fontId="24" fillId="0" borderId="257" applyAlignment="1" pivotButton="0" quotePrefix="0" xfId="60307">
      <alignment horizontal="right" vertical="center" readingOrder="1"/>
    </xf>
    <xf numFmtId="186" fontId="29" fillId="0" borderId="221" applyAlignment="1" pivotButton="0" quotePrefix="0" xfId="60310">
      <alignment horizontal="left" vertical="center" readingOrder="1"/>
    </xf>
    <xf numFmtId="165" fontId="24" fillId="0" borderId="208" applyAlignment="1" pivotButton="0" quotePrefix="0" xfId="60307">
      <alignment horizontal="right" vertical="center" readingOrder="1"/>
    </xf>
    <xf numFmtId="165" fontId="24" fillId="0" borderId="205" applyAlignment="1" pivotButton="0" quotePrefix="0" xfId="60307">
      <alignment horizontal="right" vertical="center" readingOrder="1"/>
    </xf>
    <xf numFmtId="165" fontId="24" fillId="0" borderId="250" applyAlignment="1" pivotButton="0" quotePrefix="0" xfId="60307">
      <alignment horizontal="right" vertical="center" readingOrder="1"/>
    </xf>
    <xf numFmtId="165" fontId="28" fillId="0" borderId="209" applyAlignment="1" pivotButton="0" quotePrefix="0" xfId="60307">
      <alignment horizontal="left" vertical="center" readingOrder="1"/>
    </xf>
    <xf numFmtId="165" fontId="28" fillId="0" borderId="100" applyAlignment="1" pivotButton="0" quotePrefix="0" xfId="60307">
      <alignment horizontal="left" vertical="center" readingOrder="1"/>
    </xf>
    <xf numFmtId="165" fontId="24" fillId="0" borderId="213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5" fontId="24" fillId="0" borderId="251" applyAlignment="1" pivotButton="0" quotePrefix="0" xfId="60307">
      <alignment horizontal="right" vertical="center" readingOrder="1"/>
    </xf>
    <xf numFmtId="164" fontId="98" fillId="0" borderId="218" applyAlignment="1" pivotButton="0" quotePrefix="0" xfId="60307">
      <alignment horizontal="right" vertical="center" readingOrder="1"/>
    </xf>
    <xf numFmtId="164" fontId="98" fillId="0" borderId="219" applyAlignment="1" pivotButton="0" quotePrefix="0" xfId="60307">
      <alignment horizontal="right" vertical="center" readingOrder="1"/>
    </xf>
    <xf numFmtId="164" fontId="98" fillId="0" borderId="215" applyAlignment="1" pivotButton="0" quotePrefix="0" xfId="60307">
      <alignment horizontal="right" vertical="center" readingOrder="1"/>
    </xf>
    <xf numFmtId="164" fontId="98" fillId="0" borderId="217" applyAlignment="1" pivotButton="0" quotePrefix="0" xfId="60307">
      <alignment horizontal="right" vertical="center" readingOrder="1"/>
    </xf>
    <xf numFmtId="164" fontId="98" fillId="0" borderId="263" applyAlignment="1" pivotButton="0" quotePrefix="0" xfId="60307">
      <alignment horizontal="right" vertical="center" readingOrder="1"/>
    </xf>
    <xf numFmtId="164" fontId="98" fillId="0" borderId="216" applyAlignment="1" pivotButton="0" quotePrefix="0" xfId="60307">
      <alignment horizontal="right" vertical="center" readingOrder="1"/>
    </xf>
    <xf numFmtId="164" fontId="98" fillId="0" borderId="25" applyAlignment="1" pivotButton="0" quotePrefix="0" xfId="60307">
      <alignment horizontal="right" vertical="center" readingOrder="1"/>
    </xf>
    <xf numFmtId="164" fontId="98" fillId="0" borderId="252" applyAlignment="1" pivotButton="0" quotePrefix="0" xfId="60307">
      <alignment horizontal="right" vertical="center" readingOrder="1"/>
    </xf>
    <xf numFmtId="164" fontId="98" fillId="5" borderId="74" applyAlignment="1" pivotButton="0" quotePrefix="0" xfId="60307">
      <alignment horizontal="right" vertical="center" readingOrder="1"/>
    </xf>
    <xf numFmtId="164" fontId="98" fillId="5" borderId="199" applyAlignment="1" pivotButton="0" quotePrefix="0" xfId="60307">
      <alignment horizontal="right" vertical="center" readingOrder="1"/>
    </xf>
    <xf numFmtId="164" fontId="98" fillId="5" borderId="196" applyAlignment="1" pivotButton="0" quotePrefix="0" xfId="60307">
      <alignment horizontal="right" vertical="center" readingOrder="1"/>
    </xf>
    <xf numFmtId="164" fontId="98" fillId="5" borderId="198" applyAlignment="1" pivotButton="0" quotePrefix="0" xfId="60307">
      <alignment horizontal="right" vertical="center" readingOrder="1"/>
    </xf>
    <xf numFmtId="164" fontId="98" fillId="5" borderId="259" applyAlignment="1" pivotButton="0" quotePrefix="0" xfId="60307">
      <alignment horizontal="right" vertical="center" readingOrder="1"/>
    </xf>
    <xf numFmtId="164" fontId="98" fillId="5" borderId="197" applyAlignment="1" pivotButton="0" quotePrefix="0" xfId="60307">
      <alignment horizontal="right" vertical="center" readingOrder="1"/>
    </xf>
    <xf numFmtId="164" fontId="98" fillId="5" borderId="13" applyAlignment="1" pivotButton="0" quotePrefix="0" xfId="60307">
      <alignment horizontal="right" vertical="center" readingOrder="1"/>
    </xf>
    <xf numFmtId="164" fontId="98" fillId="5" borderId="248" applyAlignment="1" pivotButton="0" quotePrefix="0" xfId="60307">
      <alignment horizontal="right" vertical="center" readingOrder="1"/>
    </xf>
    <xf numFmtId="165" fontId="24" fillId="0" borderId="219" applyAlignment="1" pivotButton="0" quotePrefix="0" xfId="60307">
      <alignment horizontal="right" vertical="center" readingOrder="1"/>
    </xf>
    <xf numFmtId="165" fontId="24" fillId="0" borderId="216" applyAlignment="1" pivotButton="0" quotePrefix="0" xfId="60307">
      <alignment horizontal="right" vertical="center" readingOrder="1"/>
    </xf>
    <xf numFmtId="165" fontId="24" fillId="0" borderId="25" applyAlignment="1" pivotButton="0" quotePrefix="0" xfId="60307">
      <alignment horizontal="right" vertical="center" readingOrder="1"/>
    </xf>
    <xf numFmtId="165" fontId="24" fillId="0" borderId="252" applyAlignment="1" pivotButton="0" quotePrefix="0" xfId="60307">
      <alignment horizontal="right" vertical="center" readingOrder="1"/>
    </xf>
    <xf numFmtId="165" fontId="30" fillId="0" borderId="25" applyAlignment="1" pivotButton="0" quotePrefix="0" xfId="60307">
      <alignment horizontal="right" vertical="center" readingOrder="1"/>
    </xf>
    <xf numFmtId="165" fontId="25" fillId="0" borderId="74" applyAlignment="1" pivotButton="0" quotePrefix="0" xfId="60307">
      <alignment horizontal="left" vertical="center" readingOrder="1"/>
    </xf>
    <xf numFmtId="165" fontId="24" fillId="0" borderId="199" applyAlignment="1" pivotButton="0" quotePrefix="0" xfId="60307">
      <alignment horizontal="right" vertical="center" readingOrder="1"/>
    </xf>
    <xf numFmtId="165" fontId="24" fillId="0" borderId="196" applyAlignment="1" pivotButton="0" quotePrefix="0" xfId="60307">
      <alignment horizontal="right" vertical="center" readingOrder="1"/>
    </xf>
    <xf numFmtId="165" fontId="24" fillId="0" borderId="198" applyAlignment="1" pivotButton="0" quotePrefix="0" xfId="60307">
      <alignment horizontal="right" vertical="center" readingOrder="1"/>
    </xf>
    <xf numFmtId="165" fontId="24" fillId="0" borderId="259" applyAlignment="1" pivotButton="0" quotePrefix="0" xfId="60307">
      <alignment horizontal="right" vertical="center" readingOrder="1"/>
    </xf>
    <xf numFmtId="165" fontId="24" fillId="0" borderId="197" applyAlignment="1" pivotButton="0" quotePrefix="0" xfId="60307">
      <alignment horizontal="right" vertical="center" readingOrder="1"/>
    </xf>
    <xf numFmtId="165" fontId="24" fillId="0" borderId="13" applyAlignment="1" pivotButton="0" quotePrefix="0" xfId="60307">
      <alignment horizontal="right" vertical="center" readingOrder="1"/>
    </xf>
    <xf numFmtId="165" fontId="24" fillId="0" borderId="248" applyAlignment="1" pivotButton="0" quotePrefix="0" xfId="60307">
      <alignment horizontal="right" vertical="center" readingOrder="1"/>
    </xf>
    <xf numFmtId="165" fontId="28" fillId="39" borderId="94" applyAlignment="1" pivotButton="0" quotePrefix="0" xfId="60307">
      <alignment horizontal="left" vertical="center" readingOrder="1"/>
    </xf>
    <xf numFmtId="165" fontId="28" fillId="39" borderId="235" applyAlignment="1" pivotButton="0" quotePrefix="0" xfId="60307">
      <alignment horizontal="left" vertical="center" readingOrder="1"/>
    </xf>
    <xf numFmtId="165" fontId="30" fillId="39" borderId="236" applyAlignment="1" pivotButton="0" quotePrefix="0" xfId="60307">
      <alignment horizontal="right" vertical="center" readingOrder="1"/>
    </xf>
    <xf numFmtId="165" fontId="30" fillId="39" borderId="234" applyAlignment="1" pivotButton="0" quotePrefix="0" xfId="60307">
      <alignment horizontal="right" vertical="center" readingOrder="1"/>
    </xf>
    <xf numFmtId="165" fontId="30" fillId="39" borderId="258" applyAlignment="1" pivotButton="0" quotePrefix="0" xfId="60307">
      <alignment horizontal="right" vertical="center" readingOrder="1"/>
    </xf>
    <xf numFmtId="165" fontId="30" fillId="39" borderId="233" applyAlignment="1" pivotButton="0" quotePrefix="0" xfId="60307">
      <alignment horizontal="right" vertical="center" readingOrder="1"/>
    </xf>
    <xf numFmtId="165" fontId="30" fillId="39" borderId="7" applyAlignment="1" pivotButton="0" quotePrefix="0" xfId="60307">
      <alignment horizontal="right" vertical="center" readingOrder="1"/>
    </xf>
    <xf numFmtId="165" fontId="30" fillId="39" borderId="247" applyAlignment="1" pivotButton="0" quotePrefix="0" xfId="60307">
      <alignment horizontal="right" vertical="center" readingOrder="1"/>
    </xf>
    <xf numFmtId="165" fontId="30" fillId="39" borderId="235" applyAlignment="1" pivotButton="0" quotePrefix="0" xfId="60307">
      <alignment horizontal="right" vertical="center" readingOrder="1"/>
    </xf>
    <xf numFmtId="209" fontId="37" fillId="0" borderId="0" applyAlignment="1" pivotButton="0" quotePrefix="0" xfId="60307">
      <alignment vertical="center"/>
    </xf>
    <xf numFmtId="185" fontId="37" fillId="0" borderId="0" applyAlignment="1" pivotButton="0" quotePrefix="0" xfId="60310">
      <alignment vertical="center"/>
    </xf>
    <xf numFmtId="183" fontId="30" fillId="46" borderId="196" applyAlignment="1" pivotButton="0" quotePrefix="0" xfId="60310">
      <alignment horizontal="right" vertical="center" readingOrder="1"/>
    </xf>
    <xf numFmtId="183" fontId="30" fillId="46" borderId="13" applyAlignment="1" pivotButton="0" quotePrefix="0" xfId="60310">
      <alignment horizontal="right" vertical="center" readingOrder="1"/>
    </xf>
    <xf numFmtId="183" fontId="30" fillId="46" borderId="259" applyAlignment="1" pivotButton="0" quotePrefix="0" xfId="60310">
      <alignment horizontal="right" vertical="center" readingOrder="1"/>
    </xf>
    <xf numFmtId="183" fontId="30" fillId="46" borderId="266" applyAlignment="1" pivotButton="0" quotePrefix="0" xfId="60310">
      <alignment horizontal="right" vertical="center" readingOrder="1"/>
    </xf>
    <xf numFmtId="183" fontId="30" fillId="46" borderId="11" applyAlignment="1" pivotButton="0" quotePrefix="0" xfId="60310">
      <alignment horizontal="right" vertical="center" readingOrder="1"/>
    </xf>
    <xf numFmtId="183" fontId="24" fillId="0" borderId="200" applyAlignment="1" pivotButton="0" quotePrefix="0" xfId="60310">
      <alignment horizontal="right" vertical="center" readingOrder="1"/>
    </xf>
    <xf numFmtId="183" fontId="24" fillId="0" borderId="18" applyAlignment="1" pivotButton="0" quotePrefix="0" xfId="60310">
      <alignment horizontal="right" vertical="center" readingOrder="1"/>
    </xf>
    <xf numFmtId="183" fontId="24" fillId="0" borderId="260" applyAlignment="1" pivotButton="0" quotePrefix="0" xfId="60310">
      <alignment horizontal="right" vertical="center" readingOrder="1"/>
    </xf>
    <xf numFmtId="183" fontId="24" fillId="0" borderId="267" applyAlignment="1" pivotButton="0" quotePrefix="0" xfId="60310">
      <alignment horizontal="right" vertical="center" readingOrder="1"/>
    </xf>
    <xf numFmtId="183" fontId="24" fillId="0" borderId="16" applyAlignment="1" pivotButton="0" quotePrefix="0" xfId="60310">
      <alignment horizontal="right" vertical="center" readingOrder="1"/>
    </xf>
    <xf numFmtId="183" fontId="29" fillId="5" borderId="207" applyAlignment="1" pivotButton="0" quotePrefix="0" xfId="60310">
      <alignment horizontal="right" vertical="center" readingOrder="1"/>
    </xf>
    <xf numFmtId="183" fontId="29" fillId="5" borderId="208" applyAlignment="1" pivotButton="0" quotePrefix="0" xfId="60310">
      <alignment horizontal="right" vertical="center" readingOrder="1"/>
    </xf>
    <xf numFmtId="183" fontId="24" fillId="5" borderId="205" applyAlignment="1" pivotButton="0" quotePrefix="0" xfId="60310">
      <alignment horizontal="right" vertical="center" readingOrder="1"/>
    </xf>
    <xf numFmtId="183" fontId="24" fillId="5" borderId="261" applyAlignment="1" pivotButton="0" quotePrefix="0" xfId="60310">
      <alignment horizontal="right" vertical="center" readingOrder="1"/>
    </xf>
    <xf numFmtId="183" fontId="24" fillId="5" borderId="268" applyAlignment="1" pivotButton="0" quotePrefix="0" xfId="60310">
      <alignment horizontal="right" vertical="center" readingOrder="1"/>
    </xf>
    <xf numFmtId="183" fontId="24" fillId="5" borderId="206" applyAlignment="1" pivotButton="0" quotePrefix="0" xfId="60310">
      <alignment horizontal="right" vertical="center" readingOrder="1"/>
    </xf>
    <xf numFmtId="183" fontId="24" fillId="0" borderId="212" applyAlignment="1" pivotButton="0" quotePrefix="0" xfId="60310">
      <alignment horizontal="right" vertical="center" readingOrder="1"/>
    </xf>
    <xf numFmtId="183" fontId="24" fillId="0" borderId="0" applyAlignment="1" pivotButton="0" quotePrefix="0" xfId="60310">
      <alignment horizontal="right" vertical="center" readingOrder="1"/>
    </xf>
    <xf numFmtId="183" fontId="24" fillId="0" borderId="262" applyAlignment="1" pivotButton="0" quotePrefix="0" xfId="60310">
      <alignment horizontal="right" vertical="center" readingOrder="1"/>
    </xf>
    <xf numFmtId="183" fontId="24" fillId="0" borderId="269" applyAlignment="1" pivotButton="0" quotePrefix="0" xfId="60310">
      <alignment horizontal="right" vertical="center" readingOrder="1"/>
    </xf>
    <xf numFmtId="183" fontId="24" fillId="0" borderId="29" applyAlignment="1" pivotButton="0" quotePrefix="0" xfId="60310">
      <alignment horizontal="right" vertical="center" readingOrder="1"/>
    </xf>
    <xf numFmtId="183" fontId="24" fillId="0" borderId="207" applyAlignment="1" pivotButton="0" quotePrefix="0" xfId="60310">
      <alignment horizontal="right" vertical="center" readingOrder="1"/>
    </xf>
    <xf numFmtId="183" fontId="24" fillId="0" borderId="205" applyAlignment="1" pivotButton="0" quotePrefix="0" xfId="60310">
      <alignment horizontal="right" vertical="center" readingOrder="1"/>
    </xf>
    <xf numFmtId="183" fontId="24" fillId="0" borderId="261" applyAlignment="1" pivotButton="0" quotePrefix="0" xfId="60310">
      <alignment horizontal="right" vertical="center" readingOrder="1"/>
    </xf>
    <xf numFmtId="183" fontId="24" fillId="0" borderId="268" applyAlignment="1" pivotButton="0" quotePrefix="0" xfId="60310">
      <alignment horizontal="right" vertical="center" readingOrder="1"/>
    </xf>
    <xf numFmtId="183" fontId="24" fillId="0" borderId="206" applyAlignment="1" pivotButton="0" quotePrefix="0" xfId="60310">
      <alignment horizontal="right" vertical="center" readingOrder="1"/>
    </xf>
    <xf numFmtId="183" fontId="24" fillId="0" borderId="196" applyAlignment="1" pivotButton="0" quotePrefix="0" xfId="60310">
      <alignment horizontal="right" vertical="center" readingOrder="1"/>
    </xf>
    <xf numFmtId="183" fontId="24" fillId="0" borderId="13" applyAlignment="1" pivotButton="0" quotePrefix="0" xfId="60310">
      <alignment horizontal="right" vertical="center" readingOrder="1"/>
    </xf>
    <xf numFmtId="183" fontId="24" fillId="0" borderId="259" applyAlignment="1" pivotButton="0" quotePrefix="0" xfId="60310">
      <alignment horizontal="right" vertical="center" readingOrder="1"/>
    </xf>
    <xf numFmtId="183" fontId="24" fillId="0" borderId="266" applyAlignment="1" pivotButton="0" quotePrefix="0" xfId="60310">
      <alignment horizontal="right" vertical="center" readingOrder="1"/>
    </xf>
    <xf numFmtId="183" fontId="24" fillId="0" borderId="11" applyAlignment="1" pivotButton="0" quotePrefix="0" xfId="60310">
      <alignment horizontal="right" vertical="center" readingOrder="1"/>
    </xf>
    <xf numFmtId="183" fontId="24" fillId="0" borderId="215" applyAlignment="1" pivotButton="0" quotePrefix="0" xfId="60310">
      <alignment horizontal="right" vertical="center" readingOrder="1"/>
    </xf>
    <xf numFmtId="183" fontId="24" fillId="0" borderId="25" applyAlignment="1" pivotButton="0" quotePrefix="0" xfId="60310">
      <alignment horizontal="right" vertical="center" readingOrder="1"/>
    </xf>
    <xf numFmtId="183" fontId="24" fillId="0" borderId="263" applyAlignment="1" pivotButton="0" quotePrefix="0" xfId="60310">
      <alignment horizontal="right" vertical="center" readingOrder="1"/>
    </xf>
    <xf numFmtId="183" fontId="24" fillId="0" borderId="270" applyAlignment="1" pivotButton="0" quotePrefix="0" xfId="60310">
      <alignment horizontal="right" vertical="center" readingOrder="1"/>
    </xf>
    <xf numFmtId="183" fontId="24" fillId="0" borderId="24" applyAlignment="1" pivotButton="0" quotePrefix="0" xfId="60310">
      <alignment horizontal="right" vertical="center" readingOrder="1"/>
    </xf>
    <xf numFmtId="183" fontId="24" fillId="5" borderId="207" applyAlignment="1" pivotButton="0" quotePrefix="0" xfId="60310">
      <alignment horizontal="right" vertical="center" readingOrder="1"/>
    </xf>
    <xf numFmtId="183" fontId="24" fillId="5" borderId="206" applyAlignment="1" pivotButton="0" quotePrefix="0" xfId="60307">
      <alignment horizontal="right" vertical="center" readingOrder="1"/>
    </xf>
    <xf numFmtId="183" fontId="24" fillId="0" borderId="222" applyAlignment="1" pivotButton="0" quotePrefix="0" xfId="60310">
      <alignment horizontal="right" vertical="center" readingOrder="1"/>
    </xf>
    <xf numFmtId="183" fontId="24" fillId="0" borderId="221" applyAlignment="1" pivotButton="0" quotePrefix="0" xfId="60310">
      <alignment horizontal="right" vertical="center" readingOrder="1"/>
    </xf>
    <xf numFmtId="183" fontId="24" fillId="0" borderId="264" applyAlignment="1" pivotButton="0" quotePrefix="0" xfId="60310">
      <alignment horizontal="right" vertical="center" readingOrder="1"/>
    </xf>
    <xf numFmtId="183" fontId="24" fillId="0" borderId="271" applyAlignment="1" pivotButton="0" quotePrefix="0" xfId="60310">
      <alignment horizontal="right" vertical="center" readingOrder="1"/>
    </xf>
    <xf numFmtId="183" fontId="24" fillId="0" borderId="272" applyAlignment="1" pivotButton="0" quotePrefix="0" xfId="60310">
      <alignment horizontal="right" vertical="center" readingOrder="1"/>
    </xf>
    <xf numFmtId="183" fontId="24" fillId="0" borderId="256" applyAlignment="1" pivotButton="0" quotePrefix="0" xfId="60310">
      <alignment horizontal="right" vertical="center" readingOrder="1"/>
    </xf>
    <xf numFmtId="183" fontId="24" fillId="0" borderId="26" applyAlignment="1" pivotButton="0" quotePrefix="0" xfId="60310">
      <alignment horizontal="right" vertical="center" readingOrder="1"/>
    </xf>
    <xf numFmtId="183" fontId="24" fillId="0" borderId="257" applyAlignment="1" pivotButton="0" quotePrefix="0" xfId="60310">
      <alignment horizontal="right" vertical="center" readingOrder="1"/>
    </xf>
    <xf numFmtId="183" fontId="24" fillId="5" borderId="196" applyAlignment="1" pivotButton="0" quotePrefix="0" xfId="60310">
      <alignment horizontal="right" vertical="center" readingOrder="1"/>
    </xf>
    <xf numFmtId="183" fontId="24" fillId="5" borderId="13" applyAlignment="1" pivotButton="0" quotePrefix="0" xfId="60310">
      <alignment horizontal="right" vertical="center" readingOrder="1"/>
    </xf>
    <xf numFmtId="183" fontId="24" fillId="5" borderId="259" applyAlignment="1" pivotButton="0" quotePrefix="0" xfId="60310">
      <alignment horizontal="right" vertical="center" readingOrder="1"/>
    </xf>
    <xf numFmtId="183" fontId="24" fillId="5" borderId="266" applyAlignment="1" pivotButton="0" quotePrefix="0" xfId="60310">
      <alignment horizontal="right" vertical="center" readingOrder="1"/>
    </xf>
    <xf numFmtId="183" fontId="24" fillId="5" borderId="11" applyAlignment="1" pivotButton="0" quotePrefix="0" xfId="60310">
      <alignment horizontal="right" vertical="center" readingOrder="1"/>
    </xf>
    <xf numFmtId="183" fontId="30" fillId="0" borderId="25" applyAlignment="1" pivotButton="0" quotePrefix="0" xfId="60310">
      <alignment horizontal="right" vertical="center" readingOrder="1"/>
    </xf>
    <xf numFmtId="183" fontId="30" fillId="39" borderId="236" applyAlignment="1" pivotButton="0" quotePrefix="0" xfId="60310">
      <alignment horizontal="right" vertical="center" readingOrder="1"/>
    </xf>
    <xf numFmtId="183" fontId="30" fillId="39" borderId="7" applyAlignment="1" pivotButton="0" quotePrefix="0" xfId="60310">
      <alignment horizontal="right" vertical="center" readingOrder="1"/>
    </xf>
    <xf numFmtId="183" fontId="30" fillId="39" borderId="258" applyAlignment="1" pivotButton="0" quotePrefix="0" xfId="60310">
      <alignment horizontal="right" vertical="center" readingOrder="1"/>
    </xf>
    <xf numFmtId="183" fontId="30" fillId="39" borderId="265" applyAlignment="1" pivotButton="0" quotePrefix="0" xfId="60310">
      <alignment horizontal="right" vertical="center" readingOrder="1"/>
    </xf>
    <xf numFmtId="183" fontId="30" fillId="39" borderId="2" applyAlignment="1" pivotButton="0" quotePrefix="0" xfId="60310">
      <alignment horizontal="right" vertical="center" readingOrder="1"/>
    </xf>
    <xf numFmtId="189" fontId="37" fillId="0" borderId="0" applyAlignment="1" pivotButton="0" quotePrefix="0" xfId="60310">
      <alignment vertical="center"/>
    </xf>
    <xf numFmtId="165" fontId="28" fillId="3" borderId="25" applyAlignment="1" pivotButton="0" quotePrefix="0" xfId="60307">
      <alignment vertical="center" wrapText="1" readingOrder="1"/>
    </xf>
    <xf numFmtId="165" fontId="28" fillId="3" borderId="24" applyAlignment="1" pivotButton="0" quotePrefix="0" xfId="60307">
      <alignment vertical="center" wrapText="1" readingOrder="1"/>
    </xf>
    <xf numFmtId="0" fontId="28" fillId="3" borderId="7" applyAlignment="1" pivotButton="0" quotePrefix="0" xfId="60310">
      <alignment horizontal="center" vertical="center" readingOrder="1"/>
    </xf>
    <xf numFmtId="165" fontId="25" fillId="3" borderId="500" applyAlignment="1" pivotButton="0" quotePrefix="0" xfId="60307">
      <alignment horizontal="center" vertical="center" wrapText="1" readingOrder="1"/>
    </xf>
    <xf numFmtId="165" fontId="25" fillId="3" borderId="2" applyAlignment="1" pivotButton="0" quotePrefix="0" xfId="60307">
      <alignment horizontal="center" vertical="center" wrapText="1" readingOrder="1"/>
    </xf>
    <xf numFmtId="165" fontId="28" fillId="3" borderId="0" applyAlignment="1" pivotButton="0" quotePrefix="0" xfId="60307">
      <alignment horizontal="center" vertical="center" wrapText="1" readingOrder="1"/>
    </xf>
    <xf numFmtId="165" fontId="28" fillId="3" borderId="29" applyAlignment="1" pivotButton="0" quotePrefix="0" xfId="60307">
      <alignment horizontal="center" vertical="center" wrapText="1" readingOrder="1"/>
    </xf>
    <xf numFmtId="165" fontId="95" fillId="3" borderId="373" applyAlignment="1" pivotButton="0" quotePrefix="0" xfId="60307">
      <alignment horizontal="center" vertical="center" readingOrder="1"/>
    </xf>
    <xf numFmtId="165" fontId="95" fillId="3" borderId="246" applyAlignment="1" pivotButton="0" quotePrefix="0" xfId="60307">
      <alignment horizontal="center" vertical="center" wrapText="1" readingOrder="1"/>
    </xf>
    <xf numFmtId="165" fontId="28" fillId="3" borderId="236" applyAlignment="1" pivotButton="0" quotePrefix="0" xfId="60307">
      <alignment horizontal="center" vertical="center" wrapText="1" readingOrder="1"/>
    </xf>
    <xf numFmtId="165" fontId="28" fillId="3" borderId="234" applyAlignment="1" pivotButton="0" quotePrefix="0" xfId="60307">
      <alignment horizontal="center" vertical="center" wrapText="1" readingOrder="1"/>
    </xf>
    <xf numFmtId="165" fontId="28" fillId="3" borderId="233" applyAlignment="1" pivotButton="0" quotePrefix="0" xfId="60307">
      <alignment horizontal="center" vertical="center" wrapText="1" readingOrder="1"/>
    </xf>
    <xf numFmtId="165" fontId="28" fillId="3" borderId="231" applyAlignment="1" pivotButton="0" quotePrefix="0" xfId="60307">
      <alignment horizontal="center" vertical="center" wrapText="1" readingOrder="1"/>
    </xf>
    <xf numFmtId="165" fontId="28" fillId="3" borderId="7" applyAlignment="1" pivotButton="0" quotePrefix="0" xfId="60307">
      <alignment horizontal="center" vertical="center" wrapText="1" readingOrder="1"/>
    </xf>
    <xf numFmtId="165" fontId="28" fillId="3" borderId="481" applyAlignment="1" pivotButton="0" quotePrefix="0" xfId="60307">
      <alignment horizontal="center" vertical="center" wrapText="1" readingOrder="1"/>
    </xf>
    <xf numFmtId="165" fontId="28" fillId="3" borderId="2" applyAlignment="1" pivotButton="0" quotePrefix="0" xfId="60307">
      <alignment horizontal="center" vertical="center" wrapText="1" readingOrder="1"/>
    </xf>
    <xf numFmtId="165" fontId="28" fillId="3" borderId="253" applyAlignment="1" pivotButton="0" quotePrefix="0" xfId="60307">
      <alignment horizontal="center" vertical="center" wrapText="1" readingOrder="1"/>
    </xf>
    <xf numFmtId="165" fontId="28" fillId="3" borderId="246" applyAlignment="1" pivotButton="0" quotePrefix="0" xfId="60307">
      <alignment horizontal="center" vertical="center" wrapText="1" readingOrder="1"/>
    </xf>
    <xf numFmtId="198" fontId="30" fillId="46" borderId="180" applyAlignment="1" pivotButton="0" quotePrefix="0" xfId="60307">
      <alignment horizontal="right" vertical="center" readingOrder="1"/>
    </xf>
    <xf numFmtId="198" fontId="30" fillId="46" borderId="482" applyAlignment="1" pivotButton="0" quotePrefix="0" xfId="60307">
      <alignment horizontal="right" vertical="center" readingOrder="1"/>
    </xf>
    <xf numFmtId="198" fontId="30" fillId="46" borderId="11" applyAlignment="1" pivotButton="0" quotePrefix="0" xfId="60307">
      <alignment horizontal="right" vertical="center" readingOrder="1"/>
    </xf>
    <xf numFmtId="198" fontId="24" fillId="0" borderId="489" applyAlignment="1" pivotButton="0" quotePrefix="0" xfId="60307">
      <alignment horizontal="right" vertical="center" readingOrder="1"/>
    </xf>
    <xf numFmtId="198" fontId="24" fillId="0" borderId="483" applyAlignment="1" pivotButton="0" quotePrefix="0" xfId="60307">
      <alignment horizontal="right" vertical="center" readingOrder="1"/>
    </xf>
    <xf numFmtId="198" fontId="24" fillId="0" borderId="16" applyAlignment="1" pivotButton="0" quotePrefix="0" xfId="60307">
      <alignment horizontal="right" vertical="center" readingOrder="1"/>
    </xf>
    <xf numFmtId="165" fontId="29" fillId="5" borderId="490" applyAlignment="1" pivotButton="0" quotePrefix="0" xfId="60307">
      <alignment horizontal="right" vertical="center" readingOrder="1"/>
    </xf>
    <xf numFmtId="165" fontId="24" fillId="39" borderId="204" applyAlignment="1" pivotButton="0" quotePrefix="0" xfId="60307">
      <alignment horizontal="right" vertical="center" readingOrder="1"/>
    </xf>
    <xf numFmtId="198" fontId="24" fillId="39" borderId="208" applyAlignment="1" pivotButton="0" quotePrefix="0" xfId="60307">
      <alignment horizontal="right" vertical="center" readingOrder="1"/>
    </xf>
    <xf numFmtId="198" fontId="24" fillId="0" borderId="490" applyAlignment="1" pivotButton="0" quotePrefix="0" xfId="60307">
      <alignment horizontal="right" vertical="center" readingOrder="1"/>
    </xf>
    <xf numFmtId="198" fontId="24" fillId="0" borderId="484" applyAlignment="1" pivotButton="0" quotePrefix="0" xfId="60307">
      <alignment horizontal="right" vertical="center" readingOrder="1"/>
    </xf>
    <xf numFmtId="198" fontId="24" fillId="0" borderId="206" applyAlignment="1" pivotButton="0" quotePrefix="0" xfId="60307">
      <alignment horizontal="right" vertical="center" readingOrder="1"/>
    </xf>
    <xf numFmtId="198" fontId="24" fillId="0" borderId="227" applyAlignment="1" pivotButton="0" quotePrefix="0" xfId="60307">
      <alignment horizontal="right" vertical="center" readingOrder="1"/>
    </xf>
    <xf numFmtId="198" fontId="24" fillId="0" borderId="485" applyAlignment="1" pivotButton="0" quotePrefix="0" xfId="60307">
      <alignment horizontal="right" vertical="center" readingOrder="1"/>
    </xf>
    <xf numFmtId="198" fontId="24" fillId="0" borderId="24" applyAlignment="1" pivotButton="0" quotePrefix="0" xfId="60307">
      <alignment horizontal="right" vertical="center" readingOrder="1"/>
    </xf>
    <xf numFmtId="198" fontId="24" fillId="5" borderId="490" applyAlignment="1" pivotButton="0" quotePrefix="0" xfId="60307">
      <alignment horizontal="right" vertical="center" readingOrder="1"/>
    </xf>
    <xf numFmtId="198" fontId="24" fillId="5" borderId="484" applyAlignment="1" pivotButton="0" quotePrefix="0" xfId="60307">
      <alignment horizontal="right" vertical="center" readingOrder="1"/>
    </xf>
    <xf numFmtId="198" fontId="24" fillId="5" borderId="206" applyAlignment="1" pivotButton="0" quotePrefix="0" xfId="60307">
      <alignment horizontal="right" vertical="center" readingOrder="1"/>
    </xf>
    <xf numFmtId="198" fontId="24" fillId="0" borderId="229" applyAlignment="1" pivotButton="0" quotePrefix="0" xfId="60307">
      <alignment horizontal="right" vertical="center" readingOrder="1"/>
    </xf>
    <xf numFmtId="198" fontId="24" fillId="0" borderId="486" applyAlignment="1" pivotButton="0" quotePrefix="0" xfId="60307">
      <alignment horizontal="right" vertical="center" readingOrder="1"/>
    </xf>
    <xf numFmtId="198" fontId="24" fillId="0" borderId="29" applyAlignment="1" pivotButton="0" quotePrefix="0" xfId="60307">
      <alignment horizontal="right" vertical="center" readingOrder="1"/>
    </xf>
    <xf numFmtId="198" fontId="24" fillId="0" borderId="491" applyAlignment="1" pivotButton="0" quotePrefix="0" xfId="60307">
      <alignment horizontal="right" vertical="center" readingOrder="1"/>
    </xf>
    <xf numFmtId="198" fontId="24" fillId="0" borderId="487" applyAlignment="1" pivotButton="0" quotePrefix="0" xfId="60307">
      <alignment horizontal="right" vertical="center" readingOrder="1"/>
    </xf>
    <xf numFmtId="198" fontId="24" fillId="0" borderId="272" applyAlignment="1" pivotButton="0" quotePrefix="0" xfId="60307">
      <alignment horizontal="right" vertical="center" readingOrder="1"/>
    </xf>
    <xf numFmtId="167" fontId="24" fillId="0" borderId="229" applyAlignment="1" pivotButton="0" quotePrefix="0" xfId="60307">
      <alignment horizontal="right" vertical="center" readingOrder="1"/>
    </xf>
    <xf numFmtId="167" fontId="24" fillId="0" borderId="486" applyAlignment="1" pivotButton="0" quotePrefix="0" xfId="60307">
      <alignment horizontal="right" vertical="center" readingOrder="1"/>
    </xf>
    <xf numFmtId="167" fontId="24" fillId="0" borderId="29" applyAlignment="1" pivotButton="0" quotePrefix="0" xfId="60307">
      <alignment horizontal="right" vertical="center" readingOrder="1"/>
    </xf>
    <xf numFmtId="165" fontId="24" fillId="2" borderId="207" applyAlignment="1" pivotButton="0" quotePrefix="0" xfId="60307">
      <alignment horizontal="right" vertical="center" readingOrder="1"/>
    </xf>
    <xf numFmtId="165" fontId="24" fillId="0" borderId="490" applyAlignment="1" pivotButton="0" quotePrefix="0" xfId="60307">
      <alignment horizontal="right" vertical="center" readingOrder="1"/>
    </xf>
    <xf numFmtId="165" fontId="24" fillId="0" borderId="484" applyAlignment="1" pivotButton="0" quotePrefix="0" xfId="60307">
      <alignment horizontal="right" vertical="center" readingOrder="1"/>
    </xf>
    <xf numFmtId="165" fontId="24" fillId="0" borderId="206" applyAlignment="1" pivotButton="0" quotePrefix="0" xfId="60307">
      <alignment horizontal="right" vertical="center" readingOrder="1"/>
    </xf>
    <xf numFmtId="165" fontId="24" fillId="0" borderId="229" applyAlignment="1" pivotButton="0" quotePrefix="0" xfId="60307">
      <alignment horizontal="right" vertical="center" readingOrder="1"/>
    </xf>
    <xf numFmtId="165" fontId="24" fillId="0" borderId="486" applyAlignment="1" pivotButton="0" quotePrefix="0" xfId="60307">
      <alignment horizontal="right" vertical="center" readingOrder="1"/>
    </xf>
    <xf numFmtId="165" fontId="24" fillId="0" borderId="29" applyAlignment="1" pivotButton="0" quotePrefix="0" xfId="60307">
      <alignment horizontal="right" vertical="center" readingOrder="1"/>
    </xf>
    <xf numFmtId="165" fontId="24" fillId="65" borderId="211" applyAlignment="1" pivotButton="0" quotePrefix="0" xfId="60307">
      <alignment horizontal="right" vertical="center" readingOrder="1"/>
    </xf>
    <xf numFmtId="164" fontId="98" fillId="0" borderId="227" applyAlignment="1" pivotButton="0" quotePrefix="0" xfId="60307">
      <alignment horizontal="right" vertical="center" readingOrder="1"/>
    </xf>
    <xf numFmtId="164" fontId="98" fillId="0" borderId="485" applyAlignment="1" pivotButton="0" quotePrefix="0" xfId="60307">
      <alignment horizontal="right" vertical="center" readingOrder="1"/>
    </xf>
    <xf numFmtId="164" fontId="98" fillId="0" borderId="24" applyAlignment="1" pivotButton="0" quotePrefix="0" xfId="60307">
      <alignment horizontal="right" vertical="center" readingOrder="1"/>
    </xf>
    <xf numFmtId="164" fontId="98" fillId="5" borderId="180" applyAlignment="1" pivotButton="0" quotePrefix="0" xfId="60307">
      <alignment horizontal="right" vertical="center" readingOrder="1"/>
    </xf>
    <xf numFmtId="164" fontId="98" fillId="5" borderId="482" applyAlignment="1" pivotButton="0" quotePrefix="0" xfId="60307">
      <alignment horizontal="right" vertical="center" readingOrder="1"/>
    </xf>
    <xf numFmtId="164" fontId="98" fillId="5" borderId="11" applyAlignment="1" pivotButton="0" quotePrefix="0" xfId="60307">
      <alignment horizontal="right" vertical="center" readingOrder="1"/>
    </xf>
    <xf numFmtId="165" fontId="24" fillId="0" borderId="227" applyAlignment="1" pivotButton="0" quotePrefix="0" xfId="60307">
      <alignment horizontal="right" vertical="center" readingOrder="1"/>
    </xf>
    <xf numFmtId="165" fontId="24" fillId="0" borderId="485" applyAlignment="1" pivotButton="0" quotePrefix="0" xfId="60307">
      <alignment horizontal="right" vertical="center" readingOrder="1"/>
    </xf>
    <xf numFmtId="165" fontId="24" fillId="0" borderId="24" applyAlignment="1" pivotButton="0" quotePrefix="0" xfId="60307">
      <alignment horizontal="right" vertical="center" readingOrder="1"/>
    </xf>
    <xf numFmtId="165" fontId="24" fillId="0" borderId="180" applyAlignment="1" pivotButton="0" quotePrefix="0" xfId="60307">
      <alignment horizontal="right" vertical="center" readingOrder="1"/>
    </xf>
    <xf numFmtId="165" fontId="24" fillId="0" borderId="482" applyAlignment="1" pivotButton="0" quotePrefix="0" xfId="60307">
      <alignment horizontal="right" vertical="center" readingOrder="1"/>
    </xf>
    <xf numFmtId="165" fontId="24" fillId="0" borderId="11" applyAlignment="1" pivotButton="0" quotePrefix="0" xfId="60307">
      <alignment horizontal="right" vertical="center" readingOrder="1"/>
    </xf>
    <xf numFmtId="165" fontId="30" fillId="39" borderId="231" applyAlignment="1" pivotButton="0" quotePrefix="0" xfId="60307">
      <alignment horizontal="right" vertical="center" readingOrder="1"/>
    </xf>
    <xf numFmtId="165" fontId="30" fillId="39" borderId="481" applyAlignment="1" pivotButton="0" quotePrefix="0" xfId="60307">
      <alignment horizontal="right" vertical="center" readingOrder="1"/>
    </xf>
    <xf numFmtId="165" fontId="30" fillId="39" borderId="2" applyAlignment="1" pivotButton="0" quotePrefix="0" xfId="60307">
      <alignment horizontal="right" vertical="center" readingOrder="1"/>
    </xf>
    <xf numFmtId="170" fontId="37" fillId="0" borderId="0" applyAlignment="1" pivotButton="0" quotePrefix="0" xfId="60307">
      <alignment vertical="center"/>
    </xf>
    <xf numFmtId="165" fontId="0" fillId="0" borderId="0" pivotButton="0" quotePrefix="0" xfId="60307"/>
    <xf numFmtId="165" fontId="111" fillId="0" borderId="0" pivotButton="0" quotePrefix="0" xfId="60307"/>
    <xf numFmtId="165" fontId="21" fillId="0" borderId="0" pivotButton="0" quotePrefix="0" xfId="60307"/>
    <xf numFmtId="165" fontId="0" fillId="5" borderId="0" applyAlignment="1" pivotButton="0" quotePrefix="0" xfId="60307">
      <alignment horizontal="center"/>
    </xf>
    <xf numFmtId="165" fontId="21" fillId="0" borderId="0" applyAlignment="1" pivotButton="0" quotePrefix="0" xfId="60307">
      <alignment horizontal="center"/>
    </xf>
    <xf numFmtId="165" fontId="0" fillId="0" borderId="0" applyAlignment="1" pivotButton="0" quotePrefix="0" xfId="60307">
      <alignment horizontal="center"/>
    </xf>
    <xf numFmtId="165" fontId="0" fillId="48" borderId="376" applyAlignment="1" pivotButton="0" quotePrefix="0" xfId="60307">
      <alignment horizontal="center"/>
    </xf>
    <xf numFmtId="165" fontId="0" fillId="0" borderId="375" pivotButton="0" quotePrefix="0" xfId="60307"/>
    <xf numFmtId="165" fontId="110" fillId="0" borderId="0" pivotButton="0" quotePrefix="0" xfId="60307"/>
    <xf numFmtId="165" fontId="111" fillId="0" borderId="375" pivotButton="0" quotePrefix="0" xfId="60307"/>
    <xf numFmtId="165" fontId="21" fillId="5" borderId="0" applyAlignment="1" pivotButton="0" quotePrefix="0" xfId="60307">
      <alignment horizontal="center"/>
    </xf>
    <xf numFmtId="165" fontId="21" fillId="5" borderId="0" pivotButton="0" quotePrefix="0" xfId="60307"/>
    <xf numFmtId="165" fontId="112" fillId="0" borderId="375" applyAlignment="1" pivotButton="0" quotePrefix="0" xfId="60307">
      <alignment horizontal="left"/>
    </xf>
    <xf numFmtId="165" fontId="21" fillId="0" borderId="375" pivotButton="0" quotePrefix="0" xfId="60307"/>
    <xf numFmtId="210" fontId="133" fillId="0" borderId="0" applyAlignment="1" pivotButton="0" quotePrefix="0" xfId="60313">
      <alignment vertical="center"/>
    </xf>
    <xf numFmtId="210" fontId="1" fillId="0" borderId="0" applyAlignment="1" pivotButton="0" quotePrefix="0" xfId="60313">
      <alignment vertical="center"/>
    </xf>
    <xf numFmtId="210" fontId="133" fillId="2" borderId="0" applyAlignment="1" pivotButton="0" quotePrefix="0" xfId="60313">
      <alignment vertical="center"/>
    </xf>
    <xf numFmtId="211" fontId="135" fillId="54" borderId="0" applyAlignment="1" pivotButton="0" quotePrefix="0" xfId="60313">
      <alignment horizontal="center" vertical="center"/>
    </xf>
    <xf numFmtId="211" fontId="135" fillId="55" borderId="0" applyAlignment="1" pivotButton="0" quotePrefix="0" xfId="60313">
      <alignment horizontal="center" vertical="center"/>
    </xf>
    <xf numFmtId="211" fontId="135" fillId="56" borderId="0" applyAlignment="1" pivotButton="0" quotePrefix="0" xfId="60313">
      <alignment horizontal="center" vertical="center"/>
    </xf>
    <xf numFmtId="212" fontId="137" fillId="57" borderId="0" applyAlignment="1" pivotButton="0" quotePrefix="0" xfId="60313">
      <alignment horizontal="center" vertical="center"/>
    </xf>
    <xf numFmtId="211" fontId="135" fillId="58" borderId="0" applyAlignment="1" pivotButton="0" quotePrefix="0" xfId="60313">
      <alignment horizontal="center" vertical="center"/>
    </xf>
    <xf numFmtId="210" fontId="140" fillId="50" borderId="0" applyAlignment="1" pivotButton="0" quotePrefix="0" xfId="60313">
      <alignment vertical="center"/>
    </xf>
    <xf numFmtId="210" fontId="140" fillId="59" borderId="0" applyAlignment="1" pivotButton="0" quotePrefix="0" xfId="60313">
      <alignment vertical="center"/>
    </xf>
    <xf numFmtId="210" fontId="140" fillId="60" borderId="0" applyAlignment="1" pivotButton="0" quotePrefix="0" xfId="60313">
      <alignment vertical="center"/>
    </xf>
    <xf numFmtId="210" fontId="142" fillId="5" borderId="0" applyAlignment="1" pivotButton="0" quotePrefix="0" xfId="60313">
      <alignment vertical="center"/>
    </xf>
    <xf numFmtId="210" fontId="142" fillId="59" borderId="0" applyAlignment="1" pivotButton="0" quotePrefix="0" xfId="60313">
      <alignment vertical="center"/>
    </xf>
    <xf numFmtId="210" fontId="142" fillId="0" borderId="0" applyAlignment="1" pivotButton="0" quotePrefix="0" xfId="60313">
      <alignment vertical="center"/>
    </xf>
    <xf numFmtId="210" fontId="142" fillId="60" borderId="0" applyAlignment="1" pivotButton="0" quotePrefix="0" xfId="60313">
      <alignment vertical="center"/>
    </xf>
    <xf numFmtId="210" fontId="142" fillId="2" borderId="0" applyAlignment="1" pivotButton="0" quotePrefix="0" xfId="60313">
      <alignment vertical="center"/>
    </xf>
    <xf numFmtId="165" fontId="1" fillId="0" borderId="0" applyAlignment="1" pivotButton="0" quotePrefix="0" xfId="60313">
      <alignment vertical="center"/>
    </xf>
    <xf numFmtId="165" fontId="0" fillId="0" borderId="0" applyAlignment="1" pivotButton="0" quotePrefix="0" xfId="60314">
      <alignment vertical="center"/>
    </xf>
    <xf numFmtId="210" fontId="142" fillId="46" borderId="0" applyAlignment="1" pivotButton="0" quotePrefix="0" xfId="60313">
      <alignment vertical="center"/>
    </xf>
    <xf numFmtId="210" fontId="142" fillId="61" borderId="0" applyAlignment="1" pivotButton="0" quotePrefix="0" xfId="60313">
      <alignment vertical="center"/>
    </xf>
    <xf numFmtId="210" fontId="142" fillId="62" borderId="0" applyAlignment="1" pivotButton="0" quotePrefix="0" xfId="60313">
      <alignment vertical="center"/>
    </xf>
    <xf numFmtId="210" fontId="142" fillId="63" borderId="0" applyAlignment="1" pivotButton="0" quotePrefix="0" xfId="60313">
      <alignment vertical="center"/>
    </xf>
    <xf numFmtId="165" fontId="1" fillId="0" borderId="0" applyAlignment="1" pivotButton="0" quotePrefix="0" xfId="60307">
      <alignment vertical="center"/>
    </xf>
    <xf numFmtId="210" fontId="140" fillId="0" borderId="0" applyAlignment="1" pivotButton="0" quotePrefix="0" xfId="60313">
      <alignment vertical="center"/>
    </xf>
    <xf numFmtId="210" fontId="148" fillId="0" borderId="0" applyAlignment="1" pivotButton="0" quotePrefix="0" xfId="60313">
      <alignment vertical="center"/>
    </xf>
    <xf numFmtId="210" fontId="148" fillId="59" borderId="0" applyAlignment="1" pivotButton="0" quotePrefix="0" xfId="60313">
      <alignment vertical="center"/>
    </xf>
    <xf numFmtId="210" fontId="148" fillId="60" borderId="0" applyAlignment="1" pivotButton="0" quotePrefix="0" xfId="60313">
      <alignment vertical="center"/>
    </xf>
    <xf numFmtId="210" fontId="142" fillId="64" borderId="0" applyAlignment="1" pivotButton="0" quotePrefix="0" xfId="60313">
      <alignment vertical="center"/>
    </xf>
    <xf numFmtId="165" fontId="0" fillId="64" borderId="0" applyAlignment="1" pivotButton="0" quotePrefix="0" xfId="60314">
      <alignment vertical="center"/>
    </xf>
    <xf numFmtId="165" fontId="143" fillId="0" borderId="0" applyAlignment="1" pivotButton="0" quotePrefix="0" xfId="60307">
      <alignment vertical="center"/>
    </xf>
    <xf numFmtId="0" fontId="0" fillId="0" borderId="513" pivotButton="0" quotePrefix="0" xfId="0"/>
    <xf numFmtId="0" fontId="0" fillId="0" borderId="514" pivotButton="0" quotePrefix="0" xfId="0"/>
    <xf numFmtId="204" fontId="20" fillId="46" borderId="376" applyAlignment="1" pivotButton="0" quotePrefix="0" xfId="60312">
      <alignment horizontal="center" vertical="center"/>
    </xf>
    <xf numFmtId="206" fontId="105" fillId="0" borderId="378" applyAlignment="1" pivotButton="0" quotePrefix="0" xfId="0">
      <alignment horizontal="right" vertical="center" wrapText="1" readingOrder="1"/>
    </xf>
    <xf numFmtId="206" fontId="104" fillId="0" borderId="381" applyAlignment="1" pivotButton="0" quotePrefix="0" xfId="0">
      <alignment horizontal="right" vertical="center" wrapText="1" readingOrder="1"/>
    </xf>
    <xf numFmtId="205" fontId="127" fillId="0" borderId="42" applyAlignment="1" pivotButton="0" quotePrefix="0" xfId="1">
      <alignment horizontal="right" vertical="center" readingOrder="1"/>
    </xf>
    <xf numFmtId="206" fontId="131" fillId="0" borderId="187" applyAlignment="1" pivotButton="0" quotePrefix="0" xfId="1">
      <alignment horizontal="right" vertical="center" readingOrder="1"/>
    </xf>
    <xf numFmtId="206" fontId="131" fillId="0" borderId="48" applyAlignment="1" pivotButton="0" quotePrefix="0" xfId="1">
      <alignment horizontal="right" vertical="center" readingOrder="1"/>
    </xf>
    <xf numFmtId="205" fontId="128" fillId="0" borderId="56" applyAlignment="1" pivotButton="0" quotePrefix="0" xfId="1">
      <alignment horizontal="right" vertical="center" readingOrder="1"/>
    </xf>
    <xf numFmtId="206" fontId="131" fillId="0" borderId="188" applyAlignment="1" pivotButton="0" quotePrefix="0" xfId="1">
      <alignment horizontal="right" vertical="center" readingOrder="1"/>
    </xf>
    <xf numFmtId="206" fontId="131" fillId="0" borderId="55" applyAlignment="1" pivotButton="0" quotePrefix="0" xfId="1">
      <alignment horizontal="right" vertical="center" readingOrder="1"/>
    </xf>
    <xf numFmtId="205" fontId="128" fillId="0" borderId="54" applyAlignment="1" pivotButton="0" quotePrefix="0" xfId="1">
      <alignment horizontal="right" vertical="center" readingOrder="1"/>
    </xf>
    <xf numFmtId="205" fontId="129" fillId="0" borderId="54" applyAlignment="1" pivotButton="0" quotePrefix="0" xfId="1">
      <alignment horizontal="right" vertical="center" readingOrder="1"/>
    </xf>
    <xf numFmtId="206" fontId="132" fillId="0" borderId="186" applyAlignment="1" pivotButton="0" quotePrefix="0" xfId="1">
      <alignment horizontal="right" vertical="center" readingOrder="1"/>
    </xf>
    <xf numFmtId="206" fontId="132" fillId="0" borderId="8" applyAlignment="1" pivotButton="0" quotePrefix="0" xfId="1">
      <alignment horizontal="right" vertical="center" readingOrder="1"/>
    </xf>
    <xf numFmtId="206" fontId="131" fillId="0" borderId="186" applyAlignment="1" pivotButton="0" quotePrefix="0" xfId="60307">
      <alignment horizontal="right" vertical="center" readingOrder="1"/>
    </xf>
    <xf numFmtId="206" fontId="131" fillId="0" borderId="53" applyAlignment="1" pivotButton="0" quotePrefix="0" xfId="60307">
      <alignment horizontal="right" vertical="center" readingOrder="1"/>
    </xf>
    <xf numFmtId="206" fontId="131" fillId="5" borderId="186" applyAlignment="1" pivotButton="0" quotePrefix="0" xfId="1">
      <alignment horizontal="right" vertical="center" readingOrder="1"/>
    </xf>
    <xf numFmtId="206" fontId="129" fillId="5" borderId="52" applyAlignment="1" pivotButton="0" quotePrefix="0" xfId="1">
      <alignment horizontal="right" vertical="center" readingOrder="1"/>
    </xf>
    <xf numFmtId="205" fontId="127" fillId="5" borderId="42" applyAlignment="1" pivotButton="0" quotePrefix="0" xfId="1">
      <alignment horizontal="right" vertical="center" readingOrder="1"/>
    </xf>
    <xf numFmtId="0" fontId="105" fillId="3" borderId="515" applyAlignment="1" pivotButton="0" quotePrefix="0" xfId="0">
      <alignment horizontal="center" vertical="center" wrapText="1" readingOrder="1"/>
    </xf>
    <xf numFmtId="0" fontId="105" fillId="3" borderId="516" applyAlignment="1" pivotButton="0" quotePrefix="0" xfId="0">
      <alignment horizontal="center" vertical="center" wrapText="1" readingOrder="1"/>
    </xf>
    <xf numFmtId="0" fontId="0" fillId="0" borderId="282" pivotButton="0" quotePrefix="0" xfId="0"/>
    <xf numFmtId="0" fontId="0" fillId="0" borderId="391" pivotButton="0" quotePrefix="0" xfId="0"/>
    <xf numFmtId="0" fontId="0" fillId="0" borderId="390" pivotButton="0" quotePrefix="0" xfId="0"/>
    <xf numFmtId="206" fontId="105" fillId="0" borderId="392" applyAlignment="1" pivotButton="0" quotePrefix="0" xfId="0">
      <alignment horizontal="right" vertical="center" wrapText="1" readingOrder="1"/>
    </xf>
    <xf numFmtId="206" fontId="105" fillId="0" borderId="393" applyAlignment="1" pivotButton="0" quotePrefix="0" xfId="60307">
      <alignment horizontal="right" vertical="center" wrapText="1" readingOrder="1"/>
    </xf>
    <xf numFmtId="206" fontId="105" fillId="0" borderId="394" applyAlignment="1" pivotButton="0" quotePrefix="0" xfId="0">
      <alignment horizontal="right" vertical="center" wrapText="1" readingOrder="1"/>
    </xf>
    <xf numFmtId="206" fontId="105" fillId="0" borderId="397" applyAlignment="1" pivotButton="0" quotePrefix="0" xfId="0">
      <alignment horizontal="right" vertical="center" wrapText="1" readingOrder="1"/>
    </xf>
    <xf numFmtId="206" fontId="105" fillId="0" borderId="398" applyAlignment="1" pivotButton="0" quotePrefix="0" xfId="60307">
      <alignment horizontal="right" vertical="center" wrapText="1" readingOrder="1"/>
    </xf>
    <xf numFmtId="206" fontId="105" fillId="0" borderId="399" applyAlignment="1" pivotButton="0" quotePrefix="0" xfId="0">
      <alignment horizontal="right" vertical="center" wrapText="1" readingOrder="1"/>
    </xf>
    <xf numFmtId="206" fontId="105" fillId="0" borderId="402" applyAlignment="1" pivotButton="0" quotePrefix="0" xfId="0">
      <alignment horizontal="right" vertical="center" wrapText="1" readingOrder="1"/>
    </xf>
    <xf numFmtId="206" fontId="105" fillId="0" borderId="403" applyAlignment="1" pivotButton="0" quotePrefix="0" xfId="60307">
      <alignment horizontal="right" vertical="center" wrapText="1" readingOrder="1"/>
    </xf>
    <xf numFmtId="206" fontId="105" fillId="0" borderId="404" applyAlignment="1" pivotButton="0" quotePrefix="0" xfId="0">
      <alignment horizontal="right" vertical="center" wrapText="1" readingOrder="1"/>
    </xf>
    <xf numFmtId="206" fontId="120" fillId="53" borderId="406" applyAlignment="1" pivotButton="0" quotePrefix="0" xfId="0">
      <alignment horizontal="right" vertical="center" wrapText="1" readingOrder="1"/>
    </xf>
    <xf numFmtId="206" fontId="120" fillId="53" borderId="407" applyAlignment="1" pivotButton="0" quotePrefix="0" xfId="60307">
      <alignment horizontal="right" vertical="center" wrapText="1" readingOrder="1"/>
    </xf>
    <xf numFmtId="206" fontId="120" fillId="53" borderId="111" applyAlignment="1" pivotButton="0" quotePrefix="0" xfId="0">
      <alignment horizontal="right" vertical="center" wrapText="1" readingOrder="1"/>
    </xf>
    <xf numFmtId="206" fontId="105" fillId="42" borderId="406" applyAlignment="1" pivotButton="0" quotePrefix="0" xfId="0">
      <alignment horizontal="right" vertical="center" wrapText="1" readingOrder="1"/>
    </xf>
    <xf numFmtId="206" fontId="105" fillId="42" borderId="407" applyAlignment="1" pivotButton="0" quotePrefix="0" xfId="60307">
      <alignment horizontal="right" vertical="center" wrapText="1" readingOrder="1"/>
    </xf>
    <xf numFmtId="206" fontId="105" fillId="42" borderId="111" applyAlignment="1" pivotButton="0" quotePrefix="0" xfId="0">
      <alignment horizontal="right" vertical="center" wrapText="1" readingOrder="1"/>
    </xf>
    <xf numFmtId="206" fontId="105" fillId="0" borderId="406" applyAlignment="1" pivotButton="0" quotePrefix="0" xfId="0">
      <alignment horizontal="right" vertical="center" wrapText="1" readingOrder="1"/>
    </xf>
    <xf numFmtId="206" fontId="105" fillId="0" borderId="407" applyAlignment="1" pivotButton="0" quotePrefix="0" xfId="60307">
      <alignment horizontal="right" vertical="center" wrapText="1" readingOrder="1"/>
    </xf>
    <xf numFmtId="206" fontId="105" fillId="0" borderId="111" applyAlignment="1" pivotButton="0" quotePrefix="0" xfId="0">
      <alignment horizontal="right" vertical="center" wrapText="1" readingOrder="1"/>
    </xf>
    <xf numFmtId="206" fontId="105" fillId="0" borderId="409" applyAlignment="1" pivotButton="0" quotePrefix="0" xfId="0">
      <alignment horizontal="right" vertical="center" wrapText="1" readingOrder="1"/>
    </xf>
    <xf numFmtId="206" fontId="105" fillId="0" borderId="410" applyAlignment="1" pivotButton="0" quotePrefix="0" xfId="60307">
      <alignment horizontal="right" vertical="center" wrapText="1" readingOrder="1"/>
    </xf>
    <xf numFmtId="206" fontId="105" fillId="0" borderId="411" applyAlignment="1" pivotButton="0" quotePrefix="0" xfId="0">
      <alignment horizontal="right" vertical="center" wrapText="1" readingOrder="1"/>
    </xf>
    <xf numFmtId="206" fontId="105" fillId="0" borderId="413" applyAlignment="1" pivotButton="0" quotePrefix="0" xfId="0">
      <alignment horizontal="right" vertical="center" wrapText="1" readingOrder="1"/>
    </xf>
    <xf numFmtId="206" fontId="105" fillId="0" borderId="414" applyAlignment="1" pivotButton="0" quotePrefix="0" xfId="60307">
      <alignment horizontal="right" vertical="center" wrapText="1" readingOrder="1"/>
    </xf>
    <xf numFmtId="206" fontId="105" fillId="0" borderId="415" applyAlignment="1" pivotButton="0" quotePrefix="0" xfId="0">
      <alignment horizontal="right" vertical="center" wrapText="1" readingOrder="1"/>
    </xf>
    <xf numFmtId="206" fontId="104" fillId="0" borderId="418" applyAlignment="1" pivotButton="0" quotePrefix="0" xfId="0">
      <alignment horizontal="right" vertical="center" wrapText="1" readingOrder="1"/>
    </xf>
    <xf numFmtId="206" fontId="104" fillId="0" borderId="419" applyAlignment="1" pivotButton="0" quotePrefix="0" xfId="60307">
      <alignment horizontal="right" vertical="center" wrapText="1" readingOrder="1"/>
    </xf>
    <xf numFmtId="206" fontId="104" fillId="0" borderId="420" applyAlignment="1" pivotButton="0" quotePrefix="0" xfId="0">
      <alignment horizontal="right" vertical="center" wrapText="1" readingOrder="1"/>
    </xf>
    <xf numFmtId="0" fontId="0" fillId="0" borderId="275" pivotButton="0" quotePrefix="0" xfId="0"/>
    <xf numFmtId="0" fontId="0" fillId="0" borderId="421" pivotButton="0" quotePrefix="0" xfId="0"/>
    <xf numFmtId="0" fontId="0" fillId="0" borderId="423" pivotButton="0" quotePrefix="0" xfId="0"/>
    <xf numFmtId="0" fontId="0" fillId="0" borderId="424" pivotButton="0" quotePrefix="0" xfId="0"/>
    <xf numFmtId="0" fontId="105" fillId="3" borderId="416" applyAlignment="1" pivotButton="0" quotePrefix="0" xfId="0">
      <alignment horizontal="center" vertical="center" wrapText="1" readingOrder="1"/>
    </xf>
    <xf numFmtId="0" fontId="0" fillId="0" borderId="279" pivotButton="0" quotePrefix="0" xfId="0"/>
    <xf numFmtId="0" fontId="0" fillId="0" borderId="280" pivotButton="0" quotePrefix="0" xfId="0"/>
    <xf numFmtId="0" fontId="0" fillId="0" borderId="426" pivotButton="0" quotePrefix="0" xfId="0"/>
    <xf numFmtId="0" fontId="0" fillId="0" borderId="283" pivotButton="0" quotePrefix="0" xfId="0"/>
    <xf numFmtId="206" fontId="105" fillId="0" borderId="407" applyAlignment="1" pivotButton="0" quotePrefix="0" xfId="0">
      <alignment horizontal="right" vertical="center" wrapText="1" readingOrder="1"/>
    </xf>
    <xf numFmtId="206" fontId="105" fillId="0" borderId="427" applyAlignment="1" pivotButton="0" quotePrefix="0" xfId="0">
      <alignment horizontal="right" vertical="center" wrapText="1" readingOrder="1"/>
    </xf>
    <xf numFmtId="206" fontId="105" fillId="0" borderId="398" applyAlignment="1" pivotButton="0" quotePrefix="0" xfId="0">
      <alignment horizontal="right" vertical="center" wrapText="1" readingOrder="1"/>
    </xf>
    <xf numFmtId="206" fontId="105" fillId="0" borderId="428" applyAlignment="1" pivotButton="0" quotePrefix="0" xfId="0">
      <alignment horizontal="right" vertical="center" wrapText="1" readingOrder="1"/>
    </xf>
    <xf numFmtId="206" fontId="105" fillId="0" borderId="429" applyAlignment="1" pivotButton="0" quotePrefix="0" xfId="0">
      <alignment horizontal="right" vertical="center" wrapText="1" readingOrder="1"/>
    </xf>
    <xf numFmtId="206" fontId="105" fillId="43" borderId="431" applyAlignment="1" pivotButton="0" quotePrefix="0" xfId="0">
      <alignment horizontal="right" vertical="center" wrapText="1" readingOrder="1"/>
    </xf>
    <xf numFmtId="206" fontId="105" fillId="43" borderId="334" applyAlignment="1" pivotButton="0" quotePrefix="0" xfId="0">
      <alignment horizontal="right" vertical="center" wrapText="1" readingOrder="1"/>
    </xf>
    <xf numFmtId="206" fontId="105" fillId="43" borderId="432" applyAlignment="1" pivotButton="0" quotePrefix="0" xfId="0">
      <alignment horizontal="right" vertical="center" wrapText="1" readingOrder="1"/>
    </xf>
    <xf numFmtId="206" fontId="105" fillId="43" borderId="433" applyAlignment="1" pivotButton="0" quotePrefix="0" xfId="0">
      <alignment horizontal="right" vertical="center" wrapText="1" readingOrder="1"/>
    </xf>
    <xf numFmtId="206" fontId="105" fillId="43" borderId="437" applyAlignment="1" pivotButton="0" quotePrefix="0" xfId="0">
      <alignment horizontal="right" vertical="center" wrapText="1" readingOrder="1"/>
    </xf>
    <xf numFmtId="206" fontId="105" fillId="43" borderId="436" applyAlignment="1" pivotButton="0" quotePrefix="0" xfId="0">
      <alignment horizontal="right" vertical="center" wrapText="1" readingOrder="1"/>
    </xf>
    <xf numFmtId="206" fontId="105" fillId="43" borderId="385" applyAlignment="1" pivotButton="0" quotePrefix="0" xfId="0">
      <alignment horizontal="right" vertical="center" wrapText="1" readingOrder="1"/>
    </xf>
    <xf numFmtId="206" fontId="105" fillId="43" borderId="438" applyAlignment="1" pivotButton="0" quotePrefix="0" xfId="0">
      <alignment horizontal="right" vertical="center" wrapText="1" readingOrder="1"/>
    </xf>
    <xf numFmtId="206" fontId="120" fillId="43" borderId="406" applyAlignment="1" pivotButton="0" quotePrefix="0" xfId="0">
      <alignment horizontal="right" vertical="center" wrapText="1" readingOrder="1"/>
    </xf>
    <xf numFmtId="206" fontId="120" fillId="43" borderId="407" applyAlignment="1" pivotButton="0" quotePrefix="0" xfId="0">
      <alignment horizontal="right" vertical="center" wrapText="1" readingOrder="1"/>
    </xf>
    <xf numFmtId="206" fontId="120" fillId="43" borderId="378" applyAlignment="1" pivotButton="0" quotePrefix="0" xfId="0">
      <alignment horizontal="right" vertical="center" wrapText="1" readingOrder="1"/>
    </xf>
    <xf numFmtId="206" fontId="105" fillId="43" borderId="427" applyAlignment="1" pivotButton="0" quotePrefix="0" xfId="0">
      <alignment horizontal="right" vertical="center" wrapText="1" readingOrder="1"/>
    </xf>
    <xf numFmtId="206" fontId="105" fillId="43" borderId="407" applyAlignment="1" pivotButton="0" quotePrefix="0" xfId="0">
      <alignment horizontal="right" vertical="center" wrapText="1" readingOrder="1"/>
    </xf>
    <xf numFmtId="206" fontId="105" fillId="43" borderId="378" applyAlignment="1" pivotButton="0" quotePrefix="0" xfId="0">
      <alignment horizontal="right" vertical="center" wrapText="1" readingOrder="1"/>
    </xf>
    <xf numFmtId="206" fontId="104" fillId="0" borderId="439" applyAlignment="1" pivotButton="0" quotePrefix="0" xfId="0">
      <alignment horizontal="right" vertical="center" wrapText="1" readingOrder="1"/>
    </xf>
    <xf numFmtId="206" fontId="104" fillId="0" borderId="410" applyAlignment="1" pivotButton="0" quotePrefix="0" xfId="0">
      <alignment horizontal="right" vertical="center" wrapText="1" readingOrder="1"/>
    </xf>
    <xf numFmtId="206" fontId="104" fillId="0" borderId="440" applyAlignment="1" pivotButton="0" quotePrefix="0" xfId="0">
      <alignment horizontal="right" vertical="center" wrapText="1" readingOrder="1"/>
    </xf>
    <xf numFmtId="206" fontId="105" fillId="0" borderId="382" applyAlignment="1" pivotButton="0" quotePrefix="0" xfId="0">
      <alignment horizontal="right" vertical="center" wrapText="1" readingOrder="1"/>
    </xf>
    <xf numFmtId="206" fontId="105" fillId="0" borderId="383" applyAlignment="1" pivotButton="0" quotePrefix="0" xfId="0">
      <alignment horizontal="right" vertical="center" wrapText="1" readingOrder="1"/>
    </xf>
    <xf numFmtId="206" fontId="119" fillId="0" borderId="384" applyAlignment="1" pivotButton="0" quotePrefix="0" xfId="0">
      <alignment horizontal="right" vertical="center" wrapText="1" readingOrder="1"/>
    </xf>
    <xf numFmtId="206" fontId="105" fillId="0" borderId="443" applyAlignment="1" pivotButton="0" quotePrefix="0" xfId="0">
      <alignment horizontal="right" vertical="center" wrapText="1" readingOrder="1"/>
    </xf>
    <xf numFmtId="206" fontId="105" fillId="0" borderId="444" applyAlignment="1" pivotButton="0" quotePrefix="0" xfId="0">
      <alignment horizontal="right" vertical="center" wrapText="1" readingOrder="1"/>
    </xf>
    <xf numFmtId="206" fontId="119" fillId="0" borderId="445" applyAlignment="1" pivotButton="0" quotePrefix="0" xfId="0">
      <alignment horizontal="right" vertical="center" wrapText="1" readingOrder="1"/>
    </xf>
    <xf numFmtId="206" fontId="104" fillId="0" borderId="446" applyAlignment="1" pivotButton="0" quotePrefix="0" xfId="0">
      <alignment horizontal="right" vertical="center" wrapText="1" readingOrder="1"/>
    </xf>
    <xf numFmtId="206" fontId="104" fillId="0" borderId="447" applyAlignment="1" pivotButton="0" quotePrefix="0" xfId="0">
      <alignment horizontal="right" vertical="center" wrapText="1" readingOrder="1"/>
    </xf>
    <xf numFmtId="206" fontId="119" fillId="0" borderId="448" applyAlignment="1" pivotButton="0" quotePrefix="0" xfId="0">
      <alignment horizontal="right" vertical="center" wrapText="1" readingOrder="1"/>
    </xf>
    <xf numFmtId="206" fontId="104" fillId="0" borderId="384" applyAlignment="1" pivotButton="0" quotePrefix="0" xfId="0">
      <alignment horizontal="right" vertical="center" wrapText="1" readingOrder="1"/>
    </xf>
    <xf numFmtId="206" fontId="104" fillId="0" borderId="445" applyAlignment="1" pivotButton="0" quotePrefix="0" xfId="0">
      <alignment horizontal="right" vertical="center" wrapText="1" readingOrder="1"/>
    </xf>
    <xf numFmtId="206" fontId="104" fillId="0" borderId="448" applyAlignment="1" pivotButton="0" quotePrefix="0" xfId="0">
      <alignment horizontal="right" vertical="center" wrapText="1" readingOrder="1"/>
    </xf>
    <xf numFmtId="206" fontId="117" fillId="0" borderId="384" applyAlignment="1" pivotButton="0" quotePrefix="0" xfId="0">
      <alignment horizontal="right" vertical="center" wrapText="1" readingOrder="1"/>
    </xf>
    <xf numFmtId="206" fontId="104" fillId="0" borderId="449" applyAlignment="1" pivotButton="0" quotePrefix="0" xfId="0">
      <alignment horizontal="right" vertical="center" wrapText="1" readingOrder="1"/>
    </xf>
    <xf numFmtId="206" fontId="104" fillId="0" borderId="450" applyAlignment="1" pivotButton="0" quotePrefix="0" xfId="0">
      <alignment horizontal="right" vertical="center" wrapText="1" readingOrder="1"/>
    </xf>
    <xf numFmtId="206" fontId="117" fillId="0" borderId="451" applyAlignment="1" pivotButton="0" quotePrefix="0" xfId="0">
      <alignment horizontal="right" vertical="center" wrapText="1" readingOrder="1"/>
    </xf>
    <xf numFmtId="0" fontId="121" fillId="3" borderId="507" applyAlignment="1" pivotButton="0" quotePrefix="0" xfId="0">
      <alignment horizontal="center" vertical="center" wrapText="1" readingOrder="1"/>
    </xf>
    <xf numFmtId="0" fontId="0" fillId="0" borderId="274" pivotButton="0" quotePrefix="0" xfId="0"/>
    <xf numFmtId="0" fontId="121" fillId="3" borderId="511" applyAlignment="1" pivotButton="0" quotePrefix="0" xfId="0">
      <alignment horizontal="center" vertical="center" wrapText="1" readingOrder="1"/>
    </xf>
    <xf numFmtId="0" fontId="121" fillId="3" borderId="111" applyAlignment="1" pivotButton="0" quotePrefix="0" xfId="0">
      <alignment horizontal="center" vertical="center" wrapText="1" readingOrder="1"/>
    </xf>
    <xf numFmtId="0" fontId="121" fillId="3" borderId="284" applyAlignment="1" pivotButton="0" quotePrefix="0" xfId="0">
      <alignment horizontal="center" vertical="center" wrapText="1" readingOrder="1"/>
    </xf>
    <xf numFmtId="0" fontId="0" fillId="0" borderId="276" pivotButton="0" quotePrefix="0" xfId="0"/>
    <xf numFmtId="0" fontId="0" fillId="0" borderId="277" pivotButton="0" quotePrefix="0" xfId="0"/>
    <xf numFmtId="0" fontId="121" fillId="3" borderId="510" applyAlignment="1" pivotButton="0" quotePrefix="0" xfId="0">
      <alignment horizontal="center" vertical="center" wrapText="1" readingOrder="1"/>
    </xf>
    <xf numFmtId="0" fontId="0" fillId="0" borderId="293" pivotButton="0" quotePrefix="0" xfId="0"/>
    <xf numFmtId="0" fontId="0" fillId="0" borderId="286" pivotButton="0" quotePrefix="0" xfId="0"/>
    <xf numFmtId="0" fontId="0" fillId="0" borderId="278" pivotButton="0" quotePrefix="0" xfId="0"/>
    <xf numFmtId="0" fontId="0" fillId="0" borderId="287" pivotButton="0" quotePrefix="0" xfId="0"/>
    <xf numFmtId="0" fontId="122" fillId="0" borderId="507" applyAlignment="1" pivotButton="0" quotePrefix="0" xfId="0">
      <alignment horizontal="left" vertical="center" wrapText="1" readingOrder="1"/>
    </xf>
    <xf numFmtId="0" fontId="122" fillId="0" borderId="505" applyAlignment="1" pivotButton="0" quotePrefix="0" xfId="0">
      <alignment horizontal="left" vertical="center" wrapText="1" readingOrder="1"/>
    </xf>
    <xf numFmtId="0" fontId="0" fillId="0" borderId="300" pivotButton="0" quotePrefix="0" xfId="0"/>
    <xf numFmtId="0" fontId="0" fillId="0" borderId="301" pivotButton="0" quotePrefix="0" xfId="0"/>
    <xf numFmtId="207" fontId="121" fillId="0" borderId="397" applyAlignment="1" pivotButton="0" quotePrefix="0" xfId="0">
      <alignment horizontal="right" vertical="center" wrapText="1" readingOrder="1"/>
    </xf>
    <xf numFmtId="207" fontId="121" fillId="0" borderId="398" applyAlignment="1" pivotButton="0" quotePrefix="0" xfId="0">
      <alignment horizontal="right" vertical="center" wrapText="1" readingOrder="1"/>
    </xf>
    <xf numFmtId="207" fontId="121" fillId="0" borderId="302" applyAlignment="1" pivotButton="0" quotePrefix="0" xfId="0">
      <alignment horizontal="right" vertical="center" wrapText="1" readingOrder="1"/>
    </xf>
    <xf numFmtId="207" fontId="121" fillId="0" borderId="303" applyAlignment="1" pivotButton="0" quotePrefix="0" xfId="0">
      <alignment horizontal="right" vertical="center" wrapText="1" readingOrder="1"/>
    </xf>
    <xf numFmtId="207" fontId="121" fillId="0" borderId="304" applyAlignment="1" pivotButton="0" quotePrefix="0" xfId="0">
      <alignment horizontal="right" vertical="center" wrapText="1" readingOrder="1"/>
    </xf>
    <xf numFmtId="0" fontId="121" fillId="0" borderId="508" applyAlignment="1" pivotButton="0" quotePrefix="0" xfId="0">
      <alignment horizontal="left" vertical="center" wrapText="1" readingOrder="1"/>
    </xf>
    <xf numFmtId="0" fontId="0" fillId="0" borderId="366" pivotButton="0" quotePrefix="0" xfId="0"/>
    <xf numFmtId="0" fontId="0" fillId="0" borderId="367" pivotButton="0" quotePrefix="0" xfId="0"/>
    <xf numFmtId="207" fontId="121" fillId="0" borderId="431" applyAlignment="1" pivotButton="0" quotePrefix="0" xfId="0">
      <alignment horizontal="right" vertical="center" wrapText="1" readingOrder="1"/>
    </xf>
    <xf numFmtId="207" fontId="121" fillId="0" borderId="334" applyAlignment="1" pivotButton="0" quotePrefix="0" xfId="0">
      <alignment horizontal="right" vertical="center" wrapText="1" readingOrder="1"/>
    </xf>
    <xf numFmtId="207" fontId="121" fillId="0" borderId="313" applyAlignment="1" pivotButton="0" quotePrefix="0" xfId="0">
      <alignment horizontal="right" vertical="center" wrapText="1" readingOrder="1"/>
    </xf>
    <xf numFmtId="207" fontId="121" fillId="0" borderId="132" applyAlignment="1" pivotButton="0" quotePrefix="0" xfId="0">
      <alignment horizontal="right" vertical="center" wrapText="1" readingOrder="1"/>
    </xf>
    <xf numFmtId="207" fontId="121" fillId="0" borderId="314" applyAlignment="1" pivotButton="0" quotePrefix="0" xfId="0">
      <alignment horizontal="right" vertical="center" wrapText="1" readingOrder="1"/>
    </xf>
    <xf numFmtId="0" fontId="0" fillId="0" borderId="309" pivotButton="0" quotePrefix="0" xfId="0"/>
    <xf numFmtId="0" fontId="121" fillId="0" borderId="506" applyAlignment="1" pivotButton="0" quotePrefix="0" xfId="0">
      <alignment horizontal="left" vertical="center" wrapText="1" readingOrder="1"/>
    </xf>
    <xf numFmtId="0" fontId="0" fillId="0" borderId="318" pivotButton="0" quotePrefix="0" xfId="0"/>
    <xf numFmtId="0" fontId="0" fillId="0" borderId="319" pivotButton="0" quotePrefix="0" xfId="0"/>
    <xf numFmtId="207" fontId="121" fillId="0" borderId="437" applyAlignment="1" pivotButton="0" quotePrefix="0" xfId="0">
      <alignment horizontal="right" vertical="center" wrapText="1" readingOrder="1"/>
    </xf>
    <xf numFmtId="207" fontId="121" fillId="0" borderId="436" applyAlignment="1" pivotButton="0" quotePrefix="0" xfId="0">
      <alignment horizontal="right" vertical="center" wrapText="1" readingOrder="1"/>
    </xf>
    <xf numFmtId="207" fontId="121" fillId="0" borderId="320" applyAlignment="1" pivotButton="0" quotePrefix="0" xfId="0">
      <alignment horizontal="right" vertical="center" wrapText="1" readingOrder="1"/>
    </xf>
    <xf numFmtId="207" fontId="121" fillId="0" borderId="321" applyAlignment="1" pivotButton="0" quotePrefix="0" xfId="0">
      <alignment horizontal="right" vertical="center" wrapText="1" readingOrder="1"/>
    </xf>
    <xf numFmtId="207" fontId="121" fillId="0" borderId="322" applyAlignment="1" pivotButton="0" quotePrefix="0" xfId="0">
      <alignment horizontal="right" vertical="center" wrapText="1" readingOrder="1"/>
    </xf>
    <xf numFmtId="207" fontId="121" fillId="0" borderId="453" applyAlignment="1" pivotButton="0" quotePrefix="0" xfId="0">
      <alignment horizontal="right" vertical="center" wrapText="1" readingOrder="1"/>
    </xf>
    <xf numFmtId="207" fontId="121" fillId="0" borderId="454" applyAlignment="1" pivotButton="0" quotePrefix="0" xfId="0">
      <alignment horizontal="right" vertical="center" wrapText="1" readingOrder="1"/>
    </xf>
    <xf numFmtId="207" fontId="121" fillId="0" borderId="328" applyAlignment="1" pivotButton="0" quotePrefix="0" xfId="0">
      <alignment horizontal="right" vertical="center" wrapText="1" readingOrder="1"/>
    </xf>
    <xf numFmtId="207" fontId="121" fillId="0" borderId="329" applyAlignment="1" pivotButton="0" quotePrefix="0" xfId="0">
      <alignment horizontal="right" vertical="center" wrapText="1" readingOrder="1"/>
    </xf>
    <xf numFmtId="207" fontId="121" fillId="0" borderId="330" applyAlignment="1" pivotButton="0" quotePrefix="0" xfId="0">
      <alignment horizontal="right" vertical="center" wrapText="1" readingOrder="1"/>
    </xf>
    <xf numFmtId="0" fontId="0" fillId="0" borderId="326" pivotButton="0" quotePrefix="0" xfId="0"/>
    <xf numFmtId="0" fontId="121" fillId="0" borderId="509" applyAlignment="1" pivotButton="0" quotePrefix="0" xfId="0">
      <alignment horizontal="left" vertical="center" wrapText="1" readingOrder="1"/>
    </xf>
    <xf numFmtId="0" fontId="0" fillId="0" borderId="370" pivotButton="0" quotePrefix="0" xfId="0"/>
    <xf numFmtId="207" fontId="121" fillId="0" borderId="457" applyAlignment="1" pivotButton="0" quotePrefix="0" xfId="0">
      <alignment horizontal="right" vertical="center" wrapText="1" readingOrder="1"/>
    </xf>
    <xf numFmtId="207" fontId="121" fillId="0" borderId="336" applyAlignment="1" pivotButton="0" quotePrefix="0" xfId="0">
      <alignment horizontal="right" vertical="center" wrapText="1" readingOrder="1"/>
    </xf>
    <xf numFmtId="207" fontId="121" fillId="0" borderId="338" applyAlignment="1" pivotButton="0" quotePrefix="0" xfId="0">
      <alignment horizontal="right" vertical="center" wrapText="1" readingOrder="1"/>
    </xf>
    <xf numFmtId="207" fontId="121" fillId="0" borderId="122" applyAlignment="1" pivotButton="0" quotePrefix="0" xfId="0">
      <alignment horizontal="right" vertical="center" wrapText="1" readingOrder="1"/>
    </xf>
    <xf numFmtId="207" fontId="121" fillId="0" borderId="339" applyAlignment="1" pivotButton="0" quotePrefix="0" xfId="0">
      <alignment horizontal="right" vertical="center" wrapText="1" readingOrder="1"/>
    </xf>
    <xf numFmtId="0" fontId="0" fillId="0" borderId="327" pivotButton="0" quotePrefix="0" xfId="0"/>
    <xf numFmtId="207" fontId="121" fillId="0" borderId="458" applyAlignment="1" pivotButton="0" quotePrefix="0" xfId="0">
      <alignment horizontal="right" vertical="center" wrapText="1" readingOrder="1"/>
    </xf>
    <xf numFmtId="207" fontId="121" fillId="0" borderId="351" applyAlignment="1" pivotButton="0" quotePrefix="0" xfId="0">
      <alignment horizontal="right" vertical="center" wrapText="1" readingOrder="1"/>
    </xf>
    <xf numFmtId="207" fontId="121" fillId="0" borderId="343" applyAlignment="1" pivotButton="0" quotePrefix="0" xfId="0">
      <alignment horizontal="right" vertical="center" wrapText="1" readingOrder="1"/>
    </xf>
    <xf numFmtId="207" fontId="121" fillId="0" borderId="129" applyAlignment="1" pivotButton="0" quotePrefix="0" xfId="0">
      <alignment horizontal="right" vertical="center" wrapText="1" readingOrder="1"/>
    </xf>
    <xf numFmtId="207" fontId="121" fillId="0" borderId="344" applyAlignment="1" pivotButton="0" quotePrefix="0" xfId="0">
      <alignment horizontal="right" vertical="center" wrapText="1" readingOrder="1"/>
    </xf>
    <xf numFmtId="206" fontId="121" fillId="0" borderId="313" applyAlignment="1" pivotButton="0" quotePrefix="0" xfId="0">
      <alignment horizontal="right" vertical="center" wrapText="1" readingOrder="1"/>
    </xf>
    <xf numFmtId="206" fontId="121" fillId="0" borderId="132" applyAlignment="1" pivotButton="0" quotePrefix="0" xfId="0">
      <alignment horizontal="right" vertical="center" wrapText="1" readingOrder="1"/>
    </xf>
    <xf numFmtId="206" fontId="121" fillId="0" borderId="314" applyAlignment="1" pivotButton="0" quotePrefix="0" xfId="0">
      <alignment horizontal="right" vertical="center" wrapText="1" readingOrder="1"/>
    </xf>
    <xf numFmtId="206" fontId="121" fillId="0" borderId="338" applyAlignment="1" pivotButton="0" quotePrefix="0" xfId="0">
      <alignment horizontal="right" vertical="center" wrapText="1" readingOrder="1"/>
    </xf>
    <xf numFmtId="206" fontId="121" fillId="0" borderId="122" applyAlignment="1" pivotButton="0" quotePrefix="0" xfId="0">
      <alignment horizontal="right" vertical="center" wrapText="1" readingOrder="1"/>
    </xf>
    <xf numFmtId="206" fontId="121" fillId="0" borderId="339" applyAlignment="1" pivotButton="0" quotePrefix="0" xfId="0">
      <alignment horizontal="right" vertical="center" wrapText="1" readingOrder="1"/>
    </xf>
    <xf numFmtId="206" fontId="121" fillId="0" borderId="343" applyAlignment="1" pivotButton="0" quotePrefix="0" xfId="0">
      <alignment horizontal="right" vertical="center" wrapText="1" readingOrder="1"/>
    </xf>
    <xf numFmtId="206" fontId="121" fillId="0" borderId="129" applyAlignment="1" pivotButton="0" quotePrefix="0" xfId="0">
      <alignment horizontal="right" vertical="center" wrapText="1" readingOrder="1"/>
    </xf>
    <xf numFmtId="206" fontId="121" fillId="0" borderId="344" applyAlignment="1" pivotButton="0" quotePrefix="0" xfId="0">
      <alignment horizontal="right" vertical="center" wrapText="1" readingOrder="1"/>
    </xf>
    <xf numFmtId="0" fontId="121" fillId="0" borderId="403" applyAlignment="1" pivotButton="0" quotePrefix="0" xfId="0">
      <alignment horizontal="left" vertical="center" wrapText="1" readingOrder="1"/>
    </xf>
    <xf numFmtId="0" fontId="0" fillId="0" borderId="460" pivotButton="0" quotePrefix="0" xfId="0"/>
    <xf numFmtId="0" fontId="0" fillId="0" borderId="401" pivotButton="0" quotePrefix="0" xfId="0"/>
    <xf numFmtId="208" fontId="125" fillId="0" borderId="397" applyAlignment="1" pivotButton="0" quotePrefix="0" xfId="0">
      <alignment horizontal="right" vertical="center" wrapText="1" readingOrder="1"/>
    </xf>
    <xf numFmtId="208" fontId="125" fillId="0" borderId="398" applyAlignment="1" pivotButton="0" quotePrefix="0" xfId="0">
      <alignment horizontal="right" vertical="center" wrapText="1" readingOrder="1"/>
    </xf>
    <xf numFmtId="208" fontId="125" fillId="0" borderId="302" applyAlignment="1" pivotButton="0" quotePrefix="0" xfId="0">
      <alignment horizontal="right" vertical="center" wrapText="1" readingOrder="1"/>
    </xf>
    <xf numFmtId="208" fontId="125" fillId="0" borderId="303" applyAlignment="1" pivotButton="0" quotePrefix="0" xfId="0">
      <alignment horizontal="right" vertical="center" wrapText="1" readingOrder="1"/>
    </xf>
    <xf numFmtId="208" fontId="125" fillId="0" borderId="304" applyAlignment="1" pivotButton="0" quotePrefix="0" xfId="0">
      <alignment horizontal="right" vertical="center" wrapText="1" readingOrder="1"/>
    </xf>
    <xf numFmtId="208" fontId="125" fillId="0" borderId="402" applyAlignment="1" pivotButton="0" quotePrefix="0" xfId="0">
      <alignment horizontal="right" vertical="center" wrapText="1" readingOrder="1"/>
    </xf>
    <xf numFmtId="208" fontId="125" fillId="0" borderId="403" applyAlignment="1" pivotButton="0" quotePrefix="0" xfId="0">
      <alignment horizontal="right" vertical="center" wrapText="1" readingOrder="1"/>
    </xf>
    <xf numFmtId="208" fontId="125" fillId="0" borderId="357" applyAlignment="1" pivotButton="0" quotePrefix="0" xfId="0">
      <alignment horizontal="right" vertical="center" wrapText="1" readingOrder="1"/>
    </xf>
    <xf numFmtId="208" fontId="125" fillId="0" borderId="358" applyAlignment="1" pivotButton="0" quotePrefix="0" xfId="0">
      <alignment horizontal="right" vertical="center" wrapText="1" readingOrder="1"/>
    </xf>
    <xf numFmtId="208" fontId="125" fillId="0" borderId="359" applyAlignment="1" pivotButton="0" quotePrefix="0" xfId="0">
      <alignment horizontal="right" vertical="center" wrapText="1" readingOrder="1"/>
    </xf>
    <xf numFmtId="208" fontId="121" fillId="0" borderId="406" applyAlignment="1" pivotButton="0" quotePrefix="0" xfId="0">
      <alignment horizontal="right" vertical="center" wrapText="1" readingOrder="1"/>
    </xf>
    <xf numFmtId="208" fontId="121" fillId="0" borderId="407" applyAlignment="1" pivotButton="0" quotePrefix="0" xfId="0">
      <alignment horizontal="right" vertical="center" wrapText="1" readingOrder="1"/>
    </xf>
    <xf numFmtId="208" fontId="121" fillId="0" borderId="288" applyAlignment="1" pivotButton="0" quotePrefix="0" xfId="0">
      <alignment horizontal="right" vertical="center" wrapText="1" readingOrder="1"/>
    </xf>
    <xf numFmtId="208" fontId="121" fillId="0" borderId="294" applyAlignment="1" pivotButton="0" quotePrefix="0" xfId="0">
      <alignment horizontal="right" vertical="center" wrapText="1" readingOrder="1"/>
    </xf>
    <xf numFmtId="208" fontId="121" fillId="0" borderId="290" applyAlignment="1" pivotButton="0" quotePrefix="0" xfId="0">
      <alignment horizontal="right" vertical="center" wrapText="1" readingOrder="1"/>
    </xf>
    <xf numFmtId="208" fontId="122" fillId="0" borderId="406" applyAlignment="1" pivotButton="0" quotePrefix="0" xfId="0">
      <alignment horizontal="right" vertical="center" wrapText="1" readingOrder="1"/>
    </xf>
    <xf numFmtId="0" fontId="122" fillId="42" borderId="507" applyAlignment="1" pivotButton="0" quotePrefix="0" xfId="0">
      <alignment horizontal="left" vertical="center" wrapText="1" readingOrder="1"/>
    </xf>
    <xf numFmtId="207" fontId="104" fillId="42" borderId="406" applyAlignment="1" pivotButton="0" quotePrefix="0" xfId="0">
      <alignment horizontal="right" vertical="center" wrapText="1" readingOrder="1"/>
    </xf>
    <xf numFmtId="207" fontId="130" fillId="42" borderId="407" applyAlignment="1" pivotButton="0" quotePrefix="0" xfId="0">
      <alignment vertical="center" wrapText="1"/>
    </xf>
    <xf numFmtId="207" fontId="104" fillId="42" borderId="288" applyAlignment="1" pivotButton="0" quotePrefix="0" xfId="0">
      <alignment horizontal="right" vertical="center" wrapText="1" readingOrder="1"/>
    </xf>
    <xf numFmtId="207" fontId="104" fillId="42" borderId="294" applyAlignment="1" pivotButton="0" quotePrefix="0" xfId="0">
      <alignment horizontal="right" vertical="center" wrapText="1" readingOrder="1"/>
    </xf>
    <xf numFmtId="207" fontId="104" fillId="42" borderId="290" applyAlignment="1" pivotButton="0" quotePrefix="0" xfId="0">
      <alignment horizontal="right" vertical="center" wrapText="1" readingOrder="1"/>
    </xf>
    <xf numFmtId="207" fontId="104" fillId="42" borderId="407" applyAlignment="1" pivotButton="0" quotePrefix="0" xfId="0">
      <alignment horizontal="right" vertical="center" wrapText="1" readingOrder="1"/>
    </xf>
    <xf numFmtId="206" fontId="121" fillId="0" borderId="403" applyAlignment="1" pivotButton="0" quotePrefix="0" xfId="0">
      <alignment horizontal="right" vertical="center" wrapText="1" readingOrder="1"/>
    </xf>
    <xf numFmtId="206" fontId="121" fillId="0" borderId="357" applyAlignment="1" pivotButton="0" quotePrefix="0" xfId="0">
      <alignment horizontal="right" vertical="center" wrapText="1" readingOrder="1"/>
    </xf>
    <xf numFmtId="206" fontId="121" fillId="0" borderId="358" applyAlignment="1" pivotButton="0" quotePrefix="0" xfId="0">
      <alignment horizontal="right" vertical="center" wrapText="1" readingOrder="1"/>
    </xf>
    <xf numFmtId="206" fontId="121" fillId="0" borderId="359" applyAlignment="1" pivotButton="0" quotePrefix="0" xfId="0">
      <alignment horizontal="right" vertical="center" wrapText="1" readingOrder="1"/>
    </xf>
    <xf numFmtId="206" fontId="121" fillId="0" borderId="402" applyAlignment="1" pivotButton="0" quotePrefix="0" xfId="60307">
      <alignment horizontal="right" vertical="center" wrapText="1" readingOrder="1"/>
    </xf>
    <xf numFmtId="206" fontId="121" fillId="0" borderId="403" applyAlignment="1" pivotButton="0" quotePrefix="0" xfId="60307">
      <alignment horizontal="right" vertical="center" wrapText="1" readingOrder="1"/>
    </xf>
    <xf numFmtId="0" fontId="0" fillId="0" borderId="386" pivotButton="0" quotePrefix="0" xfId="0"/>
    <xf numFmtId="0" fontId="0" fillId="0" borderId="356" pivotButton="0" quotePrefix="0" xfId="0"/>
    <xf numFmtId="206" fontId="105" fillId="0" borderId="380" applyAlignment="1" pivotButton="0" quotePrefix="0" xfId="0">
      <alignment horizontal="right" vertical="center" wrapText="1" readingOrder="1"/>
    </xf>
    <xf numFmtId="206" fontId="105" fillId="0" borderId="461" applyAlignment="1" pivotButton="0" quotePrefix="0" xfId="0">
      <alignment horizontal="right" vertical="center" wrapText="1" readingOrder="1"/>
    </xf>
    <xf numFmtId="0" fontId="0" fillId="0" borderId="462" pivotButton="0" quotePrefix="0" xfId="0"/>
    <xf numFmtId="0" fontId="0" fillId="0" borderId="456" pivotButton="0" quotePrefix="0" xfId="0"/>
    <xf numFmtId="206" fontId="105" fillId="0" borderId="453" applyAlignment="1" pivotButton="0" quotePrefix="0" xfId="0">
      <alignment horizontal="right" vertical="center" wrapText="1" readingOrder="1"/>
    </xf>
    <xf numFmtId="206" fontId="105" fillId="0" borderId="454" applyAlignment="1" pivotButton="0" quotePrefix="0" xfId="0">
      <alignment horizontal="right" vertical="center" wrapText="1" readingOrder="1"/>
    </xf>
    <xf numFmtId="206" fontId="105" fillId="0" borderId="463" applyAlignment="1" pivotButton="0" quotePrefix="0" xfId="0">
      <alignment horizontal="right" vertical="center" wrapText="1" readingOrder="1"/>
    </xf>
    <xf numFmtId="206" fontId="105" fillId="0" borderId="464" applyAlignment="1" pivotButton="0" quotePrefix="0" xfId="0">
      <alignment horizontal="right" vertical="center" wrapText="1" readingOrder="1"/>
    </xf>
    <xf numFmtId="206" fontId="105" fillId="0" borderId="465" applyAlignment="1" pivotButton="0" quotePrefix="0" xfId="0">
      <alignment horizontal="right" vertical="center" wrapText="1" readingOrder="1"/>
    </xf>
    <xf numFmtId="0" fontId="0" fillId="0" borderId="347" pivotButton="0" quotePrefix="0" xfId="0"/>
    <xf numFmtId="206" fontId="105" fillId="0" borderId="431" applyAlignment="1" pivotButton="0" quotePrefix="0" xfId="0">
      <alignment horizontal="right" vertical="center" wrapText="1" readingOrder="1"/>
    </xf>
    <xf numFmtId="206" fontId="105" fillId="0" borderId="334" applyAlignment="1" pivotButton="0" quotePrefix="0" xfId="0">
      <alignment horizontal="right" vertical="center" wrapText="1" readingOrder="1"/>
    </xf>
    <xf numFmtId="206" fontId="105" fillId="0" borderId="432" applyAlignment="1" pivotButton="0" quotePrefix="0" xfId="0">
      <alignment horizontal="right" vertical="center" wrapText="1" readingOrder="1"/>
    </xf>
    <xf numFmtId="206" fontId="105" fillId="0" borderId="433" applyAlignment="1" pivotButton="0" quotePrefix="0" xfId="0">
      <alignment horizontal="right" vertical="center" wrapText="1" readingOrder="1"/>
    </xf>
    <xf numFmtId="206" fontId="105" fillId="0" borderId="467" applyAlignment="1" pivotButton="0" quotePrefix="0" xfId="0">
      <alignment horizontal="right" vertical="center" wrapText="1" readingOrder="1"/>
    </xf>
    <xf numFmtId="206" fontId="105" fillId="0" borderId="457" applyAlignment="1" pivotButton="0" quotePrefix="0" xfId="0">
      <alignment horizontal="right" vertical="center" wrapText="1" readingOrder="1"/>
    </xf>
    <xf numFmtId="206" fontId="105" fillId="0" borderId="336" applyAlignment="1" pivotButton="0" quotePrefix="0" xfId="0">
      <alignment horizontal="right" vertical="center" wrapText="1" readingOrder="1"/>
    </xf>
    <xf numFmtId="206" fontId="105" fillId="0" borderId="468" applyAlignment="1" pivotButton="0" quotePrefix="0" xfId="0">
      <alignment horizontal="right" vertical="center" wrapText="1" readingOrder="1"/>
    </xf>
    <xf numFmtId="206" fontId="105" fillId="0" borderId="469" applyAlignment="1" pivotButton="0" quotePrefix="0" xfId="0">
      <alignment horizontal="right" vertical="center" wrapText="1" readingOrder="1"/>
    </xf>
    <xf numFmtId="206" fontId="105" fillId="0" borderId="470" applyAlignment="1" pivotButton="0" quotePrefix="0" xfId="0">
      <alignment horizontal="right" vertical="center" wrapText="1" readingOrder="1"/>
    </xf>
    <xf numFmtId="0" fontId="0" fillId="0" borderId="471" pivotButton="0" quotePrefix="0" xfId="0"/>
    <xf numFmtId="0" fontId="0" fillId="0" borderId="350" pivotButton="0" quotePrefix="0" xfId="0"/>
    <xf numFmtId="0" fontId="105" fillId="0" borderId="502" applyAlignment="1" pivotButton="0" quotePrefix="0" xfId="0">
      <alignment horizontal="left" vertical="center" wrapText="1" readingOrder="1"/>
    </xf>
    <xf numFmtId="0" fontId="0" fillId="0" borderId="472" pivotButton="0" quotePrefix="0" xfId="0"/>
    <xf numFmtId="206" fontId="105" fillId="0" borderId="473" applyAlignment="1" pivotButton="0" quotePrefix="0" xfId="0">
      <alignment horizontal="right" vertical="center" wrapText="1" readingOrder="1"/>
    </xf>
    <xf numFmtId="206" fontId="105" fillId="0" borderId="351" applyAlignment="1" pivotButton="0" quotePrefix="0" xfId="0">
      <alignment horizontal="right" vertical="center" wrapText="1" readingOrder="1"/>
    </xf>
    <xf numFmtId="206" fontId="105" fillId="0" borderId="474" applyAlignment="1" pivotButton="0" quotePrefix="0" xfId="0">
      <alignment horizontal="right" vertical="center" wrapText="1" readingOrder="1"/>
    </xf>
    <xf numFmtId="206" fontId="105" fillId="0" borderId="445" applyAlignment="1" pivotButton="0" quotePrefix="0" xfId="0">
      <alignment horizontal="right" vertical="center" wrapText="1" readingOrder="1"/>
    </xf>
    <xf numFmtId="0" fontId="105" fillId="0" borderId="503" applyAlignment="1" pivotButton="0" quotePrefix="0" xfId="0">
      <alignment horizontal="left" vertical="center" wrapText="1" readingOrder="1"/>
    </xf>
    <xf numFmtId="0" fontId="0" fillId="0" borderId="475" pivotButton="0" quotePrefix="0" xfId="0"/>
    <xf numFmtId="206" fontId="105" fillId="0" borderId="476" applyAlignment="1" pivotButton="0" quotePrefix="0" xfId="0">
      <alignment horizontal="right" vertical="center" wrapText="1" readingOrder="1"/>
    </xf>
    <xf numFmtId="206" fontId="105" fillId="0" borderId="458" applyAlignment="1" pivotButton="0" quotePrefix="0" xfId="0">
      <alignment horizontal="right" vertical="center" wrapText="1" readingOrder="1"/>
    </xf>
    <xf numFmtId="0" fontId="105" fillId="0" borderId="454" applyAlignment="1" pivotButton="0" quotePrefix="0" xfId="0">
      <alignment horizontal="left" vertical="center" wrapText="1" readingOrder="1"/>
    </xf>
    <xf numFmtId="0" fontId="0" fillId="0" borderId="478" pivotButton="0" quotePrefix="0" xfId="0"/>
    <xf numFmtId="0" fontId="0" fillId="0" borderId="479" pivotButton="0" quotePrefix="0" xfId="0"/>
    <xf numFmtId="0" fontId="105" fillId="0" borderId="501" applyAlignment="1" pivotButton="0" quotePrefix="0" xfId="0">
      <alignment horizontal="left" vertical="center" wrapText="1" readingOrder="1"/>
    </xf>
    <xf numFmtId="0" fontId="0" fillId="0" borderId="435" pivotButton="0" quotePrefix="0" xfId="0"/>
    <xf numFmtId="0" fontId="105" fillId="0" borderId="436" applyAlignment="1" pivotButton="0" quotePrefix="0" xfId="0">
      <alignment horizontal="left" vertical="center" wrapText="1" readingOrder="1"/>
    </xf>
    <xf numFmtId="206" fontId="105" fillId="0" borderId="437" applyAlignment="1" pivotButton="0" quotePrefix="0" xfId="0">
      <alignment horizontal="right" vertical="center" wrapText="1" readingOrder="1"/>
    </xf>
    <xf numFmtId="206" fontId="105" fillId="0" borderId="436" applyAlignment="1" pivotButton="0" quotePrefix="0" xfId="0">
      <alignment horizontal="right" vertical="center" wrapText="1" readingOrder="1"/>
    </xf>
    <xf numFmtId="206" fontId="105" fillId="0" borderId="385" applyAlignment="1" pivotButton="0" quotePrefix="0" xfId="0">
      <alignment horizontal="right" vertical="center" wrapText="1" readingOrder="1"/>
    </xf>
    <xf numFmtId="206" fontId="105" fillId="0" borderId="438" applyAlignment="1" pivotButton="0" quotePrefix="0" xfId="0">
      <alignment horizontal="right" vertical="center" wrapText="1" readingOrder="1"/>
    </xf>
    <xf numFmtId="206" fontId="105" fillId="0" borderId="386" applyAlignment="1" pivotButton="0" quotePrefix="0" xfId="0">
      <alignment horizontal="right" vertical="center" wrapText="1" readingOrder="1"/>
    </xf>
    <xf numFmtId="206" fontId="104" fillId="42" borderId="406" applyAlignment="1" pivotButton="0" quotePrefix="0" xfId="0">
      <alignment horizontal="right" vertical="center" wrapText="1" readingOrder="1"/>
    </xf>
    <xf numFmtId="206" fontId="104" fillId="42" borderId="407" applyAlignment="1" pivotButton="0" quotePrefix="0" xfId="0">
      <alignment horizontal="right" vertical="center" wrapText="1" readingOrder="1"/>
    </xf>
    <xf numFmtId="206" fontId="104" fillId="42" borderId="378" applyAlignment="1" pivotButton="0" quotePrefix="0" xfId="0">
      <alignment horizontal="right" vertical="center" wrapText="1" readingOrder="1"/>
    </xf>
    <xf numFmtId="206" fontId="104" fillId="42" borderId="439" applyAlignment="1" pivotButton="0" quotePrefix="0" xfId="0">
      <alignment horizontal="right" vertical="center" wrapText="1" readingOrder="1"/>
    </xf>
    <xf numFmtId="206" fontId="104" fillId="42" borderId="410" applyAlignment="1" pivotButton="0" quotePrefix="0" xfId="0">
      <alignment horizontal="right" vertical="center" wrapText="1" readingOrder="1"/>
    </xf>
    <xf numFmtId="206" fontId="104" fillId="42" borderId="440" applyAlignment="1" pivotButton="0" quotePrefix="0" xfId="0">
      <alignment horizontal="right" vertical="center" wrapText="1" readingOrder="1"/>
    </xf>
    <xf numFmtId="206" fontId="117" fillId="42" borderId="380" applyAlignment="1" pivotButton="0" quotePrefix="0" xfId="0">
      <alignment horizontal="right" vertical="center" wrapText="1" readingOrder="1"/>
    </xf>
    <xf numFmtId="183" fontId="30" fillId="46" borderId="248" applyAlignment="1" pivotButton="0" quotePrefix="0" xfId="60310">
      <alignment horizontal="right" vertical="center" readingOrder="1"/>
    </xf>
    <xf numFmtId="183" fontId="30" fillId="46" borderId="117" applyAlignment="1" pivotButton="0" quotePrefix="0" xfId="60310">
      <alignment horizontal="right" vertical="center" readingOrder="1"/>
    </xf>
    <xf numFmtId="183" fontId="24" fillId="0" borderId="249" applyAlignment="1" pivotButton="0" quotePrefix="0" xfId="60310">
      <alignment horizontal="right" vertical="center" readingOrder="1"/>
    </xf>
    <xf numFmtId="183" fontId="24" fillId="0" borderId="120" applyAlignment="1" pivotButton="0" quotePrefix="0" xfId="60310">
      <alignment horizontal="right" vertical="center" readingOrder="1"/>
    </xf>
    <xf numFmtId="183" fontId="24" fillId="5" borderId="250" applyAlignment="1" pivotButton="0" quotePrefix="0" xfId="60310">
      <alignment horizontal="right" vertical="center" readingOrder="1"/>
    </xf>
    <xf numFmtId="183" fontId="24" fillId="5" borderId="254" applyAlignment="1" pivotButton="0" quotePrefix="0" xfId="60310">
      <alignment horizontal="right" vertical="center" readingOrder="1"/>
    </xf>
    <xf numFmtId="183" fontId="24" fillId="0" borderId="251" applyAlignment="1" pivotButton="0" quotePrefix="0" xfId="60310">
      <alignment horizontal="right" vertical="center" readingOrder="1"/>
    </xf>
    <xf numFmtId="183" fontId="24" fillId="0" borderId="122" applyAlignment="1" pivotButton="0" quotePrefix="0" xfId="60310">
      <alignment horizontal="right" vertical="center" readingOrder="1"/>
    </xf>
    <xf numFmtId="183" fontId="24" fillId="0" borderId="250" applyAlignment="1" pivotButton="0" quotePrefix="0" xfId="60310">
      <alignment horizontal="right" vertical="center" readingOrder="1"/>
    </xf>
    <xf numFmtId="183" fontId="24" fillId="0" borderId="254" applyAlignment="1" pivotButton="0" quotePrefix="0" xfId="60310">
      <alignment horizontal="right" vertical="center" readingOrder="1"/>
    </xf>
    <xf numFmtId="183" fontId="24" fillId="0" borderId="248" applyAlignment="1" pivotButton="0" quotePrefix="0" xfId="60310">
      <alignment horizontal="right" vertical="center" readingOrder="1"/>
    </xf>
    <xf numFmtId="183" fontId="24" fillId="0" borderId="117" applyAlignment="1" pivotButton="0" quotePrefix="0" xfId="60310">
      <alignment horizontal="right" vertical="center" readingOrder="1"/>
    </xf>
    <xf numFmtId="183" fontId="24" fillId="0" borderId="252" applyAlignment="1" pivotButton="0" quotePrefix="0" xfId="60310">
      <alignment horizontal="right" vertical="center" readingOrder="1"/>
    </xf>
    <xf numFmtId="183" fontId="24" fillId="0" borderId="168" applyAlignment="1" pivotButton="0" quotePrefix="0" xfId="60310">
      <alignment horizontal="right" vertical="center" readingOrder="1"/>
    </xf>
    <xf numFmtId="183" fontId="24" fillId="5" borderId="254" applyAlignment="1" pivotButton="0" quotePrefix="0" xfId="60307">
      <alignment horizontal="right" vertical="center" readingOrder="1"/>
    </xf>
    <xf numFmtId="183" fontId="24" fillId="0" borderId="255" applyAlignment="1" pivotButton="0" quotePrefix="0" xfId="60310">
      <alignment horizontal="right" vertical="center" readingOrder="1"/>
    </xf>
    <xf numFmtId="183" fontId="24" fillId="5" borderId="248" applyAlignment="1" pivotButton="0" quotePrefix="0" xfId="60310">
      <alignment horizontal="right" vertical="center" readingOrder="1"/>
    </xf>
    <xf numFmtId="183" fontId="24" fillId="5" borderId="117" applyAlignment="1" pivotButton="0" quotePrefix="0" xfId="60310">
      <alignment horizontal="right" vertical="center" readingOrder="1"/>
    </xf>
    <xf numFmtId="183" fontId="30" fillId="39" borderId="247" applyAlignment="1" pivotButton="0" quotePrefix="0" xfId="60310">
      <alignment horizontal="right" vertical="center" readingOrder="1"/>
    </xf>
    <xf numFmtId="183" fontId="30" fillId="39" borderId="118" applyAlignment="1" pivotButton="0" quotePrefix="0" xfId="60310">
      <alignment horizontal="right" vertical="center" readingOrder="1"/>
    </xf>
    <xf numFmtId="0" fontId="102" fillId="3" borderId="507" applyAlignment="1" pivotButton="0" quotePrefix="0" xfId="0">
      <alignment horizontal="center" vertical="center" wrapText="1" readingOrder="1"/>
    </xf>
    <xf numFmtId="0" fontId="102" fillId="3" borderId="111" applyAlignment="1" pivotButton="0" quotePrefix="0" xfId="0">
      <alignment horizontal="center" vertical="center" wrapText="1" readingOrder="1"/>
    </xf>
    <xf numFmtId="0" fontId="102" fillId="3" borderId="284" applyAlignment="1" pivotButton="0" quotePrefix="0" xfId="0">
      <alignment horizontal="center" vertical="center" wrapText="1" readingOrder="1"/>
    </xf>
    <xf numFmtId="0" fontId="0" fillId="0" borderId="289" pivotButton="0" quotePrefix="0" xfId="0"/>
    <xf numFmtId="0" fontId="103" fillId="0" borderId="507" applyAlignment="1" pivotButton="0" quotePrefix="0" xfId="0">
      <alignment horizontal="left" vertical="center" wrapText="1" readingOrder="1"/>
    </xf>
    <xf numFmtId="165" fontId="104" fillId="0" borderId="288" applyAlignment="1" pivotButton="0" quotePrefix="0" xfId="60307">
      <alignment horizontal="right" vertical="center" wrapText="1" readingOrder="1"/>
    </xf>
    <xf numFmtId="165" fontId="104" fillId="0" borderId="294" applyAlignment="1" pivotButton="0" quotePrefix="0" xfId="60307">
      <alignment horizontal="right" vertical="center" wrapText="1" readingOrder="1"/>
    </xf>
    <xf numFmtId="195" fontId="104" fillId="0" borderId="294" applyAlignment="1" pivotButton="0" quotePrefix="0" xfId="60307">
      <alignment horizontal="right" vertical="center" wrapText="1" readingOrder="1"/>
    </xf>
    <xf numFmtId="195" fontId="104" fillId="0" borderId="290" applyAlignment="1" pivotButton="0" quotePrefix="0" xfId="60307">
      <alignment horizontal="right" vertical="center" wrapText="1" readingOrder="1"/>
    </xf>
    <xf numFmtId="195" fontId="104" fillId="0" borderId="298" applyAlignment="1" pivotButton="0" quotePrefix="0" xfId="60307">
      <alignment horizontal="right" vertical="center" wrapText="1" readingOrder="1"/>
    </xf>
    <xf numFmtId="0" fontId="103" fillId="0" borderId="505" applyAlignment="1" pivotButton="0" quotePrefix="0" xfId="0">
      <alignment horizontal="left" vertical="center" wrapText="1" readingOrder="1"/>
    </xf>
    <xf numFmtId="165" fontId="105" fillId="0" borderId="302" applyAlignment="1" pivotButton="0" quotePrefix="0" xfId="60307">
      <alignment horizontal="right" vertical="center" wrapText="1" readingOrder="1"/>
    </xf>
    <xf numFmtId="165" fontId="105" fillId="0" borderId="303" applyAlignment="1" pivotButton="0" quotePrefix="0" xfId="60307">
      <alignment horizontal="right" vertical="center" wrapText="1" readingOrder="1"/>
    </xf>
    <xf numFmtId="195" fontId="105" fillId="0" borderId="303" applyAlignment="1" pivotButton="0" quotePrefix="0" xfId="60307">
      <alignment horizontal="right" vertical="center" wrapText="1" readingOrder="1"/>
    </xf>
    <xf numFmtId="195" fontId="105" fillId="0" borderId="304" applyAlignment="1" pivotButton="0" quotePrefix="0" xfId="60307">
      <alignment horizontal="right" vertical="center" wrapText="1" readingOrder="1"/>
    </xf>
    <xf numFmtId="195" fontId="105" fillId="0" borderId="305" applyAlignment="1" pivotButton="0" quotePrefix="0" xfId="60307">
      <alignment horizontal="right" vertical="center" wrapText="1" readingOrder="1"/>
    </xf>
    <xf numFmtId="0" fontId="102" fillId="0" borderId="508" applyAlignment="1" pivotButton="0" quotePrefix="0" xfId="0">
      <alignment horizontal="left" vertical="center" wrapText="1" readingOrder="1"/>
    </xf>
    <xf numFmtId="165" fontId="105" fillId="0" borderId="313" applyAlignment="1" pivotButton="0" quotePrefix="0" xfId="60307">
      <alignment horizontal="right" vertical="center" wrapText="1" readingOrder="1"/>
    </xf>
    <xf numFmtId="165" fontId="105" fillId="0" borderId="132" applyAlignment="1" pivotButton="0" quotePrefix="0" xfId="60307">
      <alignment horizontal="right" vertical="center" wrapText="1" readingOrder="1"/>
    </xf>
    <xf numFmtId="195" fontId="105" fillId="0" borderId="132" applyAlignment="1" pivotButton="0" quotePrefix="0" xfId="60307">
      <alignment horizontal="right" vertical="center" wrapText="1" readingOrder="1"/>
    </xf>
    <xf numFmtId="195" fontId="105" fillId="0" borderId="314" applyAlignment="1" pivotButton="0" quotePrefix="0" xfId="60307">
      <alignment horizontal="right" vertical="center" wrapText="1" readingOrder="1"/>
    </xf>
    <xf numFmtId="195" fontId="105" fillId="0" borderId="315" applyAlignment="1" pivotButton="0" quotePrefix="0" xfId="60307">
      <alignment horizontal="right" vertical="center" wrapText="1" readingOrder="1"/>
    </xf>
    <xf numFmtId="0" fontId="102" fillId="0" borderId="506" applyAlignment="1" pivotButton="0" quotePrefix="0" xfId="0">
      <alignment horizontal="left" vertical="center" wrapText="1" readingOrder="1"/>
    </xf>
    <xf numFmtId="165" fontId="105" fillId="0" borderId="320" applyAlignment="1" pivotButton="0" quotePrefix="0" xfId="60307">
      <alignment horizontal="right" vertical="center" wrapText="1" readingOrder="1"/>
    </xf>
    <xf numFmtId="165" fontId="105" fillId="0" borderId="321" applyAlignment="1" pivotButton="0" quotePrefix="0" xfId="60307">
      <alignment horizontal="right" vertical="center" wrapText="1" readingOrder="1"/>
    </xf>
    <xf numFmtId="195" fontId="105" fillId="0" borderId="321" applyAlignment="1" pivotButton="0" quotePrefix="0" xfId="60307">
      <alignment horizontal="right" vertical="center" wrapText="1" readingOrder="1"/>
    </xf>
    <xf numFmtId="195" fontId="105" fillId="0" borderId="322" applyAlignment="1" pivotButton="0" quotePrefix="0" xfId="60307">
      <alignment horizontal="right" vertical="center" wrapText="1" readingOrder="1"/>
    </xf>
    <xf numFmtId="195" fontId="105" fillId="0" borderId="323" applyAlignment="1" pivotButton="0" quotePrefix="0" xfId="60307">
      <alignment horizontal="right" vertical="center" wrapText="1" readingOrder="1"/>
    </xf>
    <xf numFmtId="0" fontId="102" fillId="0" borderId="505" applyAlignment="1" pivotButton="0" quotePrefix="0" xfId="0">
      <alignment horizontal="left" vertical="center" wrapText="1" readingOrder="1"/>
    </xf>
    <xf numFmtId="165" fontId="105" fillId="0" borderId="328" applyAlignment="1" pivotButton="0" quotePrefix="0" xfId="60307">
      <alignment horizontal="right" vertical="center" wrapText="1" readingOrder="1"/>
    </xf>
    <xf numFmtId="165" fontId="105" fillId="0" borderId="329" applyAlignment="1" pivotButton="0" quotePrefix="0" xfId="60307">
      <alignment horizontal="right" vertical="center" wrapText="1" readingOrder="1"/>
    </xf>
    <xf numFmtId="195" fontId="105" fillId="0" borderId="329" applyAlignment="1" pivotButton="0" quotePrefix="0" xfId="60307">
      <alignment horizontal="right" vertical="center" wrapText="1" readingOrder="1"/>
    </xf>
    <xf numFmtId="195" fontId="105" fillId="0" borderId="330" applyAlignment="1" pivotButton="0" quotePrefix="0" xfId="60307">
      <alignment horizontal="right" vertical="center" wrapText="1" readingOrder="1"/>
    </xf>
    <xf numFmtId="195" fontId="105" fillId="0" borderId="331" applyAlignment="1" pivotButton="0" quotePrefix="0" xfId="60307">
      <alignment horizontal="right" vertical="center" wrapText="1" readingOrder="1"/>
    </xf>
    <xf numFmtId="0" fontId="102" fillId="0" borderId="509" applyAlignment="1" pivotButton="0" quotePrefix="0" xfId="0">
      <alignment horizontal="left" vertical="center" wrapText="1" readingOrder="1"/>
    </xf>
    <xf numFmtId="0" fontId="0" fillId="0" borderId="369" pivotButton="0" quotePrefix="0" xfId="0"/>
    <xf numFmtId="165" fontId="105" fillId="0" borderId="338" applyAlignment="1" pivotButton="0" quotePrefix="0" xfId="60307">
      <alignment horizontal="right" vertical="center" wrapText="1" readingOrder="1"/>
    </xf>
    <xf numFmtId="165" fontId="105" fillId="0" borderId="122" applyAlignment="1" pivotButton="0" quotePrefix="0" xfId="60307">
      <alignment horizontal="right" vertical="center" wrapText="1" readingOrder="1"/>
    </xf>
    <xf numFmtId="195" fontId="105" fillId="0" borderId="122" applyAlignment="1" pivotButton="0" quotePrefix="0" xfId="60307">
      <alignment horizontal="right" vertical="center" wrapText="1" readingOrder="1"/>
    </xf>
    <xf numFmtId="195" fontId="105" fillId="0" borderId="339" applyAlignment="1" pivotButton="0" quotePrefix="0" xfId="60307">
      <alignment horizontal="right" vertical="center" wrapText="1" readingOrder="1"/>
    </xf>
    <xf numFmtId="195" fontId="105" fillId="0" borderId="340" applyAlignment="1" pivotButton="0" quotePrefix="0" xfId="60307">
      <alignment horizontal="right" vertical="center" wrapText="1" readingOrder="1"/>
    </xf>
    <xf numFmtId="165" fontId="105" fillId="0" borderId="343" applyAlignment="1" pivotButton="0" quotePrefix="0" xfId="60307">
      <alignment horizontal="right" vertical="center" wrapText="1" readingOrder="1"/>
    </xf>
    <xf numFmtId="165" fontId="105" fillId="0" borderId="129" applyAlignment="1" pivotButton="0" quotePrefix="0" xfId="60307">
      <alignment horizontal="right" vertical="center" wrapText="1" readingOrder="1"/>
    </xf>
    <xf numFmtId="195" fontId="105" fillId="0" borderId="129" applyAlignment="1" pivotButton="0" quotePrefix="0" xfId="60307">
      <alignment horizontal="right" vertical="center" wrapText="1" readingOrder="1"/>
    </xf>
    <xf numFmtId="195" fontId="105" fillId="0" borderId="344" applyAlignment="1" pivotButton="0" quotePrefix="0" xfId="60307">
      <alignment horizontal="right" vertical="center" wrapText="1" readingOrder="1"/>
    </xf>
    <xf numFmtId="195" fontId="105" fillId="0" borderId="345" applyAlignment="1" pivotButton="0" quotePrefix="0" xfId="60307">
      <alignment horizontal="right" vertical="center" wrapText="1" readingOrder="1"/>
    </xf>
    <xf numFmtId="193" fontId="105" fillId="0" borderId="132" applyAlignment="1" pivotButton="0" quotePrefix="0" xfId="60307">
      <alignment horizontal="right" vertical="center" wrapText="1" readingOrder="1"/>
    </xf>
    <xf numFmtId="193" fontId="105" fillId="0" borderId="314" applyAlignment="1" pivotButton="0" quotePrefix="0" xfId="60307">
      <alignment horizontal="right" vertical="center" wrapText="1" readingOrder="1"/>
    </xf>
    <xf numFmtId="193" fontId="105" fillId="0" borderId="315" applyAlignment="1" pivotButton="0" quotePrefix="0" xfId="60307">
      <alignment horizontal="right" vertical="center" wrapText="1" readingOrder="1"/>
    </xf>
    <xf numFmtId="193" fontId="105" fillId="0" borderId="122" applyAlignment="1" pivotButton="0" quotePrefix="0" xfId="60307">
      <alignment horizontal="right" vertical="center" wrapText="1" readingOrder="1"/>
    </xf>
    <xf numFmtId="193" fontId="105" fillId="0" borderId="339" applyAlignment="1" pivotButton="0" quotePrefix="0" xfId="60307">
      <alignment horizontal="right" vertical="center" wrapText="1" readingOrder="1"/>
    </xf>
    <xf numFmtId="193" fontId="105" fillId="0" borderId="340" applyAlignment="1" pivotButton="0" quotePrefix="0" xfId="60307">
      <alignment horizontal="right" vertical="center" wrapText="1" readingOrder="1"/>
    </xf>
    <xf numFmtId="193" fontId="105" fillId="0" borderId="129" applyAlignment="1" pivotButton="0" quotePrefix="0" xfId="60307">
      <alignment horizontal="right" vertical="center" wrapText="1" readingOrder="1"/>
    </xf>
    <xf numFmtId="193" fontId="105" fillId="0" borderId="344" applyAlignment="1" pivotButton="0" quotePrefix="0" xfId="60307">
      <alignment horizontal="right" vertical="center" wrapText="1" readingOrder="1"/>
    </xf>
    <xf numFmtId="193" fontId="105" fillId="0" borderId="345" applyAlignment="1" pivotButton="0" quotePrefix="0" xfId="60307">
      <alignment horizontal="right" vertical="center" wrapText="1" readingOrder="1"/>
    </xf>
    <xf numFmtId="0" fontId="102" fillId="0" borderId="519" applyAlignment="1" pivotButton="0" quotePrefix="0" xfId="0">
      <alignment horizontal="left" vertical="center" wrapText="1" readingOrder="1"/>
    </xf>
    <xf numFmtId="0" fontId="0" fillId="0" borderId="311" pivotButton="0" quotePrefix="0" xfId="0"/>
    <xf numFmtId="0" fontId="0" fillId="0" borderId="312" pivotButton="0" quotePrefix="0" xfId="0"/>
    <xf numFmtId="191" fontId="105" fillId="0" borderId="329" applyAlignment="1" pivotButton="0" quotePrefix="0" xfId="60307">
      <alignment horizontal="right" vertical="center" wrapText="1" readingOrder="1"/>
    </xf>
    <xf numFmtId="191" fontId="105" fillId="0" borderId="330" applyAlignment="1" pivotButton="0" quotePrefix="0" xfId="60307">
      <alignment horizontal="right" vertical="center" wrapText="1" readingOrder="1"/>
    </xf>
    <xf numFmtId="191" fontId="105" fillId="0" borderId="331" applyAlignment="1" pivotButton="0" quotePrefix="0" xfId="60307">
      <alignment horizontal="right" vertical="center" wrapText="1" readingOrder="1"/>
    </xf>
    <xf numFmtId="0" fontId="0" fillId="0" borderId="353" pivotButton="0" quotePrefix="0" xfId="0"/>
    <xf numFmtId="191" fontId="105" fillId="0" borderId="132" applyAlignment="1" pivotButton="0" quotePrefix="0" xfId="60307">
      <alignment horizontal="right" vertical="center" wrapText="1" readingOrder="1"/>
    </xf>
    <xf numFmtId="191" fontId="105" fillId="0" borderId="314" applyAlignment="1" pivotButton="0" quotePrefix="0" xfId="60307">
      <alignment horizontal="right" vertical="center" wrapText="1" readingOrder="1"/>
    </xf>
    <xf numFmtId="191" fontId="105" fillId="0" borderId="315" applyAlignment="1" pivotButton="0" quotePrefix="0" xfId="60307">
      <alignment horizontal="right" vertical="center" wrapText="1" readingOrder="1"/>
    </xf>
    <xf numFmtId="191" fontId="105" fillId="0" borderId="122" applyAlignment="1" pivotButton="0" quotePrefix="0" xfId="60307">
      <alignment horizontal="right" vertical="center" wrapText="1" readingOrder="1"/>
    </xf>
    <xf numFmtId="191" fontId="105" fillId="0" borderId="339" applyAlignment="1" pivotButton="0" quotePrefix="0" xfId="60307">
      <alignment horizontal="right" vertical="center" wrapText="1" readingOrder="1"/>
    </xf>
    <xf numFmtId="191" fontId="105" fillId="0" borderId="340" applyAlignment="1" pivotButton="0" quotePrefix="0" xfId="60307">
      <alignment horizontal="right" vertical="center" wrapText="1" readingOrder="1"/>
    </xf>
    <xf numFmtId="0" fontId="102" fillId="0" borderId="522" applyAlignment="1" pivotButton="0" quotePrefix="0" xfId="0">
      <alignment horizontal="left" vertical="center" wrapText="1" readingOrder="1"/>
    </xf>
    <xf numFmtId="0" fontId="0" fillId="0" borderId="354" pivotButton="0" quotePrefix="0" xfId="0"/>
    <xf numFmtId="0" fontId="102" fillId="0" borderId="436" applyAlignment="1" pivotButton="0" quotePrefix="0" xfId="0">
      <alignment horizontal="left" vertical="center" wrapText="1" readingOrder="1"/>
    </xf>
    <xf numFmtId="191" fontId="105" fillId="0" borderId="321" applyAlignment="1" pivotButton="0" quotePrefix="0" xfId="60307">
      <alignment horizontal="right" vertical="center" wrapText="1" readingOrder="1"/>
    </xf>
    <xf numFmtId="191" fontId="105" fillId="0" borderId="322" applyAlignment="1" pivotButton="0" quotePrefix="0" xfId="60307">
      <alignment horizontal="right" vertical="center" wrapText="1" readingOrder="1"/>
    </xf>
    <xf numFmtId="191" fontId="105" fillId="0" borderId="323" applyAlignment="1" pivotButton="0" quotePrefix="0" xfId="60307">
      <alignment horizontal="right" vertical="center" wrapText="1" readingOrder="1"/>
    </xf>
    <xf numFmtId="192" fontId="105" fillId="0" borderId="302" applyAlignment="1" pivotButton="0" quotePrefix="0" xfId="60307">
      <alignment horizontal="right" vertical="center" wrapText="1" readingOrder="1"/>
    </xf>
    <xf numFmtId="192" fontId="105" fillId="0" borderId="303" applyAlignment="1" pivotButton="0" quotePrefix="0" xfId="60307">
      <alignment horizontal="right" vertical="center" wrapText="1" readingOrder="1"/>
    </xf>
    <xf numFmtId="192" fontId="105" fillId="0" borderId="304" applyAlignment="1" pivotButton="0" quotePrefix="0" xfId="60307">
      <alignment horizontal="right" vertical="center" wrapText="1" readingOrder="1"/>
    </xf>
    <xf numFmtId="192" fontId="105" fillId="0" borderId="305" applyAlignment="1" pivotButton="0" quotePrefix="0" xfId="60307">
      <alignment horizontal="right" vertical="center" wrapText="1" readingOrder="1"/>
    </xf>
    <xf numFmtId="192" fontId="105" fillId="0" borderId="357" applyAlignment="1" pivotButton="0" quotePrefix="0" xfId="60307">
      <alignment horizontal="right" vertical="center" wrapText="1" readingOrder="1"/>
    </xf>
    <xf numFmtId="192" fontId="105" fillId="0" borderId="358" applyAlignment="1" pivotButton="0" quotePrefix="0" xfId="60307">
      <alignment horizontal="right" vertical="center" wrapText="1" readingOrder="1"/>
    </xf>
    <xf numFmtId="192" fontId="105" fillId="0" borderId="359" applyAlignment="1" pivotButton="0" quotePrefix="0" xfId="60307">
      <alignment horizontal="right" vertical="center" wrapText="1" readingOrder="1"/>
    </xf>
    <xf numFmtId="192" fontId="105" fillId="0" borderId="295" applyAlignment="1" pivotButton="0" quotePrefix="0" xfId="60307">
      <alignment horizontal="right" vertical="center" wrapText="1" readingOrder="1"/>
    </xf>
    <xf numFmtId="165" fontId="105" fillId="0" borderId="361" applyAlignment="1" pivotButton="0" quotePrefix="0" xfId="60307">
      <alignment horizontal="right" vertical="center" wrapText="1" readingOrder="1"/>
    </xf>
    <xf numFmtId="165" fontId="105" fillId="0" borderId="362" applyAlignment="1" pivotButton="0" quotePrefix="0" xfId="60307">
      <alignment horizontal="right" vertical="center" wrapText="1" readingOrder="1"/>
    </xf>
    <xf numFmtId="191" fontId="105" fillId="0" borderId="362" applyAlignment="1" pivotButton="0" quotePrefix="0" xfId="60307">
      <alignment horizontal="right" vertical="center" wrapText="1" readingOrder="1"/>
    </xf>
    <xf numFmtId="191" fontId="105" fillId="0" borderId="363" applyAlignment="1" pivotButton="0" quotePrefix="0" xfId="60307">
      <alignment horizontal="right" vertical="center" wrapText="1" readingOrder="1"/>
    </xf>
    <xf numFmtId="191" fontId="105" fillId="0" borderId="364" applyAlignment="1" pivotButton="0" quotePrefix="0" xfId="60307">
      <alignment horizontal="right" vertical="center" wrapText="1" readingOrder="1"/>
    </xf>
    <xf numFmtId="0" fontId="103" fillId="42" borderId="521" applyAlignment="1" pivotButton="0" quotePrefix="0" xfId="0">
      <alignment horizontal="left" vertical="center" wrapText="1" readingOrder="1"/>
    </xf>
    <xf numFmtId="165" fontId="104" fillId="42" borderId="320" applyAlignment="1" pivotButton="0" quotePrefix="0" xfId="60307">
      <alignment horizontal="right" vertical="center" wrapText="1" readingOrder="1"/>
    </xf>
    <xf numFmtId="165" fontId="104" fillId="42" borderId="321" applyAlignment="1" pivotButton="0" quotePrefix="0" xfId="60307">
      <alignment horizontal="right" vertical="center" wrapText="1" readingOrder="1"/>
    </xf>
    <xf numFmtId="191" fontId="104" fillId="42" borderId="321" applyAlignment="1" pivotButton="0" quotePrefix="0" xfId="60307">
      <alignment horizontal="right" vertical="center" wrapText="1" readingOrder="1"/>
    </xf>
    <xf numFmtId="191" fontId="104" fillId="42" borderId="322" applyAlignment="1" pivotButton="0" quotePrefix="0" xfId="60307">
      <alignment horizontal="right" vertical="center" wrapText="1" readingOrder="1"/>
    </xf>
    <xf numFmtId="191" fontId="104" fillId="42" borderId="323" applyAlignment="1" pivotButton="0" quotePrefix="0" xfId="60307">
      <alignment horizontal="right" vertical="center" wrapText="1" readingOrder="1"/>
    </xf>
    <xf numFmtId="194" fontId="9" fillId="0" borderId="1" applyAlignment="1" pivotButton="0" quotePrefix="0" xfId="2">
      <alignment horizontal="right" vertical="center" readingOrder="1"/>
    </xf>
    <xf numFmtId="194" fontId="9" fillId="0" borderId="5" applyAlignment="1" pivotButton="0" quotePrefix="0" xfId="2">
      <alignment horizontal="right" vertical="center" readingOrder="1"/>
    </xf>
    <xf numFmtId="194" fontId="9" fillId="0" borderId="50" applyAlignment="1" pivotButton="0" quotePrefix="0" xfId="2">
      <alignment horizontal="right" vertical="center" readingOrder="1"/>
    </xf>
    <xf numFmtId="194" fontId="9" fillId="0" borderId="8" applyAlignment="1" pivotButton="0" quotePrefix="0" xfId="2">
      <alignment horizontal="right" vertical="center" readingOrder="1"/>
    </xf>
    <xf numFmtId="194" fontId="9" fillId="0" borderId="2" applyAlignment="1" pivotButton="0" quotePrefix="0" xfId="2">
      <alignment horizontal="right" vertical="center" readingOrder="1"/>
    </xf>
    <xf numFmtId="194" fontId="9" fillId="0" borderId="23" applyAlignment="1" pivotButton="0" quotePrefix="0" xfId="2">
      <alignment horizontal="right" vertical="center" readingOrder="1"/>
    </xf>
    <xf numFmtId="194" fontId="9" fillId="0" borderId="75" applyAlignment="1" pivotButton="0" quotePrefix="0" xfId="2">
      <alignment horizontal="right" vertical="center" readingOrder="1"/>
    </xf>
    <xf numFmtId="194" fontId="9" fillId="0" borderId="81" applyAlignment="1" pivotButton="0" quotePrefix="0" xfId="2">
      <alignment horizontal="right" vertical="center" readingOrder="1"/>
    </xf>
    <xf numFmtId="194" fontId="9" fillId="0" borderId="22" applyAlignment="1" pivotButton="0" quotePrefix="0" xfId="2">
      <alignment horizontal="right" vertical="center" readingOrder="1"/>
    </xf>
    <xf numFmtId="194" fontId="6" fillId="0" borderId="21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horizontal="right" vertical="center" readingOrder="1"/>
    </xf>
    <xf numFmtId="194" fontId="9" fillId="0" borderId="76" applyAlignment="1" pivotButton="0" quotePrefix="0" xfId="2">
      <alignment horizontal="right" vertical="center" readingOrder="1"/>
    </xf>
    <xf numFmtId="194" fontId="9" fillId="0" borderId="82" applyAlignment="1" pivotButton="0" quotePrefix="0" xfId="2">
      <alignment horizontal="right" vertical="center" readingOrder="1"/>
    </xf>
    <xf numFmtId="194" fontId="9" fillId="0" borderId="33" applyAlignment="1" pivotButton="0" quotePrefix="0" xfId="2">
      <alignment horizontal="right" vertical="center" readingOrder="1"/>
    </xf>
    <xf numFmtId="194" fontId="6" fillId="0" borderId="69" applyAlignment="1" pivotButton="0" quotePrefix="0" xfId="2">
      <alignment horizontal="right" vertical="center" readingOrder="1"/>
    </xf>
    <xf numFmtId="194" fontId="9" fillId="0" borderId="15" applyAlignment="1" pivotButton="0" quotePrefix="0" xfId="2">
      <alignment horizontal="right" vertical="center" readingOrder="1"/>
    </xf>
    <xf numFmtId="194" fontId="9" fillId="0" borderId="41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horizontal="right" vertical="center" readingOrder="1"/>
    </xf>
    <xf numFmtId="194" fontId="6" fillId="0" borderId="16" applyAlignment="1" pivotButton="0" quotePrefix="0" xfId="2">
      <alignment horizontal="right" vertical="center" readingOrder="1"/>
    </xf>
    <xf numFmtId="194" fontId="9" fillId="0" borderId="26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vertical="center" readingOrder="1"/>
    </xf>
    <xf numFmtId="194" fontId="9" fillId="0" borderId="84" applyAlignment="1" pivotButton="0" quotePrefix="0" xfId="2">
      <alignment horizontal="right" vertical="center" readingOrder="1"/>
    </xf>
    <xf numFmtId="194" fontId="9" fillId="0" borderId="30" applyAlignment="1" pivotButton="0" quotePrefix="0" xfId="2">
      <alignment horizontal="right" vertical="center" readingOrder="1"/>
    </xf>
    <xf numFmtId="194" fontId="6" fillId="0" borderId="29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horizontal="right" vertical="center" readingOrder="1"/>
    </xf>
    <xf numFmtId="194" fontId="6" fillId="0" borderId="30" applyAlignment="1" pivotButton="0" quotePrefix="0" xfId="2">
      <alignment horizontal="right" vertical="center" readingOrder="1"/>
    </xf>
    <xf numFmtId="194" fontId="9" fillId="0" borderId="39" applyAlignment="1" pivotButton="0" quotePrefix="0" xfId="2">
      <alignment horizontal="right" vertical="center" readingOrder="1"/>
    </xf>
    <xf numFmtId="194" fontId="9" fillId="0" borderId="71" applyAlignment="1" pivotButton="0" quotePrefix="0" xfId="2">
      <alignment horizontal="right" vertical="center" readingOrder="1"/>
    </xf>
    <xf numFmtId="194" fontId="9" fillId="0" borderId="72" applyAlignment="1" pivotButton="0" quotePrefix="0" xfId="2">
      <alignment horizontal="right" vertical="center" readingOrder="1"/>
    </xf>
    <xf numFmtId="194" fontId="6" fillId="0" borderId="32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vertical="center" readingOrder="1"/>
    </xf>
    <xf numFmtId="194" fontId="9" fillId="0" borderId="76" applyAlignment="1" pivotButton="0" quotePrefix="0" xfId="2">
      <alignment vertical="center" readingOrder="1"/>
    </xf>
    <xf numFmtId="194" fontId="9" fillId="0" borderId="82" applyAlignment="1" pivotButton="0" quotePrefix="0" xfId="2">
      <alignment vertical="center" readingOrder="1"/>
    </xf>
    <xf numFmtId="194" fontId="9" fillId="0" borderId="15" applyAlignment="1" pivotButton="0" quotePrefix="0" xfId="2">
      <alignment vertical="center" readingOrder="1"/>
    </xf>
    <xf numFmtId="194" fontId="9" fillId="0" borderId="19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vertical="center" readingOrder="1"/>
    </xf>
    <xf numFmtId="194" fontId="9" fillId="0" borderId="26" applyAlignment="1" pivotButton="0" quotePrefix="0" xfId="2">
      <alignment vertical="center" readingOrder="1"/>
    </xf>
    <xf numFmtId="194" fontId="9" fillId="0" borderId="27" applyAlignment="1" pivotButton="0" quotePrefix="0" xfId="2">
      <alignment horizontal="right" vertical="center" readingOrder="1"/>
    </xf>
    <xf numFmtId="194" fontId="9" fillId="0" borderId="84" applyAlignment="1" pivotButton="0" quotePrefix="0" xfId="2">
      <alignment vertical="center" readingOrder="1"/>
    </xf>
    <xf numFmtId="194" fontId="9" fillId="0" borderId="34" applyAlignment="1" pivotButton="0" quotePrefix="0" xfId="2">
      <alignment vertical="center" readingOrder="1"/>
    </xf>
    <xf numFmtId="194" fontId="9" fillId="0" borderId="37" applyAlignment="1" pivotButton="0" quotePrefix="0" xfId="2">
      <alignment horizontal="right" vertical="center" readingOrder="1"/>
    </xf>
    <xf numFmtId="194" fontId="9" fillId="0" borderId="34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vertical="center" readingOrder="1"/>
    </xf>
    <xf numFmtId="194" fontId="9" fillId="0" borderId="36" applyAlignment="1" pivotButton="0" quotePrefix="0" xfId="2">
      <alignment horizontal="right" vertical="center" readingOrder="1"/>
    </xf>
    <xf numFmtId="194" fontId="6" fillId="0" borderId="35" applyAlignment="1" pivotButton="0" quotePrefix="0" xfId="2">
      <alignment horizontal="right" vertical="center" readingOrder="1"/>
    </xf>
    <xf numFmtId="194" fontId="9" fillId="0" borderId="78" applyAlignment="1" pivotButton="0" quotePrefix="0" xfId="2">
      <alignment horizontal="right" vertical="center" readingOrder="1"/>
    </xf>
    <xf numFmtId="194" fontId="9" fillId="0" borderId="77" applyAlignment="1" pivotButton="0" quotePrefix="0" xfId="2">
      <alignment vertical="center" readingOrder="1"/>
    </xf>
    <xf numFmtId="194" fontId="9" fillId="0" borderId="66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vertical="center" readingOrder="1"/>
    </xf>
    <xf numFmtId="194" fontId="6" fillId="0" borderId="16" applyAlignment="1" pivotButton="0" quotePrefix="0" xfId="2">
      <alignment vertical="center" readingOrder="1"/>
    </xf>
    <xf numFmtId="194" fontId="9" fillId="0" borderId="21" applyAlignment="1" pivotButton="0" quotePrefix="0" xfId="2">
      <alignment horizontal="right" vertical="center" readingOrder="1"/>
    </xf>
    <xf numFmtId="194" fontId="9" fillId="0" borderId="10" applyAlignment="1" pivotButton="0" quotePrefix="0" xfId="2">
      <alignment horizontal="right" vertical="center" readingOrder="1"/>
    </xf>
    <xf numFmtId="194" fontId="9" fillId="0" borderId="79" applyAlignment="1" pivotButton="0" quotePrefix="0" xfId="2">
      <alignment horizontal="right" vertical="center" readingOrder="1"/>
    </xf>
    <xf numFmtId="194" fontId="9" fillId="0" borderId="85" applyAlignment="1" pivotButton="0" quotePrefix="0" xfId="2">
      <alignment horizontal="right" vertical="center" readingOrder="1"/>
    </xf>
    <xf numFmtId="194" fontId="9" fillId="2" borderId="80" applyAlignment="1" pivotButton="0" quotePrefix="0" xfId="2">
      <alignment horizontal="right" vertical="center" readingOrder="1"/>
    </xf>
    <xf numFmtId="194" fontId="9" fillId="0" borderId="12" applyAlignment="1" pivotButton="0" quotePrefix="0" xfId="2">
      <alignment horizontal="right" vertical="center" readingOrder="1"/>
    </xf>
    <xf numFmtId="194" fontId="9" fillId="0" borderId="11" applyAlignment="1" pivotButton="0" quotePrefix="0" xfId="2">
      <alignment horizontal="right" vertical="center" readingOrder="1"/>
    </xf>
    <xf numFmtId="194" fontId="9" fillId="0" borderId="73" applyAlignment="1" pivotButton="0" quotePrefix="0" xfId="2">
      <alignment horizontal="right" vertical="center" readingOrder="1"/>
    </xf>
    <xf numFmtId="194" fontId="9" fillId="0" borderId="16" applyAlignment="1" pivotButton="0" quotePrefix="0" xfId="2">
      <alignment horizontal="right" vertical="center" readingOrder="1"/>
    </xf>
    <xf numFmtId="194" fontId="9" fillId="0" borderId="74" applyAlignment="1" pivotButton="0" quotePrefix="0" xfId="2">
      <alignment horizontal="right" vertical="center" readingOrder="1"/>
    </xf>
    <xf numFmtId="194" fontId="9" fillId="0" borderId="80" applyAlignment="1" pivotButton="0" quotePrefix="0" xfId="2">
      <alignment horizontal="right" vertical="center" readingOrder="1"/>
    </xf>
    <xf numFmtId="194" fontId="9" fillId="0" borderId="1" applyAlignment="1" pivotButton="0" quotePrefix="0" xfId="60307">
      <alignment horizontal="right" vertical="center" readingOrder="1"/>
    </xf>
    <xf numFmtId="194" fontId="9" fillId="0" borderId="86" applyAlignment="1" pivotButton="0" quotePrefix="0" xfId="2">
      <alignment horizontal="right" vertical="center" readingOrder="1"/>
    </xf>
    <xf numFmtId="194" fontId="10" fillId="0" borderId="4" applyAlignment="1" pivotButton="0" quotePrefix="0" xfId="2">
      <alignment horizontal="right" vertical="center" readingOrder="1"/>
    </xf>
    <xf numFmtId="194" fontId="9" fillId="0" borderId="3" applyAlignment="1" pivotButton="0" quotePrefix="0" xfId="2">
      <alignment horizontal="right" vertical="center" readingOrder="1"/>
    </xf>
  </cellXfs>
  <cellStyles count="1">
    <cellStyle name="표준" xfId="0" builtinId="0"/>
  </cellStyles>
  <dxfs count="48"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externalLink" Target="/xl/externalLinks/externalLink1.xml" Id="rId20"/><Relationship Type="http://schemas.openxmlformats.org/officeDocument/2006/relationships/externalLink" Target="/xl/externalLinks/externalLink2.xml" Id="rId21"/><Relationship Type="http://schemas.openxmlformats.org/officeDocument/2006/relationships/externalLink" Target="/xl/externalLinks/externalLink3.xml" Id="rId22"/><Relationship Type="http://schemas.openxmlformats.org/officeDocument/2006/relationships/externalLink" Target="/xl/externalLinks/externalLink4.xml" Id="rId23"/><Relationship Type="http://schemas.openxmlformats.org/officeDocument/2006/relationships/externalLink" Target="/xl/externalLinks/externalLink5.xml" Id="rId24"/><Relationship Type="http://schemas.openxmlformats.org/officeDocument/2006/relationships/externalLink" Target="/xl/externalLinks/externalLink6.xml" Id="rId25"/><Relationship Type="http://schemas.openxmlformats.org/officeDocument/2006/relationships/externalLink" Target="/xl/externalLinks/externalLink7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IJH</author>
  </authors>
  <commentList>
    <comment ref="J27" authorId="0" shapeId="0">
      <text>
        <t>IJH:
카탈리스터 
미국법인 출자금
($5,000)</t>
      </text>
    </comment>
    <comment ref="M27" authorId="0" shapeId="0">
      <text>
        <t>IJH:
에이탑유니버스
- 버추얼아이돌 육성 pjt
투자금</t>
      </text>
    </comment>
    <comment ref="V43" authorId="0" shapeId="0">
      <text>
        <t>IJH:
정기예금 3억 만기해지</t>
      </text>
    </comment>
  </commentList>
</comments>
</file>

<file path=xl/comments/comment2.xml><?xml version="1.0" encoding="utf-8"?>
<comments xmlns="http://schemas.openxmlformats.org/spreadsheetml/2006/main">
  <authors>
    <author>IJH</author>
  </authors>
  <commentList>
    <comment ref="I1" authorId="0" shapeId="0">
      <text>
        <t>IJH:
전월말일 최초매매기준율</t>
      </text>
    </comment>
  </commentList>
</comments>
</file>

<file path=xl/comments/comment3.xml><?xml version="1.0" encoding="utf-8"?>
<comments xmlns="http://schemas.openxmlformats.org/spreadsheetml/2006/main">
  <authors>
    <author>IJH</author>
  </authors>
  <commentList>
    <comment ref="L13" authorId="0" shapeId="0">
      <text>
        <t>IJH:
- 2022-23 단체상해보험료 환급금: 4.3백만
- 25년 1기 부가세 환급금 2백만</t>
      </text>
    </comment>
    <comment ref="M13" authorId="0" shapeId="0">
      <text>
        <t>IJH:
정기예금 만기해지 이자, 결산이자 등 입금: 7백만</t>
      </text>
    </comment>
    <comment ref="O13" authorId="0" shapeId="0">
      <text>
        <t>IJH:
1기 확정 부가세 환급
(+2.3백만원)</t>
      </text>
    </comment>
    <comment ref="P13" authorId="0" shapeId="0">
      <text>
        <t>IJH:
정기예금 3억원
만기해지 이자 3.6백만원</t>
      </text>
    </comment>
    <comment ref="Q13" authorId="0" shapeId="0">
      <text>
        <t>IJH:
- 24년 임직원 보험료 
정산 환급금 2.2백만
(DB손해보험)</t>
      </text>
    </comment>
    <comment ref="R13" authorId="0" shapeId="0">
      <text>
        <t>IJH:
- 25년 2기 예정 부가세 환급: 2.1백만</t>
      </text>
    </comment>
  </commentList>
</comments>
</file>

<file path=xl/comments/comment4.xml><?xml version="1.0" encoding="utf-8"?>
<comments xmlns="http://schemas.openxmlformats.org/spreadsheetml/2006/main">
  <authors>
    <author>IJH</author>
  </authors>
  <commentList>
    <comment ref="I13" authorId="0" shapeId="0">
      <text>
        <t>IJH:
25년 2기 확정 부가세 환급금 1.3백만 등</t>
      </text>
    </comment>
    <comment ref="K13" authorId="0" shapeId="0">
      <text>
        <t>IJH:
'25년도 법인세 환급금 
:15백만</t>
      </text>
    </comment>
    <comment ref="M13" authorId="0" shapeId="0">
      <text>
        <t>IJH:
- 정기예금 만기해지 이자, 결산이자 등 입금: 6.4백만</t>
      </text>
    </comment>
    <comment ref="O13" authorId="0" shapeId="0">
      <text>
        <t>IJH:
26년1기 확정 부가세 환급금 
(약 2.1백만)</t>
      </text>
    </comment>
    <comment ref="K14" authorId="0" shapeId="0">
      <text>
        <t>IJH:
에이탑유니버스
자산양수도대금 15.4백만</t>
      </text>
    </comment>
    <comment ref="L14" authorId="0" shapeId="0">
      <text>
        <t>IJH:
노후장비 판매</t>
      </text>
    </comment>
    <comment ref="J18" authorId="0" shapeId="0">
      <text>
        <t xml:space="preserve">IJH:
원천징수 환급세액 발생
약 1천만원
-&gt; 익월 납부금액과 상계
</t>
      </text>
    </comment>
    <comment ref="P23" authorId="0" shapeId="0">
      <text>
        <t>IJH:
임직원 명절 상품권 0.6백만</t>
      </text>
    </comment>
    <comment ref="I33" authorId="0" shapeId="0">
      <text>
        <t xml:space="preserve">IJH:
카탈리스터 미국법인 출자금($5,000)
</t>
      </text>
    </comment>
    <comment ref="J33" authorId="0" shapeId="0">
      <text>
        <t>IJH:
ATOP UNIVERSE
신주인수대금</t>
      </text>
    </comment>
  </commentList>
</comments>
</file>

<file path=xl/comments/comment5.xml><?xml version="1.0" encoding="utf-8"?>
<comments xmlns="http://schemas.openxmlformats.org/spreadsheetml/2006/main">
  <authors>
    <author>IJH</author>
    <author>kjy</author>
  </authors>
  <commentList>
    <comment ref="B88" authorId="0" shapeId="0">
      <text>
        <t>IJH:
fi시스템 
급여 + 기타장기종업원급여</t>
      </text>
    </comment>
    <comment ref="B92" authorId="0" shapeId="0">
      <text>
        <t>IJH:
fi시스템 - 손익계산서
= 컨텐츠제공원가 감가상각비 + 판관비 감가상각비</t>
      </text>
    </comment>
    <comment ref="B97" authorId="0" shapeId="0">
      <text>
        <t>IJH:
자동차세, 등록면허세</t>
      </text>
    </comment>
    <comment ref="BI97" authorId="1" shapeId="0">
      <text>
        <t>kjy:
미국법인 비용 420불*1350원</t>
      </text>
    </comment>
    <comment ref="B101" authorId="0" shapeId="0">
      <text>
        <t>IJH:
단체상해보험료,
법인차량 보험료</t>
      </text>
    </comment>
    <comment ref="B108" authorId="0" shapeId="0">
      <text>
        <t>IJH:
증명발급수수료(은행),
세포아서비스 수수료,
소프트웨어 사용료</t>
      </text>
    </comment>
    <comment ref="BI108" authorId="1" shapeId="0">
      <text>
        <t>kjy:
미국법인 비용 
1. 44000불*1350원, 미국법인에서 한국법인에 주는 용역비(내부거래로 제외되어서 비용 반영안함)
2. 9000불*1350원, 미국법인 매출에 대한 비용 발생</t>
      </text>
    </comment>
    <comment ref="B113" authorId="0" shapeId="0">
      <text>
        <t>IJH:
무형자산상각비
- 상표권
- sw
(감가상각결산분개)</t>
      </text>
    </comment>
    <comment ref="B120" authorId="0" shapeId="0">
      <text>
        <t>IJH:
노동력 제공의 대가
-&gt; 직원이 의무적으로 일해야 하는 기간동안 비용으로 인식함
- 추후 자본으로 전환가능성 있음
(상대계정 - 주식선택권)</t>
      </text>
    </comment>
    <comment ref="BM120" authorId="1" shapeId="0">
      <text>
        <t>kjy:
26년 5월까지 인식</t>
      </text>
    </comment>
  </commentList>
</comments>
</file>

<file path=xl/comments/comment6.xml><?xml version="1.0" encoding="utf-8"?>
<comments xmlns="http://schemas.openxmlformats.org/spreadsheetml/2006/main">
  <authors>
    <author>IJH</author>
    <author>kjy</author>
  </authors>
  <commentList>
    <comment ref="B12" authorId="0" shapeId="0">
      <text>
        <t>IJH:
용역수익 + 기타수익(컨벤션 서버비)</t>
      </text>
    </comment>
    <comment ref="BI12" authorId="0" shapeId="0">
      <text>
        <t>IJH:
금액: 180,986?
*xpla validator delegation 수익
-&gt;??</t>
      </text>
    </comment>
    <comment ref="B15" authorId="0" shapeId="0">
      <text>
        <t>IJH:
실지급 급여 + 4대보험 + 원천세</t>
      </text>
    </comment>
    <comment ref="B17" authorId="0" shapeId="0">
      <text>
        <t>IJH:
임직원 퇴직연금</t>
      </text>
    </comment>
    <comment ref="B18" authorId="0" shapeId="0">
      <text>
        <t xml:space="preserve">IJH:
법인카드대금 + 복지카드대금 + 주택자금대출 이자지원금 + 상품권 등 </t>
      </text>
    </comment>
    <comment ref="B88" authorId="0" shapeId="0">
      <text>
        <t>IJH:
fi시스템 
급여 + 기타장기종업원급여</t>
      </text>
    </comment>
    <comment ref="B92" authorId="0" shapeId="0">
      <text>
        <t>IJH:
fi시스템 - 손익계산서
= 컨텐츠제공원가 감가상각비 + 판관비 감가상각비</t>
      </text>
    </comment>
    <comment ref="AU92" authorId="0" shapeId="0">
      <text>
        <t>IJH:
기간별손익현황
- 판관비 감상 + 원가 감상</t>
      </text>
    </comment>
    <comment ref="B97" authorId="0" shapeId="0">
      <text>
        <t>IJH:
자동차세, 등록면허세,
임원 등기비용,
법인차량 과태료 등</t>
      </text>
    </comment>
    <comment ref="AW97" authorId="0" shapeId="0">
      <text>
        <t>IJH:
상호, 임원 변경등기비용</t>
      </text>
    </comment>
    <comment ref="BA97" authorId="0" shapeId="0">
      <text>
        <t>IJH:
임원 변경등기비용</t>
      </text>
    </comment>
    <comment ref="BB97" authorId="0" shapeId="0">
      <text>
        <t>IJH:
25년 주민세 사업소분</t>
      </text>
    </comment>
    <comment ref="BC97" authorId="0" shapeId="0">
      <text>
        <t>IJH:
법인차량 과태료</t>
      </text>
    </comment>
    <comment ref="BI97" authorId="1" shapeId="0">
      <text>
        <t>kjy:
미국법인 비용 420불*1350원</t>
      </text>
    </comment>
    <comment ref="B101" authorId="0" shapeId="0">
      <text>
        <t>IJH:
단체상해보험료,
법인차량 보험료
※실 출금: 1월 일시납이나,
  기간비용으로 인식</t>
      </text>
    </comment>
    <comment ref="B104" authorId="0" shapeId="0">
      <text>
        <t>IJH:
특이하게 인건비로 반영</t>
      </text>
    </comment>
    <comment ref="B108" authorId="0" shapeId="0">
      <text>
        <t>IJH:
증명발급수수료(은행),
세포아서비스 수수료,
소프트웨어 사용료</t>
      </text>
    </comment>
    <comment ref="BI108" authorId="1" shapeId="0">
      <text>
        <t>kjy:
미국법인 비용 
1. 44000불*1350원, 미국법인에서 한국법인에 주는 용역비(내부거래로 제외되어서 비용 반영안함)
2. 9000불*1350원, 미국법인 매출에 대한 비용 발생</t>
      </text>
    </comment>
    <comment ref="B113" authorId="0" shapeId="0">
      <text>
        <t>IJH:
무형자산상각비
- 상표권
- sw
(감가상각결산분개)</t>
      </text>
    </comment>
    <comment ref="B120" authorId="0" shapeId="0">
      <text>
        <t>IJH:
노동력 제공의 대가
-&gt; 직원이 의무적으로 일해야 하는 기간동안 비용으로 인식함
- 추후 자본으로 전환가능성 있음
(상대계정 - 주식선택권)</t>
      </text>
    </comment>
    <comment ref="BM120" authorId="1" shapeId="0">
      <text>
        <t>kjy:
26년 5월까지 인식</t>
      </text>
    </comment>
    <comment ref="AY164" authorId="0" shapeId="0">
      <text>
        <t>IJH:
단체상해보험료 정산금</t>
      </text>
    </comment>
    <comment ref="BD164" authorId="0" shapeId="0">
      <text>
        <t>IJH:
보험료 환급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9</col>
      <colOff>85725</colOff>
      <row>1</row>
      <rowOff>57150</rowOff>
    </from>
    <ext cx="1904762" cy="5019048"/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6943725" y="266700"/>
          <a:ext cx="1904762" cy="501904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&#50577;&#48393;&#44592;\&#44592;&#54925;-&#44608;&#52264;&#51109;\dummy.xls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&#50577;&#48393;&#44592;\&#44592;&#54925;-&#44608;&#44284;&#51109;\dummy.xls" TargetMode="External" Id="rId1"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file:///\\&#44053;&#51221;&#51060;\2003&#51221;&#51060;\&#45796;&#53328;&#45796;&#53328;\&#49900;&#49324;&#48516;&#49437;&#54217;&#44032;\2001&#45380;\200107\&#52509;&#44292;\&#47560;&#49828;&#53552;&#53596;&#54540;&#47532;&#53944;2.xls" TargetMode="External" Id="rId1"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\\&#54924;&#44228;&#54016;&#44277;&#50857;\&#54924;&#44228;&#54016;&#47928;&#49436;&#44277;\My%20Documents\dummy.xls" TargetMode="External" Id="rId1"/></Relationships>
</file>

<file path=xl/externalLinks/_rels/externalLink5.xml.rels><Relationships xmlns="http://schemas.openxmlformats.org/package/2006/relationships"><Relationship Type="http://schemas.openxmlformats.org/officeDocument/2006/relationships/externalLinkPath" Target="file:///\\&#50976;&#53468;&#50864;\&#50900;&#48372;7&#50900;\7&#50900;&#50836;&#44552;&#44288;&#47532;&#50900;&#48372;(&#45208;&#49688;&#50676;).xls" TargetMode="External" Id="rId1"/></Relationships>
</file>

<file path=xl/externalLinks/_rels/externalLink6.xml.rels><Relationships xmlns="http://schemas.openxmlformats.org/package/2006/relationships"><Relationship Type="http://schemas.openxmlformats.org/officeDocument/2006/relationships/externalLinkPath" Target="file:///\\&#49900;&#51456;&#51068;\&#44277;&#50976;\My%20Document\&#44620;&#52824;\KIECO%20Model_Updated_Sim_simulation.xls" TargetMode="External" Id="rId1"/></Relationships>
</file>

<file path=xl/externalLinks/_rels/externalLink7.xml.rels><Relationships xmlns="http://schemas.openxmlformats.org/package/2006/relationships"><Relationship Type="http://schemas.openxmlformats.org/officeDocument/2006/relationships/externalLinkPath" Target="file:///\\&#50976;&#53468;&#50864;\&#50900;&#48372;7&#50900;\&#45796;&#53328;&#45796;&#53328;\&#49900;&#49324;&#48516;&#49437;&#54217;&#44032;\2001&#45380;\200107\&#52509;&#44292;\&#47560;&#49828;&#53552;&#53596;&#54540;&#47532;&#53944;2.xls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ummy"/>
      <sheetName val="Sheet2"/>
      <sheetName val="Sheet3"/>
      <sheetName val="ST"/>
      <sheetName val="#REF"/>
      <sheetName val="Disclaimer"/>
      <sheetName val="Sheet1"/>
      <sheetName val="Actual_Source_Data"/>
      <sheetName val="Summary"/>
      <sheetName val="Actual_Kor"/>
      <sheetName val="Flash_report"/>
      <sheetName val="Budget_Kor"/>
      <sheetName val="Budget_Source"/>
      <sheetName val="Data02"/>
      <sheetName val="FX_Int"/>
      <sheetName val="Budget_US"/>
      <sheetName val="Actual_US"/>
      <sheetName val="Budget_KR"/>
      <sheetName val="Actual_KR"/>
      <sheetName val="Actual_Source"/>
      <sheetName val="Income_report"/>
      <sheetName val="Operation_report"/>
      <sheetName val="Monthly Details"/>
      <sheetName val="해외_HPS"/>
      <sheetName val="2005년"/>
      <sheetName val="Laying"/>
      <sheetName val="Rearing"/>
      <sheetName val="US Codes"/>
      <sheetName val="Inv "/>
      <sheetName val="Ref"/>
      <sheetName val="재무상태표"/>
      <sheetName val="손익계산서"/>
      <sheetName val="상품입고집계"/>
      <sheetName val="함수기준"/>
      <sheetName val="J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ummy"/>
      <sheetName val="ST"/>
      <sheetName val="#REF"/>
      <sheetName val="Disclaimer"/>
      <sheetName val="Sheet1"/>
      <sheetName val="Sheet2"/>
      <sheetName val="Sheet3"/>
      <sheetName val="회계"/>
      <sheetName val="CFO"/>
      <sheetName val="금융"/>
      <sheetName val="기획"/>
      <sheetName val="구매자재"/>
      <sheetName val="운영부문장"/>
      <sheetName val="판관비_월별"/>
      <sheetName val="Actual_Source_Data"/>
      <sheetName val="Summary"/>
      <sheetName val="Actual_Kor"/>
      <sheetName val="Flash_report"/>
      <sheetName val="Budget_Kor"/>
      <sheetName val="Budget_Source"/>
      <sheetName val="Data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#REF"/>
      <sheetName val="현금흐름표"/>
      <sheetName val="YOEMAGUM"/>
      <sheetName val="A1"/>
      <sheetName val="Adj(Actual_Summary_July)"/>
      <sheetName val="ST"/>
      <sheetName val="dummy"/>
      <sheetName val="CF_Current_Detail(July)"/>
      <sheetName val="공통"/>
      <sheetName val="상품입고집계"/>
      <sheetName val="고액조정리스트(나)"/>
      <sheetName val="US Codes"/>
      <sheetName val="복비"/>
      <sheetName val="매장리스트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청구일반(나)"/>
      <sheetName val="지사역무별청구(나)"/>
      <sheetName val="당월청구미발행리스트(나)"/>
      <sheetName val="청구건수확인(나 )"/>
      <sheetName val="SO별청구현황(나 )"/>
      <sheetName val="요금조정현황(나 )"/>
      <sheetName val="고액조정리스트(나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isclaimer"/>
      <sheetName val="assump"/>
      <sheetName val="drawdown"/>
      <sheetName val="esc"/>
      <sheetName val="output"/>
      <sheetName val="revenue"/>
      <sheetName val="fixedexp"/>
      <sheetName val="varexp"/>
      <sheetName val="debt"/>
      <sheetName val="debtmonth"/>
      <sheetName val="Syndication"/>
      <sheetName val="refina"/>
      <sheetName val="deprec"/>
      <sheetName val="reserves"/>
      <sheetName val="cash"/>
      <sheetName val="semi"/>
      <sheetName val="profit"/>
      <sheetName val="bal"/>
      <sheetName val="new invest"/>
      <sheetName val="return"/>
      <sheetName val="pri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K20"/>
  <sheetViews>
    <sheetView showGridLines="0" tabSelected="1" view="pageBreakPreview" zoomScale="145" zoomScaleNormal="100" zoomScaleSheetLayoutView="145" workbookViewId="0">
      <selection activeCell="A1" sqref="A1"/>
    </sheetView>
  </sheetViews>
  <sheetFormatPr baseColWidth="8" defaultColWidth="8.625" defaultRowHeight="13.5" outlineLevelRow="1"/>
  <cols>
    <col width="1.875" customWidth="1" style="102" min="1" max="4"/>
    <col width="20.625" customWidth="1" style="102" min="5" max="5"/>
    <col width="13" customWidth="1" style="102" min="6" max="8"/>
    <col width="74.375" customWidth="1" style="102" min="9" max="9"/>
    <col width="2.5" customWidth="1" style="102" min="10" max="10"/>
    <col width="23.5" customWidth="1" style="102" min="11" max="11"/>
    <col width="8.625" customWidth="1" style="102" min="12" max="12"/>
    <col width="9.5" bestFit="1" customWidth="1" style="102" min="13" max="13"/>
    <col width="8.625" customWidth="1" style="102" min="14" max="16384"/>
  </cols>
  <sheetData>
    <row r="1">
      <c r="A1" s="118" t="n"/>
    </row>
    <row r="3" customFormat="1" s="118">
      <c r="B3" s="118" t="inlineStr">
        <is>
          <t>1. 7월 자금수지(Flow)</t>
        </is>
      </c>
      <c r="F3" s="1838">
        <f>TEXT(ROUND(G14,1),"#,##0.0")&amp;"백만"&amp;" ("&amp; "기초 " &amp;TEXT(ROUND(G7,1),"#,###.0")&amp;"백만"&amp;" +  자금수지차 "&amp;TEXT(ROUND(G12,1),"#,###.0")&amp;"백만"&amp;IF(G3=0,""," +"&amp;" 자금조달 "&amp;ROUND(G13,1)&amp;"백만")&amp;"  = 기말 "&amp;TEXT(ROUND(G14,1),"#,##0.0")&amp;"백만)"</f>
        <v/>
      </c>
    </row>
    <row r="5" ht="14.25" customHeight="1" thickBot="1">
      <c r="I5" s="229" t="inlineStr">
        <is>
          <t>(단위 : 백만원)</t>
        </is>
      </c>
    </row>
    <row r="6">
      <c r="E6" s="376" t="inlineStr">
        <is>
          <t>구분</t>
        </is>
      </c>
      <c r="F6" s="372" t="inlineStr">
        <is>
          <t>6월(a)</t>
        </is>
      </c>
      <c r="G6" s="117" t="inlineStr">
        <is>
          <t>7월(b)</t>
        </is>
      </c>
      <c r="H6" s="116" t="inlineStr">
        <is>
          <t>b - a</t>
        </is>
      </c>
      <c r="I6" s="115" t="inlineStr">
        <is>
          <t>비고</t>
        </is>
      </c>
      <c r="K6" s="1839" t="n"/>
    </row>
    <row r="7" ht="15.6" customHeight="1">
      <c r="E7" s="377" t="inlineStr">
        <is>
          <t xml:space="preserve"> A. 기초잔고</t>
        </is>
      </c>
      <c r="F7" s="1840" t="n">
        <v>2488.757327</v>
      </c>
      <c r="G7" s="1841">
        <f>F14</f>
        <v/>
      </c>
      <c r="H7" s="1842">
        <f>G7-F7</f>
        <v/>
      </c>
      <c r="I7" s="103">
        <f>_xlfn.CONCAT("○ 기초잔고: 유동자금 ",TEXT('3p'!L6,"#,##0.0"),"백만, ","운용자금 ",TEXT('2-1'!J6,"#,##0"),"백만")</f>
        <v/>
      </c>
    </row>
    <row r="8" ht="15.6" customHeight="1">
      <c r="E8" s="1613" t="inlineStr">
        <is>
          <t xml:space="preserve"> B. 수입</t>
        </is>
      </c>
      <c r="F8" s="1843">
        <f>'3p'!I8</f>
        <v/>
      </c>
      <c r="G8" s="1844">
        <f>'3p'!L8</f>
        <v/>
      </c>
      <c r="H8" s="1845">
        <f>G8-F8</f>
        <v/>
      </c>
      <c r="I8" s="231" t="inlineStr">
        <is>
          <t>● 6월 : 정기예금 만기해지 이자 6.4백만 등</t>
        </is>
      </c>
    </row>
    <row r="9" ht="15.6" customHeight="1">
      <c r="E9" s="1846" t="n"/>
      <c r="F9" s="1847" t="n"/>
      <c r="G9" s="1848" t="n"/>
      <c r="H9" s="1849" t="n"/>
      <c r="I9" s="230" t="inlineStr">
        <is>
          <t xml:space="preserve">○ 7월 : </t>
        </is>
      </c>
    </row>
    <row r="10" ht="15.6" customHeight="1">
      <c r="E10" s="1613" t="inlineStr">
        <is>
          <t xml:space="preserve"> C. 지출</t>
        </is>
      </c>
      <c r="F10" s="1843">
        <f>'3p'!I13</f>
        <v/>
      </c>
      <c r="G10" s="1844">
        <f>'3p'!L13</f>
        <v/>
      </c>
      <c r="H10" s="1845">
        <f>G10-F10</f>
        <v/>
      </c>
      <c r="I10" s="611" t="inlineStr">
        <is>
          <t>● 6월 : 급여 15백만 등</t>
        </is>
      </c>
    </row>
    <row r="11" ht="15.6" customHeight="1">
      <c r="E11" s="1846" t="n"/>
      <c r="F11" s="1847" t="n"/>
      <c r="G11" s="1848" t="n"/>
      <c r="H11" s="1850" t="n"/>
      <c r="I11" s="230" t="inlineStr">
        <is>
          <t>○ 7월 : 급여 15백만, 부가세 납부 5.3백만 등</t>
        </is>
      </c>
    </row>
    <row r="12" ht="15.6" customHeight="1">
      <c r="E12" s="378" t="inlineStr">
        <is>
          <t xml:space="preserve"> D. 자금수지차 (=B-C)</t>
        </is>
      </c>
      <c r="F12" s="1851">
        <f>F8-F10</f>
        <v/>
      </c>
      <c r="G12" s="1852">
        <f>G8-G10</f>
        <v/>
      </c>
      <c r="H12" s="1842">
        <f>G12-F12</f>
        <v/>
      </c>
      <c r="I12" s="107" t="n"/>
    </row>
    <row r="13" outlineLevel="1" ht="15.6" customHeight="1">
      <c r="E13" s="380" t="inlineStr">
        <is>
          <t xml:space="preserve"> E. 자금조달</t>
        </is>
      </c>
      <c r="F13" s="1840">
        <f>'3p'!G45</f>
        <v/>
      </c>
      <c r="G13" s="1853">
        <f>'3p'!H45</f>
        <v/>
      </c>
      <c r="H13" s="1842">
        <f>G13-F13</f>
        <v/>
      </c>
      <c r="I13" s="105" t="n"/>
    </row>
    <row r="14" ht="14.25" customHeight="1" thickBot="1">
      <c r="E14" s="379" t="inlineStr">
        <is>
          <t xml:space="preserve"> G. 기말잔고 (=A+D+E)</t>
        </is>
      </c>
      <c r="F14" s="1854">
        <f>F7+F12+F13</f>
        <v/>
      </c>
      <c r="G14" s="1855">
        <f>IF((G7+G12+G13)='2-2'!G16,(G7+G12+G13),'2-2'!G16)</f>
        <v/>
      </c>
      <c r="H14" s="1856">
        <f>G14-F14</f>
        <v/>
      </c>
      <c r="I14" s="103">
        <f>_xlfn.CONCAT("○ 기말잔고: 유동자금 ",TEXT('3p'!L49,"#,##0.0"),"백만, ","운용자금 ",TEXT('2-1'!J12,"#,##0"),"백만")</f>
        <v/>
      </c>
    </row>
    <row r="15">
      <c r="G15" s="1857" t="n"/>
    </row>
    <row r="16">
      <c r="F16" s="1839">
        <f>'3p'!G49+2100</f>
        <v/>
      </c>
      <c r="G16" s="1839">
        <f>'3p'!L49+2100</f>
        <v/>
      </c>
    </row>
    <row r="17">
      <c r="F17" s="1858">
        <f>F16=F14</f>
        <v/>
      </c>
      <c r="G17" s="1859">
        <f>G16=G14</f>
        <v/>
      </c>
      <c r="H17" s="1857" t="n"/>
    </row>
    <row r="19">
      <c r="F19" s="1860" t="n"/>
      <c r="G19" s="1861" t="n"/>
      <c r="J19" s="1862" t="n"/>
    </row>
    <row r="20">
      <c r="F20" s="1860" t="n"/>
    </row>
  </sheetData>
  <mergeCells count="3">
    <mergeCell ref="E10:E11"/>
    <mergeCell ref="F3:I3"/>
    <mergeCell ref="E8:E9"/>
  </mergeCells>
  <conditionalFormatting sqref="F7:H14">
    <cfRule type="cellIs" priority="1" operator="equal" dxfId="0">
      <formula>0</formula>
    </cfRule>
  </conditionalFormatting>
  <pageMargins left="0.53" right="0.55" top="0.42" bottom="0.46" header="0.3149606299212598" footer="0.3149606299212598"/>
  <pageSetup orientation="landscape" paperSize="9" scale="86" fitToHeight="0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B2:G55"/>
  <sheetViews>
    <sheetView showGridLines="0" zoomScale="115" zoomScaleNormal="115" zoomScaleSheetLayoutView="110" workbookViewId="0">
      <selection activeCell="A1" sqref="A1"/>
    </sheetView>
  </sheetViews>
  <sheetFormatPr baseColWidth="8" defaultColWidth="8.625" defaultRowHeight="13.5"/>
  <cols>
    <col width="1.875" customWidth="1" style="232" min="1" max="2"/>
    <col width="26.875" customWidth="1" style="232" min="3" max="3"/>
    <col width="8.625" customWidth="1" style="232" min="4" max="6"/>
    <col width="57.625" customWidth="1" style="232" min="7" max="7"/>
    <col width="8.625" customWidth="1" style="232" min="8" max="16384"/>
  </cols>
  <sheetData>
    <row r="2">
      <c r="B2" s="118" t="inlineStr">
        <is>
          <t>2. 유동자금 계획</t>
        </is>
      </c>
    </row>
    <row r="3">
      <c r="G3" s="233" t="inlineStr">
        <is>
          <t>(단위 : 백만원, 천$)</t>
        </is>
      </c>
    </row>
    <row r="4" ht="13.35" customHeight="1">
      <c r="C4" s="1618" t="inlineStr">
        <is>
          <t xml:space="preserve"> 구분 </t>
        </is>
      </c>
      <c r="D4" s="1863" t="inlineStr">
        <is>
          <t>7월 계획</t>
        </is>
      </c>
      <c r="E4" s="1864" t="n"/>
      <c r="F4" s="1865" t="n"/>
      <c r="G4" s="1617" t="inlineStr">
        <is>
          <t>비고</t>
        </is>
      </c>
    </row>
    <row r="5">
      <c r="C5" s="1866" t="n"/>
      <c r="D5" s="1617" t="inlineStr">
        <is>
          <t>원화</t>
        </is>
      </c>
      <c r="E5" s="235" t="inlineStr">
        <is>
          <t>외화($)</t>
        </is>
      </c>
      <c r="F5" s="236" t="inlineStr">
        <is>
          <t>환산 계</t>
        </is>
      </c>
      <c r="G5" s="1867" t="n"/>
    </row>
    <row r="6" ht="13.35" customHeight="1">
      <c r="C6" s="237" t="inlineStr">
        <is>
          <t>A. 기초 유동잔고</t>
        </is>
      </c>
      <c r="D6" s="1868">
        <f>'3p'!J6</f>
        <v/>
      </c>
      <c r="E6" s="1869">
        <f>'3p'!K6/1000</f>
        <v/>
      </c>
      <c r="F6" s="1870">
        <f>'3p'!L6</f>
        <v/>
      </c>
      <c r="G6" s="239" t="n"/>
    </row>
    <row r="7" ht="13.5" customHeight="1">
      <c r="C7" s="240" t="inlineStr">
        <is>
          <t xml:space="preserve">B. 수입 </t>
        </is>
      </c>
      <c r="D7" s="1871">
        <f>'3p'!J8</f>
        <v/>
      </c>
      <c r="E7" s="1871">
        <f>'3p'!K7/1000</f>
        <v/>
      </c>
      <c r="F7" s="1872">
        <f>'3p'!L8</f>
        <v/>
      </c>
      <c r="G7" s="241" t="n"/>
    </row>
    <row r="8" ht="13.5" customHeight="1">
      <c r="C8" s="249" t="inlineStr">
        <is>
          <t>C. 지출</t>
        </is>
      </c>
      <c r="D8" s="1873">
        <f>'3p'!J13</f>
        <v/>
      </c>
      <c r="E8" s="1873">
        <f>'3p'!K13/1000</f>
        <v/>
      </c>
      <c r="F8" s="1874">
        <f>'3p'!L13</f>
        <v/>
      </c>
      <c r="G8" s="241" t="n"/>
    </row>
    <row r="9" ht="13.35" customHeight="1">
      <c r="C9" s="244" t="inlineStr">
        <is>
          <t>D. 자금수지차 (=B-C)</t>
        </is>
      </c>
      <c r="D9" s="1875">
        <f>D7-D8</f>
        <v/>
      </c>
      <c r="E9" s="1875">
        <f>E7-E8</f>
        <v/>
      </c>
      <c r="F9" s="1876">
        <f>F7-F8</f>
        <v/>
      </c>
      <c r="G9" s="243" t="n"/>
    </row>
    <row r="10" ht="14.1" customHeight="1">
      <c r="C10" s="245" t="inlineStr">
        <is>
          <t xml:space="preserve">E. 자금과부족 (=A+D) </t>
        </is>
      </c>
      <c r="D10" s="1877">
        <f>D6+D9</f>
        <v/>
      </c>
      <c r="E10" s="1877">
        <f>E6+E9</f>
        <v/>
      </c>
      <c r="F10" s="1878">
        <f>F6+F9</f>
        <v/>
      </c>
      <c r="G10" s="243" t="n"/>
    </row>
    <row r="11" ht="13.35" customHeight="1">
      <c r="C11" s="249" t="inlineStr">
        <is>
          <t>F. 운용자금 활용(해지)</t>
        </is>
      </c>
      <c r="D11" s="1879">
        <f>'3p'!L40</f>
        <v/>
      </c>
      <c r="E11" s="1879">
        <f>'3p'!K45/1000</f>
        <v/>
      </c>
      <c r="F11" s="1880">
        <f>D11</f>
        <v/>
      </c>
      <c r="G11" s="250" t="n"/>
    </row>
    <row r="12" ht="13.35" customHeight="1" thickBot="1">
      <c r="C12" s="251" t="inlineStr">
        <is>
          <t>G. 예치 전 기말 유동잔고(=E+F)</t>
        </is>
      </c>
      <c r="D12" s="1881">
        <f>D10+D11</f>
        <v/>
      </c>
      <c r="E12" s="1882">
        <f>E10+E11</f>
        <v/>
      </c>
      <c r="F12" s="1881">
        <f>F10+F11</f>
        <v/>
      </c>
      <c r="G12" s="252" t="n"/>
    </row>
    <row r="13" ht="14.1" customHeight="1" thickBot="1">
      <c r="C13" s="347" t="inlineStr">
        <is>
          <t>H. 예치 자금(=G-K)</t>
        </is>
      </c>
      <c r="D13" s="1883">
        <f>'3p'!J41</f>
        <v/>
      </c>
      <c r="E13" s="1883">
        <f>'3p'!K41/1000</f>
        <v/>
      </c>
      <c r="F13" s="1884">
        <f>'3p'!L41</f>
        <v/>
      </c>
      <c r="G13" s="253" t="n"/>
    </row>
    <row r="14" ht="13.35" customHeight="1">
      <c r="C14" s="254" t="inlineStr">
        <is>
          <t>I. 기말 유동잔고</t>
        </is>
      </c>
      <c r="D14" s="1885">
        <f>'3p'!J49</f>
        <v/>
      </c>
      <c r="E14" s="1886">
        <f>'3p'!K49/1000</f>
        <v/>
      </c>
      <c r="F14" s="1887">
        <f>'3p'!L49</f>
        <v/>
      </c>
      <c r="G14" s="256" t="n"/>
    </row>
    <row r="15">
      <c r="C15" s="242" t="n"/>
      <c r="D15" s="1888" t="n"/>
      <c r="E15" s="1888" t="n"/>
      <c r="F15" s="1888" t="n"/>
      <c r="G15" s="242" t="n"/>
    </row>
    <row r="16" hidden="1"/>
    <row r="17" hidden="1">
      <c r="C17" s="258" t="inlineStr">
        <is>
          <t xml:space="preserve"> 구분 </t>
        </is>
      </c>
      <c r="D17" s="1863" t="inlineStr">
        <is>
          <t>6월 계획</t>
        </is>
      </c>
      <c r="E17" s="1864" t="n"/>
      <c r="F17" s="1865" t="n"/>
      <c r="G17" s="1617" t="inlineStr">
        <is>
          <t>비고</t>
        </is>
      </c>
    </row>
    <row r="18" hidden="1">
      <c r="C18" s="259" t="n"/>
      <c r="D18" s="234" t="inlineStr">
        <is>
          <t>원화</t>
        </is>
      </c>
      <c r="E18" s="235" t="inlineStr">
        <is>
          <t>외화($)</t>
        </is>
      </c>
      <c r="F18" s="236" t="inlineStr">
        <is>
          <t>환산 계</t>
        </is>
      </c>
      <c r="G18" s="1867" t="n"/>
    </row>
    <row r="19" hidden="1">
      <c r="C19" s="237" t="inlineStr">
        <is>
          <t>A. 기초잔고 (1월말 실적)</t>
        </is>
      </c>
      <c r="D19" s="1889">
        <f>D6/100</f>
        <v/>
      </c>
      <c r="E19" s="1890">
        <f>E6/1000</f>
        <v/>
      </c>
      <c r="F19" s="1870">
        <f>F6/100</f>
        <v/>
      </c>
      <c r="G19" s="262" t="n"/>
    </row>
    <row r="20" hidden="1">
      <c r="C20" s="263" t="n"/>
      <c r="D20" s="1891">
        <f>#REF!/100</f>
        <v/>
      </c>
      <c r="E20" s="1892">
        <f>#REF!/1000</f>
        <v/>
      </c>
      <c r="F20" s="1893">
        <f>#REF!/100</f>
        <v/>
      </c>
      <c r="G20" s="267" t="n"/>
    </row>
    <row r="21" hidden="1">
      <c r="C21" s="268" t="n"/>
      <c r="D21" s="1894">
        <f>D7/100</f>
        <v/>
      </c>
      <c r="E21" s="1895">
        <f>E7/1000</f>
        <v/>
      </c>
      <c r="F21" s="1896">
        <f>F7/100</f>
        <v/>
      </c>
      <c r="G21" s="272" t="n"/>
    </row>
    <row r="22" hidden="1">
      <c r="C22" s="268" t="n"/>
      <c r="D22" s="1897">
        <f>#REF!/100</f>
        <v/>
      </c>
      <c r="E22" s="1898">
        <f>#REF!/1000</f>
        <v/>
      </c>
      <c r="F22" s="1899">
        <f>#REF!/100</f>
        <v/>
      </c>
      <c r="G22" s="276" t="n"/>
    </row>
    <row r="23" hidden="1">
      <c r="C23" s="268" t="n"/>
      <c r="D23" s="1900">
        <f>#REF!/100</f>
        <v/>
      </c>
      <c r="E23" s="1901">
        <f>#REF!/1000</f>
        <v/>
      </c>
      <c r="F23" s="1902">
        <f>#REF!/100</f>
        <v/>
      </c>
      <c r="G23" s="280" t="n"/>
    </row>
    <row r="24" hidden="1">
      <c r="C24" s="268" t="n"/>
      <c r="D24" s="1894">
        <f>D8/100</f>
        <v/>
      </c>
      <c r="E24" s="1895">
        <f>E8/1000</f>
        <v/>
      </c>
      <c r="F24" s="1896">
        <f>F8/100</f>
        <v/>
      </c>
      <c r="G24" s="272" t="n"/>
    </row>
    <row r="25" hidden="1">
      <c r="C25" s="268" t="n"/>
      <c r="D25" s="1903" t="n"/>
      <c r="E25" s="1904" t="n"/>
      <c r="F25" s="1905" t="n"/>
      <c r="G25" s="284" t="n"/>
    </row>
    <row r="26" hidden="1">
      <c r="C26" s="268" t="n"/>
      <c r="D26" s="1906">
        <f>#REF!/100</f>
        <v/>
      </c>
      <c r="E26" s="1907">
        <f>#REF!/1000</f>
        <v/>
      </c>
      <c r="F26" s="1908">
        <f>#REF!/100</f>
        <v/>
      </c>
      <c r="G26" s="288" t="n"/>
    </row>
    <row r="27" hidden="1">
      <c r="C27" s="289" t="n"/>
      <c r="D27" s="1897" t="n"/>
      <c r="E27" s="1898" t="n"/>
      <c r="F27" s="1899" t="n"/>
      <c r="G27" s="290" t="n"/>
    </row>
    <row r="28" hidden="1">
      <c r="C28" s="291" t="inlineStr">
        <is>
          <t xml:space="preserve">B. 자금수지차 (=a-b) </t>
        </is>
      </c>
      <c r="D28" s="1909">
        <f>D9/100</f>
        <v/>
      </c>
      <c r="E28" s="1910">
        <f>E9/1000</f>
        <v/>
      </c>
      <c r="F28" s="1911">
        <f>F9/100</f>
        <v/>
      </c>
      <c r="G28" s="280" t="n"/>
    </row>
    <row r="29" hidden="1">
      <c r="C29" s="246" t="inlineStr">
        <is>
          <t>C. 기타 입출금(=c+d)</t>
        </is>
      </c>
      <c r="D29" s="1912">
        <f>#REF!/100</f>
        <v/>
      </c>
      <c r="E29" s="1913">
        <f>#REF!/1000</f>
        <v/>
      </c>
      <c r="F29" s="1914">
        <f>#REF!/100</f>
        <v/>
      </c>
      <c r="G29" s="298" t="n"/>
    </row>
    <row r="30" hidden="1">
      <c r="C30" s="242" t="n"/>
      <c r="D30" s="1906">
        <f>D11/100</f>
        <v/>
      </c>
      <c r="E30" s="1906">
        <f>E11/100</f>
        <v/>
      </c>
      <c r="F30" s="1908">
        <f>F11/100</f>
        <v/>
      </c>
      <c r="G30" s="299" t="n"/>
    </row>
    <row r="31" hidden="1">
      <c r="C31" s="242" t="n"/>
      <c r="D31" s="1915" t="n"/>
      <c r="E31" s="1916" t="n"/>
      <c r="F31" s="1917" t="n"/>
      <c r="G31" s="284" t="n"/>
    </row>
    <row r="32" hidden="1">
      <c r="C32" s="246" t="inlineStr">
        <is>
          <t xml:space="preserve">D. 자금과부족(=A+B+C) </t>
        </is>
      </c>
      <c r="D32" s="1918">
        <f>D10/100</f>
        <v/>
      </c>
      <c r="E32" s="1919">
        <f>E10/1000</f>
        <v/>
      </c>
      <c r="F32" s="1920">
        <f>F10/100</f>
        <v/>
      </c>
      <c r="G32" s="304" t="n"/>
    </row>
    <row r="33" hidden="1">
      <c r="C33" s="305" t="inlineStr">
        <is>
          <t xml:space="preserve">E. 신규예치 가용금액 　</t>
        </is>
      </c>
      <c r="D33" s="1921">
        <f>D13/100</f>
        <v/>
      </c>
      <c r="E33" s="1922">
        <f>E13/1000</f>
        <v/>
      </c>
      <c r="F33" s="1923">
        <f>F13/100</f>
        <v/>
      </c>
      <c r="G33" s="309" t="n"/>
    </row>
    <row r="34" hidden="1">
      <c r="C34" s="254" t="inlineStr">
        <is>
          <t>F. 기말 잔고(6월말 계획=D-E)</t>
        </is>
      </c>
      <c r="D34" s="1887">
        <f>D14/100</f>
        <v/>
      </c>
      <c r="E34" s="1924">
        <f>E14/1000</f>
        <v/>
      </c>
      <c r="F34" s="1925">
        <f>F14/100</f>
        <v/>
      </c>
      <c r="G34" s="256" t="n"/>
    </row>
    <row r="35" hidden="1"/>
    <row r="36">
      <c r="G36" s="232" t="inlineStr">
        <is>
          <t>`</t>
        </is>
      </c>
    </row>
    <row r="38">
      <c r="D38" s="1926" t="n"/>
      <c r="E38" s="1927" t="n"/>
      <c r="F38" s="1926" t="n"/>
    </row>
    <row r="39" ht="13.5" customHeight="1">
      <c r="D39" s="1926" t="n"/>
      <c r="E39" s="1927" t="n"/>
      <c r="F39" s="1926" t="n"/>
    </row>
    <row r="40">
      <c r="D40" s="1926" t="n"/>
      <c r="E40" s="1927" t="n"/>
      <c r="F40" s="1926" t="n"/>
    </row>
    <row r="41">
      <c r="D41" s="1926" t="n"/>
      <c r="E41" s="1927" t="n"/>
      <c r="F41" s="1926" t="n"/>
    </row>
    <row r="42">
      <c r="D42" s="1926" t="n"/>
      <c r="E42" s="1927" t="n"/>
      <c r="F42" s="1926" t="n"/>
    </row>
    <row r="43">
      <c r="D43" s="1926" t="n"/>
      <c r="E43" s="1927" t="n"/>
      <c r="F43" s="1926" t="n"/>
    </row>
    <row r="44">
      <c r="D44" s="1926" t="n"/>
      <c r="E44" s="1927" t="n"/>
      <c r="F44" s="1926" t="n"/>
    </row>
    <row r="45">
      <c r="D45" s="1926" t="n"/>
      <c r="E45" s="1927" t="n"/>
      <c r="F45" s="1926" t="n"/>
    </row>
    <row r="46">
      <c r="D46" s="1926" t="n"/>
      <c r="E46" s="1927" t="n"/>
      <c r="F46" s="1926" t="n"/>
    </row>
    <row r="47">
      <c r="D47" s="1926" t="n"/>
      <c r="E47" s="1927" t="n"/>
      <c r="F47" s="1926" t="n"/>
    </row>
    <row r="48">
      <c r="D48" s="1926" t="n"/>
      <c r="E48" s="1927" t="n"/>
      <c r="F48" s="1926" t="n"/>
    </row>
    <row r="49">
      <c r="D49" s="1926" t="n"/>
      <c r="E49" s="1927" t="n"/>
      <c r="F49" s="1926" t="n"/>
    </row>
    <row r="50">
      <c r="D50" s="1926" t="n"/>
      <c r="E50" s="1927" t="n"/>
      <c r="F50" s="1926" t="n"/>
    </row>
    <row r="51">
      <c r="D51" s="1926" t="n"/>
      <c r="E51" s="1927" t="n"/>
      <c r="F51" s="1926" t="n"/>
    </row>
    <row r="52">
      <c r="D52" s="1926" t="n"/>
      <c r="E52" s="1927" t="n"/>
      <c r="F52" s="1926" t="n"/>
    </row>
    <row r="53">
      <c r="D53" s="1926" t="n"/>
      <c r="E53" s="1927" t="n"/>
      <c r="F53" s="1926" t="n"/>
    </row>
    <row r="54">
      <c r="D54" s="1926" t="n"/>
      <c r="E54" s="1927" t="n"/>
      <c r="F54" s="1926" t="n"/>
    </row>
    <row r="55">
      <c r="D55" s="1926" t="n"/>
      <c r="E55" s="1927" t="n"/>
      <c r="F55" s="1926" t="n"/>
    </row>
  </sheetData>
  <mergeCells count="5">
    <mergeCell ref="G17:G18"/>
    <mergeCell ref="C4:C5"/>
    <mergeCell ref="G4:G5"/>
    <mergeCell ref="D4:F4"/>
    <mergeCell ref="D17:F17"/>
  </mergeCells>
  <conditionalFormatting sqref="D6 D7:F8 D11:F11 D12 D13:F13 D14 F6 F12 F14">
    <cfRule type="cellIs" priority="1" operator="equal" dxfId="0">
      <formula>0</formula>
    </cfRule>
  </conditionalFormatting>
  <pageMargins left="0.48" right="0.41" top="0.7480314960629921" bottom="0.7480314960629921" header="0.3149606299212598" footer="0.3149606299212598"/>
  <pageSetup orientation="landscape" paperSize="9"/>
</worksheet>
</file>

<file path=xl/worksheets/sheet3.xml><?xml version="1.0" encoding="utf-8"?>
<worksheet xmlns="http://schemas.openxmlformats.org/spreadsheetml/2006/main">
  <sheetPr>
    <outlinePr summaryBelow="1" summaryRight="1"/>
    <pageSetUpPr fitToPage="1"/>
  </sheetPr>
  <dimension ref="B2:K54"/>
  <sheetViews>
    <sheetView showGridLines="0" zoomScale="115" zoomScaleNormal="115" zoomScaleSheetLayoutView="110" workbookViewId="0">
      <selection activeCell="A1" sqref="A1"/>
    </sheetView>
  </sheetViews>
  <sheetFormatPr baseColWidth="8" defaultColWidth="8.625" defaultRowHeight="13.5"/>
  <cols>
    <col width="1.875" customWidth="1" style="232" min="1" max="2"/>
    <col width="21" customWidth="1" style="232" min="3" max="3"/>
    <col width="8.625" customWidth="1" style="232" min="4" max="4"/>
    <col width="11.125" customWidth="1" style="232" min="5" max="10"/>
    <col width="8.625" customWidth="1" style="232" min="11" max="16384"/>
  </cols>
  <sheetData>
    <row r="2">
      <c r="B2" s="118" t="inlineStr">
        <is>
          <t>2. 운용자금 계획</t>
        </is>
      </c>
    </row>
    <row r="3" ht="14.25" customHeight="1" thickBot="1">
      <c r="G3" s="233" t="n"/>
      <c r="K3" s="233" t="inlineStr">
        <is>
          <t>(단위 : 백만원, 천$)</t>
        </is>
      </c>
    </row>
    <row r="4" ht="13.5" customHeight="1">
      <c r="C4" s="1928" t="inlineStr">
        <is>
          <t>구분</t>
        </is>
      </c>
      <c r="D4" s="1929" t="n"/>
      <c r="E4" s="1634" t="inlineStr">
        <is>
          <t>6월 실적</t>
        </is>
      </c>
      <c r="F4" s="1864" t="n"/>
      <c r="G4" s="1864" t="n"/>
      <c r="H4" s="1930" t="inlineStr">
        <is>
          <t>7월 계획</t>
        </is>
      </c>
      <c r="I4" s="1931" t="n"/>
      <c r="J4" s="1932" t="n"/>
      <c r="K4" s="1933" t="inlineStr">
        <is>
          <t>비고</t>
        </is>
      </c>
    </row>
    <row r="5" ht="13.5" customHeight="1">
      <c r="C5" s="1866" t="n"/>
      <c r="D5" s="1934" t="n"/>
      <c r="E5" s="328" t="inlineStr">
        <is>
          <t>원화</t>
        </is>
      </c>
      <c r="F5" s="329" t="inlineStr">
        <is>
          <t>외화($)</t>
        </is>
      </c>
      <c r="G5" s="342" t="inlineStr">
        <is>
          <t>환산 계</t>
        </is>
      </c>
      <c r="H5" s="331" t="inlineStr">
        <is>
          <t>원화</t>
        </is>
      </c>
      <c r="I5" s="329" t="inlineStr">
        <is>
          <t>외화($)</t>
        </is>
      </c>
      <c r="J5" s="330" t="inlineStr">
        <is>
          <t>환산 계</t>
        </is>
      </c>
      <c r="K5" s="1935" t="n"/>
    </row>
    <row r="6" ht="13.5" customHeight="1">
      <c r="C6" s="1626" t="inlineStr">
        <is>
          <t>A. 기초자금</t>
        </is>
      </c>
      <c r="D6" s="1865" t="n"/>
      <c r="E6" s="1936" t="n">
        <v>2400</v>
      </c>
      <c r="F6" s="1937" t="n">
        <v>0</v>
      </c>
      <c r="G6" s="1938">
        <f>E6+F6*'6월데이터'!$I$1</f>
        <v/>
      </c>
      <c r="H6" s="1939">
        <f>E12</f>
        <v/>
      </c>
      <c r="I6" s="1937" t="n">
        <v>0</v>
      </c>
      <c r="J6" s="1940">
        <f>G12</f>
        <v/>
      </c>
      <c r="K6" s="332" t="n"/>
    </row>
    <row r="7" ht="13.5" customHeight="1">
      <c r="C7" s="1626" t="inlineStr">
        <is>
          <t>B. 해지(감소)</t>
        </is>
      </c>
      <c r="D7" s="1865" t="n"/>
      <c r="E7" s="1936">
        <f>'3p'!G40</f>
        <v/>
      </c>
      <c r="F7" s="1937">
        <f>'3p'!H40</f>
        <v/>
      </c>
      <c r="G7" s="1938">
        <f>'3p'!I40</f>
        <v/>
      </c>
      <c r="H7" s="1939">
        <f>'3p'!J40</f>
        <v/>
      </c>
      <c r="I7" s="1937">
        <f>'3p'!K40</f>
        <v/>
      </c>
      <c r="J7" s="1940">
        <f>'3p'!L40</f>
        <v/>
      </c>
      <c r="K7" s="333" t="inlineStr">
        <is>
          <t xml:space="preserve"> </t>
        </is>
      </c>
    </row>
    <row r="8" ht="13.5" customHeight="1">
      <c r="C8" s="1627" t="inlineStr">
        <is>
          <t>C. 금융기관예치</t>
        </is>
      </c>
      <c r="D8" s="1941" t="n"/>
      <c r="E8" s="1942">
        <f>IF(SUM(E9:E10)='3p'!G41,'3p'!G41,"불일치")</f>
        <v/>
      </c>
      <c r="F8" s="1943">
        <f>IF(SUM(F9:F10)='3p'!H41,'3p'!H41,"불일치")</f>
        <v/>
      </c>
      <c r="G8" s="1942">
        <f>SUM(G9:G10)</f>
        <v/>
      </c>
      <c r="H8" s="1944">
        <f>SUM(H9:H10)</f>
        <v/>
      </c>
      <c r="I8" s="1943">
        <f>SUM(I9:I10)</f>
        <v/>
      </c>
      <c r="J8" s="1945">
        <f>SUM(J9:J10)</f>
        <v/>
      </c>
      <c r="K8" s="334" t="inlineStr">
        <is>
          <t xml:space="preserve">　　</t>
        </is>
      </c>
    </row>
    <row r="9" ht="13.35" customHeight="1">
      <c r="C9" s="335" t="n"/>
      <c r="D9" s="336" t="inlineStr">
        <is>
          <t>재예치</t>
        </is>
      </c>
      <c r="E9" s="1946" t="n">
        <v>0</v>
      </c>
      <c r="F9" s="1947" t="n">
        <v>0</v>
      </c>
      <c r="G9" s="1948">
        <f>E9</f>
        <v/>
      </c>
      <c r="H9" s="1949" t="n"/>
      <c r="I9" s="1947" t="n">
        <v>0</v>
      </c>
      <c r="J9" s="1950">
        <f>'3p'!L41</f>
        <v/>
      </c>
      <c r="K9" s="337" t="n"/>
    </row>
    <row r="10" ht="13.35" customHeight="1">
      <c r="C10" s="338" t="n"/>
      <c r="D10" s="341" t="inlineStr">
        <is>
          <t>신규예치</t>
        </is>
      </c>
      <c r="E10" s="1951" t="n">
        <v>0</v>
      </c>
      <c r="F10" s="1952">
        <f>'3p'!H41/100</f>
        <v/>
      </c>
      <c r="G10" s="1953">
        <f>E10</f>
        <v/>
      </c>
      <c r="H10" s="1954" t="n">
        <v>0</v>
      </c>
      <c r="I10" s="1952">
        <f>'3p'!K41/100</f>
        <v/>
      </c>
      <c r="J10" s="1955">
        <f>0</f>
        <v/>
      </c>
      <c r="K10" s="339" t="n"/>
    </row>
    <row r="11" ht="13.5" customHeight="1">
      <c r="C11" s="1629" t="inlineStr">
        <is>
          <t>D. 운용자금 증감 (=C-B)</t>
        </is>
      </c>
      <c r="D11" s="1865" t="n"/>
      <c r="E11" s="1956">
        <f>E8-E7</f>
        <v/>
      </c>
      <c r="F11" s="1957">
        <f>F8-F7</f>
        <v/>
      </c>
      <c r="G11" s="1958">
        <f>G8-G7</f>
        <v/>
      </c>
      <c r="H11" s="1959">
        <f>H8-H7</f>
        <v/>
      </c>
      <c r="I11" s="1957">
        <f>I8-I7</f>
        <v/>
      </c>
      <c r="J11" s="1960">
        <f>J8-J7</f>
        <v/>
      </c>
      <c r="K11" s="1961" t="n"/>
    </row>
    <row r="12" ht="13.5" customHeight="1" thickBot="1">
      <c r="C12" s="1626" t="inlineStr">
        <is>
          <t>E. 기말자금 (=A+D)</t>
        </is>
      </c>
      <c r="D12" s="1865" t="n"/>
      <c r="E12" s="1936">
        <f>E6+E11</f>
        <v/>
      </c>
      <c r="F12" s="1962">
        <f>F6+F11</f>
        <v/>
      </c>
      <c r="G12" s="1938">
        <f>G6+G11</f>
        <v/>
      </c>
      <c r="H12" s="1963">
        <f>H6+H11</f>
        <v/>
      </c>
      <c r="I12" s="1964">
        <f>I6+I11</f>
        <v/>
      </c>
      <c r="J12" s="1965">
        <f>J6+J11</f>
        <v/>
      </c>
      <c r="K12" s="340" t="n"/>
    </row>
    <row r="13" ht="13.35" customHeight="1">
      <c r="C13" s="321" t="n"/>
      <c r="D13" s="1888" t="n"/>
      <c r="E13" s="1888" t="n"/>
      <c r="F13" s="1888" t="n"/>
      <c r="G13" s="242" t="n"/>
    </row>
    <row r="14">
      <c r="C14" s="242" t="n"/>
      <c r="D14" s="1888" t="n"/>
      <c r="E14" s="1888" t="n"/>
      <c r="F14" s="1888" t="n"/>
      <c r="G14" s="242" t="n"/>
    </row>
    <row r="15" hidden="1"/>
    <row r="16" hidden="1">
      <c r="C16" s="321" t="n"/>
      <c r="D16" s="1624" t="n"/>
      <c r="G16" s="1624" t="n"/>
    </row>
    <row r="17" hidden="1">
      <c r="C17" s="321" t="n"/>
      <c r="D17" s="1624" t="n"/>
      <c r="E17" s="1624" t="n"/>
      <c r="F17" s="1624" t="n"/>
    </row>
    <row r="18" hidden="1">
      <c r="C18" s="321" t="n"/>
      <c r="D18" s="1966" t="n"/>
      <c r="E18" s="1966" t="n"/>
      <c r="F18" s="1966" t="n"/>
      <c r="G18" s="323" t="n"/>
    </row>
    <row r="19" hidden="1">
      <c r="C19" s="323" t="n"/>
      <c r="D19" s="1966" t="n"/>
      <c r="E19" s="1966" t="n"/>
      <c r="F19" s="1966" t="n"/>
      <c r="G19" s="323" t="n"/>
    </row>
    <row r="20" hidden="1">
      <c r="C20" s="323" t="n"/>
      <c r="D20" s="1967" t="n"/>
      <c r="E20" s="1967" t="n"/>
      <c r="F20" s="1967" t="n"/>
      <c r="G20" s="242" t="n"/>
    </row>
    <row r="21" hidden="1">
      <c r="C21" s="323" t="n"/>
      <c r="D21" s="1967" t="n"/>
      <c r="E21" s="1967" t="n"/>
      <c r="F21" s="1967" t="n"/>
      <c r="G21" s="323" t="n"/>
    </row>
    <row r="22" hidden="1">
      <c r="C22" s="323" t="n"/>
      <c r="D22" s="1967" t="n"/>
      <c r="E22" s="1967" t="n"/>
      <c r="F22" s="1967" t="n"/>
      <c r="G22" s="323" t="n"/>
    </row>
    <row r="23" hidden="1">
      <c r="C23" s="323" t="n"/>
      <c r="D23" s="1967" t="n"/>
      <c r="E23" s="1967" t="n"/>
      <c r="F23" s="1967" t="n"/>
      <c r="G23" s="242" t="n"/>
    </row>
    <row r="24" hidden="1">
      <c r="C24" s="323" t="n"/>
      <c r="D24" s="1967" t="n"/>
      <c r="E24" s="1967" t="n"/>
      <c r="F24" s="1967" t="n"/>
      <c r="G24" s="242" t="n"/>
    </row>
    <row r="25" hidden="1">
      <c r="C25" s="323" t="n"/>
      <c r="D25" s="1967" t="n"/>
      <c r="E25" s="1967" t="n"/>
      <c r="F25" s="1967" t="n"/>
      <c r="G25" s="242" t="n"/>
    </row>
    <row r="26" hidden="1">
      <c r="C26" s="323" t="n"/>
      <c r="D26" s="1967" t="n"/>
      <c r="E26" s="1967" t="n"/>
      <c r="F26" s="1967" t="n"/>
      <c r="G26" s="242" t="n"/>
    </row>
    <row r="27" hidden="1">
      <c r="C27" s="321" t="n"/>
      <c r="D27" s="1966" t="n"/>
      <c r="E27" s="1966" t="n"/>
      <c r="F27" s="1966" t="n"/>
      <c r="G27" s="323" t="n"/>
    </row>
    <row r="28" hidden="1">
      <c r="C28" s="321" t="n"/>
      <c r="D28" s="1966" t="n"/>
      <c r="E28" s="1966" t="n"/>
      <c r="F28" s="1966" t="n"/>
      <c r="G28" s="323" t="n"/>
    </row>
    <row r="29" hidden="1">
      <c r="C29" s="242" t="n"/>
      <c r="D29" s="1967" t="n"/>
      <c r="E29" s="1967" t="n"/>
      <c r="F29" s="1967" t="n"/>
      <c r="G29" s="323" t="n"/>
    </row>
    <row r="30" hidden="1">
      <c r="C30" s="242" t="n"/>
      <c r="D30" s="1888" t="n"/>
      <c r="E30" s="1968" t="n"/>
      <c r="F30" s="1888" t="n"/>
      <c r="G30" s="242" t="n"/>
    </row>
    <row r="31" hidden="1">
      <c r="C31" s="321" t="n"/>
      <c r="D31" s="1966" t="n"/>
      <c r="E31" s="1966" t="n"/>
      <c r="F31" s="1966" t="n"/>
      <c r="G31" s="323" t="n"/>
    </row>
    <row r="32" hidden="1">
      <c r="C32" s="321" t="n"/>
      <c r="D32" s="1968" t="n"/>
      <c r="E32" s="1966" t="n"/>
      <c r="F32" s="1966" t="n"/>
      <c r="G32" s="242" t="n"/>
    </row>
    <row r="33" hidden="1">
      <c r="C33" s="321" t="n"/>
      <c r="D33" s="1966" t="n"/>
      <c r="E33" s="1966" t="n"/>
      <c r="F33" s="1966" t="n"/>
      <c r="G33" s="242" t="n"/>
    </row>
    <row r="34" hidden="1"/>
    <row r="37">
      <c r="D37" s="1926" t="n"/>
      <c r="E37" s="1927" t="n"/>
      <c r="F37" s="1926" t="n"/>
    </row>
    <row r="38" ht="13.5" customHeight="1">
      <c r="D38" s="1926" t="n"/>
      <c r="E38" s="1927" t="n"/>
      <c r="F38" s="1926" t="n"/>
    </row>
    <row r="39">
      <c r="D39" s="1926" t="n"/>
      <c r="E39" s="1927" t="n"/>
      <c r="F39" s="1926" t="n"/>
    </row>
    <row r="40">
      <c r="D40" s="1926" t="n"/>
      <c r="E40" s="1927" t="n"/>
      <c r="F40" s="1926" t="n"/>
    </row>
    <row r="41">
      <c r="D41" s="1926" t="n"/>
      <c r="E41" s="1927" t="n"/>
      <c r="F41" s="1926" t="n"/>
    </row>
    <row r="42">
      <c r="D42" s="1926" t="n"/>
      <c r="E42" s="1927" t="n"/>
      <c r="F42" s="1926" t="n"/>
    </row>
    <row r="43">
      <c r="D43" s="1926" t="n"/>
      <c r="E43" s="1927" t="n"/>
      <c r="F43" s="1926" t="n"/>
    </row>
    <row r="44">
      <c r="D44" s="1926" t="n"/>
      <c r="E44" s="1927" t="n"/>
      <c r="F44" s="1926" t="n"/>
    </row>
    <row r="45">
      <c r="D45" s="1926" t="n"/>
      <c r="E45" s="1927" t="n"/>
      <c r="F45" s="1926" t="n"/>
    </row>
    <row r="46">
      <c r="D46" s="1926" t="n"/>
      <c r="E46" s="1927" t="n"/>
      <c r="F46" s="1926" t="n"/>
    </row>
    <row r="47">
      <c r="D47" s="1926" t="n"/>
      <c r="E47" s="1927" t="n"/>
      <c r="F47" s="1926" t="n"/>
    </row>
    <row r="48">
      <c r="D48" s="1926" t="n"/>
      <c r="E48" s="1927" t="n"/>
      <c r="F48" s="1926" t="n"/>
    </row>
    <row r="49">
      <c r="D49" s="1926" t="n"/>
      <c r="E49" s="1927" t="n"/>
      <c r="F49" s="1926" t="n"/>
    </row>
    <row r="50">
      <c r="D50" s="1926" t="n"/>
      <c r="E50" s="1927" t="n"/>
      <c r="F50" s="1926" t="n"/>
    </row>
    <row r="51">
      <c r="D51" s="1926" t="n"/>
      <c r="E51" s="1927" t="n"/>
      <c r="F51" s="1926" t="n"/>
    </row>
    <row r="52">
      <c r="D52" s="1926" t="n"/>
      <c r="E52" s="1927" t="n"/>
      <c r="F52" s="1926" t="n"/>
    </row>
    <row r="53">
      <c r="D53" s="1926" t="n"/>
      <c r="E53" s="1927" t="n"/>
      <c r="F53" s="1926" t="n"/>
    </row>
    <row r="54">
      <c r="D54" s="1926" t="n"/>
      <c r="E54" s="1927" t="n"/>
      <c r="F54" s="1926" t="n"/>
    </row>
  </sheetData>
  <mergeCells count="11">
    <mergeCell ref="C12:D12"/>
    <mergeCell ref="C4:D5"/>
    <mergeCell ref="C6:D6"/>
    <mergeCell ref="C7:D7"/>
    <mergeCell ref="C11:D11"/>
    <mergeCell ref="H4:J4"/>
    <mergeCell ref="K4:K5"/>
    <mergeCell ref="E4:G4"/>
    <mergeCell ref="G16:G17"/>
    <mergeCell ref="D16:F16"/>
    <mergeCell ref="C8:D8"/>
  </mergeCells>
  <conditionalFormatting sqref="D13:F13">
    <cfRule type="cellIs" priority="4" operator="equal" dxfId="0">
      <formula>0</formula>
    </cfRule>
  </conditionalFormatting>
  <pageMargins left="0.48" right="0.41" top="0.7480314960629921" bottom="0.7480314960629921" header="0.3149606299212598" footer="0.3149606299212598"/>
  <pageSetup orientation="landscape" paperSize="9" fitToHeight="0"/>
</worksheet>
</file>

<file path=xl/worksheets/sheet4.xml><?xml version="1.0" encoding="utf-8"?>
<worksheet xmlns="http://schemas.openxmlformats.org/spreadsheetml/2006/main">
  <sheetPr>
    <outlinePr summaryBelow="1" summaryRight="1"/>
    <pageSetUpPr fitToPage="1"/>
  </sheetPr>
  <dimension ref="B3:K25"/>
  <sheetViews>
    <sheetView showGridLines="0" zoomScale="160" zoomScaleNormal="160" zoomScaleSheetLayoutView="110" workbookViewId="0">
      <selection activeCell="A1" sqref="A1"/>
    </sheetView>
  </sheetViews>
  <sheetFormatPr baseColWidth="8" defaultColWidth="8.625" defaultRowHeight="13.5"/>
  <cols>
    <col width="1.875" customWidth="1" style="119" min="1" max="3"/>
    <col width="10.125" customWidth="1" style="119" min="4" max="4"/>
    <col width="10" bestFit="1" customWidth="1" style="119" min="5" max="6"/>
    <col width="8.625" customWidth="1" style="119" min="7" max="8"/>
    <col width="73.875" customWidth="1" style="119" min="9" max="9"/>
    <col width="8.625" customWidth="1" style="119" min="10" max="10"/>
    <col outlineLevel="1" width="8.625" customWidth="1" style="119" min="11" max="11"/>
    <col width="8.625" customWidth="1" style="119" min="12" max="16384"/>
  </cols>
  <sheetData>
    <row r="3">
      <c r="B3" s="152" t="inlineStr">
        <is>
          <t>4. 7월 말 자금(stock) :</t>
        </is>
      </c>
      <c r="F3" s="150">
        <f>TEXT(ROUND(G14,1),"#,##0.0")&amp;"백만 (전월 대비 "&amp;ROUND(H16,1)&amp;"백만) = 유동자금 "&amp;ROUND(G10,1)&amp;"백만 ("&amp;TEXT(ROUND(H10,1),"+#,##0.0;-#,##0.0;0")&amp;"백만) + 운용자금 "&amp;TEXT(ROUND(G13,1),"#,##0")&amp;"백만 ("&amp;TEXT(ROUND(H13,1),"+#,##0;-#,##0;0")&amp;"백만)"</f>
        <v/>
      </c>
      <c r="G3" s="150" t="n"/>
      <c r="H3" s="150" t="n"/>
      <c r="I3" s="150" t="n"/>
    </row>
    <row r="4" ht="14.25" customHeight="1" thickBot="1">
      <c r="I4" s="149" t="inlineStr">
        <is>
          <t>(단위 : 백만원, 천$)</t>
        </is>
      </c>
    </row>
    <row r="5">
      <c r="D5" s="1640" t="inlineStr">
        <is>
          <t>구분</t>
        </is>
      </c>
      <c r="E5" s="1865" t="n"/>
      <c r="F5" s="148" t="inlineStr">
        <is>
          <t>6월(a)</t>
        </is>
      </c>
      <c r="G5" s="147" t="inlineStr">
        <is>
          <t>7월(b)</t>
        </is>
      </c>
      <c r="H5" s="146" t="inlineStr">
        <is>
          <t>b – a</t>
        </is>
      </c>
      <c r="I5" s="145" t="inlineStr">
        <is>
          <t>비고</t>
        </is>
      </c>
    </row>
    <row r="6">
      <c r="D6" s="135" t="inlineStr">
        <is>
          <t>A. 유동자금</t>
        </is>
      </c>
      <c r="E6" s="144" t="inlineStr">
        <is>
          <t>원화</t>
        </is>
      </c>
      <c r="F6" s="1969">
        <f>'3p'!G49</f>
        <v/>
      </c>
      <c r="G6" s="1970">
        <f>'3p'!J49</f>
        <v/>
      </c>
      <c r="H6" s="1971">
        <f>ROUND(G6-F6,2)</f>
        <v/>
      </c>
      <c r="I6" s="987">
        <f>K6</f>
        <v/>
      </c>
      <c r="K6" s="119">
        <f>_xlfn.CONCAT(" ① 원화 : ",TEXT(H6, "+#,##0.0;-#,##0.0;0"),"백만"," (= 수지차",TEXT('3p'!J7, "+#,##0.0;-#,##0.0;0"),"백만 ","+ 운용자금 만기해지 +",'3p'!J40,"백만)")</f>
        <v/>
      </c>
    </row>
    <row r="7">
      <c r="D7" s="134" t="n"/>
      <c r="E7" s="138" t="inlineStr">
        <is>
          <t>외화($)</t>
        </is>
      </c>
      <c r="F7" s="1972">
        <f>'3p'!H49/1000</f>
        <v/>
      </c>
      <c r="G7" s="1973">
        <f>'3p'!K49</f>
        <v/>
      </c>
      <c r="H7" s="1974">
        <f>G7-F7</f>
        <v/>
      </c>
      <c r="I7" s="988" t="inlineStr">
        <is>
          <t xml:space="preserve"> ② 외화 : $ -천</t>
        </is>
      </c>
    </row>
    <row r="8" hidden="1">
      <c r="D8" s="134" t="n"/>
      <c r="E8" s="141" t="n"/>
      <c r="F8" s="1975" t="n"/>
      <c r="G8" s="1976" t="n"/>
      <c r="H8" s="1977" t="n"/>
      <c r="I8" s="989" t="inlineStr">
        <is>
          <t xml:space="preserve">    · 수입 : -</t>
        </is>
      </c>
    </row>
    <row r="9" hidden="1">
      <c r="D9" s="134" t="n"/>
      <c r="E9" s="138" t="n"/>
      <c r="F9" s="1972" t="n"/>
      <c r="G9" s="1973" t="n"/>
      <c r="H9" s="1978" t="n"/>
      <c r="I9" s="988" t="inlineStr">
        <is>
          <t xml:space="preserve">    · 지출 : -</t>
        </is>
      </c>
    </row>
    <row r="10">
      <c r="D10" s="1642" t="inlineStr">
        <is>
          <t>환산 계</t>
        </is>
      </c>
      <c r="E10" s="1934" t="n"/>
      <c r="F10" s="1979">
        <f>'3p'!I49</f>
        <v/>
      </c>
      <c r="G10" s="1980">
        <f>'3p'!L49</f>
        <v/>
      </c>
      <c r="H10" s="1981">
        <f>ROUND(G10-F10,2)</f>
        <v/>
      </c>
      <c r="I10" s="990" t="n"/>
    </row>
    <row r="11">
      <c r="D11" s="135" t="inlineStr">
        <is>
          <t>B. 운용자금</t>
        </is>
      </c>
      <c r="E11" s="130" t="inlineStr">
        <is>
          <t>원화</t>
        </is>
      </c>
      <c r="F11" s="1982">
        <f>'2-1'!E12</f>
        <v/>
      </c>
      <c r="G11" s="1983">
        <f>'2-1'!H12</f>
        <v/>
      </c>
      <c r="H11" s="1984">
        <f>G11-F11</f>
        <v/>
      </c>
      <c r="I11" s="989" t="n"/>
    </row>
    <row r="12">
      <c r="D12" s="134" t="n"/>
      <c r="E12" s="126" t="inlineStr">
        <is>
          <t>외화($)</t>
        </is>
      </c>
      <c r="F12" s="1985">
        <f>'2-1'!F12</f>
        <v/>
      </c>
      <c r="G12" s="1986">
        <f>'2-1'!I12</f>
        <v/>
      </c>
      <c r="H12" s="1987">
        <f>G12-F12</f>
        <v/>
      </c>
      <c r="I12" s="991" t="n"/>
    </row>
    <row r="13">
      <c r="D13" s="1642" t="inlineStr">
        <is>
          <t>환산 계</t>
        </is>
      </c>
      <c r="E13" s="1934" t="n"/>
      <c r="F13" s="1985">
        <f>'2-1'!G12</f>
        <v/>
      </c>
      <c r="G13" s="1986">
        <f>'2-1'!J12</f>
        <v/>
      </c>
      <c r="H13" s="1987">
        <f>G13-F13</f>
        <v/>
      </c>
      <c r="I13" s="990" t="n"/>
    </row>
    <row r="14">
      <c r="D14" s="131" t="inlineStr">
        <is>
          <t>C. 기말자금</t>
        </is>
      </c>
      <c r="E14" s="130" t="inlineStr">
        <is>
          <t>원화</t>
        </is>
      </c>
      <c r="F14" s="1982">
        <f>F6+F11</f>
        <v/>
      </c>
      <c r="G14" s="1983">
        <f>G6+G11</f>
        <v/>
      </c>
      <c r="H14" s="1988">
        <f>G14-F14</f>
        <v/>
      </c>
      <c r="I14" s="992" t="n"/>
    </row>
    <row r="15">
      <c r="D15" s="127" t="inlineStr">
        <is>
          <t xml:space="preserve">   (A+B)</t>
        </is>
      </c>
      <c r="E15" s="126" t="inlineStr">
        <is>
          <t>외화($)</t>
        </is>
      </c>
      <c r="F15" s="1985">
        <f>F7+F12</f>
        <v/>
      </c>
      <c r="G15" s="1986">
        <f>G7+G12</f>
        <v/>
      </c>
      <c r="H15" s="1989">
        <f>G15-F15</f>
        <v/>
      </c>
      <c r="I15" s="993" t="n"/>
    </row>
    <row r="16" ht="14.25" customHeight="1" thickBot="1">
      <c r="D16" s="1644" t="inlineStr">
        <is>
          <t xml:space="preserve"> 　환산 계</t>
        </is>
      </c>
      <c r="E16" s="1990" t="n"/>
      <c r="F16" s="1991">
        <f>F10+F13</f>
        <v/>
      </c>
      <c r="G16" s="1992">
        <f>G10+G13</f>
        <v/>
      </c>
      <c r="H16" s="1993">
        <f>G16-F16</f>
        <v/>
      </c>
      <c r="I16" s="994" t="n"/>
    </row>
    <row r="17" hidden="1" ht="14.25" customHeight="1" thickBot="1">
      <c r="D17" s="1646" t="inlineStr">
        <is>
          <t>달러화 비율</t>
        </is>
      </c>
      <c r="E17" s="1934" t="n"/>
      <c r="F17" s="1994">
        <f>1-(F14/F16)</f>
        <v/>
      </c>
      <c r="G17" s="1995">
        <f>1-(G14/G16)</f>
        <v/>
      </c>
      <c r="H17" s="1996" t="n"/>
      <c r="I17" s="120" t="n"/>
    </row>
    <row r="24">
      <c r="D24" s="533" t="n"/>
      <c r="E24" s="533" t="n"/>
    </row>
    <row r="25">
      <c r="D25" s="533" t="n"/>
      <c r="E25" s="533" t="n"/>
      <c r="F25" s="533" t="n"/>
    </row>
  </sheetData>
  <mergeCells count="5">
    <mergeCell ref="D16:E16"/>
    <mergeCell ref="D10:E10"/>
    <mergeCell ref="D13:E13"/>
    <mergeCell ref="D5:E5"/>
    <mergeCell ref="D17:E17"/>
  </mergeCells>
  <conditionalFormatting sqref="F6:H16">
    <cfRule type="cellIs" priority="1" operator="equal" dxfId="0">
      <formula>0</formula>
    </cfRule>
  </conditionalFormatting>
  <pageMargins left="0.5511811023622047" right="0.4724409448818898" top="0.7480314960629921" bottom="0.7480314960629921" header="0.3149606299212598" footer="0.3149606299212598"/>
  <pageSetup orientation="landscape" paperSize="9" scale="98"/>
</worksheet>
</file>

<file path=xl/worksheets/sheet5.xml><?xml version="1.0" encoding="utf-8"?>
<worksheet xmlns="http://schemas.openxmlformats.org/spreadsheetml/2006/main">
  <sheetPr>
    <tabColor theme="8" tint="0.3999755851924192"/>
    <outlinePr summaryBelow="1" summaryRight="1"/>
    <pageSetUpPr fitToPage="1"/>
  </sheetPr>
  <dimension ref="A2:R57"/>
  <sheetViews>
    <sheetView showGridLines="0" view="pageBreakPreview" zoomScale="150" zoomScaleNormal="150" zoomScaleSheetLayoutView="150" workbookViewId="0">
      <selection activeCell="A1" sqref="A1"/>
    </sheetView>
  </sheetViews>
  <sheetFormatPr baseColWidth="8" defaultColWidth="8.625" defaultRowHeight="9.75" outlineLevelRow="2"/>
  <cols>
    <col width="0.625" customWidth="1" style="1" min="1" max="1"/>
    <col width="1.875" customWidth="1" style="1" min="2" max="2"/>
    <col width="1.125" customWidth="1" style="1" min="3" max="5"/>
    <col width="15.375" customWidth="1" style="1" min="6" max="6"/>
    <col width="7.125" customWidth="1" style="1" min="7" max="13"/>
    <col width="49.875" customWidth="1" style="1" min="14" max="14"/>
    <col width="3.625" customWidth="1" style="1" min="15" max="15"/>
    <col outlineLevel="1" width="8.625" customWidth="1" style="1997" min="16" max="16"/>
    <col width="10.125" bestFit="1" customWidth="1" style="1" min="17" max="17"/>
    <col width="17" bestFit="1" customWidth="1" style="1" min="18" max="18"/>
    <col width="8.875" bestFit="1" customWidth="1" style="1" min="19" max="19"/>
    <col width="8.625" customWidth="1" style="1" min="20" max="16384"/>
  </cols>
  <sheetData>
    <row r="2" ht="12" customFormat="1" customHeight="1" s="153">
      <c r="A2" s="153" t="inlineStr">
        <is>
          <t>Ⅱ. 유동자금 계획 세부 내역</t>
        </is>
      </c>
      <c r="I2" s="1998" t="n">
        <v>784638</v>
      </c>
      <c r="P2" s="1999" t="n"/>
    </row>
    <row r="3" ht="10.5" customHeight="1" thickBot="1">
      <c r="G3" s="2000" t="n"/>
      <c r="N3" s="59" t="inlineStr">
        <is>
          <t>(단위 : 백만원, 천$)</t>
        </is>
      </c>
    </row>
    <row r="4" ht="12.75" customHeight="1">
      <c r="C4" s="2001" t="inlineStr">
        <is>
          <t>구분</t>
        </is>
      </c>
      <c r="D4" s="1941" t="n"/>
      <c r="E4" s="1941" t="n"/>
      <c r="F4" s="1929" t="n"/>
      <c r="G4" s="1599" t="inlineStr">
        <is>
          <t>6월(실적)</t>
        </is>
      </c>
      <c r="H4" s="1864" t="n"/>
      <c r="I4" s="1864" t="n"/>
      <c r="J4" s="2002" t="inlineStr">
        <is>
          <t>7월(계획)</t>
        </is>
      </c>
      <c r="K4" s="1931" t="n"/>
      <c r="L4" s="1932" t="n"/>
      <c r="M4" s="54" t="inlineStr">
        <is>
          <t>b-a</t>
        </is>
      </c>
      <c r="N4" s="1599" t="inlineStr">
        <is>
          <t>비고</t>
        </is>
      </c>
      <c r="P4" s="2003" t="n"/>
    </row>
    <row r="5" ht="12.75" customHeight="1">
      <c r="C5" s="1866" t="n"/>
      <c r="D5" s="1866" t="n"/>
      <c r="E5" s="1866" t="n"/>
      <c r="F5" s="1934" t="n"/>
      <c r="G5" s="57" t="inlineStr">
        <is>
          <t>원화</t>
        </is>
      </c>
      <c r="H5" s="54" t="inlineStr">
        <is>
          <t>외화($)</t>
        </is>
      </c>
      <c r="I5" s="1607" t="inlineStr">
        <is>
          <t>환산계(a)</t>
        </is>
      </c>
      <c r="J5" s="55" t="inlineStr">
        <is>
          <t>원화</t>
        </is>
      </c>
      <c r="K5" s="54" t="inlineStr">
        <is>
          <t>외화($)</t>
        </is>
      </c>
      <c r="L5" s="53" t="inlineStr">
        <is>
          <t>환산계(b)</t>
        </is>
      </c>
      <c r="M5" s="1934" t="n"/>
      <c r="N5" s="1867" t="n"/>
    </row>
    <row r="6" ht="12.75" customHeight="1">
      <c r="C6" s="11" t="inlineStr">
        <is>
          <t>A. 기초유동잔고</t>
        </is>
      </c>
      <c r="D6" s="11" t="n"/>
      <c r="E6" s="11" t="n"/>
      <c r="F6" s="11" t="n"/>
      <c r="G6" s="2004" t="n">
        <v>88.757327</v>
      </c>
      <c r="H6" s="2005" t="n"/>
      <c r="I6" s="2004">
        <f>G6+H6*$P$4/1000</f>
        <v/>
      </c>
      <c r="J6" s="2006">
        <f>G49</f>
        <v/>
      </c>
      <c r="K6" s="2005">
        <f>H49</f>
        <v/>
      </c>
      <c r="L6" s="2007">
        <f>J6+K6*$P$4/1000</f>
        <v/>
      </c>
      <c r="M6" s="2008">
        <f>L6-I6</f>
        <v/>
      </c>
      <c r="N6" s="12" t="n"/>
      <c r="O6" s="6" t="n"/>
    </row>
    <row r="7" ht="12.75" customHeight="1">
      <c r="C7" s="30" t="inlineStr">
        <is>
          <t>B. 수지차(=수입-지출)</t>
        </is>
      </c>
      <c r="D7" s="30" t="n"/>
      <c r="E7" s="30" t="n"/>
      <c r="F7" s="29" t="n"/>
      <c r="G7" s="2009">
        <f>G8-G13</f>
        <v/>
      </c>
      <c r="H7" s="2010">
        <f>H8-H13</f>
        <v/>
      </c>
      <c r="I7" s="2009">
        <f>I8-I13</f>
        <v/>
      </c>
      <c r="J7" s="2011">
        <f>J8-J13</f>
        <v/>
      </c>
      <c r="K7" s="2010">
        <f>K8-K13</f>
        <v/>
      </c>
      <c r="L7" s="2012">
        <f>L8-L13</f>
        <v/>
      </c>
      <c r="M7" s="2013">
        <f>-(L7-I7)</f>
        <v/>
      </c>
      <c r="N7" s="28" t="n"/>
      <c r="O7" s="6" t="n"/>
    </row>
    <row r="8" ht="12.75" customHeight="1">
      <c r="C8" s="52" t="n"/>
      <c r="D8" s="26" t="inlineStr">
        <is>
          <t>수입</t>
        </is>
      </c>
      <c r="E8" s="18" t="n"/>
      <c r="F8" s="40" t="n"/>
      <c r="G8" s="2014">
        <f>SUM(G9:G12)</f>
        <v/>
      </c>
      <c r="H8" s="2015">
        <f>SUM(H9:H12)</f>
        <v/>
      </c>
      <c r="I8" s="2014">
        <f>SUM(I9:I12)</f>
        <v/>
      </c>
      <c r="J8" s="2016">
        <f>SUM(J9:J12)</f>
        <v/>
      </c>
      <c r="K8" s="2015">
        <f>SUM(K9:K12)</f>
        <v/>
      </c>
      <c r="L8" s="2017">
        <f>SUM(L9:L12)</f>
        <v/>
      </c>
      <c r="M8" s="2018">
        <f>SUM(M9:M12)</f>
        <v/>
      </c>
      <c r="N8" s="35" t="n"/>
      <c r="O8" s="6" t="n"/>
    </row>
    <row r="9" ht="12.75" customHeight="1">
      <c r="C9" s="52" t="n"/>
      <c r="D9" s="37" t="n"/>
      <c r="E9" s="26" t="inlineStr">
        <is>
          <t>매출</t>
        </is>
      </c>
      <c r="F9" s="40" t="n"/>
      <c r="G9" s="2019">
        <f>SUMIFS('6월데이터'!$E:$E,'6월데이터'!$A:$A,"외상매출금",'6월데이터'!$D:$D,"KRW")/1000000</f>
        <v/>
      </c>
      <c r="H9" s="2020">
        <f>SUMIFS('6월데이터'!$E:$E,'6월데이터'!$A:$A,"외상매출금",'6월데이터'!$D:$D,"USD")/1000</f>
        <v/>
      </c>
      <c r="I9" s="2019">
        <f>G9+H9*$P$4/1000</f>
        <v/>
      </c>
      <c r="J9" s="2021">
        <f>SUMIFS('7월데이터'!$E:$E,'7월데이터'!$A:$A,"외상매출금",'7월데이터'!$D:$D,"KRW")/1000000</f>
        <v/>
      </c>
      <c r="K9" s="2020">
        <f>SUMIFS('7월데이터'!$E:$E,'7월데이터'!$A:$A,"외상매출금",'7월데이터'!$D:$D,"USD")/1000</f>
        <v/>
      </c>
      <c r="L9" s="2022">
        <f>J9+K9*$P$4/1000</f>
        <v/>
      </c>
      <c r="M9" s="2023">
        <f>L9-I9</f>
        <v/>
      </c>
      <c r="N9" s="160" t="n"/>
      <c r="O9" s="6" t="n"/>
    </row>
    <row r="10" ht="12.75" customHeight="1">
      <c r="C10" s="52" t="n"/>
      <c r="D10" s="37" t="n"/>
      <c r="E10" s="37" t="inlineStr">
        <is>
          <t>세금환급</t>
        </is>
      </c>
      <c r="F10" s="44" t="n"/>
      <c r="G10" s="2024">
        <f>SUMIFS('6월데이터'!$E:$E,'6월데이터'!$A:$A,"세금환급",'6월데이터'!$D:$D,"KRW")/1000000</f>
        <v/>
      </c>
      <c r="H10" s="2025" t="n">
        <v>0</v>
      </c>
      <c r="I10" s="2024">
        <f>G10+H10*$P$4/1000</f>
        <v/>
      </c>
      <c r="J10" s="2026">
        <f>SUMIFS('7월데이터'!$E:$E,'7월데이터'!$A:$A,"세금환급",'7월데이터'!$D:$D,"KRW")/1000000</f>
        <v/>
      </c>
      <c r="K10" s="2025" t="n">
        <v>0</v>
      </c>
      <c r="L10" s="2027">
        <f>J10+K10*$P$4/1000</f>
        <v/>
      </c>
      <c r="M10" s="2028">
        <f>L10-I10</f>
        <v/>
      </c>
      <c r="N10" s="50" t="n"/>
      <c r="O10" s="6" t="n"/>
    </row>
    <row r="11" ht="12.75" customHeight="1">
      <c r="C11" s="52" t="n"/>
      <c r="D11" s="37" t="n"/>
      <c r="E11" s="37" t="inlineStr">
        <is>
          <t>이자수익</t>
        </is>
      </c>
      <c r="F11" s="44" t="n"/>
      <c r="G11" s="2024">
        <f>SUMIFS('6월데이터'!$E:$E,'6월데이터'!$A:$A,"이자수익",'6월데이터'!$D:$D,"KRW")/1000000</f>
        <v/>
      </c>
      <c r="H11" s="2029">
        <f>SUMIFS('6월데이터'!$E:$E,'6월데이터'!$A:$A,"이자수익",'6월데이터'!$D:$D,"USD")/1000</f>
        <v/>
      </c>
      <c r="I11" s="2024">
        <f>G11+H11*$P$4/1000</f>
        <v/>
      </c>
      <c r="J11" s="2026">
        <f>SUMIFS('7월데이터'!$E:$E,'7월데이터'!$A:$A,"이자수익",'7월데이터'!$D:$D,"KRW")/1000000</f>
        <v/>
      </c>
      <c r="K11" s="2029">
        <f>SUMIFS('7월데이터'!$E:$E,'7월데이터'!$A:$A,"이자수익",'7월데이터'!$D:$D,"USD")/1000</f>
        <v/>
      </c>
      <c r="L11" s="2030">
        <f>J11+K11*$P$4/1000</f>
        <v/>
      </c>
      <c r="M11" s="2028">
        <f>L11-I11</f>
        <v/>
      </c>
      <c r="N11" s="50" t="inlineStr">
        <is>
          <t xml:space="preserve"> ∙6월 : 정기예금 300백만 만기 해지 이자수익 6.4백만</t>
        </is>
      </c>
      <c r="O11" s="6" t="n"/>
    </row>
    <row r="12" ht="12.75" customHeight="1">
      <c r="C12" s="52" t="n"/>
      <c r="D12" s="37" t="n"/>
      <c r="E12" s="37" t="inlineStr">
        <is>
          <t>기타</t>
        </is>
      </c>
      <c r="F12" s="44" t="n"/>
      <c r="G12" s="2024">
        <f>SUMIFS('6월데이터'!$E:$E,'6월데이터'!$A:$A,"기타입금",'6월데이터'!$D:$D,"KRW")/1000000+SUMIFS('6월데이터'!$E:$E,'6월데이터'!$A:$A,"수입임대료",'6월데이터'!$D:$D,"KRW")/1000000</f>
        <v/>
      </c>
      <c r="H12" s="2031">
        <f>SUMIFS('6월데이터'!$E:$E,'6월데이터'!$A:$A,$E$12,'6월데이터'!$D:$D,"USD")/1000</f>
        <v/>
      </c>
      <c r="I12" s="2024">
        <f>G12+H12*$P$4/1000</f>
        <v/>
      </c>
      <c r="J12" s="2026">
        <f>SUMIFS('7월데이터'!$E:$E,'7월데이터'!$A:$A,"기타입금",'7월데이터'!$D:$D,"KRW")/1000000+SUMIFS('7월데이터'!$E:$E,'7월데이터'!$A:$A,"수입임대료",'7월데이터'!$D:$D,"KRW")/1000000</f>
        <v/>
      </c>
      <c r="K12" s="2031">
        <f>SUMIFS('7월데이터'!$E:$E,'7월데이터'!$A:$A,$E$12,'7월데이터'!$D:$D,"USD")/1000</f>
        <v/>
      </c>
      <c r="L12" s="2027">
        <f>J12+K12*$P$4/1000</f>
        <v/>
      </c>
      <c r="M12" s="2028">
        <f>L12-I12</f>
        <v/>
      </c>
      <c r="N12" s="50" t="n"/>
      <c r="O12" s="6" t="n"/>
    </row>
    <row r="13" ht="12.75" customHeight="1">
      <c r="C13" s="51" t="n"/>
      <c r="D13" s="26" t="inlineStr">
        <is>
          <t>지출</t>
        </is>
      </c>
      <c r="E13" s="18" t="n"/>
      <c r="F13" s="18" t="n"/>
      <c r="G13" s="2032">
        <f>SUM(G14,G19,G20,G25:G28)</f>
        <v/>
      </c>
      <c r="H13" s="2015">
        <f>SUM(H14,H19,H20,H25:H28)</f>
        <v/>
      </c>
      <c r="I13" s="2032">
        <f>SUM(I14,I19,I20,I25:I28)</f>
        <v/>
      </c>
      <c r="J13" s="2016">
        <f>SUM(J14,J19,J20,J25:J28)</f>
        <v/>
      </c>
      <c r="K13" s="2015">
        <f>SUM(K14,K19,K20,K25:K28)</f>
        <v/>
      </c>
      <c r="L13" s="2033">
        <f>SUM(L14,L19,L20,L25:L28)</f>
        <v/>
      </c>
      <c r="M13" s="2034">
        <f>L13-I13</f>
        <v/>
      </c>
      <c r="N13" s="50" t="n"/>
      <c r="O13" s="6" t="n"/>
    </row>
    <row r="14" ht="12.75" customHeight="1">
      <c r="C14" s="34" t="n"/>
      <c r="D14" s="33" t="n"/>
      <c r="E14" s="26" t="inlineStr">
        <is>
          <t>인건비</t>
        </is>
      </c>
      <c r="F14" s="40" t="n"/>
      <c r="G14" s="2035">
        <f>SUM(G15:G18)</f>
        <v/>
      </c>
      <c r="H14" s="2036">
        <f>SUM(H15:H18)</f>
        <v/>
      </c>
      <c r="I14" s="2014">
        <f>SUM(I15:I18)</f>
        <v/>
      </c>
      <c r="J14" s="2037">
        <f>SUM(J15:J18)</f>
        <v/>
      </c>
      <c r="K14" s="2036">
        <f>SUM(K15:K18)</f>
        <v/>
      </c>
      <c r="L14" s="2017">
        <f>SUM(L15:L18)</f>
        <v/>
      </c>
      <c r="M14" s="2034">
        <f>L14-I14</f>
        <v/>
      </c>
      <c r="N14" s="50" t="n"/>
      <c r="O14" s="6" t="n"/>
      <c r="Q14" s="1997" t="n"/>
    </row>
    <row r="15" outlineLevel="1" ht="12.75" customHeight="1">
      <c r="C15" s="34" t="n"/>
      <c r="D15" s="33" t="n"/>
      <c r="E15" s="37" t="n"/>
      <c r="F15" s="26" t="inlineStr">
        <is>
          <t>급여</t>
        </is>
      </c>
      <c r="G15" s="2038">
        <f>SUMIF('6월데이터'!$A:$A,"급여",'6월데이터'!$F:$F)/1000000</f>
        <v/>
      </c>
      <c r="H15" s="2039" t="n">
        <v>0</v>
      </c>
      <c r="I15" s="2019">
        <f>G15+H15*$P$4/1000</f>
        <v/>
      </c>
      <c r="J15" s="2040">
        <f>SUMIF('7월데이터'!$A:$A,"급여",'7월데이터'!$F:$F)/1000000</f>
        <v/>
      </c>
      <c r="K15" s="2039" t="n">
        <v>0</v>
      </c>
      <c r="L15" s="2022">
        <f>J15+K15*$P$4/1000</f>
        <v/>
      </c>
      <c r="M15" s="2023">
        <f>L15-I15</f>
        <v/>
      </c>
      <c r="N15" s="50" t="n"/>
      <c r="O15" s="6" t="n"/>
      <c r="Q15" s="1997" t="n"/>
    </row>
    <row r="16" outlineLevel="1" ht="12.75" customHeight="1">
      <c r="C16" s="34" t="n"/>
      <c r="D16" s="33" t="n"/>
      <c r="E16" s="37" t="n"/>
      <c r="F16" s="37" t="inlineStr">
        <is>
          <t>상여</t>
        </is>
      </c>
      <c r="G16" s="2041">
        <f>SUMIF('6월데이터'!$A:$A,"상여",'6월데이터'!$F:$F)/1000000</f>
        <v/>
      </c>
      <c r="H16" s="2042" t="n">
        <v>0</v>
      </c>
      <c r="I16" s="2024">
        <f>G16+H16*$P$4/1000</f>
        <v/>
      </c>
      <c r="J16" s="2043">
        <f>SUMIF('7월데이터'!$A:$A,"상여",'7월데이터'!$F:$F)/1000000</f>
        <v/>
      </c>
      <c r="K16" s="2042" t="n">
        <v>0</v>
      </c>
      <c r="L16" s="2027">
        <f>J16+K16*$P$4/1000</f>
        <v/>
      </c>
      <c r="M16" s="2028">
        <f>L16-I16</f>
        <v/>
      </c>
      <c r="N16" s="50" t="n"/>
      <c r="O16" s="6" t="n"/>
      <c r="P16" s="2044" t="n"/>
      <c r="Q16" s="1997" t="n"/>
    </row>
    <row r="17" outlineLevel="1" ht="12.75" customHeight="1">
      <c r="C17" s="34" t="n"/>
      <c r="D17" s="33" t="n"/>
      <c r="E17" s="37" t="n"/>
      <c r="F17" s="37" t="inlineStr">
        <is>
          <t>퇴직연금</t>
        </is>
      </c>
      <c r="G17" s="2041">
        <f>SUMIF('6월데이터'!$A:$A,"퇴직연금",'6월데이터'!$F:$F)/1000000</f>
        <v/>
      </c>
      <c r="H17" s="2042" t="n">
        <v>0</v>
      </c>
      <c r="I17" s="2024">
        <f>G17+H17*$P$4/1000</f>
        <v/>
      </c>
      <c r="J17" s="2043">
        <f>SUMIF('7월데이터'!$A:$A,"퇴직연금",'7월데이터'!$F:$F)/1000000</f>
        <v/>
      </c>
      <c r="K17" s="2042" t="n">
        <v>0</v>
      </c>
      <c r="L17" s="2027">
        <f>J17+K17*$P$4/1000</f>
        <v/>
      </c>
      <c r="M17" s="2028">
        <f>L17-I17</f>
        <v/>
      </c>
      <c r="N17" s="50" t="n"/>
      <c r="O17" s="6" t="n"/>
      <c r="Q17" s="1997" t="n"/>
    </row>
    <row r="18" outlineLevel="1" ht="12.75" customHeight="1">
      <c r="C18" s="34" t="n"/>
      <c r="D18" s="33" t="n"/>
      <c r="E18" s="42" t="n"/>
      <c r="F18" s="42" t="inlineStr">
        <is>
          <t>4대보험료</t>
        </is>
      </c>
      <c r="G18" s="2045">
        <f>SUMIF('6월데이터'!$A:$A,"4대보험",'6월데이터'!$F:$F)/1000000</f>
        <v/>
      </c>
      <c r="H18" s="2046" t="n">
        <v>0</v>
      </c>
      <c r="I18" s="2047">
        <f>G18+H18*$P$4/1000</f>
        <v/>
      </c>
      <c r="J18" s="2048">
        <f>SUMIF('7월데이터'!$A:$A,"4대보험",'7월데이터'!$F:$F)/1000000</f>
        <v/>
      </c>
      <c r="K18" s="2046" t="n">
        <v>0</v>
      </c>
      <c r="L18" s="2049">
        <f>J18+K18*$P$4/1000</f>
        <v/>
      </c>
      <c r="M18" s="2050">
        <f>L18-I18</f>
        <v/>
      </c>
      <c r="N18" s="50" t="n"/>
      <c r="O18" s="6" t="n"/>
      <c r="P18" s="2044" t="n"/>
      <c r="Q18" s="1997" t="n"/>
    </row>
    <row r="19" ht="12.75" customHeight="1">
      <c r="C19" s="34" t="n"/>
      <c r="D19" s="33" t="n"/>
      <c r="E19" s="37" t="inlineStr">
        <is>
          <t>마케팅비</t>
        </is>
      </c>
      <c r="F19" s="44" t="n"/>
      <c r="G19" s="2019">
        <f>SUMIFS('6월데이터'!$F:$F,'6월데이터'!$A:$A,"광고판촉비",'6월데이터'!$D:$D,"KRW")/1000000</f>
        <v/>
      </c>
      <c r="H19" s="2051">
        <f>SUMIFS('6월데이터'!$F:$F,'6월데이터'!$A:$A,"광고판촉비",'6월데이터'!$D:$D,"USD")/1000</f>
        <v/>
      </c>
      <c r="I19" s="2019">
        <f>G19+H19*$P$4/1000</f>
        <v/>
      </c>
      <c r="J19" s="2021">
        <f>SUMIFS('7월데이터'!$F:$F,'7월데이터'!$A:$A,"광고판촉비",'7월데이터'!$D:$D,"KRW")/1000000</f>
        <v/>
      </c>
      <c r="K19" s="2051">
        <f>SUMIFS('7월데이터'!$F:$F,'7월데이터'!$A:$A,"광고판촉비",'7월데이터'!$D:$D,"USD")/1000</f>
        <v/>
      </c>
      <c r="L19" s="2022">
        <f>J19+K19*$P$4/1000</f>
        <v/>
      </c>
      <c r="M19" s="2023">
        <f>L19-I19</f>
        <v/>
      </c>
      <c r="N19" s="2052" t="n"/>
      <c r="O19" s="6" t="n"/>
      <c r="P19" s="2044" t="n"/>
    </row>
    <row r="20" ht="12.75" customHeight="1">
      <c r="C20" s="34" t="n"/>
      <c r="D20" s="33" t="n"/>
      <c r="E20" s="37" t="inlineStr">
        <is>
          <t>제세공과금</t>
        </is>
      </c>
      <c r="F20" s="44" t="n"/>
      <c r="G20" s="2045">
        <f>SUM(G21:G24)</f>
        <v/>
      </c>
      <c r="H20" s="2053">
        <f>SUM(H21:H24)</f>
        <v/>
      </c>
      <c r="I20" s="2047">
        <f>SUM(I21:I24)</f>
        <v/>
      </c>
      <c r="J20" s="2048">
        <f>SUM(J21:J24)</f>
        <v/>
      </c>
      <c r="K20" s="2053">
        <f>SUM(K21:K24)</f>
        <v/>
      </c>
      <c r="L20" s="2049">
        <f>SUM(L21:L24)</f>
        <v/>
      </c>
      <c r="M20" s="2050">
        <f>L20-I20</f>
        <v/>
      </c>
      <c r="N20" s="48" t="n"/>
      <c r="O20" s="6" t="n"/>
    </row>
    <row r="21" outlineLevel="1" ht="12.75" customHeight="1">
      <c r="C21" s="34" t="n"/>
      <c r="D21" s="33" t="n"/>
      <c r="E21" s="37" t="n"/>
      <c r="F21" s="26" t="inlineStr">
        <is>
          <t>법인세</t>
        </is>
      </c>
      <c r="G21" s="2041">
        <f>SUMIF('6월데이터'!$A:$A,"법인세",'6월데이터'!$F:$F)/1000000</f>
        <v/>
      </c>
      <c r="H21" s="2029" t="n">
        <v>0</v>
      </c>
      <c r="I21" s="2019">
        <f>G21+H21*$P$4/1000</f>
        <v/>
      </c>
      <c r="J21" s="2043">
        <f>SUMIF('7월데이터'!$A:$A,"법인세",'7월데이터'!$F:$F)/1000000</f>
        <v/>
      </c>
      <c r="K21" s="2029" t="n">
        <v>0</v>
      </c>
      <c r="L21" s="2022">
        <f>J21+K21*$P$4/1000</f>
        <v/>
      </c>
      <c r="M21" s="2023">
        <f>L21-I21</f>
        <v/>
      </c>
      <c r="N21" s="48" t="n"/>
      <c r="O21" s="6" t="n"/>
    </row>
    <row r="22" outlineLevel="1" ht="12.75" customHeight="1">
      <c r="C22" s="34" t="n"/>
      <c r="D22" s="33" t="n"/>
      <c r="E22" s="37" t="n"/>
      <c r="F22" s="37" t="inlineStr">
        <is>
          <t>부가가치세</t>
        </is>
      </c>
      <c r="G22" s="2041">
        <f>SUMIF('6월데이터'!$A:$A,"부가가치세",'6월데이터'!$F:$F)/1000000</f>
        <v/>
      </c>
      <c r="H22" s="2029" t="n">
        <v>0</v>
      </c>
      <c r="I22" s="2024">
        <f>G22+H22*$P$4/1000</f>
        <v/>
      </c>
      <c r="J22" s="2043">
        <f>SUMIF('7월데이터'!$A:$A,"부가가치세",'7월데이터'!$F:$F)/1000000</f>
        <v/>
      </c>
      <c r="K22" s="2029" t="n">
        <v>0</v>
      </c>
      <c r="L22" s="2027">
        <f>J22+K22*$P$4/1000</f>
        <v/>
      </c>
      <c r="M22" s="2028">
        <f>L22-I22</f>
        <v/>
      </c>
      <c r="N22" s="50" t="inlineStr">
        <is>
          <t xml:space="preserve"> ∙7월 : 1기 확정 부가가치세 납부 5.3백만</t>
        </is>
      </c>
      <c r="O22" s="6" t="n"/>
    </row>
    <row r="23" outlineLevel="1" ht="12.75" customHeight="1">
      <c r="C23" s="34" t="n"/>
      <c r="D23" s="33" t="n"/>
      <c r="E23" s="37" t="n"/>
      <c r="F23" s="37" t="inlineStr">
        <is>
          <t>원천세</t>
        </is>
      </c>
      <c r="G23" s="2041">
        <f>SUMIF('6월데이터'!$A:$A,"원천세",'6월데이터'!$F:$F)/1000000</f>
        <v/>
      </c>
      <c r="H23" s="2029" t="n">
        <v>0</v>
      </c>
      <c r="I23" s="2024">
        <f>G23+H23*$P$4/1000</f>
        <v/>
      </c>
      <c r="J23" s="2043">
        <f>SUMIF('7월데이터'!$A:$A,"원천세",'7월데이터'!$F:$F)/1000000</f>
        <v/>
      </c>
      <c r="K23" s="2029" t="n">
        <v>0</v>
      </c>
      <c r="L23" s="2027">
        <f>J23+K23*$P$4/1000</f>
        <v/>
      </c>
      <c r="M23" s="2028">
        <f>L23-I23</f>
        <v/>
      </c>
      <c r="N23" s="50" t="n"/>
      <c r="O23" s="6" t="n"/>
    </row>
    <row r="24" outlineLevel="1" ht="12.75" customHeight="1">
      <c r="C24" s="34" t="n"/>
      <c r="D24" s="33" t="n"/>
      <c r="E24" s="42" t="n"/>
      <c r="F24" s="42" t="inlineStr">
        <is>
          <t>기타제세공과금</t>
        </is>
      </c>
      <c r="G24" s="2045">
        <f>SUMIF('6월데이터'!$A:$A,"기타제세공과금",'6월데이터'!$F:$F)/1000000</f>
        <v/>
      </c>
      <c r="H24" s="2054" t="n">
        <v>0</v>
      </c>
      <c r="I24" s="2047">
        <f>G24+H24*$P$4/1000</f>
        <v/>
      </c>
      <c r="J24" s="2048">
        <f>SUMIF('7월데이터'!$A:$A,"기타제세공과금",'7월데이터'!$F:$F)/1000000</f>
        <v/>
      </c>
      <c r="K24" s="2054" t="n">
        <v>0</v>
      </c>
      <c r="L24" s="2049">
        <f>J24+K24*$P$4/1000</f>
        <v/>
      </c>
      <c r="M24" s="2050">
        <f>L24-I24</f>
        <v/>
      </c>
      <c r="N24" s="48" t="n"/>
      <c r="O24" s="6" t="n"/>
    </row>
    <row r="25" ht="12.75" customHeight="1">
      <c r="C25" s="34" t="n"/>
      <c r="D25" s="33" t="n"/>
      <c r="E25" s="37" t="inlineStr">
        <is>
          <t>지급이자</t>
        </is>
      </c>
      <c r="F25" s="44" t="n"/>
      <c r="G25" s="2024">
        <f>SUMIFS('6월데이터'!$F:$F,'6월데이터'!$A:$A,E25,'6월데이터'!$D:$D,"KRW")/1000000</f>
        <v/>
      </c>
      <c r="H25" s="2029" t="n">
        <v>0</v>
      </c>
      <c r="I25" s="2024">
        <f>G25+H25*$P$4/1000</f>
        <v/>
      </c>
      <c r="J25" s="2026">
        <f>SUMIFS('7월데이터'!$F:$F,'7월데이터'!$A:$A,E25,'7월데이터'!$D:$D,"KRW")/1000000</f>
        <v/>
      </c>
      <c r="K25" s="2029" t="n">
        <v>0</v>
      </c>
      <c r="L25" s="2027">
        <f>J25+K25*$P$4/1000</f>
        <v/>
      </c>
      <c r="M25" s="2028">
        <f>L25-I25</f>
        <v/>
      </c>
      <c r="N25" s="48" t="n"/>
      <c r="O25" s="6" t="n"/>
      <c r="R25" s="2055" t="n"/>
    </row>
    <row r="26" ht="12.75" customHeight="1">
      <c r="C26" s="34" t="n"/>
      <c r="D26" s="33" t="n"/>
      <c r="E26" s="37" t="inlineStr">
        <is>
          <t>자산매입</t>
        </is>
      </c>
      <c r="F26" s="44" t="n"/>
      <c r="G26" s="2024">
        <f>SUMIFS('6월데이터'!$F:$F,'6월데이터'!$A:$A,"S/W",'6월데이터'!$D:$D,"KRW")/1000000+SUMIFS('6월데이터'!$F:$F,'6월데이터'!$A:$A,"H/W",'6월데이터'!$D:$D,"KRW")/1000000+SUMIFS('6월데이터'!$F:$F,'6월데이터'!$A:$A,"시설장치",'6월데이터'!$D:$D,"KRW")/1000000+SUMIFS('6월데이터'!$F:$F,'6월데이터'!$A:$A,"차량",'6월데이터'!$D:$D,"KRW")/1000000</f>
        <v/>
      </c>
      <c r="H26" s="2031">
        <f>SUMIFS('6월데이터'!$F:$F,'6월데이터'!$A:$A,"S/W",'6월데이터'!$D:$D,"USD")/1000+SUMIFS('6월데이터'!$F:$F,'6월데이터'!$A:$A,"H/W",'6월데이터'!$D:$D,"USD")/1000+SUMIFS('6월데이터'!$F:$F,'6월데이터'!$A:$A,"시설장치",'6월데이터'!$D:$D,"USD")/1000</f>
        <v/>
      </c>
      <c r="I26" s="2024">
        <f>G26+H26*$P$4/1000</f>
        <v/>
      </c>
      <c r="J26" s="2026">
        <f>SUMIFS('7월데이터'!$F:$F,'7월데이터'!$A:$A,"S/W",'7월데이터'!$D:$D,"KRW")/1000000+SUMIFS('7월데이터'!$F:$F,'7월데이터'!$A:$A,"H/W",'7월데이터'!$D:$D,"KRW")/1000000+SUMIFS('7월데이터'!$F:$F,'7월데이터'!$A:$A,"시설장치",'7월데이터'!$D:$D,"KRW")/1000000+SUMIFS('7월데이터'!$F:$F,'7월데이터'!$A:$A,"차량",'7월데이터'!$D:$D,"KRW")/1000000</f>
        <v/>
      </c>
      <c r="K26" s="2031">
        <f>SUMIFS('7월데이터'!$F:$F,'7월데이터'!$A:$A,"S/W",'7월데이터'!$D:$D,"USD")/1000+SUMIFS('7월데이터'!$F:$F,'7월데이터'!$A:$A,"H/W",'7월데이터'!$D:$D,"USD")/1000+SUMIFS('7월데이터'!$F:$F,'7월데이터'!$A:$A,"시설장치",'7월데이터'!$D:$D,"USD")/1000</f>
        <v/>
      </c>
      <c r="L26" s="2027">
        <f>J26+K26*$P$4/1000</f>
        <v/>
      </c>
      <c r="M26" s="2028">
        <f>L26-I26</f>
        <v/>
      </c>
      <c r="N26" s="50" t="n"/>
      <c r="O26" s="6" t="n"/>
      <c r="R26" s="2055" t="n"/>
    </row>
    <row r="27" outlineLevel="1" ht="12.75" customHeight="1">
      <c r="C27" s="34" t="n"/>
      <c r="D27" s="33" t="n"/>
      <c r="E27" s="37" t="inlineStr">
        <is>
          <t>투자금</t>
        </is>
      </c>
      <c r="F27" s="37" t="n"/>
      <c r="G27" s="2024">
        <f>SUMIF('6월데이터'!$A:$A,"투자금",'6월데이터'!$F:$F)/1000000+SUMIF('6월데이터'!$A:$A,"지분투자",'6월데이터'!$F:$F)/1000000</f>
        <v/>
      </c>
      <c r="H27" s="2031" t="n">
        <v>0</v>
      </c>
      <c r="I27" s="2041">
        <f>G27+H27*$P$4/1000</f>
        <v/>
      </c>
      <c r="J27" s="2026">
        <f>SUMIFS('7월데이터'!$F:$F,'7월데이터'!$A:$A,"투자금",'7월데이터'!$D:$D,"KRW")/1000000</f>
        <v/>
      </c>
      <c r="K27" s="2031">
        <f>SUMIFS('7월데이터'!$F:$F,'7월데이터'!$A:$A,"투자금",'7월데이터'!$D:$D,"USD")/1000</f>
        <v/>
      </c>
      <c r="L27" s="2027">
        <f>J27+K27*$P$4/1000</f>
        <v/>
      </c>
      <c r="M27" s="2028">
        <f>L27-I27</f>
        <v/>
      </c>
      <c r="N27" s="50" t="n"/>
      <c r="O27" s="6" t="n"/>
      <c r="P27" s="2056" t="n"/>
    </row>
    <row r="28" ht="12.75" customHeight="1">
      <c r="C28" s="34" t="n"/>
      <c r="D28" s="33" t="n"/>
      <c r="E28" s="37" t="inlineStr">
        <is>
          <t>기타</t>
        </is>
      </c>
      <c r="F28" s="44" t="n"/>
      <c r="G28" s="2047">
        <f>SUM(G29:G32)</f>
        <v/>
      </c>
      <c r="H28" s="2054">
        <f>SUM(H29:H32)</f>
        <v/>
      </c>
      <c r="I28" s="2047">
        <f>SUM(I29:I32)</f>
        <v/>
      </c>
      <c r="J28" s="2057">
        <f>SUM(J29:J32)</f>
        <v/>
      </c>
      <c r="K28" s="2054">
        <f>SUM(K29:K32)</f>
        <v/>
      </c>
      <c r="L28" s="2049">
        <f>SUM(L29:L32)</f>
        <v/>
      </c>
      <c r="M28" s="2050">
        <f>L28-I28</f>
        <v/>
      </c>
      <c r="N28" s="50" t="n"/>
      <c r="O28" s="6" t="n"/>
      <c r="R28" s="2058" t="n"/>
    </row>
    <row r="29" outlineLevel="1" ht="12.75" customHeight="1">
      <c r="C29" s="34" t="n"/>
      <c r="D29" s="33" t="n"/>
      <c r="E29" s="33" t="n"/>
      <c r="F29" s="26" t="inlineStr">
        <is>
          <t>전산관련지출</t>
        </is>
      </c>
      <c r="G29" s="2024">
        <f>SUMIFS('6월데이터'!$F:$F,'6월데이터'!$A:$A,"전산유지비",'6월데이터'!$D:$D,"KRW")/1000000</f>
        <v/>
      </c>
      <c r="H29" s="2031">
        <f>SUMIFS('6월데이터'!$F:$F,'6월데이터'!$A:$A,F29,'6월데이터'!$D:$D,"USD")/1000</f>
        <v/>
      </c>
      <c r="I29" s="2038">
        <f>G29+H29*$P$4/1000</f>
        <v/>
      </c>
      <c r="J29" s="2026">
        <f>SUMIFS('7월데이터'!$F:$F,'7월데이터'!$A:$A,F29,'7월데이터'!$D:$D,"KRW")/1000000</f>
        <v/>
      </c>
      <c r="K29" s="2031">
        <f>SUMIFS('7월데이터'!$F:$F,'7월데이터'!$A:$A,F29,'7월데이터'!$D:$D,"USD")/1000</f>
        <v/>
      </c>
      <c r="L29" s="2059">
        <f>J29+K29*$P$4/1000</f>
        <v/>
      </c>
      <c r="M29" s="2060">
        <f>L29-I29</f>
        <v/>
      </c>
      <c r="N29" s="45" t="n"/>
      <c r="O29" s="6" t="n"/>
    </row>
    <row r="30" outlineLevel="1" ht="12.75" customHeight="1">
      <c r="C30" s="34" t="n"/>
      <c r="D30" s="33" t="n"/>
      <c r="E30" s="33" t="n"/>
      <c r="F30" s="37" t="inlineStr">
        <is>
          <t>개발 외주용역비</t>
        </is>
      </c>
      <c r="G30" s="2024">
        <f>SUMIFS('6월데이터'!$F:$F,'6월데이터'!$A:$A,"외주용역비",'6월데이터'!$D:$D,"KRW")/1000000</f>
        <v/>
      </c>
      <c r="H30" s="2031">
        <f>SUMIFS('6월데이터'!$F:$F,'6월데이터'!$A:$A,"외주용역비",'6월데이터'!$D:$D,"USD")/1000</f>
        <v/>
      </c>
      <c r="I30" s="2041">
        <f>G30+H30*$P$4/1000</f>
        <v/>
      </c>
      <c r="J30" s="2026">
        <f>SUMIFS('7월데이터'!$F:$F,'7월데이터'!$A:$A,"외주용역비",'7월데이터'!$D:$D,"KRW")/1000000</f>
        <v/>
      </c>
      <c r="K30" s="2031">
        <f>SUMIFS('7월데이터'!$F:$F,'7월데이터'!$A:$A,"외주용역비",'7월데이터'!$D:$D,"USD")/1000</f>
        <v/>
      </c>
      <c r="L30" s="2027">
        <f>J30+K30*$P$4/1000</f>
        <v/>
      </c>
      <c r="M30" s="2028">
        <f>L30-I30</f>
        <v/>
      </c>
      <c r="N30" s="45" t="n"/>
      <c r="O30" s="6" t="n"/>
      <c r="P30" s="2056" t="n"/>
    </row>
    <row r="31" outlineLevel="1" ht="12.75" customHeight="1">
      <c r="C31" s="34" t="n"/>
      <c r="D31" s="33" t="n"/>
      <c r="E31" s="33" t="n"/>
      <c r="F31" s="37" t="inlineStr">
        <is>
          <t>경영, 업무지원, 운영용역비</t>
        </is>
      </c>
      <c r="G31" s="2024">
        <f>SUMIFS('6월데이터'!$F:$F,'6월데이터'!$A:$A,"경영지원용역비",'6월데이터'!$D:$D,"KRW")/1000000</f>
        <v/>
      </c>
      <c r="H31" s="2031">
        <f>SUMIFS('6월데이터'!$F:$F,'6월데이터'!$A:$A,"경영지원용역비",'6월데이터'!$D:$D,"USD")/1000+SUMIFS('6월데이터'!$F:$F,'6월데이터'!$A:$A,"업무지원용역비",'6월데이터'!$D:$D,"USD")/1000+SUMIFS('6월데이터'!$F:$F,'6월데이터'!$A:$A,"운영용역비",'6월데이터'!$D:$D,"USD")/1000</f>
        <v/>
      </c>
      <c r="I31" s="2041">
        <f>G31+H31*$P$4/1000</f>
        <v/>
      </c>
      <c r="J31" s="2026">
        <f>SUMIFS('7월데이터'!$F:$F,'7월데이터'!$A:$A,"경영지원용역비",'7월데이터'!$D:$D,"KRW")/1000000</f>
        <v/>
      </c>
      <c r="K31" s="2031">
        <f>SUMIFS('7월데이터'!$F:$F,'7월데이터'!$A:$A,"경영지원용역비",'7월데이터'!$D:$D,"USD")/1000</f>
        <v/>
      </c>
      <c r="L31" s="2027">
        <f>J31+K31*$P$4/1000</f>
        <v/>
      </c>
      <c r="M31" s="2028">
        <f>L31-I31</f>
        <v/>
      </c>
      <c r="N31" s="50" t="inlineStr">
        <is>
          <t xml:space="preserve"> ∙7월 : 그룹사 공용비용 지급</t>
        </is>
      </c>
      <c r="O31" s="6" t="n"/>
      <c r="P31" s="2056" t="n"/>
    </row>
    <row r="32" outlineLevel="1" ht="12.75" customHeight="1">
      <c r="C32" s="34" t="n"/>
      <c r="D32" s="33" t="n"/>
      <c r="E32" s="33" t="n"/>
      <c r="F32" s="37" t="inlineStr">
        <is>
          <t>기타</t>
        </is>
      </c>
      <c r="G32" s="2024">
        <f>SUMIFS('6월데이터'!$F:$F,'6월데이터'!$A:$A,"기타지출",'6월데이터'!$D:$D,"KRW")/1000000+SUMIFS('6월데이터'!$F:$F,'6월데이터'!$A:$A,"지급임차료",'6월데이터'!$D:$D,"KRW")/1000000+SUMIFS('6월데이터'!$F:$F,'6월데이터'!$A:$A,"지급수수료",'6월데이터'!$D:$D,"KRW")/1000000+SUMIFS('6월데이터'!$F:$F,'6월데이터'!$A:$A,"복리후생비",'6월데이터'!$D:$D,"KRW")/1000000+SUMIFS('6월데이터'!$F:$F,'6월데이터'!$A:$A,"식당운영비",'6월데이터'!$D:$D,"KRW")/1000000+SUMIFS('6월데이터'!$F:$F,'6월데이터'!$A:$A,"직원비용",'6월데이터'!$D:$D,"KRW")/1000000</f>
        <v/>
      </c>
      <c r="H32" s="2031">
        <f>SUMIFS('6월데이터'!$F:$F,'6월데이터'!$A:$A,"기타",'6월데이터'!$D:$D,"USD")/1000</f>
        <v/>
      </c>
      <c r="I32" s="2041">
        <f>G32+H32*$P$4/1000</f>
        <v/>
      </c>
      <c r="J32" s="2026">
        <f>SUMIFS('7월데이터'!$F:$F,'7월데이터'!$A:$A,"기타지출",'7월데이터'!$D:$D,"KRW")/1000000+SUMIFS('7월데이터'!$F:$F,'7월데이터'!$A:$A,"지급임차료",'7월데이터'!$D:$D,"KRW")/1000000+SUMIFS('7월데이터'!$F:$F,'7월데이터'!$A:$A,"지급수수료",'7월데이터'!$D:$D,"KRW")/1000000+SUMIFS('7월데이터'!$F:$F,'7월데이터'!$A:$A,"복리후생비",'7월데이터'!$D:$D,"KRW")/1000000+SUMIFS('7월데이터'!$F:$F,'7월데이터'!$A:$A,"식당운영비",'7월데이터'!$D:$D,"KRW")/1000000+SUMIFS('7월데이터'!$F:$F,'7월데이터'!$A:$A,"직원비용",'7월데이터'!$D:$D,"KRW")/1000000</f>
        <v/>
      </c>
      <c r="K32" s="2031">
        <f>SUMIFS('7월데이터'!$F:$F,'7월데이터'!$A:$A,"기타",'7월데이터'!$D:$D,"USD")/1000</f>
        <v/>
      </c>
      <c r="L32" s="2027">
        <f>J32+K32*$P$4/1000</f>
        <v/>
      </c>
      <c r="M32" s="2028">
        <f>L32-I32</f>
        <v/>
      </c>
      <c r="N32" s="45" t="n"/>
      <c r="O32" s="6" t="n"/>
    </row>
    <row r="33" outlineLevel="2" ht="12.75" customHeight="1">
      <c r="C33" s="34" t="n"/>
      <c r="D33" s="33" t="n"/>
      <c r="E33" s="33" t="n"/>
      <c r="F33" s="26" t="inlineStr">
        <is>
          <t>복리후생비</t>
        </is>
      </c>
      <c r="G33" s="2019">
        <f>SUMIFS('6월데이터'!$F:$F,'6월데이터'!$A:$A,"복리후생비",'6월데이터'!$D:$D,"KRW")/1000000</f>
        <v/>
      </c>
      <c r="H33" s="2020" t="n">
        <v>0</v>
      </c>
      <c r="I33" s="2059">
        <f>G33+H33*$P$4/1000</f>
        <v/>
      </c>
      <c r="J33" s="2021">
        <f>SUMIFS('7월데이터'!$F:$F,'7월데이터'!$A:$A,"복리후생비",'7월데이터'!$D:$D,"KRW")/1000000</f>
        <v/>
      </c>
      <c r="K33" s="2039" t="n">
        <v>0</v>
      </c>
      <c r="L33" s="2022">
        <f>J33+K33*$P$4/1000</f>
        <v/>
      </c>
      <c r="M33" s="2023">
        <f>L33-I33</f>
        <v/>
      </c>
      <c r="N33" s="45" t="n"/>
      <c r="O33" s="6" t="n"/>
    </row>
    <row r="34" outlineLevel="2" ht="12.75" customHeight="1">
      <c r="C34" s="34" t="n"/>
      <c r="D34" s="33" t="n"/>
      <c r="E34" s="33" t="n"/>
      <c r="F34" s="37" t="inlineStr">
        <is>
          <t>식당, 카페 등 운영비</t>
        </is>
      </c>
      <c r="G34" s="2024">
        <f>SUMIFS('6월데이터'!$F:$F,'6월데이터'!$A:$A,"식당운영비",'6월데이터'!$D:$D,"KRW")/1000000</f>
        <v/>
      </c>
      <c r="H34" s="2029" t="n">
        <v>0</v>
      </c>
      <c r="I34" s="2041">
        <f>G34+H34*$P$4/1000</f>
        <v/>
      </c>
      <c r="J34" s="2026">
        <f>SUMIFS('7월데이터'!$F:$F,'7월데이터'!$A:$A,"식당운영비",'7월데이터'!$D:$D,"KRW")/1000000</f>
        <v/>
      </c>
      <c r="K34" s="2042" t="n">
        <v>0</v>
      </c>
      <c r="L34" s="2027">
        <f>J34+K34*$P$4/1000</f>
        <v/>
      </c>
      <c r="M34" s="2028">
        <f>L34-I34</f>
        <v/>
      </c>
      <c r="N34" s="45" t="n"/>
      <c r="O34" s="6" t="n"/>
    </row>
    <row r="35" outlineLevel="2" ht="12.75" customHeight="1">
      <c r="C35" s="34" t="n"/>
      <c r="D35" s="33" t="n"/>
      <c r="E35" s="33" t="n"/>
      <c r="F35" s="37" t="inlineStr">
        <is>
          <t>직원비용, 복지포인트</t>
        </is>
      </c>
      <c r="G35" s="2024">
        <f>SUMIFS('6월데이터'!$F:$F,'6월데이터'!$A:$A,"직원비용",'6월데이터'!$D:$D,"KRW")/1000000</f>
        <v/>
      </c>
      <c r="H35" s="2029" t="n">
        <v>0</v>
      </c>
      <c r="I35" s="2041">
        <f>G35+H35*$P$4/1000</f>
        <v/>
      </c>
      <c r="J35" s="2026">
        <f>SUMIFS('7월데이터'!$F:$F,'7월데이터'!$A:$A,"직원비용",'7월데이터'!$D:$D,"KRW")/1000000</f>
        <v/>
      </c>
      <c r="K35" s="2042" t="n">
        <v>0</v>
      </c>
      <c r="L35" s="2027">
        <f>J35+K35*$P$4/1000</f>
        <v/>
      </c>
      <c r="M35" s="2028">
        <f>L35-I35</f>
        <v/>
      </c>
      <c r="N35" s="50" t="n"/>
      <c r="O35" s="6" t="n"/>
    </row>
    <row r="36" outlineLevel="2" ht="12.75" customHeight="1">
      <c r="C36" s="34" t="n"/>
      <c r="D36" s="33" t="n"/>
      <c r="E36" s="33" t="n"/>
      <c r="F36" s="37" t="inlineStr">
        <is>
          <t>임차료, 관리비</t>
        </is>
      </c>
      <c r="G36" s="2024">
        <f>SUMIFS('6월데이터'!$F:$F,'6월데이터'!$A:$A,"지급임차료",'6월데이터'!$D:$D,"KRW")/1000000</f>
        <v/>
      </c>
      <c r="H36" s="2029" t="n">
        <v>0</v>
      </c>
      <c r="I36" s="2041">
        <f>G36+H36*$P$4/1000</f>
        <v/>
      </c>
      <c r="J36" s="2026">
        <f>SUMIFS('7월데이터'!$F:$F,'7월데이터'!$A:$A,"지급임차료",'7월데이터'!$D:$D,"KRW")/1000000</f>
        <v/>
      </c>
      <c r="K36" s="2042" t="n">
        <v>0</v>
      </c>
      <c r="L36" s="2027">
        <f>J36+K36*$P$4/1000</f>
        <v/>
      </c>
      <c r="M36" s="2028">
        <f>L36-I36</f>
        <v/>
      </c>
      <c r="N36" s="2061" t="n"/>
      <c r="O36" s="6" t="n"/>
    </row>
    <row r="37" outlineLevel="2" ht="12.75" customHeight="1">
      <c r="C37" s="34" t="n"/>
      <c r="D37" s="33" t="n"/>
      <c r="E37" s="33" t="n"/>
      <c r="F37" s="37" t="inlineStr">
        <is>
          <t>지급수수료</t>
        </is>
      </c>
      <c r="G37" s="2024">
        <f>SUMIFS('6월데이터'!$F:$F,'6월데이터'!$A:$A,"지급수수료",'6월데이터'!$D:$D,"KRW")/1000000</f>
        <v/>
      </c>
      <c r="H37" s="2029" t="n">
        <v>0</v>
      </c>
      <c r="I37" s="2041">
        <f>G37+H37*$P$4/1000</f>
        <v/>
      </c>
      <c r="J37" s="2026">
        <f>SUMIFS('7월데이터'!$F:$F,'7월데이터'!$A:$A,"지급수수료",'7월데이터'!$D:$D,"KRW")/1000000</f>
        <v/>
      </c>
      <c r="K37" s="2042" t="n">
        <v>0</v>
      </c>
      <c r="L37" s="2027">
        <f>J37+K37*$P$4/1000</f>
        <v/>
      </c>
      <c r="M37" s="2028">
        <f>L37-I37</f>
        <v/>
      </c>
      <c r="N37" s="50" t="n"/>
      <c r="O37" s="6" t="n"/>
    </row>
    <row r="38" outlineLevel="2" ht="12.75" customHeight="1">
      <c r="C38" s="34" t="n"/>
      <c r="D38" s="33" t="n"/>
      <c r="E38" s="32" t="n"/>
      <c r="F38" s="16" t="inlineStr">
        <is>
          <t>통신비등</t>
        </is>
      </c>
      <c r="G38" s="2062">
        <f>G32-SUM(G33:G37)</f>
        <v/>
      </c>
      <c r="H38" s="2063" t="n">
        <v>0</v>
      </c>
      <c r="I38" s="2041">
        <f>G38+H38*$P$4/1000</f>
        <v/>
      </c>
      <c r="J38" s="2064">
        <f>J32-SUM(J33:J37)</f>
        <v/>
      </c>
      <c r="K38" s="2065" t="n">
        <v>0</v>
      </c>
      <c r="L38" s="2066">
        <f>J38+K38*$P$4/1000</f>
        <v/>
      </c>
      <c r="M38" s="2067">
        <f>L38-I38</f>
        <v/>
      </c>
      <c r="N38" s="50" t="n"/>
      <c r="O38" s="6" t="n"/>
      <c r="Q38" s="2055" t="n"/>
    </row>
    <row r="39" ht="12.75" customHeight="1">
      <c r="C39" s="30" t="inlineStr">
        <is>
          <t>C. 운용자금 입지출(=해지-예치)</t>
        </is>
      </c>
      <c r="D39" s="30" t="n"/>
      <c r="E39" s="30" t="n"/>
      <c r="F39" s="29" t="n"/>
      <c r="G39" s="2009">
        <f>G40-G41</f>
        <v/>
      </c>
      <c r="H39" s="2010">
        <f>H40-H41</f>
        <v/>
      </c>
      <c r="I39" s="2009">
        <f>I40-I41</f>
        <v/>
      </c>
      <c r="J39" s="2011">
        <f>J40-J41</f>
        <v/>
      </c>
      <c r="K39" s="2010">
        <f>K40-K41</f>
        <v/>
      </c>
      <c r="L39" s="2012">
        <f>L40-L41</f>
        <v/>
      </c>
      <c r="M39" s="2068">
        <f>L39-I39</f>
        <v/>
      </c>
      <c r="N39" s="28" t="n"/>
      <c r="O39" s="6" t="n"/>
    </row>
    <row r="40" ht="12.75" customHeight="1">
      <c r="C40" s="19" t="n"/>
      <c r="D40" s="26" t="inlineStr">
        <is>
          <t>해지(입금)</t>
        </is>
      </c>
      <c r="E40" s="18" t="n"/>
      <c r="F40" s="18" t="n"/>
      <c r="G40" s="2019">
        <f>SUMIFS('6월데이터'!$E:$E,'6월데이터'!$A:$A,"금융상품",'6월데이터'!$D:$D,"KRW")/1000000</f>
        <v/>
      </c>
      <c r="H40" s="2020">
        <f>SUMIFS('6월데이터'!$E:$E,'6월데이터'!$A:$A,"금융상품",'6월데이터'!$D:$D,"USD")/1000</f>
        <v/>
      </c>
      <c r="I40" s="2019">
        <f>G40+H40*$P$4/1000</f>
        <v/>
      </c>
      <c r="J40" s="2021">
        <f>SUMIFS('7월데이터'!$E:$E,'7월데이터'!$A:$A,"금융상품",'7월데이터'!$D:$D,"KRW")/1000000</f>
        <v/>
      </c>
      <c r="K40" s="2020">
        <f>SUMIFS('7월데이터'!$E:$E,'7월데이터'!$A:$A,"금융상품",'7월데이터'!$D:$D,"USD")/1000</f>
        <v/>
      </c>
      <c r="L40" s="2022">
        <f>J40+K40*$P$4/1000</f>
        <v/>
      </c>
      <c r="M40" s="2023">
        <f>L40-I40</f>
        <v/>
      </c>
      <c r="N40" s="161" t="inlineStr">
        <is>
          <t xml:space="preserve"> ∙6월 : 정기예금 300백만 만기 해지</t>
        </is>
      </c>
      <c r="O40" s="6" t="n"/>
    </row>
    <row r="41" ht="12.75" customHeight="1">
      <c r="C41" s="15" t="n"/>
      <c r="D41" s="16" t="inlineStr">
        <is>
          <t>예치(지출)</t>
        </is>
      </c>
      <c r="E41" s="15" t="n"/>
      <c r="F41" s="15" t="n"/>
      <c r="G41" s="2062">
        <f>SUMIFS('6월데이터'!$F:$F,'6월데이터'!$A:$A,"금융상품",'6월데이터'!$D:$D,"KRW")/1000000</f>
        <v/>
      </c>
      <c r="H41" s="2069">
        <f>SUMIFS('6월데이터'!$F:$F,'6월데이터'!$A:$A,"금융상품",'6월데이터'!$D:$D,"USD")/1000</f>
        <v/>
      </c>
      <c r="I41" s="2062">
        <f>G41+H41*$P$4/1000</f>
        <v/>
      </c>
      <c r="J41" s="2064">
        <f>SUMIFS('7월데이터'!$F:$F,'7월데이터'!$A:$A,"금융상품",'7월데이터'!$D:$D,"KRW")/1000000</f>
        <v/>
      </c>
      <c r="K41" s="2070">
        <f>SUMIFS('7월데이터'!$F:$F,'7월데이터'!$A:$A,"금융상품",'7월데이터'!$D:$D,"USD")/1000</f>
        <v/>
      </c>
      <c r="L41" s="2066">
        <f>J41+K41*$P$4/1000</f>
        <v/>
      </c>
      <c r="M41" s="2071">
        <f>L41-I41</f>
        <v/>
      </c>
      <c r="N41" s="27" t="n"/>
      <c r="O41" s="6" t="n"/>
    </row>
    <row r="42" ht="12.75" customHeight="1">
      <c r="C42" s="24" t="inlineStr">
        <is>
          <t>D. FX</t>
        </is>
      </c>
      <c r="D42" s="24" t="n"/>
      <c r="E42" s="23" t="n"/>
      <c r="F42" s="22" t="n"/>
      <c r="G42" s="2009">
        <f>G43-G44</f>
        <v/>
      </c>
      <c r="H42" s="2010">
        <f>H43-H44</f>
        <v/>
      </c>
      <c r="I42" s="2009">
        <f>I43-I44</f>
        <v/>
      </c>
      <c r="J42" s="2011">
        <f>J43-J44</f>
        <v/>
      </c>
      <c r="K42" s="2010">
        <f>K43-K44</f>
        <v/>
      </c>
      <c r="L42" s="2012">
        <f>L43-L44</f>
        <v/>
      </c>
      <c r="M42" s="2068">
        <f>L42-I42</f>
        <v/>
      </c>
      <c r="N42" s="162" t="n"/>
      <c r="O42" s="6" t="n"/>
    </row>
    <row r="43" ht="12.75" customHeight="1">
      <c r="C43" s="19" t="n"/>
      <c r="D43" s="26" t="inlineStr">
        <is>
          <t>입금</t>
        </is>
      </c>
      <c r="E43" s="18" t="n"/>
      <c r="F43" s="18" t="n"/>
      <c r="G43" s="2072">
        <f>SUMIF('6월데이터'!$A:$A,"외환매도",'6월데이터'!$E:$E)/1000000</f>
        <v/>
      </c>
      <c r="H43" s="2020">
        <f>SUMIF('6월데이터'!$A:$A,"외환매입",'6월데이터'!$F:$F)/1000</f>
        <v/>
      </c>
      <c r="I43" s="2019">
        <f>G43+H43*$P$4/1000</f>
        <v/>
      </c>
      <c r="J43" s="2021">
        <f>SUMIF('7월데이터'!$A:$A,"외환매도",'7월데이터'!$F:$F)/1000000</f>
        <v/>
      </c>
      <c r="K43" s="2020">
        <f>SUMIF('7월데이터'!$A:$A,"외환매입",'7월데이터'!$E:$E)/1000</f>
        <v/>
      </c>
      <c r="L43" s="2022">
        <f>J43+K43*$P$4/1000</f>
        <v/>
      </c>
      <c r="M43" s="2073">
        <f>L43-I43</f>
        <v/>
      </c>
      <c r="N43" s="25" t="n"/>
      <c r="O43" s="6" t="n"/>
    </row>
    <row r="44" ht="12.75" customHeight="1">
      <c r="C44" s="15" t="n"/>
      <c r="D44" s="16" t="inlineStr">
        <is>
          <t>출금</t>
        </is>
      </c>
      <c r="E44" s="15" t="n"/>
      <c r="F44" s="15" t="n"/>
      <c r="G44" s="2074">
        <f>SUMIF('6월데이터'!$A:$A,"외환매입",'6월데이터'!$E:$E)/1000000</f>
        <v/>
      </c>
      <c r="H44" s="2063">
        <f>SUMIF('6월데이터'!$A:$A,"외환매도",'6월데이터'!$F:$F)/1000</f>
        <v/>
      </c>
      <c r="I44" s="2062">
        <f>G44+(H44*$P$4/1000)</f>
        <v/>
      </c>
      <c r="J44" s="2064">
        <f>SUMIF('7월데이터'!$A:$A,"외환매입",'7월데이터'!$F:$F)/1000000</f>
        <v/>
      </c>
      <c r="K44" s="2063">
        <f>SUMIF('7월데이터'!$A:$A,"외환매도",'7월데이터'!$E:$E)/1000</f>
        <v/>
      </c>
      <c r="L44" s="2066">
        <f>J44+K44*$P$4/1000</f>
        <v/>
      </c>
      <c r="M44" s="2071">
        <f>L44-I44</f>
        <v/>
      </c>
      <c r="N44" s="163" t="n"/>
      <c r="O44" s="6" t="n"/>
    </row>
    <row r="45" ht="12.75" customHeight="1">
      <c r="C45" s="24" t="inlineStr">
        <is>
          <t>E. 조달</t>
        </is>
      </c>
      <c r="D45" s="24" t="n"/>
      <c r="E45" s="23" t="n"/>
      <c r="F45" s="22" t="n"/>
      <c r="G45" s="2009">
        <f>G46-G47</f>
        <v/>
      </c>
      <c r="H45" s="2010">
        <f>H46-H47</f>
        <v/>
      </c>
      <c r="I45" s="2009">
        <f>I46-I47</f>
        <v/>
      </c>
      <c r="J45" s="2011">
        <f>J46-J47</f>
        <v/>
      </c>
      <c r="K45" s="2010">
        <f>K46-K47</f>
        <v/>
      </c>
      <c r="L45" s="2012">
        <f>L46-L47</f>
        <v/>
      </c>
      <c r="M45" s="2068">
        <f>L45-I45</f>
        <v/>
      </c>
      <c r="N45" s="20" t="n"/>
      <c r="O45" s="6" t="n"/>
    </row>
    <row r="46" ht="12.75" customHeight="1">
      <c r="C46" s="19" t="n"/>
      <c r="D46" s="651" t="inlineStr">
        <is>
          <t>입금</t>
        </is>
      </c>
      <c r="E46" s="18" t="n"/>
      <c r="F46" s="18" t="n"/>
      <c r="G46" s="2072">
        <f>SUMIF('6월데이터'!$A:$A,"차입금",'6월데이터'!$E:$E)/1000000+SUMIF('6월데이터'!$A:$A,"투자금",'6월데이터'!$E:$E)/1000000</f>
        <v/>
      </c>
      <c r="H46" s="2020" t="n">
        <v>0</v>
      </c>
      <c r="I46" s="2019">
        <f>G46+H46*$P$4/1000</f>
        <v/>
      </c>
      <c r="J46" s="2021" t="n">
        <v>0</v>
      </c>
      <c r="K46" s="2020" t="n">
        <v>0</v>
      </c>
      <c r="L46" s="2022">
        <f>J46+K46*$P$4/1000</f>
        <v/>
      </c>
      <c r="M46" s="2073">
        <f>L46-I46</f>
        <v/>
      </c>
      <c r="N46" s="45" t="n"/>
      <c r="O46" s="6" t="n"/>
    </row>
    <row r="47" ht="12.75" customHeight="1">
      <c r="C47" s="15" t="n"/>
      <c r="D47" s="16" t="inlineStr">
        <is>
          <t>출금</t>
        </is>
      </c>
      <c r="E47" s="15" t="n"/>
      <c r="F47" s="15" t="n"/>
      <c r="G47" s="2074">
        <f>SUMIF('6월데이터'!$A:$A,"차입금상환",'6월데이터'!$F:$F)/1000000</f>
        <v/>
      </c>
      <c r="H47" s="2063" t="n">
        <v>0</v>
      </c>
      <c r="I47" s="2062">
        <f>G47+(H47*$P$4/1000)</f>
        <v/>
      </c>
      <c r="J47" s="2064" t="n">
        <v>0</v>
      </c>
      <c r="K47" s="2063" t="n">
        <v>0</v>
      </c>
      <c r="L47" s="2066">
        <f>J47+K47*$P$4/1000</f>
        <v/>
      </c>
      <c r="M47" s="2071">
        <f>L47-I47</f>
        <v/>
      </c>
      <c r="N47" s="13" t="n"/>
      <c r="O47" s="6" t="n"/>
    </row>
    <row r="48" ht="12.75" customHeight="1">
      <c r="C48" s="11" t="inlineStr">
        <is>
          <t>F. 유동자금 증감(=B+C+D+E)</t>
        </is>
      </c>
      <c r="D48" s="11" t="n"/>
      <c r="E48" s="11" t="n"/>
      <c r="F48" s="10" t="n"/>
      <c r="G48" s="2004">
        <f>G7+G39+G42+G45</f>
        <v/>
      </c>
      <c r="H48" s="2005">
        <f>H7+H39+H42+H45</f>
        <v/>
      </c>
      <c r="I48" s="2004">
        <f>I7+I39+I42+I45</f>
        <v/>
      </c>
      <c r="J48" s="2006">
        <f>J7+J39+J42+J45</f>
        <v/>
      </c>
      <c r="K48" s="2005">
        <f>K7+K39+K42+K45</f>
        <v/>
      </c>
      <c r="L48" s="2007">
        <f>L7+L39+L42+L45</f>
        <v/>
      </c>
      <c r="M48" s="2008">
        <f>L48-I48</f>
        <v/>
      </c>
      <c r="N48" s="12" t="n"/>
      <c r="O48" s="6" t="n"/>
    </row>
    <row r="49" ht="12.75" customFormat="1" customHeight="1" s="153" thickBot="1">
      <c r="C49" s="1589" t="inlineStr">
        <is>
          <t>G. 기말유동잔고(=A+F)</t>
        </is>
      </c>
      <c r="D49" s="1589" t="n"/>
      <c r="E49" s="1589" t="n"/>
      <c r="F49" s="1590" t="n"/>
      <c r="G49" s="2075">
        <f>G6+G48</f>
        <v/>
      </c>
      <c r="H49" s="2076">
        <f>H6+H48</f>
        <v/>
      </c>
      <c r="I49" s="2077">
        <f>I6+I48</f>
        <v/>
      </c>
      <c r="J49" s="2078">
        <f>J6+J48</f>
        <v/>
      </c>
      <c r="K49" s="2079">
        <f>K6+K48</f>
        <v/>
      </c>
      <c r="L49" s="2080">
        <f>L6+L48</f>
        <v/>
      </c>
      <c r="M49" s="2081">
        <f>L49-I49</f>
        <v/>
      </c>
      <c r="N49" s="1597" t="n"/>
      <c r="O49" s="1598" t="n"/>
      <c r="P49" s="1999" t="n"/>
    </row>
    <row r="50" ht="12.75" customHeight="1">
      <c r="G50" s="2082" t="n"/>
      <c r="R50" s="2083" t="n"/>
    </row>
    <row r="51">
      <c r="G51" s="2084" t="n"/>
      <c r="H51" s="2085" t="n"/>
      <c r="J51" s="1997" t="n"/>
      <c r="M51" s="2086" t="n"/>
      <c r="N51" s="2087" t="n"/>
    </row>
    <row r="52">
      <c r="H52" s="2085" t="n"/>
      <c r="N52" s="2087" t="n"/>
    </row>
    <row r="53">
      <c r="J53" s="2058" t="n"/>
      <c r="L53" s="2088" t="n"/>
      <c r="N53" s="2089" t="n"/>
    </row>
    <row r="57">
      <c r="G57" s="1997" t="n"/>
    </row>
  </sheetData>
  <mergeCells count="5">
    <mergeCell ref="M4:M5"/>
    <mergeCell ref="C4:F5"/>
    <mergeCell ref="N4:N5"/>
    <mergeCell ref="G4:I4"/>
    <mergeCell ref="J4:L4"/>
  </mergeCells>
  <conditionalFormatting sqref="F6:M12 G13:M49">
    <cfRule type="cellIs" priority="1" operator="equal" dxfId="0">
      <formula>0</formula>
    </cfRule>
  </conditionalFormatting>
  <conditionalFormatting sqref="M12">
    <cfRule type="cellIs" priority="47" operator="equal" dxfId="0">
      <formula>0</formula>
    </cfRule>
  </conditionalFormatting>
  <printOptions horizontalCentered="1"/>
  <pageMargins left="0.2755905511811024" right="0.2362204724409449" top="0.3937007874015748" bottom="0.4330708661417323" header="0.3149606299212598" footer="0.3149606299212598"/>
  <pageSetup orientation="landscape" paperSize="9" scale="8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2:AW52"/>
  <sheetViews>
    <sheetView showGridLines="0" view="pageBreakPreview" zoomScale="145" zoomScaleNormal="150" zoomScaleSheetLayoutView="145" workbookViewId="0">
      <pane xSplit="6" topLeftCell="L1" activePane="topRight" state="frozen"/>
      <selection pane="topRight" activeCell="Y9" sqref="Y9:AA32"/>
    </sheetView>
  </sheetViews>
  <sheetFormatPr baseColWidth="8" defaultColWidth="8.625" defaultRowHeight="9.75" outlineLevelRow="1"/>
  <cols>
    <col width="0.625" customWidth="1" style="1" min="1" max="1"/>
    <col width="1.875" customWidth="1" style="1" min="2" max="2"/>
    <col width="1.125" customWidth="1" style="1" min="3" max="5"/>
    <col width="15.375" customWidth="1" style="1" min="6" max="6"/>
    <col width="7.125" customWidth="1" style="1" min="7" max="18"/>
    <col collapsed="1" width="7.125" customWidth="1" style="1" min="19" max="19"/>
    <col width="7.125" customWidth="1" style="1" min="20" max="24"/>
    <col collapsed="1" width="7.125" customWidth="1" style="1" min="25" max="25"/>
    <col width="7.125" customWidth="1" style="1" min="26" max="48"/>
    <col width="8.625" customWidth="1" style="1" min="49" max="16384"/>
  </cols>
  <sheetData>
    <row r="2" ht="12" customFormat="1" customHeight="1" s="153">
      <c r="A2" s="153" t="inlineStr">
        <is>
          <t>Ⅱ. 연간 자금수지</t>
        </is>
      </c>
      <c r="I2" s="1998" t="n"/>
      <c r="O2" s="1998" t="n">
        <v>771398</v>
      </c>
    </row>
    <row r="3">
      <c r="R3" s="59" t="n"/>
      <c r="U3" s="59" t="n"/>
      <c r="V3" s="59" t="n"/>
      <c r="W3" s="59" t="n"/>
      <c r="AA3" s="59" t="n"/>
      <c r="AB3" s="59" t="n"/>
      <c r="AC3" s="59" t="n"/>
      <c r="AE3" s="59" t="n"/>
      <c r="AF3" s="59" t="n"/>
      <c r="AG3" s="59" t="n"/>
      <c r="AH3" s="59" t="n"/>
      <c r="AI3" s="59" t="n"/>
      <c r="AJ3" s="59" t="n"/>
      <c r="AK3" s="59" t="n"/>
      <c r="AL3" s="59" t="n"/>
      <c r="AM3" s="59" t="n"/>
      <c r="AV3" s="59" t="inlineStr">
        <is>
          <t>(단위 : 백만원, 천$)</t>
        </is>
      </c>
      <c r="AW3" s="1" t="n">
        <v>12</v>
      </c>
    </row>
    <row r="4" ht="12.75" customHeight="1">
      <c r="C4" s="2001" t="inlineStr">
        <is>
          <t>구분</t>
        </is>
      </c>
      <c r="D4" s="1941" t="n"/>
      <c r="E4" s="1941" t="n"/>
      <c r="F4" s="1929" t="n"/>
      <c r="G4" s="1599" t="inlineStr">
        <is>
          <t>1월</t>
        </is>
      </c>
      <c r="H4" s="1864" t="n"/>
      <c r="I4" s="1864" t="n"/>
      <c r="J4" s="2090" t="inlineStr">
        <is>
          <t>2월</t>
        </is>
      </c>
      <c r="K4" s="2091" t="n"/>
      <c r="L4" s="2092" t="n"/>
      <c r="M4" s="1600" t="inlineStr">
        <is>
          <t>3월</t>
        </is>
      </c>
      <c r="N4" s="1864" t="n"/>
      <c r="O4" s="1864" t="n"/>
      <c r="P4" s="2090" t="inlineStr">
        <is>
          <t>4월</t>
        </is>
      </c>
      <c r="Q4" s="2091" t="n"/>
      <c r="R4" s="2092" t="n"/>
      <c r="S4" s="2090" t="inlineStr">
        <is>
          <t>5월</t>
        </is>
      </c>
      <c r="T4" s="2091" t="n"/>
      <c r="U4" s="2092" t="n"/>
      <c r="V4" s="2090" t="inlineStr">
        <is>
          <t>6월</t>
        </is>
      </c>
      <c r="W4" s="2091" t="n"/>
      <c r="X4" s="2092" t="n"/>
      <c r="Y4" s="2090" t="inlineStr">
        <is>
          <t>7월</t>
        </is>
      </c>
      <c r="Z4" s="2091" t="n"/>
      <c r="AA4" s="2092" t="n"/>
      <c r="AB4" s="2090" t="inlineStr">
        <is>
          <t>8월</t>
        </is>
      </c>
      <c r="AC4" s="2091" t="n"/>
      <c r="AD4" s="2092" t="n"/>
      <c r="AE4" s="2090" t="inlineStr">
        <is>
          <t>9월</t>
        </is>
      </c>
      <c r="AF4" s="2091" t="n"/>
      <c r="AG4" s="2092" t="n"/>
      <c r="AH4" s="2090" t="inlineStr">
        <is>
          <t>10월</t>
        </is>
      </c>
      <c r="AI4" s="2091" t="n"/>
      <c r="AJ4" s="2092" t="n"/>
      <c r="AK4" s="2090" t="inlineStr">
        <is>
          <t>11월</t>
        </is>
      </c>
      <c r="AL4" s="2091" t="n"/>
      <c r="AM4" s="2092" t="n"/>
      <c r="AN4" s="2090" t="inlineStr">
        <is>
          <t>12월</t>
        </is>
      </c>
      <c r="AO4" s="2091" t="n"/>
      <c r="AP4" s="2092" t="n"/>
      <c r="AQ4" s="2090" t="inlineStr">
        <is>
          <t>합계</t>
        </is>
      </c>
      <c r="AR4" s="2091" t="n"/>
      <c r="AS4" s="2092" t="n"/>
      <c r="AT4" s="2090" t="inlineStr">
        <is>
          <t>평균</t>
        </is>
      </c>
      <c r="AU4" s="2091" t="n"/>
      <c r="AV4" s="2092" t="n"/>
    </row>
    <row r="5" ht="12.75" customHeight="1">
      <c r="C5" s="1866" t="n"/>
      <c r="D5" s="1866" t="n"/>
      <c r="E5" s="1866" t="n"/>
      <c r="F5" s="1934" t="n"/>
      <c r="G5" s="57" t="inlineStr">
        <is>
          <t>원화</t>
        </is>
      </c>
      <c r="H5" s="54" t="inlineStr">
        <is>
          <t>외화($)</t>
        </is>
      </c>
      <c r="I5" s="1607" t="inlineStr">
        <is>
          <t>환산계(a)</t>
        </is>
      </c>
      <c r="J5" s="198" t="inlineStr">
        <is>
          <t>원화</t>
        </is>
      </c>
      <c r="K5" s="54" t="inlineStr">
        <is>
          <t>외화($)</t>
        </is>
      </c>
      <c r="L5" s="199" t="inlineStr">
        <is>
          <t>환산계(b)</t>
        </is>
      </c>
      <c r="M5" s="189" t="inlineStr">
        <is>
          <t>원화</t>
        </is>
      </c>
      <c r="N5" s="54" t="inlineStr">
        <is>
          <t>외화($)</t>
        </is>
      </c>
      <c r="O5" s="1607" t="inlineStr">
        <is>
          <t>환산계(a)</t>
        </is>
      </c>
      <c r="P5" s="198" t="inlineStr">
        <is>
          <t>원화</t>
        </is>
      </c>
      <c r="Q5" s="54" t="inlineStr">
        <is>
          <t>외화($)</t>
        </is>
      </c>
      <c r="R5" s="199" t="inlineStr">
        <is>
          <t>환산계(b)</t>
        </is>
      </c>
      <c r="S5" s="198" t="inlineStr">
        <is>
          <t>원화</t>
        </is>
      </c>
      <c r="T5" s="54" t="inlineStr">
        <is>
          <t>외화($)</t>
        </is>
      </c>
      <c r="U5" s="199" t="inlineStr">
        <is>
          <t>환산계(b)</t>
        </is>
      </c>
      <c r="V5" s="198" t="inlineStr">
        <is>
          <t>원화</t>
        </is>
      </c>
      <c r="W5" s="54" t="inlineStr">
        <is>
          <t>외화($)</t>
        </is>
      </c>
      <c r="X5" s="199" t="inlineStr">
        <is>
          <t>환산계(b)</t>
        </is>
      </c>
      <c r="Y5" s="198" t="inlineStr">
        <is>
          <t>원화</t>
        </is>
      </c>
      <c r="Z5" s="54" t="inlineStr">
        <is>
          <t>외화($)</t>
        </is>
      </c>
      <c r="AA5" s="199" t="inlineStr">
        <is>
          <t>환산계(b)</t>
        </is>
      </c>
      <c r="AB5" s="198" t="inlineStr">
        <is>
          <t>원화</t>
        </is>
      </c>
      <c r="AC5" s="54" t="inlineStr">
        <is>
          <t>외화($)</t>
        </is>
      </c>
      <c r="AD5" s="199" t="inlineStr">
        <is>
          <t>환산계(b)</t>
        </is>
      </c>
      <c r="AE5" s="198" t="inlineStr">
        <is>
          <t>원화</t>
        </is>
      </c>
      <c r="AF5" s="54" t="inlineStr">
        <is>
          <t>외화($)</t>
        </is>
      </c>
      <c r="AG5" s="199" t="inlineStr">
        <is>
          <t>환산계(b)</t>
        </is>
      </c>
      <c r="AH5" s="198" t="inlineStr">
        <is>
          <t>원화</t>
        </is>
      </c>
      <c r="AI5" s="54" t="inlineStr">
        <is>
          <t>외화($)</t>
        </is>
      </c>
      <c r="AJ5" s="199" t="inlineStr">
        <is>
          <t>환산계(b)</t>
        </is>
      </c>
      <c r="AK5" s="198" t="inlineStr">
        <is>
          <t>원화</t>
        </is>
      </c>
      <c r="AL5" s="54" t="inlineStr">
        <is>
          <t>외화($)</t>
        </is>
      </c>
      <c r="AM5" s="199" t="inlineStr">
        <is>
          <t>환산계(b)</t>
        </is>
      </c>
      <c r="AN5" s="198" t="inlineStr">
        <is>
          <t>원화</t>
        </is>
      </c>
      <c r="AO5" s="54" t="inlineStr">
        <is>
          <t>외화($)</t>
        </is>
      </c>
      <c r="AP5" s="199" t="inlineStr">
        <is>
          <t>환산계(b)</t>
        </is>
      </c>
      <c r="AQ5" s="198" t="inlineStr">
        <is>
          <t>원화</t>
        </is>
      </c>
      <c r="AR5" s="54" t="inlineStr">
        <is>
          <t>외화($)</t>
        </is>
      </c>
      <c r="AS5" s="199" t="inlineStr">
        <is>
          <t>환산계(b)</t>
        </is>
      </c>
      <c r="AT5" s="198" t="inlineStr">
        <is>
          <t>원화</t>
        </is>
      </c>
      <c r="AU5" s="54" t="inlineStr">
        <is>
          <t>외화($)</t>
        </is>
      </c>
      <c r="AV5" s="199" t="inlineStr">
        <is>
          <t>환산계(b)</t>
        </is>
      </c>
    </row>
    <row r="6" ht="12.75" customHeight="1">
      <c r="C6" s="11" t="inlineStr">
        <is>
          <t>A. 기초잔고</t>
        </is>
      </c>
      <c r="D6" s="11" t="n"/>
      <c r="E6" s="11" t="n"/>
      <c r="F6" s="11" t="n"/>
      <c r="G6" s="2093" t="n">
        <v>3607.089792</v>
      </c>
      <c r="H6" s="2094" t="n">
        <v>0</v>
      </c>
      <c r="I6" s="2093">
        <f>G6+H6*$R$46/1000</f>
        <v/>
      </c>
      <c r="J6" s="2095">
        <f>G44</f>
        <v/>
      </c>
      <c r="K6" s="2094">
        <f>H44</f>
        <v/>
      </c>
      <c r="L6" s="2096">
        <f>J6+K6*$R$46/1000</f>
        <v/>
      </c>
      <c r="M6" s="2097">
        <f>J44</f>
        <v/>
      </c>
      <c r="N6" s="2094" t="n">
        <v>0</v>
      </c>
      <c r="O6" s="2093">
        <f>M6+N6*$R$46/1000</f>
        <v/>
      </c>
      <c r="P6" s="2095">
        <f>M44</f>
        <v/>
      </c>
      <c r="Q6" s="2094" t="n">
        <v>0</v>
      </c>
      <c r="R6" s="2096">
        <f>P6+Q6*$R$46/1000</f>
        <v/>
      </c>
      <c r="S6" s="2095">
        <f>P44</f>
        <v/>
      </c>
      <c r="T6" s="2094">
        <f>Q44</f>
        <v/>
      </c>
      <c r="U6" s="2096">
        <f>S6+T6*U46/1000</f>
        <v/>
      </c>
      <c r="V6" s="2095">
        <f>S44</f>
        <v/>
      </c>
      <c r="W6" s="2094">
        <f>Q44</f>
        <v/>
      </c>
      <c r="X6" s="2096">
        <f>V6+W6*X46/1000</f>
        <v/>
      </c>
      <c r="Y6" s="2095">
        <f>V44</f>
        <v/>
      </c>
      <c r="Z6" s="2094">
        <f>T44</f>
        <v/>
      </c>
      <c r="AA6" s="2096">
        <f>Y6+Z6*AA46/1000</f>
        <v/>
      </c>
      <c r="AB6" s="2095">
        <f>Y44</f>
        <v/>
      </c>
      <c r="AC6" s="2094">
        <f>T44</f>
        <v/>
      </c>
      <c r="AD6" s="2096">
        <f>AB6+AC6*AD46/1000</f>
        <v/>
      </c>
      <c r="AE6" s="2095">
        <f>AB44</f>
        <v/>
      </c>
      <c r="AF6" s="2094">
        <f>T44</f>
        <v/>
      </c>
      <c r="AG6" s="2096">
        <f>AE6+AF6*AG46/1000</f>
        <v/>
      </c>
      <c r="AH6" s="2095">
        <f>AE44</f>
        <v/>
      </c>
      <c r="AI6" s="2094">
        <f>T44</f>
        <v/>
      </c>
      <c r="AJ6" s="2096">
        <f>AH6+AI6*AJ46/1000</f>
        <v/>
      </c>
      <c r="AK6" s="2095">
        <f>AH44</f>
        <v/>
      </c>
      <c r="AL6" s="2094">
        <f>T44</f>
        <v/>
      </c>
      <c r="AM6" s="2096">
        <f>AK6+AL6*AM46/1000</f>
        <v/>
      </c>
      <c r="AN6" s="2095">
        <f>AK44</f>
        <v/>
      </c>
      <c r="AO6" s="2094">
        <f>W44</f>
        <v/>
      </c>
      <c r="AP6" s="2096">
        <f>AN6+AO6*AP46/1000</f>
        <v/>
      </c>
      <c r="AQ6" s="2095">
        <f>G6</f>
        <v/>
      </c>
      <c r="AR6" s="2094">
        <f>Z44</f>
        <v/>
      </c>
      <c r="AS6" s="2096">
        <f>AQ6+AR6*AS46/1000</f>
        <v/>
      </c>
      <c r="AT6" s="2095" t="n"/>
      <c r="AU6" s="2094">
        <f>AC44</f>
        <v/>
      </c>
      <c r="AV6" s="2096">
        <f>AT6+AU6*AV46/1000</f>
        <v/>
      </c>
    </row>
    <row r="7" ht="12.75" customHeight="1">
      <c r="C7" s="30" t="inlineStr">
        <is>
          <t>B. 수지차(=수입-지출)</t>
        </is>
      </c>
      <c r="D7" s="30" t="n"/>
      <c r="E7" s="30" t="n"/>
      <c r="F7" s="29" t="n"/>
      <c r="G7" s="2098">
        <f>G8-G13</f>
        <v/>
      </c>
      <c r="H7" s="2099">
        <f>H8-H13</f>
        <v/>
      </c>
      <c r="I7" s="2098">
        <f>I8-I13</f>
        <v/>
      </c>
      <c r="J7" s="2100">
        <f>J8-J13</f>
        <v/>
      </c>
      <c r="K7" s="2099">
        <f>K8-K13</f>
        <v/>
      </c>
      <c r="L7" s="2101">
        <f>L8-L13</f>
        <v/>
      </c>
      <c r="M7" s="2102">
        <f>M8-M13</f>
        <v/>
      </c>
      <c r="N7" s="2099">
        <f>N8-N13</f>
        <v/>
      </c>
      <c r="O7" s="2098">
        <f>O8-O13</f>
        <v/>
      </c>
      <c r="P7" s="2100">
        <f>P8-P13</f>
        <v/>
      </c>
      <c r="Q7" s="2099">
        <f>Q8-Q13</f>
        <v/>
      </c>
      <c r="R7" s="2101">
        <f>R8-R13</f>
        <v/>
      </c>
      <c r="S7" s="2100">
        <f>S8-S13</f>
        <v/>
      </c>
      <c r="T7" s="2099">
        <f>T8-T13</f>
        <v/>
      </c>
      <c r="U7" s="2101">
        <f>U8-U13</f>
        <v/>
      </c>
      <c r="V7" s="2100">
        <f>V8-V13</f>
        <v/>
      </c>
      <c r="W7" s="2099">
        <f>W8-W13</f>
        <v/>
      </c>
      <c r="X7" s="2101">
        <f>X8-X13</f>
        <v/>
      </c>
      <c r="Y7" s="2100">
        <f>Y8-Y13</f>
        <v/>
      </c>
      <c r="Z7" s="2099">
        <f>Z8-Z13</f>
        <v/>
      </c>
      <c r="AA7" s="2101">
        <f>AA8-AA13</f>
        <v/>
      </c>
      <c r="AB7" s="2100">
        <f>AB8-AB13</f>
        <v/>
      </c>
      <c r="AC7" s="2099">
        <f>AC8-AC13</f>
        <v/>
      </c>
      <c r="AD7" s="2101">
        <f>AD8-AD13</f>
        <v/>
      </c>
      <c r="AE7" s="2100">
        <f>AE8-AE13</f>
        <v/>
      </c>
      <c r="AF7" s="2099">
        <f>AF8-AF13</f>
        <v/>
      </c>
      <c r="AG7" s="2101">
        <f>AG8-AG13</f>
        <v/>
      </c>
      <c r="AH7" s="2100">
        <f>AH8-AH13</f>
        <v/>
      </c>
      <c r="AI7" s="2099">
        <f>AI8-AI13</f>
        <v/>
      </c>
      <c r="AJ7" s="2101">
        <f>AJ8-AJ13</f>
        <v/>
      </c>
      <c r="AK7" s="2100">
        <f>AK8-AK13</f>
        <v/>
      </c>
      <c r="AL7" s="2099">
        <f>AL8-AL13</f>
        <v/>
      </c>
      <c r="AM7" s="2101">
        <f>AM8-AM13</f>
        <v/>
      </c>
      <c r="AN7" s="2100">
        <f>AN8-AN13</f>
        <v/>
      </c>
      <c r="AO7" s="2099">
        <f>AO8-AO13</f>
        <v/>
      </c>
      <c r="AP7" s="2101">
        <f>AP8-AP13</f>
        <v/>
      </c>
      <c r="AQ7" s="2100">
        <f>AQ8-AQ13</f>
        <v/>
      </c>
      <c r="AR7" s="2099">
        <f>AR8-AR13</f>
        <v/>
      </c>
      <c r="AS7" s="2101">
        <f>AS8-AS13</f>
        <v/>
      </c>
      <c r="AT7" s="2100">
        <f>AT8-AT13</f>
        <v/>
      </c>
      <c r="AU7" s="2099">
        <f>AU8-AU13</f>
        <v/>
      </c>
      <c r="AV7" s="2101">
        <f>AV8-AV13</f>
        <v/>
      </c>
    </row>
    <row r="8" ht="12.75" customHeight="1">
      <c r="C8" s="52" t="n"/>
      <c r="D8" s="26" t="inlineStr">
        <is>
          <t>수입</t>
        </is>
      </c>
      <c r="E8" s="18" t="n"/>
      <c r="F8" s="40" t="n"/>
      <c r="G8" s="2103">
        <f>SUM(G9:G12)</f>
        <v/>
      </c>
      <c r="H8" s="2104">
        <f>SUM(H9:H12)</f>
        <v/>
      </c>
      <c r="I8" s="2103">
        <f>SUM(I9:I12)</f>
        <v/>
      </c>
      <c r="J8" s="2105">
        <f>SUM(J9:J12)</f>
        <v/>
      </c>
      <c r="K8" s="2104">
        <f>SUM(K9:K12)</f>
        <v/>
      </c>
      <c r="L8" s="2106">
        <f>SUM(L9:L12)</f>
        <v/>
      </c>
      <c r="M8" s="2107">
        <f>SUM(M9:M12)</f>
        <v/>
      </c>
      <c r="N8" s="2104">
        <f>SUM(N9:N12)</f>
        <v/>
      </c>
      <c r="O8" s="2103">
        <f>SUM(O9:O12)</f>
        <v/>
      </c>
      <c r="P8" s="2105">
        <f>SUM(P9:P12)</f>
        <v/>
      </c>
      <c r="Q8" s="2104">
        <f>SUM(Q9:Q12)</f>
        <v/>
      </c>
      <c r="R8" s="2106">
        <f>SUM(R9:R12)</f>
        <v/>
      </c>
      <c r="S8" s="2105">
        <f>SUM(S9:S12)</f>
        <v/>
      </c>
      <c r="T8" s="2104">
        <f>SUM(T9:T12)</f>
        <v/>
      </c>
      <c r="U8" s="2106">
        <f>SUM(U9:U12)</f>
        <v/>
      </c>
      <c r="V8" s="2105">
        <f>SUM(V9:V12)</f>
        <v/>
      </c>
      <c r="W8" s="2104">
        <f>SUM(W9:W12)</f>
        <v/>
      </c>
      <c r="X8" s="2106">
        <f>SUM(X9:X12)</f>
        <v/>
      </c>
      <c r="Y8" s="2105">
        <f>SUM(Y9:Y12)</f>
        <v/>
      </c>
      <c r="Z8" s="2104">
        <f>SUM(Z9:Z12)</f>
        <v/>
      </c>
      <c r="AA8" s="2106">
        <f>SUM(AA9:AA12)</f>
        <v/>
      </c>
      <c r="AB8" s="2105">
        <f>SUM(AB9:AB12)</f>
        <v/>
      </c>
      <c r="AC8" s="2104">
        <f>SUM(AC9:AC12)</f>
        <v/>
      </c>
      <c r="AD8" s="2106">
        <f>SUM(AD9:AD12)</f>
        <v/>
      </c>
      <c r="AE8" s="2105">
        <f>SUM(AE9:AE12)</f>
        <v/>
      </c>
      <c r="AF8" s="2104">
        <f>SUM(AF9:AF12)</f>
        <v/>
      </c>
      <c r="AG8" s="2106">
        <f>SUM(AG9:AG12)</f>
        <v/>
      </c>
      <c r="AH8" s="2105">
        <f>SUM(AH9:AH12)</f>
        <v/>
      </c>
      <c r="AI8" s="2104">
        <f>SUM(AI9:AI12)</f>
        <v/>
      </c>
      <c r="AJ8" s="2106">
        <f>SUM(AJ9:AJ12)</f>
        <v/>
      </c>
      <c r="AK8" s="2105">
        <f>SUM(AK9:AK12)</f>
        <v/>
      </c>
      <c r="AL8" s="2104">
        <f>SUM(AL9:AL12)</f>
        <v/>
      </c>
      <c r="AM8" s="2106">
        <f>SUM(AM9:AM12)</f>
        <v/>
      </c>
      <c r="AN8" s="2105">
        <f>SUM(AN9:AN12)</f>
        <v/>
      </c>
      <c r="AO8" s="2104">
        <f>SUM(AO9:AO12)</f>
        <v/>
      </c>
      <c r="AP8" s="2106">
        <f>SUM(AP9:AP12)</f>
        <v/>
      </c>
      <c r="AQ8" s="2105">
        <f>SUM(AQ9:AQ12)</f>
        <v/>
      </c>
      <c r="AR8" s="2104">
        <f>SUM(AR9:AR12)</f>
        <v/>
      </c>
      <c r="AS8" s="2106">
        <f>SUM(AS9:AS12)</f>
        <v/>
      </c>
      <c r="AT8" s="2105">
        <f>SUM(AT9:AT12)</f>
        <v/>
      </c>
      <c r="AU8" s="2104">
        <f>SUM(AU9:AU12)</f>
        <v/>
      </c>
      <c r="AV8" s="2106">
        <f>SUM(AV9:AV12)</f>
        <v/>
      </c>
    </row>
    <row r="9" ht="12.75" customHeight="1">
      <c r="C9" s="52" t="n"/>
      <c r="D9" s="37" t="n"/>
      <c r="E9" s="26" t="inlineStr">
        <is>
          <t>매출</t>
        </is>
      </c>
      <c r="F9" s="40" t="n"/>
      <c r="G9" s="2108" t="n">
        <v>0</v>
      </c>
      <c r="H9" s="2109" t="n">
        <v>0</v>
      </c>
      <c r="I9" s="2110">
        <f>G9+H9*$R$46/1000</f>
        <v/>
      </c>
      <c r="J9" s="2108" t="n">
        <v>0</v>
      </c>
      <c r="K9" s="2109" t="n">
        <v>0</v>
      </c>
      <c r="L9" s="2111">
        <f>J9+K9*$R$46/1000</f>
        <v/>
      </c>
      <c r="M9" s="2108" t="n">
        <v>0.09209000000000001</v>
      </c>
      <c r="N9" s="2109" t="n">
        <v>0</v>
      </c>
      <c r="O9" s="2110">
        <f>M9+N9*$R$46/1000</f>
        <v/>
      </c>
      <c r="P9" s="2112" t="n">
        <v>0</v>
      </c>
      <c r="Q9" s="2020" t="n">
        <v>0</v>
      </c>
      <c r="R9" s="2111">
        <f>P9+Q9*$R$46/1000</f>
        <v/>
      </c>
      <c r="S9" s="2112" t="n">
        <v>0</v>
      </c>
      <c r="T9" s="2020" t="n">
        <v>0</v>
      </c>
      <c r="U9" s="2111">
        <f>S9+T9*U46/1000</f>
        <v/>
      </c>
      <c r="V9" s="2112" t="n">
        <v>0.05181</v>
      </c>
      <c r="W9" s="2020" t="n">
        <v>0</v>
      </c>
      <c r="X9" s="2111">
        <f>V9+W9*X46/1000</f>
        <v/>
      </c>
      <c r="Y9" s="2112" t="n">
        <v>0.05181</v>
      </c>
      <c r="Z9" s="2020" t="n">
        <v>0</v>
      </c>
      <c r="AA9" s="2111">
        <f>Y9+Z9*AA46/1000</f>
        <v/>
      </c>
      <c r="AB9" s="2112" t="n"/>
      <c r="AC9" s="2020" t="n"/>
      <c r="AD9" s="2111">
        <f>AB9+AC9*AD46/1000</f>
        <v/>
      </c>
      <c r="AE9" s="2112" t="n"/>
      <c r="AF9" s="2020" t="n"/>
      <c r="AG9" s="2111">
        <f>AE9+AF9*AG46/1000</f>
        <v/>
      </c>
      <c r="AH9" s="2112" t="n"/>
      <c r="AI9" s="2020" t="n"/>
      <c r="AJ9" s="2111">
        <f>AH9+AI9*AJ46/1000</f>
        <v/>
      </c>
      <c r="AK9" s="2112" t="n"/>
      <c r="AL9" s="2020" t="n"/>
      <c r="AM9" s="2111">
        <f>AK9+AL9*AM46/1000</f>
        <v/>
      </c>
      <c r="AN9" s="2112" t="n"/>
      <c r="AO9" s="2020" t="n"/>
      <c r="AP9" s="2111">
        <f>AN9+AO9*AP46/1000</f>
        <v/>
      </c>
      <c r="AQ9" s="2113" t="n"/>
      <c r="AR9" s="2114" t="n"/>
      <c r="AS9" s="2111">
        <f>AQ9+AR9*AS46/1000</f>
        <v/>
      </c>
      <c r="AT9" s="2113">
        <f>AQ9/$AW$3</f>
        <v/>
      </c>
      <c r="AU9" s="2114">
        <f>SUM(K9,N9,Q9,T9,W9,Z9,AC9,AF9,AI9,AL9,AO9,AR9)</f>
        <v/>
      </c>
      <c r="AV9" s="2111">
        <f>AT9+AU9*AV46/1000</f>
        <v/>
      </c>
    </row>
    <row r="10" ht="12.75" customHeight="1">
      <c r="C10" s="52" t="n"/>
      <c r="D10" s="37" t="n"/>
      <c r="E10" s="37" t="inlineStr">
        <is>
          <t>세금 환급</t>
        </is>
      </c>
      <c r="F10" s="44" t="n"/>
      <c r="G10" s="2115" t="n">
        <v>0</v>
      </c>
      <c r="H10" s="2116" t="n">
        <v>0</v>
      </c>
      <c r="I10" s="2117">
        <f>G10+H10*$R$46/1000</f>
        <v/>
      </c>
      <c r="J10" s="2115" t="n">
        <v>1.27178</v>
      </c>
      <c r="K10" s="2116" t="n">
        <v>0</v>
      </c>
      <c r="L10" s="2118">
        <f>J10+K10*$R$46/1000</f>
        <v/>
      </c>
      <c r="M10" s="2115" t="n">
        <v>0</v>
      </c>
      <c r="N10" s="2116" t="n">
        <v>0</v>
      </c>
      <c r="O10" s="2117">
        <f>M10+N10*$R$46/1000</f>
        <v/>
      </c>
      <c r="P10" s="2119" t="n">
        <v>14.97952</v>
      </c>
      <c r="Q10" s="2120" t="n">
        <v>0</v>
      </c>
      <c r="R10" s="2118">
        <f>P10+Q10*$R$46/1000</f>
        <v/>
      </c>
      <c r="S10" s="2119" t="n">
        <v>1.49789</v>
      </c>
      <c r="T10" s="2120" t="n">
        <v>0</v>
      </c>
      <c r="U10" s="2118">
        <f>S10+T10*U46/1000</f>
        <v/>
      </c>
      <c r="V10" s="2119" t="n">
        <v>0</v>
      </c>
      <c r="W10" s="2120" t="n">
        <v>0</v>
      </c>
      <c r="X10" s="2118">
        <f>V10+W10*X46/1000</f>
        <v/>
      </c>
      <c r="Y10" s="2119" t="n">
        <v>0</v>
      </c>
      <c r="Z10" s="2120" t="n">
        <v>0</v>
      </c>
      <c r="AA10" s="2118">
        <f>Y10+Z10*AA46/1000</f>
        <v/>
      </c>
      <c r="AB10" s="2119" t="n"/>
      <c r="AC10" s="2120" t="n"/>
      <c r="AD10" s="2118">
        <f>AB10+AC10*AD46/1000</f>
        <v/>
      </c>
      <c r="AE10" s="2119" t="n"/>
      <c r="AF10" s="2120" t="n"/>
      <c r="AG10" s="2118">
        <f>AE10+AF10*AG48/1000</f>
        <v/>
      </c>
      <c r="AH10" s="2119" t="n"/>
      <c r="AI10" s="2120" t="n"/>
      <c r="AJ10" s="2118">
        <f>AH10+AI10*AJ46/1000</f>
        <v/>
      </c>
      <c r="AK10" s="2119" t="n"/>
      <c r="AL10" s="2120" t="n"/>
      <c r="AM10" s="2118">
        <f>AK10+AL10*AM46/1000</f>
        <v/>
      </c>
      <c r="AN10" s="2119" t="n"/>
      <c r="AO10" s="2120" t="n"/>
      <c r="AP10" s="2118">
        <f>AN10+AO10*AP46/1000</f>
        <v/>
      </c>
      <c r="AQ10" s="2121" t="n"/>
      <c r="AR10" s="2122" t="n"/>
      <c r="AS10" s="2118">
        <f>AQ10+AR10*AS46/1000</f>
        <v/>
      </c>
      <c r="AT10" s="2121">
        <f>AQ10/$AW$3</f>
        <v/>
      </c>
      <c r="AU10" s="2122">
        <f>SUM(K10,N10,Q10,T10,W10,Z10,AC10,AF10,AI10,AL10,AO10,AR10)</f>
        <v/>
      </c>
      <c r="AV10" s="2118">
        <f>AT10+AU10*AV46/1000</f>
        <v/>
      </c>
    </row>
    <row r="11" ht="12.75" customHeight="1">
      <c r="C11" s="52" t="n"/>
      <c r="D11" s="37" t="n"/>
      <c r="E11" s="37" t="inlineStr">
        <is>
          <t>이자수익</t>
        </is>
      </c>
      <c r="F11" s="44" t="n"/>
      <c r="G11" s="2115" t="n">
        <v>14.92319</v>
      </c>
      <c r="H11" s="2116" t="n">
        <v>0</v>
      </c>
      <c r="I11" s="2117">
        <f>G11+H11*$R$46/1000</f>
        <v/>
      </c>
      <c r="J11" s="2115" t="n">
        <v>0</v>
      </c>
      <c r="K11" s="2116" t="n">
        <v>0</v>
      </c>
      <c r="L11" s="2123">
        <f>J11+K11*$R$46/1000</f>
        <v/>
      </c>
      <c r="M11" s="2115" t="n">
        <v>0.540622</v>
      </c>
      <c r="N11" s="2116" t="n">
        <v>0</v>
      </c>
      <c r="O11" s="2117">
        <f>M11+N11*$R$46/1000</f>
        <v/>
      </c>
      <c r="P11" s="2119" t="n">
        <v>0</v>
      </c>
      <c r="Q11" s="2124" t="n">
        <v>0</v>
      </c>
      <c r="R11" s="2123">
        <f>P11+Q11*$R$46/1000</f>
        <v/>
      </c>
      <c r="S11" s="2119" t="n">
        <v>0</v>
      </c>
      <c r="T11" s="2124" t="n">
        <v>0</v>
      </c>
      <c r="U11" s="2123">
        <f>S11+T11*$U46/1000</f>
        <v/>
      </c>
      <c r="V11" s="2119" t="n">
        <v>6.483723</v>
      </c>
      <c r="W11" s="2124" t="n">
        <v>0</v>
      </c>
      <c r="X11" s="2123">
        <f>V11+W11*$U46/1000</f>
        <v/>
      </c>
      <c r="Y11" s="2119" t="n">
        <v>0</v>
      </c>
      <c r="Z11" s="2124" t="n">
        <v>0</v>
      </c>
      <c r="AA11" s="2123">
        <f>Y11+Z11*$U46/1000</f>
        <v/>
      </c>
      <c r="AB11" s="2119" t="n"/>
      <c r="AC11" s="2124" t="n"/>
      <c r="AD11" s="2123">
        <f>AB11+AC11*$U46/1000</f>
        <v/>
      </c>
      <c r="AE11" s="2119" t="n"/>
      <c r="AF11" s="2124" t="n"/>
      <c r="AG11" s="2123">
        <f>AE11+AF11*$U46/1000</f>
        <v/>
      </c>
      <c r="AH11" s="2119" t="n"/>
      <c r="AI11" s="2124" t="n"/>
      <c r="AJ11" s="2123">
        <f>AH11+AI11*$U46/1000</f>
        <v/>
      </c>
      <c r="AK11" s="2119" t="n"/>
      <c r="AL11" s="2124" t="n"/>
      <c r="AM11" s="2123">
        <f>AK11+AL11*$U46/1000</f>
        <v/>
      </c>
      <c r="AN11" s="2119" t="n"/>
      <c r="AO11" s="2124" t="n"/>
      <c r="AP11" s="2123">
        <f>AN11+AO11*$U46/1000</f>
        <v/>
      </c>
      <c r="AQ11" s="2121" t="n"/>
      <c r="AR11" s="2122" t="n"/>
      <c r="AS11" s="2123">
        <f>AQ11+AR11*$U46/1000</f>
        <v/>
      </c>
      <c r="AT11" s="2121">
        <f>AQ11/$AW$3</f>
        <v/>
      </c>
      <c r="AU11" s="2122">
        <f>SUM(K11,N11,Q11,T11,W11,Z11,AC11,AF11,AI11,AL11,AO11,AR11)</f>
        <v/>
      </c>
      <c r="AV11" s="2123">
        <f>AT11+AU11*$U46/1000</f>
        <v/>
      </c>
    </row>
    <row r="12" ht="12.75" customHeight="1">
      <c r="C12" s="52" t="n"/>
      <c r="D12" s="37" t="n"/>
      <c r="E12" s="42" t="inlineStr">
        <is>
          <t>기타</t>
        </is>
      </c>
      <c r="F12" s="47" t="n"/>
      <c r="G12" s="2125" t="n">
        <v>1.803179</v>
      </c>
      <c r="H12" s="2126" t="n">
        <v>0</v>
      </c>
      <c r="I12" s="2127">
        <f>G12+H12*$R$46/1000</f>
        <v/>
      </c>
      <c r="J12" s="2125" t="n">
        <v>0.140959</v>
      </c>
      <c r="K12" s="2126" t="n">
        <v>0</v>
      </c>
      <c r="L12" s="2128">
        <f>J12+K12*$R$46/1000</f>
        <v/>
      </c>
      <c r="M12" s="2125" t="n">
        <v>0</v>
      </c>
      <c r="N12" s="2126" t="n">
        <v>0</v>
      </c>
      <c r="O12" s="2127">
        <f>M12+N12*$R$46/1000</f>
        <v/>
      </c>
      <c r="P12" s="2129">
        <f>15.37848+0.130058</f>
        <v/>
      </c>
      <c r="Q12" s="2130" t="n">
        <v>0</v>
      </c>
      <c r="R12" s="2128">
        <f>P12+Q12*$R$46/1000</f>
        <v/>
      </c>
      <c r="S12" s="2131" t="n">
        <v>51.185792</v>
      </c>
      <c r="T12" s="2130" t="n">
        <v>0</v>
      </c>
      <c r="U12" s="2128">
        <f>S12+T12*U46/1000</f>
        <v/>
      </c>
      <c r="V12" s="2131" t="n">
        <v>0</v>
      </c>
      <c r="W12" s="2130" t="n">
        <v>0</v>
      </c>
      <c r="X12" s="2128">
        <f>V12+W12*X46/1000</f>
        <v/>
      </c>
      <c r="Y12" s="2131" t="n">
        <v>0.07802000000000001</v>
      </c>
      <c r="Z12" s="2130" t="n">
        <v>0</v>
      </c>
      <c r="AA12" s="2128">
        <f>Y12+Z12*AA46/1000</f>
        <v/>
      </c>
      <c r="AB12" s="2131" t="n"/>
      <c r="AC12" s="2130" t="n"/>
      <c r="AD12" s="2128">
        <f>AB12+AC12*AD46/1000</f>
        <v/>
      </c>
      <c r="AE12" s="2131" t="n"/>
      <c r="AF12" s="2130" t="n"/>
      <c r="AG12" s="2128">
        <f>AE12+AF12*AG46/1000</f>
        <v/>
      </c>
      <c r="AH12" s="2131" t="n"/>
      <c r="AI12" s="2130" t="n"/>
      <c r="AJ12" s="2128">
        <f>AH12+AI12*AJ46/1000</f>
        <v/>
      </c>
      <c r="AK12" s="2131" t="n"/>
      <c r="AL12" s="2130" t="n"/>
      <c r="AM12" s="2128">
        <f>AK12+AL12*AM46/1000</f>
        <v/>
      </c>
      <c r="AN12" s="2131" t="n"/>
      <c r="AO12" s="2130" t="n"/>
      <c r="AP12" s="2128">
        <f>AN12+AO12*AP46/1000</f>
        <v/>
      </c>
      <c r="AQ12" s="2132" t="n"/>
      <c r="AR12" s="2133" t="n"/>
      <c r="AS12" s="2128">
        <f>AQ12+AR12*AS46/1000</f>
        <v/>
      </c>
      <c r="AT12" s="2132">
        <f>AQ12/$AW$3</f>
        <v/>
      </c>
      <c r="AU12" s="2133">
        <f>SUM(K12,N12,Q12,T12,W12,Z12,AC12,AF12,AI12,AL12,AO12,AR12)</f>
        <v/>
      </c>
      <c r="AV12" s="2128">
        <f>AT12+AU12*AV46/1000</f>
        <v/>
      </c>
    </row>
    <row r="13" ht="12.75" customHeight="1">
      <c r="C13" s="51" t="n"/>
      <c r="D13" s="26" t="inlineStr">
        <is>
          <t>지출</t>
        </is>
      </c>
      <c r="E13" s="18" t="n"/>
      <c r="F13" s="18" t="n"/>
      <c r="G13" s="2105">
        <f>SUM(G14,G19,G20,G25:G28)</f>
        <v/>
      </c>
      <c r="H13" s="2104">
        <f>SUM(H14,H19,H20,H25:H28)</f>
        <v/>
      </c>
      <c r="I13" s="2105">
        <f>SUM(I14,I19,I20,I25:I28)</f>
        <v/>
      </c>
      <c r="J13" s="2105">
        <f>SUM(J14,J19,J20,J25:J28)</f>
        <v/>
      </c>
      <c r="K13" s="2104">
        <f>SUM(K14,K19,K20,K25:K28)</f>
        <v/>
      </c>
      <c r="L13" s="2134">
        <f>SUM(L14,L19,L20,L25:L28)</f>
        <v/>
      </c>
      <c r="M13" s="2107">
        <f>SUM(M14,M19,M20,M25:M28)</f>
        <v/>
      </c>
      <c r="N13" s="2104">
        <f>SUM(N14,N19,N20,N25:N28)</f>
        <v/>
      </c>
      <c r="O13" s="2105">
        <f>SUM(O14,O19,O20,O25:O28)</f>
        <v/>
      </c>
      <c r="P13" s="2105">
        <f>SUM(P14,P19,P20,P25:P28)</f>
        <v/>
      </c>
      <c r="Q13" s="2104">
        <f>SUM(Q14,Q19,Q20,Q25:Q28)</f>
        <v/>
      </c>
      <c r="R13" s="2134">
        <f>SUM(R14,R19,R20,R25:R28)</f>
        <v/>
      </c>
      <c r="S13" s="2105">
        <f>SUM(S14,S19,S20,S25:S28)</f>
        <v/>
      </c>
      <c r="T13" s="2104">
        <f>SUM(T14,T19,T20,T25:T28)</f>
        <v/>
      </c>
      <c r="U13" s="2134">
        <f>SUM(U14,U19,U20,U25:U28)</f>
        <v/>
      </c>
      <c r="V13" s="2105">
        <f>SUM(V14,V19,V20,V25:V28)</f>
        <v/>
      </c>
      <c r="W13" s="2104">
        <f>SUM(W14,W19,W20,W25:W28)</f>
        <v/>
      </c>
      <c r="X13" s="2134">
        <f>SUM(X14,X19,X20,X25:X28)</f>
        <v/>
      </c>
      <c r="Y13" s="2105">
        <f>SUM(Y14,Y19,Y20,Y25:Y28)</f>
        <v/>
      </c>
      <c r="Z13" s="2104">
        <f>SUM(Z14,Z19,Z20,Z25:Z28)</f>
        <v/>
      </c>
      <c r="AA13" s="2134">
        <f>SUM(AA14,AA19,AA20,AA25:AA28)</f>
        <v/>
      </c>
      <c r="AB13" s="2105">
        <f>SUM(AB14,AB19,AB20,AB25:AB28)</f>
        <v/>
      </c>
      <c r="AC13" s="2104">
        <f>SUM(AC14,AC19,AC20,AC25:AC28)</f>
        <v/>
      </c>
      <c r="AD13" s="2134">
        <f>SUM(AD14,AD19,AD20,AD25:AD28)</f>
        <v/>
      </c>
      <c r="AE13" s="2105">
        <f>SUM(AE14,AE19,AE20,AE25:AE28)</f>
        <v/>
      </c>
      <c r="AF13" s="2104">
        <f>SUM(AF14,AF19,AF20,AF25:AF28)</f>
        <v/>
      </c>
      <c r="AG13" s="2134">
        <f>SUM(AG14,AG19,AG20,AG25:AG28)</f>
        <v/>
      </c>
      <c r="AH13" s="2105">
        <f>SUM(AH14,AH19,AH20,AH25:AH28)</f>
        <v/>
      </c>
      <c r="AI13" s="2104">
        <f>SUM(AI14,AI19,AI20,AI25:AI28)</f>
        <v/>
      </c>
      <c r="AJ13" s="2134">
        <f>SUM(AJ14,AJ19,AJ20,AJ25:AJ28)</f>
        <v/>
      </c>
      <c r="AK13" s="2105">
        <f>SUM(AK14,AK19,AK20,AK25:AK28)</f>
        <v/>
      </c>
      <c r="AL13" s="2104">
        <f>SUM(AL14,AL19,AL20,AL25:AL28)</f>
        <v/>
      </c>
      <c r="AM13" s="2134">
        <f>SUM(AM14,AM19,AM20,AM25:AM28)</f>
        <v/>
      </c>
      <c r="AN13" s="2105">
        <f>SUM(AN14,AN19,AN20,AN25:AN28)</f>
        <v/>
      </c>
      <c r="AO13" s="2104">
        <f>SUM(AO14,AO19,AO20,AO25:AO28)</f>
        <v/>
      </c>
      <c r="AP13" s="2134">
        <f>SUM(AP14,AP19,AP20,AP25:AP28)</f>
        <v/>
      </c>
      <c r="AQ13" s="2105">
        <f>SUM(AQ14,AQ19,AQ20,AQ25:AQ28)</f>
        <v/>
      </c>
      <c r="AR13" s="2104">
        <f>SUM(AR14,AR19,AR20,AR25:AR28)</f>
        <v/>
      </c>
      <c r="AS13" s="2134">
        <f>SUM(AS14,AS19,AS20,AS25:AS28)</f>
        <v/>
      </c>
      <c r="AT13" s="2105">
        <f>SUM(AT14,AT19,AT20,AT25:AT28)</f>
        <v/>
      </c>
      <c r="AU13" s="2104">
        <f>SUM(AU14,AU19,AU20,AU25:AU28)</f>
        <v/>
      </c>
      <c r="AV13" s="2134">
        <f>SUM(AV14,AV19,AV20,AV25:AV28)</f>
        <v/>
      </c>
    </row>
    <row r="14" ht="12.75" customHeight="1">
      <c r="C14" s="34" t="n"/>
      <c r="D14" s="33" t="n"/>
      <c r="E14" s="26" t="inlineStr">
        <is>
          <t>인건비</t>
        </is>
      </c>
      <c r="F14" s="40" t="n"/>
      <c r="G14" s="2135">
        <f>SUM(G15:G18)</f>
        <v/>
      </c>
      <c r="H14" s="2136">
        <f>SUM(H15:H18)</f>
        <v/>
      </c>
      <c r="I14" s="2103">
        <f>SUM(I15:I18)</f>
        <v/>
      </c>
      <c r="J14" s="2137">
        <f>SUM(J15:J18)</f>
        <v/>
      </c>
      <c r="K14" s="2136">
        <f>SUM(K15:K18)</f>
        <v/>
      </c>
      <c r="L14" s="2106">
        <f>SUM(L15:L18)</f>
        <v/>
      </c>
      <c r="M14" s="2138">
        <f>SUM(M15:M18)</f>
        <v/>
      </c>
      <c r="N14" s="2136">
        <f>SUM(N15:N18)</f>
        <v/>
      </c>
      <c r="O14" s="2103">
        <f>SUM(O15:O18)</f>
        <v/>
      </c>
      <c r="P14" s="2137">
        <f>SUM(P15:P18)</f>
        <v/>
      </c>
      <c r="Q14" s="2136">
        <f>SUM(Q15:Q18)</f>
        <v/>
      </c>
      <c r="R14" s="2106">
        <f>SUM(R15:R18)</f>
        <v/>
      </c>
      <c r="S14" s="2137">
        <f>SUM(S15:S18)</f>
        <v/>
      </c>
      <c r="T14" s="2136">
        <f>SUM(T15:T18)</f>
        <v/>
      </c>
      <c r="U14" s="2106">
        <f>SUM(U15:U18)</f>
        <v/>
      </c>
      <c r="V14" s="2137">
        <f>SUM(V15:V18)</f>
        <v/>
      </c>
      <c r="W14" s="2136">
        <f>SUM(W15:W18)</f>
        <v/>
      </c>
      <c r="X14" s="2106">
        <f>SUM(X15:X18)</f>
        <v/>
      </c>
      <c r="Y14" s="2137">
        <f>SUM(Y15:Y18)</f>
        <v/>
      </c>
      <c r="Z14" s="2136">
        <f>SUM(Z15:Z18)</f>
        <v/>
      </c>
      <c r="AA14" s="2106">
        <f>SUM(AA15:AA18)</f>
        <v/>
      </c>
      <c r="AB14" s="2137">
        <f>SUM(AB15:AB18)</f>
        <v/>
      </c>
      <c r="AC14" s="2136">
        <f>SUM(AC15:AC18)</f>
        <v/>
      </c>
      <c r="AD14" s="2106">
        <f>SUM(AD15:AD18)</f>
        <v/>
      </c>
      <c r="AE14" s="2137">
        <f>SUM(AE15:AE18)</f>
        <v/>
      </c>
      <c r="AF14" s="2136">
        <f>SUM(AF15:AF18)</f>
        <v/>
      </c>
      <c r="AG14" s="2106">
        <f>SUM(AG15:AG18)</f>
        <v/>
      </c>
      <c r="AH14" s="2137">
        <f>SUM(AH15:AH18)</f>
        <v/>
      </c>
      <c r="AI14" s="2136">
        <f>SUM(AI15:AI18)</f>
        <v/>
      </c>
      <c r="AJ14" s="2106">
        <f>SUM(AJ15:AJ18)</f>
        <v/>
      </c>
      <c r="AK14" s="2137">
        <f>SUM(AK15:AK18)</f>
        <v/>
      </c>
      <c r="AL14" s="2136">
        <f>SUM(AL15:AL18)</f>
        <v/>
      </c>
      <c r="AM14" s="2106">
        <f>SUM(AM15:AM18)</f>
        <v/>
      </c>
      <c r="AN14" s="2137">
        <f>SUM(AN15:AN18)</f>
        <v/>
      </c>
      <c r="AO14" s="2136">
        <f>SUM(AO15:AO18)</f>
        <v/>
      </c>
      <c r="AP14" s="2106">
        <f>SUM(AP15:AP18)</f>
        <v/>
      </c>
      <c r="AQ14" s="2137">
        <f>SUM(AQ15:AQ18)</f>
        <v/>
      </c>
      <c r="AR14" s="2136">
        <f>SUM(AR15:AR18)</f>
        <v/>
      </c>
      <c r="AS14" s="2106">
        <f>SUM(AS15:AS18)</f>
        <v/>
      </c>
      <c r="AT14" s="2137">
        <f>SUM(AT15:AT18)</f>
        <v/>
      </c>
      <c r="AU14" s="2136">
        <f>SUM(AU15:AU18)</f>
        <v/>
      </c>
      <c r="AV14" s="2106">
        <f>SUM(AV15:AV18)</f>
        <v/>
      </c>
    </row>
    <row r="15" outlineLevel="1" ht="12.75" customHeight="1">
      <c r="C15" s="34" t="n"/>
      <c r="D15" s="33" t="n"/>
      <c r="E15" s="37" t="n"/>
      <c r="F15" s="26" t="inlineStr">
        <is>
          <t>급여</t>
        </is>
      </c>
      <c r="G15" s="2108" t="n">
        <v>39.30703</v>
      </c>
      <c r="H15" s="2109" t="n">
        <v>0</v>
      </c>
      <c r="I15" s="2110">
        <f>G15+H15*$R$46/1000</f>
        <v/>
      </c>
      <c r="J15" s="2108" t="n">
        <v>31.66514</v>
      </c>
      <c r="K15" s="2109" t="n">
        <v>0</v>
      </c>
      <c r="L15" s="2111">
        <f>J15+K15*$R$46/1000</f>
        <v/>
      </c>
      <c r="M15" s="2108" t="n">
        <v>14.831917</v>
      </c>
      <c r="N15" s="2109" t="n">
        <v>0</v>
      </c>
      <c r="O15" s="2139">
        <f>M15+N15*$R$46/1000</f>
        <v/>
      </c>
      <c r="P15" s="2140" t="n">
        <v>15.263567</v>
      </c>
      <c r="Q15" s="2109" t="n">
        <v>0</v>
      </c>
      <c r="R15" s="2111">
        <f>P15+Q15*$R$46/1000</f>
        <v/>
      </c>
      <c r="S15" s="2141" t="n">
        <v>14.856137</v>
      </c>
      <c r="T15" s="2109" t="n">
        <v>0</v>
      </c>
      <c r="U15" s="2111">
        <f>S15+T15*U46/1000</f>
        <v/>
      </c>
      <c r="V15" s="2141" t="n">
        <v>14.855137</v>
      </c>
      <c r="W15" s="2109" t="n">
        <v>0</v>
      </c>
      <c r="X15" s="2111">
        <f>V15+W15*X46/1000</f>
        <v/>
      </c>
      <c r="Y15" s="2141" t="n">
        <v>15</v>
      </c>
      <c r="Z15" s="2109" t="n">
        <v>0</v>
      </c>
      <c r="AA15" s="2111">
        <f>Y15+Z15*AA46/1000</f>
        <v/>
      </c>
      <c r="AB15" s="2141" t="n"/>
      <c r="AC15" s="2142" t="n"/>
      <c r="AD15" s="2111">
        <f>AB15+AC15*AD46/1000</f>
        <v/>
      </c>
      <c r="AE15" s="2141" t="n"/>
      <c r="AF15" s="2142" t="n"/>
      <c r="AG15" s="2111">
        <f>AE15+AF15*AG46/1000</f>
        <v/>
      </c>
      <c r="AH15" s="2141" t="n"/>
      <c r="AI15" s="2142" t="n"/>
      <c r="AJ15" s="2111">
        <f>AH15+AI15*AJ46/1000</f>
        <v/>
      </c>
      <c r="AK15" s="2141" t="n"/>
      <c r="AL15" s="2142" t="n"/>
      <c r="AM15" s="2111">
        <f>AK15+AL15*AM46/1000</f>
        <v/>
      </c>
      <c r="AN15" s="2141" t="n"/>
      <c r="AO15" s="2142" t="n"/>
      <c r="AP15" s="2111">
        <f>AN15+AO15*AP46/1000</f>
        <v/>
      </c>
      <c r="AQ15" s="2143" t="n"/>
      <c r="AR15" s="2144" t="n"/>
      <c r="AS15" s="2111">
        <f>AQ15+AR15*AS46/1000</f>
        <v/>
      </c>
      <c r="AT15" s="2143">
        <f>AQ15/$AW$3</f>
        <v/>
      </c>
      <c r="AU15" s="2144">
        <f>SUM(K15,N15,Q15,T15,W15,Z15,AC15,AF15,AI15,AL15,AO15,AR15)</f>
        <v/>
      </c>
      <c r="AV15" s="2111">
        <f>AT15+AU15*AV46/1000</f>
        <v/>
      </c>
    </row>
    <row r="16" outlineLevel="1" ht="12.75" customHeight="1">
      <c r="C16" s="34" t="n"/>
      <c r="D16" s="33" t="n"/>
      <c r="E16" s="37" t="n"/>
      <c r="F16" s="37" t="inlineStr">
        <is>
          <t>상여</t>
        </is>
      </c>
      <c r="G16" s="2115" t="n">
        <v>0</v>
      </c>
      <c r="H16" s="2116" t="n">
        <v>0</v>
      </c>
      <c r="I16" s="2117">
        <f>G16+H16*$R$46/1000</f>
        <v/>
      </c>
      <c r="J16" s="2115" t="n">
        <v>0</v>
      </c>
      <c r="K16" s="2116" t="n">
        <v>0</v>
      </c>
      <c r="L16" s="2118">
        <f>J16+K16*$R$46/1000</f>
        <v/>
      </c>
      <c r="M16" s="2115" t="n">
        <v>0</v>
      </c>
      <c r="N16" s="2116" t="n">
        <v>0</v>
      </c>
      <c r="O16" s="2117">
        <f>M16+N16*$R$46/1000</f>
        <v/>
      </c>
      <c r="P16" s="2145" t="n">
        <v>0</v>
      </c>
      <c r="Q16" s="2116" t="n">
        <v>0</v>
      </c>
      <c r="R16" s="2118">
        <f>P16+Q16*$R$46/1000</f>
        <v/>
      </c>
      <c r="S16" s="2145" t="n">
        <v>0</v>
      </c>
      <c r="T16" s="2116" t="n">
        <v>0</v>
      </c>
      <c r="U16" s="2118">
        <f>S16+T16*U46/1000</f>
        <v/>
      </c>
      <c r="V16" s="2145" t="n">
        <v>0</v>
      </c>
      <c r="W16" s="2116" t="n">
        <v>0</v>
      </c>
      <c r="X16" s="2118">
        <f>V16+W16*X46/1000</f>
        <v/>
      </c>
      <c r="Y16" s="2145" t="n">
        <v>0</v>
      </c>
      <c r="Z16" s="2116" t="n">
        <v>0</v>
      </c>
      <c r="AA16" s="2118">
        <f>Y16+Z16*AA46/1000</f>
        <v/>
      </c>
      <c r="AB16" s="2145" t="n"/>
      <c r="AC16" s="2124" t="n"/>
      <c r="AD16" s="2118">
        <f>AB16+AC16*AD46/1000</f>
        <v/>
      </c>
      <c r="AE16" s="2145" t="n"/>
      <c r="AF16" s="2124" t="n"/>
      <c r="AG16" s="2118">
        <f>AE16+AF16*AG46/1000</f>
        <v/>
      </c>
      <c r="AH16" s="2145" t="n"/>
      <c r="AI16" s="2124" t="n"/>
      <c r="AJ16" s="2118">
        <f>AH16+AI16*AJ46/1000</f>
        <v/>
      </c>
      <c r="AK16" s="2145" t="n"/>
      <c r="AL16" s="2124" t="n"/>
      <c r="AM16" s="2118">
        <f>AK16+AL16*AM46/1000</f>
        <v/>
      </c>
      <c r="AN16" s="2145" t="n"/>
      <c r="AO16" s="2124" t="n"/>
      <c r="AP16" s="2118">
        <f>AN16+AO16*AP46/1000</f>
        <v/>
      </c>
      <c r="AQ16" s="2146" t="n"/>
      <c r="AR16" s="2147" t="n"/>
      <c r="AS16" s="2118">
        <f>AQ16+AR16*AS46/1000</f>
        <v/>
      </c>
      <c r="AT16" s="2146">
        <f>AQ16/$AW$3</f>
        <v/>
      </c>
      <c r="AU16" s="2147">
        <f>SUM(K16,N16,Q16,T16,W16,Z16,AC16,AF16,AI16,AL16,AO16,AR16)</f>
        <v/>
      </c>
      <c r="AV16" s="2118">
        <f>AT16+AU16*AV46/1000</f>
        <v/>
      </c>
    </row>
    <row r="17" outlineLevel="1" ht="12.75" customHeight="1">
      <c r="C17" s="34" t="n"/>
      <c r="D17" s="33" t="n"/>
      <c r="E17" s="37" t="n"/>
      <c r="F17" s="37" t="inlineStr">
        <is>
          <t>퇴직연금</t>
        </is>
      </c>
      <c r="G17" s="2115" t="n">
        <v>0</v>
      </c>
      <c r="H17" s="2116" t="n">
        <v>0</v>
      </c>
      <c r="I17" s="2117">
        <f>G17+H17*$R$46/1000</f>
        <v/>
      </c>
      <c r="J17" s="2115" t="n">
        <v>2.86999</v>
      </c>
      <c r="K17" s="2116" t="n">
        <v>0</v>
      </c>
      <c r="L17" s="2118">
        <f>J17+K17*$R$46/1000</f>
        <v/>
      </c>
      <c r="M17" s="2115" t="n">
        <v>1.91806</v>
      </c>
      <c r="N17" s="2116" t="n">
        <v>0</v>
      </c>
      <c r="O17" s="2117">
        <f>M17+N17*$R$46/1000</f>
        <v/>
      </c>
      <c r="P17" s="2145" t="n">
        <v>1.92848</v>
      </c>
      <c r="Q17" s="2116" t="n">
        <v>0</v>
      </c>
      <c r="R17" s="2118">
        <f>P17+Q17*$R$46/1000</f>
        <v/>
      </c>
      <c r="S17" s="2145" t="n">
        <v>1.92848</v>
      </c>
      <c r="T17" s="2116" t="n">
        <v>0</v>
      </c>
      <c r="U17" s="2118">
        <f>S17+T17*U46/1000</f>
        <v/>
      </c>
      <c r="V17" s="2145" t="n">
        <v>1.92848</v>
      </c>
      <c r="W17" s="2116" t="n">
        <v>0</v>
      </c>
      <c r="X17" s="2118">
        <f>V17+W17*X46/1000</f>
        <v/>
      </c>
      <c r="Y17" s="2145" t="n">
        <v>1.92848</v>
      </c>
      <c r="Z17" s="2116" t="n">
        <v>0</v>
      </c>
      <c r="AA17" s="2118">
        <f>Y17+Z17*AA46/1000</f>
        <v/>
      </c>
      <c r="AB17" s="2145" t="n"/>
      <c r="AC17" s="2124" t="n"/>
      <c r="AD17" s="2118">
        <f>AB17+AC17*AD46/1000</f>
        <v/>
      </c>
      <c r="AE17" s="2145" t="n"/>
      <c r="AF17" s="2124" t="n"/>
      <c r="AG17" s="2118">
        <f>AE17+AF17*AG46/1000</f>
        <v/>
      </c>
      <c r="AH17" s="2145" t="n"/>
      <c r="AI17" s="2124" t="n"/>
      <c r="AJ17" s="2118">
        <f>AH17+AI17*AJ46/1000</f>
        <v/>
      </c>
      <c r="AK17" s="2145" t="n"/>
      <c r="AL17" s="2124" t="n"/>
      <c r="AM17" s="2118">
        <f>AK17+AL17*AM46/1000</f>
        <v/>
      </c>
      <c r="AN17" s="2145" t="n"/>
      <c r="AO17" s="2124" t="n"/>
      <c r="AP17" s="2118">
        <f>AN17+AO17*AP46/1000</f>
        <v/>
      </c>
      <c r="AQ17" s="2146" t="n"/>
      <c r="AR17" s="2147" t="n"/>
      <c r="AS17" s="2118">
        <f>AQ17+AR17*AS46/1000</f>
        <v/>
      </c>
      <c r="AT17" s="2146">
        <f>AQ17/$AW$3</f>
        <v/>
      </c>
      <c r="AU17" s="2147">
        <f>SUM(K17,N17,Q17,T17,W17,Z17,AC17,AF17,AI17,AL17,AO17,AR17)</f>
        <v/>
      </c>
      <c r="AV17" s="2118">
        <f>AT17+AU17*AV46/1000</f>
        <v/>
      </c>
    </row>
    <row r="18" outlineLevel="1" ht="12.75" customHeight="1">
      <c r="C18" s="34" t="n"/>
      <c r="D18" s="33" t="n"/>
      <c r="E18" s="42" t="n"/>
      <c r="F18" s="42" t="inlineStr">
        <is>
          <t>4대보험료</t>
        </is>
      </c>
      <c r="G18" s="2125" t="n">
        <v>4.3279</v>
      </c>
      <c r="H18" s="2126" t="n">
        <v>0</v>
      </c>
      <c r="I18" s="2127">
        <f>G18+H18*$R$46/1000</f>
        <v/>
      </c>
      <c r="J18" s="2125" t="n">
        <v>4.4573</v>
      </c>
      <c r="K18" s="2126" t="n">
        <v>0</v>
      </c>
      <c r="L18" s="2128">
        <f>J18+K18*$R$46/1000</f>
        <v/>
      </c>
      <c r="M18" s="2125" t="n">
        <v>3.49646</v>
      </c>
      <c r="N18" s="2126" t="n">
        <v>0</v>
      </c>
      <c r="O18" s="2127">
        <f>M18+N18*$R$46/1000</f>
        <v/>
      </c>
      <c r="P18" s="2148" t="n">
        <v>2.94166</v>
      </c>
      <c r="Q18" s="2126" t="n">
        <v>0</v>
      </c>
      <c r="R18" s="2128">
        <f>P18+Q18*$R$46/1000</f>
        <v/>
      </c>
      <c r="S18" s="2148" t="n">
        <v>2.20456</v>
      </c>
      <c r="T18" s="2126" t="n">
        <v>0</v>
      </c>
      <c r="U18" s="2128">
        <f>S18+T18*U46/1000</f>
        <v/>
      </c>
      <c r="V18" s="2148" t="n">
        <v>3.02442</v>
      </c>
      <c r="W18" s="2126" t="n">
        <v>0</v>
      </c>
      <c r="X18" s="2128">
        <f>V18+W18*X46/1000</f>
        <v/>
      </c>
      <c r="Y18" s="2148" t="n">
        <v>2.92517</v>
      </c>
      <c r="Z18" s="2126" t="n">
        <v>0</v>
      </c>
      <c r="AA18" s="2128">
        <f>Y18+Z18*AA46/1000</f>
        <v/>
      </c>
      <c r="AB18" s="2148" t="n"/>
      <c r="AC18" s="2149" t="n"/>
      <c r="AD18" s="2128">
        <f>AB18+AC18*AD46/1000</f>
        <v/>
      </c>
      <c r="AE18" s="2148" t="n"/>
      <c r="AF18" s="2149" t="n"/>
      <c r="AG18" s="2128">
        <f>AE18+AF18*AG46/1000</f>
        <v/>
      </c>
      <c r="AH18" s="2148" t="n"/>
      <c r="AI18" s="2149" t="n"/>
      <c r="AJ18" s="2128">
        <f>AH18+AI18*AJ46/1000</f>
        <v/>
      </c>
      <c r="AK18" s="2148" t="n"/>
      <c r="AL18" s="2149" t="n"/>
      <c r="AM18" s="2128">
        <f>AK18+AL18*AM46/1000</f>
        <v/>
      </c>
      <c r="AN18" s="2148" t="n"/>
      <c r="AO18" s="2149" t="n"/>
      <c r="AP18" s="2128">
        <f>AN18+AO18*AP46/1000</f>
        <v/>
      </c>
      <c r="AQ18" s="2150" t="n"/>
      <c r="AR18" s="2151" t="n"/>
      <c r="AS18" s="2128">
        <f>AQ18+AR18*AS46/1000</f>
        <v/>
      </c>
      <c r="AT18" s="2150">
        <f>AQ18/$AW$3</f>
        <v/>
      </c>
      <c r="AU18" s="2151">
        <f>SUM(K18,N18,Q18,T18,W18,Z18,AC18,AF18,AI18,AL18,AO18,AR18)</f>
        <v/>
      </c>
      <c r="AV18" s="2128">
        <f>AT18+AU18*AV46/1000</f>
        <v/>
      </c>
    </row>
    <row r="19" ht="12.75" customHeight="1">
      <c r="C19" s="34" t="n"/>
      <c r="D19" s="33" t="n"/>
      <c r="E19" s="37" t="inlineStr">
        <is>
          <t>마케팅비</t>
        </is>
      </c>
      <c r="F19" s="44" t="n"/>
      <c r="G19" s="2152" t="n">
        <v>0</v>
      </c>
      <c r="H19" s="2153" t="n">
        <v>0</v>
      </c>
      <c r="I19" s="2110">
        <f>G19+H19*$R$46/1000</f>
        <v/>
      </c>
      <c r="J19" s="2154" t="n">
        <v>0</v>
      </c>
      <c r="K19" s="2153" t="n">
        <v>0</v>
      </c>
      <c r="L19" s="2111">
        <f>J19+K19*$R$46/1000</f>
        <v/>
      </c>
      <c r="M19" s="2155" t="n">
        <v>0</v>
      </c>
      <c r="N19" s="2153" t="n">
        <v>0</v>
      </c>
      <c r="O19" s="2110">
        <f>M19+N19*$R$46/1000</f>
        <v/>
      </c>
      <c r="P19" s="2154" t="n">
        <v>0</v>
      </c>
      <c r="Q19" s="2153" t="n">
        <v>0</v>
      </c>
      <c r="R19" s="2111">
        <f>P19+Q19*$R$46/1000</f>
        <v/>
      </c>
      <c r="S19" s="2154" t="n">
        <v>0</v>
      </c>
      <c r="T19" s="2153" t="n">
        <v>0</v>
      </c>
      <c r="U19" s="2111">
        <f>S19+T19*U46/1000</f>
        <v/>
      </c>
      <c r="V19" s="2154" t="n">
        <v>0</v>
      </c>
      <c r="W19" s="2153" t="n">
        <v>0</v>
      </c>
      <c r="X19" s="2111">
        <f>V19+W19*X46/1000</f>
        <v/>
      </c>
      <c r="Y19" s="2154" t="n">
        <v>0</v>
      </c>
      <c r="Z19" s="2153" t="n">
        <v>0</v>
      </c>
      <c r="AA19" s="2111">
        <f>Y19+Z19*AA46/1000</f>
        <v/>
      </c>
      <c r="AB19" s="2154" t="n">
        <v>0</v>
      </c>
      <c r="AC19" s="2153" t="n">
        <v>0</v>
      </c>
      <c r="AD19" s="2111">
        <f>AB19+AC19*AD46/1000</f>
        <v/>
      </c>
      <c r="AE19" s="2154" t="n">
        <v>0</v>
      </c>
      <c r="AF19" s="2153" t="n">
        <v>0</v>
      </c>
      <c r="AG19" s="2111">
        <f>AE19+AF19*AG46/1000</f>
        <v/>
      </c>
      <c r="AH19" s="2154" t="n">
        <v>0</v>
      </c>
      <c r="AI19" s="2153" t="n">
        <v>0</v>
      </c>
      <c r="AJ19" s="2111">
        <f>AH19+AI19*AJ46/1000</f>
        <v/>
      </c>
      <c r="AK19" s="2154" t="n">
        <v>0</v>
      </c>
      <c r="AL19" s="2153" t="n">
        <v>0</v>
      </c>
      <c r="AM19" s="2111">
        <f>AK19+AL19*AM46/1000</f>
        <v/>
      </c>
      <c r="AN19" s="2154" t="n">
        <v>0</v>
      </c>
      <c r="AO19" s="2153" t="n">
        <v>0</v>
      </c>
      <c r="AP19" s="2111">
        <f>AN19+AO19*AP46/1000</f>
        <v/>
      </c>
      <c r="AQ19" s="2154">
        <f>SUM(G19,J19,M19,P19,S19,V19,Y19,AB19,AE19,AH19,AK19,AN19)</f>
        <v/>
      </c>
      <c r="AR19" s="2153">
        <f>SUM(H19,K19,N19,Q19,T19,W19,Z19,AC19,AF19,AI19,AL19,AO19)</f>
        <v/>
      </c>
      <c r="AS19" s="2111">
        <f>AQ19+AR19*AS46/1000</f>
        <v/>
      </c>
      <c r="AT19" s="2154">
        <f>AQ19/$AW$3</f>
        <v/>
      </c>
      <c r="AU19" s="2153">
        <f>SUM(K19,N19,Q19,T19,W19,Z19,AC19,AF19,AI19,AL19,AO19,AR19)</f>
        <v/>
      </c>
      <c r="AV19" s="2111">
        <f>AT19+AU19*AV46/1000</f>
        <v/>
      </c>
    </row>
    <row r="20" ht="12.75" customHeight="1">
      <c r="C20" s="34" t="n"/>
      <c r="D20" s="33" t="n"/>
      <c r="E20" s="37" t="inlineStr">
        <is>
          <t>제세공과금</t>
        </is>
      </c>
      <c r="F20" s="44" t="n"/>
      <c r="G20" s="2125">
        <f>SUM(G21:G24)</f>
        <v/>
      </c>
      <c r="H20" s="2156">
        <f>SUM(H21:H24)</f>
        <v/>
      </c>
      <c r="I20" s="2127">
        <f>SUM(I21:I24)</f>
        <v/>
      </c>
      <c r="J20" s="2148">
        <f>SUM(J21:J24)</f>
        <v/>
      </c>
      <c r="K20" s="2156">
        <f>SUM(K21:K24)</f>
        <v/>
      </c>
      <c r="L20" s="2128">
        <f>SUM(L21:L24)</f>
        <v/>
      </c>
      <c r="M20" s="2157">
        <f>SUM(M21:M24)</f>
        <v/>
      </c>
      <c r="N20" s="2156">
        <f>SUM(N21:N24)</f>
        <v/>
      </c>
      <c r="O20" s="2127">
        <f>SUM(O21:O24)</f>
        <v/>
      </c>
      <c r="P20" s="2148">
        <f>SUM(P21:P24)</f>
        <v/>
      </c>
      <c r="Q20" s="2156">
        <f>SUM(Q21:Q24)</f>
        <v/>
      </c>
      <c r="R20" s="2128">
        <f>SUM(R21:R24)</f>
        <v/>
      </c>
      <c r="S20" s="2148">
        <f>SUM(S21:S24)</f>
        <v/>
      </c>
      <c r="T20" s="2156">
        <f>SUM(T21:T24)</f>
        <v/>
      </c>
      <c r="U20" s="2128">
        <f>SUM(U21:U24)</f>
        <v/>
      </c>
      <c r="V20" s="2148">
        <f>SUM(V21:V24)</f>
        <v/>
      </c>
      <c r="W20" s="2156">
        <f>SUM(W21:W24)</f>
        <v/>
      </c>
      <c r="X20" s="2128">
        <f>SUM(X21:X24)</f>
        <v/>
      </c>
      <c r="Y20" s="2148">
        <f>SUM(Y21:Y24)</f>
        <v/>
      </c>
      <c r="Z20" s="2156">
        <f>SUM(Z21:Z24)</f>
        <v/>
      </c>
      <c r="AA20" s="2128">
        <f>SUM(AA21:AA24)</f>
        <v/>
      </c>
      <c r="AB20" s="2148">
        <f>SUM(AB21:AB24)</f>
        <v/>
      </c>
      <c r="AC20" s="2156">
        <f>SUM(AC21:AC24)</f>
        <v/>
      </c>
      <c r="AD20" s="2128">
        <f>SUM(AD21:AD24)</f>
        <v/>
      </c>
      <c r="AE20" s="2148">
        <f>SUM(AE21:AE24)</f>
        <v/>
      </c>
      <c r="AF20" s="2156">
        <f>SUM(AF21:AF24)</f>
        <v/>
      </c>
      <c r="AG20" s="2128">
        <f>SUM(AG21:AG24)</f>
        <v/>
      </c>
      <c r="AH20" s="2148">
        <f>SUM(AH21:AH24)</f>
        <v/>
      </c>
      <c r="AI20" s="2156">
        <f>SUM(AI21:AI24)</f>
        <v/>
      </c>
      <c r="AJ20" s="2128">
        <f>SUM(AJ21:AJ24)</f>
        <v/>
      </c>
      <c r="AK20" s="2148">
        <f>SUM(AK21:AK24)</f>
        <v/>
      </c>
      <c r="AL20" s="2156">
        <f>SUM(AL21:AL24)</f>
        <v/>
      </c>
      <c r="AM20" s="2128">
        <f>SUM(AM21:AM24)</f>
        <v/>
      </c>
      <c r="AN20" s="2148">
        <f>SUM(AN21:AN24)</f>
        <v/>
      </c>
      <c r="AO20" s="2156" t="n"/>
      <c r="AP20" s="2128">
        <f>SUM(AP21:AP24)</f>
        <v/>
      </c>
      <c r="AQ20" s="2148">
        <f>SUM(AQ21:AQ24)</f>
        <v/>
      </c>
      <c r="AR20" s="2156" t="n"/>
      <c r="AS20" s="2128">
        <f>SUM(AS21:AS24)</f>
        <v/>
      </c>
      <c r="AT20" s="2148">
        <f>SUM(AT21:AT24)</f>
        <v/>
      </c>
      <c r="AU20" s="2156" t="n"/>
      <c r="AV20" s="2128">
        <f>SUM(AV21:AV24)</f>
        <v/>
      </c>
    </row>
    <row r="21" outlineLevel="1" ht="12.75" customHeight="1">
      <c r="C21" s="34" t="n"/>
      <c r="D21" s="33" t="n"/>
      <c r="E21" s="37" t="n"/>
      <c r="F21" s="26" t="inlineStr">
        <is>
          <t>법인세</t>
        </is>
      </c>
      <c r="G21" s="2108" t="n">
        <v>0</v>
      </c>
      <c r="H21" s="2109" t="n">
        <v>0</v>
      </c>
      <c r="I21" s="2110">
        <f>G21+H21*$R$46/1000</f>
        <v/>
      </c>
      <c r="J21" s="2108" t="n">
        <v>0</v>
      </c>
      <c r="K21" s="2109" t="n">
        <v>0</v>
      </c>
      <c r="L21" s="2111">
        <f>J21+K21*$R$46/1000</f>
        <v/>
      </c>
      <c r="M21" s="2108" t="n">
        <v>0</v>
      </c>
      <c r="N21" s="2109" t="n">
        <v>0</v>
      </c>
      <c r="O21" s="2110">
        <f>M21+N21*$R$46/1000</f>
        <v/>
      </c>
      <c r="P21" s="2141" t="n">
        <v>0</v>
      </c>
      <c r="Q21" s="2109" t="n"/>
      <c r="R21" s="2111">
        <f>P21+Q21*$R$46/1000</f>
        <v/>
      </c>
      <c r="S21" s="2141" t="n">
        <v>0</v>
      </c>
      <c r="T21" s="2109" t="n">
        <v>0</v>
      </c>
      <c r="U21" s="2111">
        <f>S21+T21*U46/1000</f>
        <v/>
      </c>
      <c r="V21" s="2141" t="n">
        <v>0</v>
      </c>
      <c r="W21" s="2109" t="n">
        <v>0</v>
      </c>
      <c r="X21" s="2111">
        <f>V21+W21*X46/1000</f>
        <v/>
      </c>
      <c r="Y21" s="2141" t="n">
        <v>0</v>
      </c>
      <c r="Z21" s="2109" t="n">
        <v>0</v>
      </c>
      <c r="AA21" s="2111">
        <f>Y21+Z21*AA46/1000</f>
        <v/>
      </c>
      <c r="AB21" s="2141" t="n"/>
      <c r="AC21" s="2109" t="n"/>
      <c r="AD21" s="2111">
        <f>AB21+AC21*AD46/1000</f>
        <v/>
      </c>
      <c r="AE21" s="2141" t="n"/>
      <c r="AF21" s="2109" t="n"/>
      <c r="AG21" s="2111">
        <f>AE21+AF21*AG46/1000</f>
        <v/>
      </c>
      <c r="AH21" s="2141" t="n"/>
      <c r="AI21" s="2109" t="n"/>
      <c r="AJ21" s="2111">
        <f>AH21+AI21*AJ46/1000</f>
        <v/>
      </c>
      <c r="AK21" s="2141" t="n"/>
      <c r="AL21" s="2109" t="n"/>
      <c r="AM21" s="2111">
        <f>AK21+AL21*AM46/1000</f>
        <v/>
      </c>
      <c r="AN21" s="2141" t="n"/>
      <c r="AO21" s="2109" t="n"/>
      <c r="AP21" s="2111">
        <f>AN21+AO21*AP46/1000</f>
        <v/>
      </c>
      <c r="AQ21" s="2141" t="n"/>
      <c r="AR21" s="2109" t="n"/>
      <c r="AS21" s="2111">
        <f>AQ21+AR21*AS46/1000</f>
        <v/>
      </c>
      <c r="AT21" s="2141">
        <f>AQ21/$AW$3</f>
        <v/>
      </c>
      <c r="AU21" s="2142">
        <f>SUM(K21,N21,Q21,T21,W21,Z21,AC21,AF21,AI21,AL21,AO21,AR21)</f>
        <v/>
      </c>
      <c r="AV21" s="2111">
        <f>AT21+AU21*AV46/1000</f>
        <v/>
      </c>
    </row>
    <row r="22" outlineLevel="1" ht="12.75" customHeight="1">
      <c r="C22" s="34" t="n"/>
      <c r="D22" s="33" t="n"/>
      <c r="E22" s="37" t="n"/>
      <c r="F22" s="37" t="inlineStr">
        <is>
          <t>부가가치세</t>
        </is>
      </c>
      <c r="G22" s="2115" t="n">
        <v>0</v>
      </c>
      <c r="H22" s="2116" t="n">
        <v>0</v>
      </c>
      <c r="I22" s="2117">
        <f>G22+H22*$R$46/1000</f>
        <v/>
      </c>
      <c r="J22" s="2115" t="n">
        <v>0</v>
      </c>
      <c r="K22" s="2116" t="n">
        <v>0</v>
      </c>
      <c r="L22" s="2118">
        <f>J22+K22*$R$46/1000</f>
        <v/>
      </c>
      <c r="M22" s="2115" t="n">
        <v>0</v>
      </c>
      <c r="N22" s="2116" t="n">
        <v>0</v>
      </c>
      <c r="O22" s="2117">
        <f>M22+N22*$R$46/1000</f>
        <v/>
      </c>
      <c r="P22" s="2145" t="n">
        <v>0</v>
      </c>
      <c r="Q22" s="2116" t="n"/>
      <c r="R22" s="2118">
        <f>P22+Q22*$R$46/1000</f>
        <v/>
      </c>
      <c r="S22" s="2145" t="n">
        <v>0</v>
      </c>
      <c r="T22" s="2116" t="n">
        <v>0</v>
      </c>
      <c r="U22" s="2118">
        <f>S22+T22*$U46/1000</f>
        <v/>
      </c>
      <c r="V22" s="2145" t="n">
        <v>0</v>
      </c>
      <c r="W22" s="2116" t="n">
        <v>0</v>
      </c>
      <c r="X22" s="2118">
        <f>V22+W22*$U46/1000</f>
        <v/>
      </c>
      <c r="Y22" s="2145" t="n">
        <v>5.274219</v>
      </c>
      <c r="Z22" s="2116" t="n">
        <v>0</v>
      </c>
      <c r="AA22" s="2118">
        <f>Y22+Z22*$U46/1000</f>
        <v/>
      </c>
      <c r="AB22" s="2145" t="n"/>
      <c r="AC22" s="2116" t="n"/>
      <c r="AD22" s="2118">
        <f>AB22+AC22*$U46/1000</f>
        <v/>
      </c>
      <c r="AE22" s="2145" t="n"/>
      <c r="AF22" s="2116" t="n"/>
      <c r="AG22" s="2118">
        <f>AE22+AF22*$U46/1000</f>
        <v/>
      </c>
      <c r="AH22" s="2145" t="n"/>
      <c r="AI22" s="2116" t="n"/>
      <c r="AJ22" s="2118">
        <f>AH22+AI22*$U46/1000</f>
        <v/>
      </c>
      <c r="AK22" s="2145" t="n"/>
      <c r="AL22" s="2116" t="n"/>
      <c r="AM22" s="2118">
        <f>AK22+AL22*$U46/1000</f>
        <v/>
      </c>
      <c r="AN22" s="2145" t="n"/>
      <c r="AO22" s="2116" t="n"/>
      <c r="AP22" s="2118">
        <f>AN22+AO22*$U46/1000</f>
        <v/>
      </c>
      <c r="AQ22" s="2145" t="n"/>
      <c r="AR22" s="2116" t="n"/>
      <c r="AS22" s="2118">
        <f>AQ22+AR22*$U46/1000</f>
        <v/>
      </c>
      <c r="AT22" s="2158">
        <f>AQ22/$AW$3</f>
        <v/>
      </c>
      <c r="AU22" s="2124">
        <f>SUM(K22,N22,Q22,T22,W22,Z22,AC22,AF22,AI22,AL22,AO22,AR22)</f>
        <v/>
      </c>
      <c r="AV22" s="2118">
        <f>AT22+AU22*$U46/1000</f>
        <v/>
      </c>
    </row>
    <row r="23" outlineLevel="1" ht="12.75" customHeight="1">
      <c r="C23" s="34" t="n"/>
      <c r="D23" s="33" t="n"/>
      <c r="E23" s="37" t="n"/>
      <c r="F23" s="37" t="inlineStr">
        <is>
          <t>원천세</t>
        </is>
      </c>
      <c r="G23" s="2115" t="n">
        <v>4.93922</v>
      </c>
      <c r="H23" s="2116" t="n">
        <v>0</v>
      </c>
      <c r="I23" s="2117">
        <f>G23+H23*$R$46/1000</f>
        <v/>
      </c>
      <c r="J23" s="2115" t="n">
        <v>5.2613</v>
      </c>
      <c r="K23" s="2116" t="n">
        <v>0</v>
      </c>
      <c r="L23" s="2118">
        <f>J23+K23*$R$46/1000</f>
        <v/>
      </c>
      <c r="M23" s="2115" t="n">
        <v>0</v>
      </c>
      <c r="N23" s="2116" t="n">
        <v>0</v>
      </c>
      <c r="O23" s="2117">
        <f>M23+N23*$R$46/1000</f>
        <v/>
      </c>
      <c r="P23" s="2145" t="n">
        <v>0</v>
      </c>
      <c r="Q23" s="2116" t="n"/>
      <c r="R23" s="2118">
        <f>P23+Q23*$R$46/1000</f>
        <v/>
      </c>
      <c r="S23" s="2145" t="n"/>
      <c r="T23" s="2116" t="n">
        <v>0</v>
      </c>
      <c r="U23" s="2118">
        <f>S23+T23*U46/1000</f>
        <v/>
      </c>
      <c r="V23" s="2145" t="n">
        <v>1.75016</v>
      </c>
      <c r="W23" s="2116" t="n">
        <v>0</v>
      </c>
      <c r="X23" s="2118">
        <f>V23+W23*X46/1000</f>
        <v/>
      </c>
      <c r="Y23" s="2145" t="n">
        <v>4</v>
      </c>
      <c r="Z23" s="2116" t="n">
        <v>0</v>
      </c>
      <c r="AA23" s="2118">
        <f>Y23+Z23*AA46/1000</f>
        <v/>
      </c>
      <c r="AB23" s="2145" t="n"/>
      <c r="AC23" s="2116" t="n"/>
      <c r="AD23" s="2118">
        <f>AB23+AC23*AD46/1000</f>
        <v/>
      </c>
      <c r="AE23" s="2145" t="n"/>
      <c r="AF23" s="2116" t="n"/>
      <c r="AG23" s="2118">
        <f>AE23+AF23*AG46/1000</f>
        <v/>
      </c>
      <c r="AH23" s="2145" t="n"/>
      <c r="AI23" s="2116" t="n"/>
      <c r="AJ23" s="2118">
        <f>AH23+AI23*AJ46/1000</f>
        <v/>
      </c>
      <c r="AK23" s="2145" t="n"/>
      <c r="AL23" s="2116" t="n"/>
      <c r="AM23" s="2118">
        <f>AK23+AL23*AM46/1000</f>
        <v/>
      </c>
      <c r="AN23" s="2145" t="n"/>
      <c r="AO23" s="2116" t="n"/>
      <c r="AP23" s="2118">
        <f>AN23+AO23*AP46/1000</f>
        <v/>
      </c>
      <c r="AQ23" s="2145" t="n"/>
      <c r="AR23" s="2116" t="n"/>
      <c r="AS23" s="2118">
        <f>AQ23+AR23*AS46/1000</f>
        <v/>
      </c>
      <c r="AT23" s="2158">
        <f>AQ23/$AW$3</f>
        <v/>
      </c>
      <c r="AU23" s="2124">
        <f>SUM(K23,N23,Q23,T23,W23,Z23,AC23,AF23,AI23,AL23,AO23,AR23)</f>
        <v/>
      </c>
      <c r="AV23" s="2118">
        <f>AT23+AU23*AV46/1000</f>
        <v/>
      </c>
    </row>
    <row r="24" outlineLevel="1" ht="12.75" customHeight="1">
      <c r="C24" s="34" t="n"/>
      <c r="D24" s="33" t="n"/>
      <c r="E24" s="42" t="n"/>
      <c r="F24" s="42" t="inlineStr">
        <is>
          <t>기타제세공과금</t>
        </is>
      </c>
      <c r="G24" s="2125" t="n">
        <v>0</v>
      </c>
      <c r="H24" s="2126" t="n">
        <v>0</v>
      </c>
      <c r="I24" s="2127">
        <f>G24+H24*$R$46/1000</f>
        <v/>
      </c>
      <c r="J24" s="2125" t="n">
        <v>0</v>
      </c>
      <c r="K24" s="2126" t="n">
        <v>0</v>
      </c>
      <c r="L24" s="2128">
        <f>J24+K24*$R$46/1000</f>
        <v/>
      </c>
      <c r="M24" s="2125" t="n">
        <v>0</v>
      </c>
      <c r="N24" s="2126" t="n">
        <v>0</v>
      </c>
      <c r="O24" s="2127">
        <f>M24+N24*$R$46/1000</f>
        <v/>
      </c>
      <c r="P24" s="2148" t="n">
        <v>0</v>
      </c>
      <c r="Q24" s="2126" t="n"/>
      <c r="R24" s="2128">
        <f>P24+Q24*$R$46/1000</f>
        <v/>
      </c>
      <c r="S24" s="2148" t="n">
        <v>0</v>
      </c>
      <c r="T24" s="2126" t="n">
        <v>0</v>
      </c>
      <c r="U24" s="2128">
        <f>S24+T24*U46/1000</f>
        <v/>
      </c>
      <c r="V24" s="2148" t="n">
        <v>0</v>
      </c>
      <c r="W24" s="2126" t="n">
        <v>0</v>
      </c>
      <c r="X24" s="2128">
        <f>V24+W24*X46/1000</f>
        <v/>
      </c>
      <c r="Y24" s="2148" t="n">
        <v>0</v>
      </c>
      <c r="Z24" s="2126" t="n">
        <v>0</v>
      </c>
      <c r="AA24" s="2128">
        <f>Y24+Z24*AA46/1000</f>
        <v/>
      </c>
      <c r="AB24" s="2148" t="n"/>
      <c r="AC24" s="2126" t="n"/>
      <c r="AD24" s="2128">
        <f>AB24+AC24*AD46/1000</f>
        <v/>
      </c>
      <c r="AE24" s="2148" t="n"/>
      <c r="AF24" s="2126" t="n"/>
      <c r="AG24" s="2128">
        <f>AE24+AF24*AG46/1000</f>
        <v/>
      </c>
      <c r="AH24" s="2148" t="n"/>
      <c r="AI24" s="2126" t="n"/>
      <c r="AJ24" s="2128">
        <f>AH24+AI24*AJ46/1000</f>
        <v/>
      </c>
      <c r="AK24" s="2148" t="n"/>
      <c r="AL24" s="2126" t="n"/>
      <c r="AM24" s="2128">
        <f>AK24+AL24*AM46/1000</f>
        <v/>
      </c>
      <c r="AN24" s="2148" t="n"/>
      <c r="AO24" s="2126" t="n"/>
      <c r="AP24" s="2128">
        <f>AN24+AO24*AP46/1000</f>
        <v/>
      </c>
      <c r="AQ24" s="2159" t="n"/>
      <c r="AR24" s="2126" t="n"/>
      <c r="AS24" s="2128">
        <f>AQ24+AR24*AS46/1000</f>
        <v/>
      </c>
      <c r="AT24" s="2160">
        <f>AQ24/$AW$3</f>
        <v/>
      </c>
      <c r="AU24" s="2149">
        <f>SUM(K24,N24,Q24,T24,W24,Z24,AC24,AF24,AI24,AL24,AO24,AR24)</f>
        <v/>
      </c>
      <c r="AV24" s="2128">
        <f>AT24+AU24*AV46/1000</f>
        <v/>
      </c>
    </row>
    <row r="25" ht="12.75" customHeight="1">
      <c r="C25" s="34" t="n"/>
      <c r="D25" s="33" t="n"/>
      <c r="E25" s="37" t="inlineStr">
        <is>
          <t>지급이자</t>
        </is>
      </c>
      <c r="F25" s="44" t="n"/>
      <c r="G25" s="2161" t="n">
        <v>0</v>
      </c>
      <c r="H25" s="2124" t="n">
        <v>0</v>
      </c>
      <c r="I25" s="2117">
        <f>G25+H25*$R$46/1000</f>
        <v/>
      </c>
      <c r="J25" s="2119" t="n">
        <v>0</v>
      </c>
      <c r="K25" s="2124" t="n">
        <v>0</v>
      </c>
      <c r="L25" s="2118">
        <f>J25+K25*$R$46/1000</f>
        <v/>
      </c>
      <c r="M25" s="2162" t="n">
        <v>0</v>
      </c>
      <c r="N25" s="2124" t="n">
        <v>0</v>
      </c>
      <c r="O25" s="2117">
        <f>M25+N25*$R$46/1000</f>
        <v/>
      </c>
      <c r="P25" s="2119" t="n">
        <v>0</v>
      </c>
      <c r="Q25" s="2124" t="n">
        <v>0</v>
      </c>
      <c r="R25" s="2118">
        <f>P25+Q25*$R$46/1000</f>
        <v/>
      </c>
      <c r="S25" s="2119" t="n">
        <v>0</v>
      </c>
      <c r="T25" s="2124" t="n">
        <v>0</v>
      </c>
      <c r="U25" s="2118">
        <f>S25+T25*U46/1000</f>
        <v/>
      </c>
      <c r="V25" s="2119" t="n">
        <v>0</v>
      </c>
      <c r="W25" s="2124" t="n">
        <v>0</v>
      </c>
      <c r="X25" s="2118">
        <f>V25+W25*X46/1000</f>
        <v/>
      </c>
      <c r="Y25" s="2119" t="n">
        <v>0</v>
      </c>
      <c r="Z25" s="2124" t="n">
        <v>0</v>
      </c>
      <c r="AA25" s="2118">
        <f>Y25+Z25*AA46/1000</f>
        <v/>
      </c>
      <c r="AB25" s="2119" t="n">
        <v>0</v>
      </c>
      <c r="AC25" s="2124" t="n">
        <v>0</v>
      </c>
      <c r="AD25" s="2118">
        <f>AB25+AC25*AD46/1000</f>
        <v/>
      </c>
      <c r="AE25" s="2119" t="n">
        <v>0</v>
      </c>
      <c r="AF25" s="2124" t="n">
        <v>0</v>
      </c>
      <c r="AG25" s="2118">
        <f>AE25+AF25*AG46/1000</f>
        <v/>
      </c>
      <c r="AH25" s="2119" t="n">
        <v>0</v>
      </c>
      <c r="AI25" s="2124" t="n">
        <v>0</v>
      </c>
      <c r="AJ25" s="2118">
        <f>AH25+AI25*AJ46/1000</f>
        <v/>
      </c>
      <c r="AK25" s="2119" t="n">
        <v>0</v>
      </c>
      <c r="AL25" s="2124" t="n">
        <v>0</v>
      </c>
      <c r="AM25" s="2118">
        <f>AK25+AL25*AM46/1000</f>
        <v/>
      </c>
      <c r="AN25" s="2119" t="n">
        <v>0</v>
      </c>
      <c r="AO25" s="2124" t="n">
        <v>0</v>
      </c>
      <c r="AP25" s="2118">
        <f>AN25+AO25*AP46/1000</f>
        <v/>
      </c>
      <c r="AQ25" s="2119">
        <f>SUM(G25,J25,M25,P25,S25,V25,Y25,AB25,AE25,AH25,AK25,AN25)</f>
        <v/>
      </c>
      <c r="AR25" s="2124">
        <f>SUM(H25,K25,N25,Q25,T25,W25,Z25,AC25,AF25,AI25,AL25,AO25)</f>
        <v/>
      </c>
      <c r="AS25" s="2118">
        <f>AQ25+AR25*AS46/1000</f>
        <v/>
      </c>
      <c r="AT25" s="2163">
        <f>AQ25/$AW$3</f>
        <v/>
      </c>
      <c r="AU25" s="2124">
        <f>SUM(K25,N25,Q25,T25,W25,Z25,AC25,AF25,AI25,AL25,AO25,AR25)</f>
        <v/>
      </c>
      <c r="AV25" s="2118">
        <f>AT25+AU25*AV46/1000</f>
        <v/>
      </c>
    </row>
    <row r="26" ht="12.75" customHeight="1">
      <c r="C26" s="34" t="n"/>
      <c r="D26" s="33" t="n"/>
      <c r="E26" s="37" t="inlineStr">
        <is>
          <t>자산매입</t>
        </is>
      </c>
      <c r="F26" s="44" t="n"/>
      <c r="G26" s="2161" t="n">
        <v>0</v>
      </c>
      <c r="H26" s="2164" t="n">
        <v>0</v>
      </c>
      <c r="I26" s="2117">
        <f>G26+H26*$R$46/1000</f>
        <v/>
      </c>
      <c r="J26" s="2119" t="n">
        <v>0</v>
      </c>
      <c r="K26" s="2164" t="n">
        <v>0</v>
      </c>
      <c r="L26" s="2118">
        <f>J26+K26*$R$46/1000</f>
        <v/>
      </c>
      <c r="M26" s="2162" t="n">
        <v>0</v>
      </c>
      <c r="N26" s="2164" t="n">
        <v>0</v>
      </c>
      <c r="O26" s="2117">
        <f>M26+N26*$R$46/1000</f>
        <v/>
      </c>
      <c r="P26" s="2119" t="n">
        <v>0</v>
      </c>
      <c r="Q26" s="2164" t="n">
        <v>0</v>
      </c>
      <c r="R26" s="2118">
        <f>P26+Q26*$R$46/1000</f>
        <v/>
      </c>
      <c r="S26" s="2119" t="n">
        <v>0</v>
      </c>
      <c r="T26" s="2164" t="n">
        <v>0</v>
      </c>
      <c r="U26" s="2118">
        <f>S26+T26*U46/1000</f>
        <v/>
      </c>
      <c r="V26" s="2119" t="n"/>
      <c r="W26" s="2164" t="n">
        <v>0</v>
      </c>
      <c r="X26" s="2118">
        <f>V26+W26*X46/1000</f>
        <v/>
      </c>
      <c r="Y26" s="2119" t="n">
        <v>0</v>
      </c>
      <c r="Z26" s="2164" t="n">
        <v>0</v>
      </c>
      <c r="AA26" s="2118">
        <f>Y26+Z26*AA46/1000</f>
        <v/>
      </c>
      <c r="AB26" s="2119" t="n">
        <v>0</v>
      </c>
      <c r="AC26" s="2164" t="n">
        <v>0</v>
      </c>
      <c r="AD26" s="2118">
        <f>AB26+AC26*AD46/1000</f>
        <v/>
      </c>
      <c r="AE26" s="2119" t="n">
        <v>0</v>
      </c>
      <c r="AF26" s="2164" t="n">
        <v>0</v>
      </c>
      <c r="AG26" s="2118">
        <f>AE26+AF26*AG46/1000</f>
        <v/>
      </c>
      <c r="AH26" s="2119" t="n">
        <v>0</v>
      </c>
      <c r="AI26" s="2164" t="n">
        <v>0</v>
      </c>
      <c r="AJ26" s="2118">
        <f>AH26+AI26*AJ46/1000</f>
        <v/>
      </c>
      <c r="AK26" s="2119" t="n">
        <v>0</v>
      </c>
      <c r="AL26" s="2164" t="n">
        <v>0</v>
      </c>
      <c r="AM26" s="2118">
        <f>AK26+AL26*AM46/1000</f>
        <v/>
      </c>
      <c r="AN26" s="2119" t="n">
        <v>0</v>
      </c>
      <c r="AO26" s="2164" t="n">
        <v>0</v>
      </c>
      <c r="AP26" s="2118">
        <f>AN26+AO26*AP46/1000</f>
        <v/>
      </c>
      <c r="AQ26" s="2119">
        <f>SUM(G26,J26,M26,P26,S26,V26,Y26,AB26,AE26,AH26,AK26,AN26)</f>
        <v/>
      </c>
      <c r="AR26" s="2164">
        <f>SUM(H26,K26,N26,Q26,T26,W26,Z26,AC26,AF26,AI26,AL26,AO26)</f>
        <v/>
      </c>
      <c r="AS26" s="2118">
        <f>AQ26+AR26*AS46/1000</f>
        <v/>
      </c>
      <c r="AT26" s="2158">
        <f>AQ26/$AW$3</f>
        <v/>
      </c>
      <c r="AU26" s="2164">
        <f>SUM(K26,N26,Q26,T26,W26,Z26,AC26,AF26,AI26,AL26,AO26,AR26)</f>
        <v/>
      </c>
      <c r="AV26" s="2118">
        <f>AT26+AU26*AV46/1000</f>
        <v/>
      </c>
    </row>
    <row r="27" ht="12.75" customHeight="1">
      <c r="C27" s="34" t="n"/>
      <c r="D27" s="33" t="n"/>
      <c r="E27" s="37" t="inlineStr">
        <is>
          <t>투자금</t>
        </is>
      </c>
      <c r="F27" s="44" t="n"/>
      <c r="G27" s="2161" t="n">
        <v>0</v>
      </c>
      <c r="H27" s="2165" t="n">
        <v>0</v>
      </c>
      <c r="I27" s="2117">
        <f>G27+H27*$R$46/1000</f>
        <v/>
      </c>
      <c r="J27" s="2166" t="n">
        <v>7.13645</v>
      </c>
      <c r="K27" s="2165" t="n">
        <v>0</v>
      </c>
      <c r="L27" s="2118">
        <f>J27+K27*$R$46/1000</f>
        <v/>
      </c>
      <c r="M27" s="2166" t="n">
        <v>999.99</v>
      </c>
      <c r="N27" s="2165" t="n">
        <v>0</v>
      </c>
      <c r="O27" s="2117">
        <f>M27+N27*$R$46/1000</f>
        <v/>
      </c>
      <c r="P27" s="2119" t="n">
        <v>0</v>
      </c>
      <c r="Q27" s="2165" t="n">
        <v>0</v>
      </c>
      <c r="R27" s="2118">
        <f>P27+Q27*$R$46/1000</f>
        <v/>
      </c>
      <c r="S27" s="2119" t="n">
        <v>0</v>
      </c>
      <c r="T27" s="2165" t="n">
        <v>0</v>
      </c>
      <c r="U27" s="2118">
        <f>S27+T27*U47/1000</f>
        <v/>
      </c>
      <c r="V27" s="2119" t="n"/>
      <c r="W27" s="2165" t="n">
        <v>0</v>
      </c>
      <c r="X27" s="2118">
        <f>V27+W27*X47/1000</f>
        <v/>
      </c>
      <c r="Y27" s="2119" t="n">
        <v>0</v>
      </c>
      <c r="Z27" s="2165" t="n">
        <v>0</v>
      </c>
      <c r="AA27" s="2118">
        <f>Y27+Z27*AA47/1000</f>
        <v/>
      </c>
      <c r="AB27" s="2119" t="n">
        <v>0</v>
      </c>
      <c r="AC27" s="2165" t="n">
        <v>0</v>
      </c>
      <c r="AD27" s="2118">
        <f>AB27+AC27*AD47/1000</f>
        <v/>
      </c>
      <c r="AE27" s="2119" t="n">
        <v>0</v>
      </c>
      <c r="AF27" s="2165" t="n">
        <v>0</v>
      </c>
      <c r="AG27" s="2118">
        <f>AE27+AF27*AG47/1000</f>
        <v/>
      </c>
      <c r="AH27" s="2119" t="n">
        <v>0</v>
      </c>
      <c r="AI27" s="2165" t="n">
        <v>0</v>
      </c>
      <c r="AJ27" s="2118">
        <f>AH27+AI27*AJ47/1000</f>
        <v/>
      </c>
      <c r="AK27" s="2119" t="n">
        <v>0</v>
      </c>
      <c r="AL27" s="2165" t="n">
        <v>0</v>
      </c>
      <c r="AM27" s="2118">
        <f>AK27+AL27*AM47/1000</f>
        <v/>
      </c>
      <c r="AN27" s="2119" t="n">
        <v>0</v>
      </c>
      <c r="AO27" s="2165" t="n">
        <v>0</v>
      </c>
      <c r="AP27" s="2118">
        <f>AN27+AO27*AP47/1000</f>
        <v/>
      </c>
      <c r="AQ27" s="2119">
        <f>SUM(G27,J27,M27,P27,S27,V27,Y27,AB27,AE27,AH27,AK27,AN27)</f>
        <v/>
      </c>
      <c r="AR27" s="2165">
        <f>SUM(H27,K27,N27,Q27,T27,W27,Z27,AC27,AF27,AI27,AL27,AO27)</f>
        <v/>
      </c>
      <c r="AS27" s="2118">
        <f>AQ27+AR27*AS47/1000</f>
        <v/>
      </c>
      <c r="AT27" s="2145">
        <f>AQ27/$AW$3</f>
        <v/>
      </c>
      <c r="AU27" s="2165">
        <f>SUM(K27,N27,Q27,T27,W27,Z27,AC27,AF27,AI27,AL27,AO27,AR27)</f>
        <v/>
      </c>
      <c r="AV27" s="2118">
        <f>AT27+AU27*AV47/1000</f>
        <v/>
      </c>
    </row>
    <row r="28" ht="12.75" customHeight="1">
      <c r="C28" s="34" t="n"/>
      <c r="D28" s="33" t="n"/>
      <c r="E28" s="37" t="inlineStr">
        <is>
          <t>기타</t>
        </is>
      </c>
      <c r="F28" s="44" t="n"/>
      <c r="G28" s="2127">
        <f>SUM(G29:G32)</f>
        <v/>
      </c>
      <c r="H28" s="2149">
        <f>SUM(H29:H32)</f>
        <v/>
      </c>
      <c r="I28" s="2127">
        <f>SUM(I29:I32)</f>
        <v/>
      </c>
      <c r="J28" s="2167">
        <f>SUM(J29:J32)</f>
        <v/>
      </c>
      <c r="K28" s="2149">
        <f>SUM(K29:K32)</f>
        <v/>
      </c>
      <c r="L28" s="2128">
        <f>SUM(L29:L32)</f>
        <v/>
      </c>
      <c r="M28" s="2168" t="n">
        <v>6.6807455</v>
      </c>
      <c r="N28" s="2149" t="n">
        <v>0</v>
      </c>
      <c r="O28" s="2127">
        <f>SUM(O29:O32)</f>
        <v/>
      </c>
      <c r="P28" s="2167">
        <f>SUM(P29:P32)</f>
        <v/>
      </c>
      <c r="Q28" s="2149">
        <f>SUM(Q29:Q32)</f>
        <v/>
      </c>
      <c r="R28" s="2128">
        <f>SUM(R29:R32)</f>
        <v/>
      </c>
      <c r="S28" s="2167">
        <f>SUM(S29:S32)</f>
        <v/>
      </c>
      <c r="T28" s="2149">
        <f>SUM(T29:T32)</f>
        <v/>
      </c>
      <c r="U28" s="2128">
        <f>SUM(U29:U32)</f>
        <v/>
      </c>
      <c r="V28" s="2167">
        <f>SUM(V29:V32)</f>
        <v/>
      </c>
      <c r="W28" s="2149">
        <f>SUM(W29:W32)</f>
        <v/>
      </c>
      <c r="X28" s="2128">
        <f>SUM(X29:X32)</f>
        <v/>
      </c>
      <c r="Y28" s="2167">
        <f>SUM(Y29:Y32)</f>
        <v/>
      </c>
      <c r="Z28" s="2149" t="n">
        <v>0</v>
      </c>
      <c r="AA28" s="2128">
        <f>SUM(AA29:AA32)</f>
        <v/>
      </c>
      <c r="AB28" s="2167">
        <f>SUM(AB29:AB32)</f>
        <v/>
      </c>
      <c r="AC28" s="2149">
        <f>SUM(AC29:AC32)</f>
        <v/>
      </c>
      <c r="AD28" s="2128">
        <f>SUM(AD29:AD32)</f>
        <v/>
      </c>
      <c r="AE28" s="2167">
        <f>SUM(AE29:AE32)</f>
        <v/>
      </c>
      <c r="AF28" s="2149">
        <f>SUM(AF29:AF32)</f>
        <v/>
      </c>
      <c r="AG28" s="2128">
        <f>SUM(AG29:AG32)</f>
        <v/>
      </c>
      <c r="AH28" s="2167">
        <f>SUM(AH29:AH32)</f>
        <v/>
      </c>
      <c r="AI28" s="2149">
        <f>SUM(AI29:AI32)</f>
        <v/>
      </c>
      <c r="AJ28" s="2128">
        <f>SUM(AJ29:AJ32)</f>
        <v/>
      </c>
      <c r="AK28" s="2167">
        <f>SUM(AK29:AK32)</f>
        <v/>
      </c>
      <c r="AL28" s="2149">
        <f>SUM(AL29:AL32)</f>
        <v/>
      </c>
      <c r="AM28" s="2128">
        <f>SUM(AM29:AM32)</f>
        <v/>
      </c>
      <c r="AN28" s="2167">
        <f>SUM(AN29:AN32)</f>
        <v/>
      </c>
      <c r="AO28" s="2149">
        <f>SUM(AO29:AO32)</f>
        <v/>
      </c>
      <c r="AP28" s="2128">
        <f>SUM(AP29:AP32)</f>
        <v/>
      </c>
      <c r="AQ28" s="2167">
        <f>SUM(AQ29:AQ32)</f>
        <v/>
      </c>
      <c r="AR28" s="2149">
        <f>SUM(AR29:AR32)</f>
        <v/>
      </c>
      <c r="AS28" s="2128">
        <f>SUM(AS29:AS32)</f>
        <v/>
      </c>
      <c r="AT28" s="2167">
        <f>SUM(AT29:AT32)</f>
        <v/>
      </c>
      <c r="AU28" s="2149">
        <f>SUM(AU29:AU32)</f>
        <v/>
      </c>
      <c r="AV28" s="2128">
        <f>SUM(AV29:AV32)</f>
        <v/>
      </c>
    </row>
    <row r="29" outlineLevel="1" ht="12.75" customHeight="1">
      <c r="C29" s="34" t="n"/>
      <c r="D29" s="33" t="n"/>
      <c r="E29" s="33" t="n"/>
      <c r="F29" s="26" t="inlineStr">
        <is>
          <t>전산관련지출</t>
        </is>
      </c>
      <c r="G29" s="2108" t="n">
        <v>0.78595</v>
      </c>
      <c r="H29" s="2109" t="n">
        <v>0</v>
      </c>
      <c r="I29" s="2108">
        <f>G29+H29*$R$46/1000</f>
        <v/>
      </c>
      <c r="J29" s="2108" t="n">
        <v>2.840809</v>
      </c>
      <c r="K29" s="2109" t="n">
        <v>0</v>
      </c>
      <c r="L29" s="2169">
        <f>J29+K29*$R$46/1000</f>
        <v/>
      </c>
      <c r="M29" s="2108" t="n">
        <v>0.9103059999999999</v>
      </c>
      <c r="N29" s="2109" t="n">
        <v>0</v>
      </c>
      <c r="O29" s="2108">
        <f>M29+N29*$R$46/1000</f>
        <v/>
      </c>
      <c r="P29" s="2141" t="n">
        <v>0.7082039999999999</v>
      </c>
      <c r="Q29" s="2109" t="n">
        <v>0</v>
      </c>
      <c r="R29" s="2169">
        <f>P29+Q29*$R$46/1000</f>
        <v/>
      </c>
      <c r="S29" s="2141" t="n">
        <v>0.826483</v>
      </c>
      <c r="T29" s="2109" t="n">
        <v>0</v>
      </c>
      <c r="U29" s="2169">
        <f>S29+T29*U46/1000</f>
        <v/>
      </c>
      <c r="V29" s="2141" t="n">
        <v>1.41149</v>
      </c>
      <c r="W29" s="2109" t="n">
        <v>0</v>
      </c>
      <c r="X29" s="2169">
        <f>V29+W29*X46/1000</f>
        <v/>
      </c>
      <c r="Y29" s="2141" t="n">
        <v>0.826925</v>
      </c>
      <c r="Z29" s="2109" t="n">
        <v>0</v>
      </c>
      <c r="AA29" s="2169">
        <f>Y29+Z29*AA46/1000</f>
        <v/>
      </c>
      <c r="AB29" s="2141" t="n"/>
      <c r="AC29" s="2109" t="n"/>
      <c r="AD29" s="2169">
        <f>AB29+AC29*AD50/1000</f>
        <v/>
      </c>
      <c r="AE29" s="2141" t="n"/>
      <c r="AF29" s="2109" t="n"/>
      <c r="AG29" s="2169">
        <f>AE29+AF29*AG46/1000</f>
        <v/>
      </c>
      <c r="AH29" s="2141" t="n"/>
      <c r="AI29" s="2109" t="n"/>
      <c r="AJ29" s="2169">
        <f>AH29+AI29*AJ46/1000</f>
        <v/>
      </c>
      <c r="AK29" s="2141" t="n"/>
      <c r="AL29" s="2109" t="n"/>
      <c r="AM29" s="2169">
        <f>AK29+AL29*AM46/1000</f>
        <v/>
      </c>
      <c r="AN29" s="2141" t="n"/>
      <c r="AO29" s="2124" t="n"/>
      <c r="AP29" s="2169">
        <f>AN29+AO29*AP46/1000</f>
        <v/>
      </c>
      <c r="AQ29" s="2141" t="n"/>
      <c r="AR29" s="2124" t="n"/>
      <c r="AS29" s="2169">
        <f>AQ29+AR29*AS46/1000</f>
        <v/>
      </c>
      <c r="AT29" s="2163">
        <f>AQ29/$AW$3</f>
        <v/>
      </c>
      <c r="AU29" s="2124">
        <f>SUM(K29,N29,Q29,T29,W29,Z29,AC29,AF29,AI29,AL29,AO29,AR29)</f>
        <v/>
      </c>
      <c r="AV29" s="2169">
        <f>AT29+AU29*AV46/1000</f>
        <v/>
      </c>
    </row>
    <row r="30" outlineLevel="1" ht="12.75" customHeight="1">
      <c r="C30" s="34" t="n"/>
      <c r="D30" s="33" t="n"/>
      <c r="E30" s="33" t="n"/>
      <c r="F30" s="37" t="inlineStr">
        <is>
          <t>개발 외주용역비</t>
        </is>
      </c>
      <c r="G30" s="2115" t="n">
        <v>0</v>
      </c>
      <c r="H30" s="2116" t="n">
        <v>0</v>
      </c>
      <c r="I30" s="2115">
        <f>G30+H30*$R$46/1000</f>
        <v/>
      </c>
      <c r="J30" s="2115" t="n">
        <v>0</v>
      </c>
      <c r="K30" s="2116" t="n">
        <v>0</v>
      </c>
      <c r="L30" s="2118">
        <f>J30+K30*$R$46/1000</f>
        <v/>
      </c>
      <c r="M30" s="2115" t="n">
        <v>0</v>
      </c>
      <c r="N30" s="2116" t="n">
        <v>0</v>
      </c>
      <c r="O30" s="2115">
        <f>M30+N30*$R$46/1000</f>
        <v/>
      </c>
      <c r="P30" s="2145" t="n">
        <v>0</v>
      </c>
      <c r="Q30" s="2116" t="n">
        <v>0</v>
      </c>
      <c r="R30" s="2118">
        <f>P30+Q30*$R$46/1000</f>
        <v/>
      </c>
      <c r="S30" s="2145" t="n">
        <v>0</v>
      </c>
      <c r="T30" s="2116" t="n">
        <v>0</v>
      </c>
      <c r="U30" s="2118">
        <f>S30+T30*U46/1000</f>
        <v/>
      </c>
      <c r="V30" s="2145" t="n">
        <v>0</v>
      </c>
      <c r="W30" s="2116" t="n">
        <v>0</v>
      </c>
      <c r="X30" s="2118">
        <f>V30+W30*X46/1000</f>
        <v/>
      </c>
      <c r="Y30" s="2145" t="n">
        <v>0</v>
      </c>
      <c r="Z30" s="2116" t="n">
        <v>0</v>
      </c>
      <c r="AA30" s="2118">
        <f>Y30+Z30*AA46/1000</f>
        <v/>
      </c>
      <c r="AB30" s="2145" t="n"/>
      <c r="AC30" s="2116" t="n"/>
      <c r="AD30" s="2118">
        <f>AB30+AC30*AD51/1000</f>
        <v/>
      </c>
      <c r="AE30" s="2145" t="n"/>
      <c r="AF30" s="2116" t="n"/>
      <c r="AG30" s="2118">
        <f>AE30+AF30*AG46/1000</f>
        <v/>
      </c>
      <c r="AH30" s="2145" t="n"/>
      <c r="AI30" s="2116" t="n"/>
      <c r="AJ30" s="2118">
        <f>AH30+AI30*AJ46/1000</f>
        <v/>
      </c>
      <c r="AK30" s="2145" t="n"/>
      <c r="AL30" s="2116" t="n"/>
      <c r="AM30" s="2118">
        <f>AK30+AL30*AM46/1000</f>
        <v/>
      </c>
      <c r="AN30" s="2145" t="n"/>
      <c r="AO30" s="2124" t="n"/>
      <c r="AP30" s="2118">
        <f>AN30+AO30*AP46/1000</f>
        <v/>
      </c>
      <c r="AQ30" s="2145" t="n"/>
      <c r="AR30" s="2124" t="n"/>
      <c r="AS30" s="2118">
        <f>AQ30+AR30*AS46/1000</f>
        <v/>
      </c>
      <c r="AT30" s="2158">
        <f>AQ30/$AW$3</f>
        <v/>
      </c>
      <c r="AU30" s="2124">
        <f>SUM(K30,N30,Q30,T30,W30,Z30,AC30,AF30,AI30,AL30,AO30,AR30)</f>
        <v/>
      </c>
      <c r="AV30" s="2118">
        <f>AT30+AU30*AV46/1000</f>
        <v/>
      </c>
    </row>
    <row r="31" outlineLevel="1" ht="12.75" customHeight="1">
      <c r="C31" s="34" t="n"/>
      <c r="D31" s="33" t="n"/>
      <c r="E31" s="33" t="n"/>
      <c r="F31" s="37" t="inlineStr">
        <is>
          <t>경영, 업무지원, 운영용역비</t>
        </is>
      </c>
      <c r="G31" s="2115" t="n">
        <v>3.557324</v>
      </c>
      <c r="H31" s="2116" t="n">
        <v>0</v>
      </c>
      <c r="I31" s="2115">
        <f>G31+H31*$R$46/1000</f>
        <v/>
      </c>
      <c r="J31" s="2115" t="n">
        <v>0.061712</v>
      </c>
      <c r="K31" s="2116" t="n">
        <v>0</v>
      </c>
      <c r="L31" s="2118">
        <f>J31+K31*$R$46/1000</f>
        <v/>
      </c>
      <c r="M31" s="2115" t="n">
        <v>0.04229</v>
      </c>
      <c r="N31" s="2116" t="n">
        <v>0</v>
      </c>
      <c r="O31" s="2115">
        <f>M31+N31*$R$46/1000</f>
        <v/>
      </c>
      <c r="P31" s="2145" t="n">
        <v>3.349059</v>
      </c>
      <c r="Q31" s="2116" t="n">
        <v>0</v>
      </c>
      <c r="R31" s="2118">
        <f>P31+Q31*$R$46/1000</f>
        <v/>
      </c>
      <c r="S31" s="2145" t="n">
        <v>0.044597</v>
      </c>
      <c r="T31" s="2116" t="n">
        <v>0</v>
      </c>
      <c r="U31" s="2118">
        <f>S31+T31*U46/1000</f>
        <v/>
      </c>
      <c r="V31" s="2145" t="n">
        <v>0.044976</v>
      </c>
      <c r="W31" s="2116" t="n">
        <v>0</v>
      </c>
      <c r="X31" s="2118">
        <f>V31+W31*X46/1000</f>
        <v/>
      </c>
      <c r="Y31" s="2145" t="n">
        <v>3.365196</v>
      </c>
      <c r="Z31" s="2116" t="n">
        <v>0</v>
      </c>
      <c r="AA31" s="2118">
        <f>Y31+Z31*AA46/1000</f>
        <v/>
      </c>
      <c r="AB31" s="2145" t="n"/>
      <c r="AC31" s="2116" t="n"/>
      <c r="AD31" s="2118">
        <f>AB31+AC31*AD52/1000</f>
        <v/>
      </c>
      <c r="AE31" s="2145" t="n"/>
      <c r="AF31" s="2116" t="n"/>
      <c r="AG31" s="2118">
        <f>AE31+AF31*AG46/1000</f>
        <v/>
      </c>
      <c r="AH31" s="2145" t="n"/>
      <c r="AI31" s="2116" t="n"/>
      <c r="AJ31" s="2118">
        <f>AH31+AI31*AJ46/1000</f>
        <v/>
      </c>
      <c r="AK31" s="2145" t="n"/>
      <c r="AL31" s="2116" t="n"/>
      <c r="AM31" s="2118">
        <f>AK31+AL31*AM46/1000</f>
        <v/>
      </c>
      <c r="AN31" s="2145" t="n"/>
      <c r="AO31" s="2124" t="n"/>
      <c r="AP31" s="2118">
        <f>AN31+AO31*AP46/1000</f>
        <v/>
      </c>
      <c r="AQ31" s="2145" t="n"/>
      <c r="AR31" s="2124" t="n"/>
      <c r="AS31" s="2118">
        <f>AQ31+AR31*AS46/1000</f>
        <v/>
      </c>
      <c r="AT31" s="2158">
        <f>AQ31/$AW$3</f>
        <v/>
      </c>
      <c r="AU31" s="2124">
        <f>SUM(K31,N31,Q31,T31,W31,Z31,AC31,AF31,AI31,AL31,AO31,AR31)</f>
        <v/>
      </c>
      <c r="AV31" s="2118">
        <f>AT31+AU31*AV46/1000</f>
        <v/>
      </c>
    </row>
    <row r="32" outlineLevel="1" ht="12.75" customHeight="1">
      <c r="C32" s="34" t="n"/>
      <c r="D32" s="33" t="n"/>
      <c r="E32" s="32" t="n"/>
      <c r="F32" s="16" t="inlineStr">
        <is>
          <t>기타</t>
        </is>
      </c>
      <c r="G32" s="2125" t="n">
        <v>9.823585</v>
      </c>
      <c r="H32" s="2126" t="n">
        <v>0</v>
      </c>
      <c r="I32" s="2170">
        <f>G32+H32*$R$46/1000</f>
        <v/>
      </c>
      <c r="J32" s="2125" t="n">
        <v>10.717108</v>
      </c>
      <c r="K32" s="2126" t="n">
        <v>0</v>
      </c>
      <c r="L32" s="2171">
        <f>J32+K32*$R$46/1000</f>
        <v/>
      </c>
      <c r="M32" s="2125" t="n">
        <v>5.55748</v>
      </c>
      <c r="N32" s="2126" t="n">
        <v>0</v>
      </c>
      <c r="O32" s="2170">
        <f>M32+N32*$R$46/1000</f>
        <v/>
      </c>
      <c r="P32" s="2148" t="n">
        <v>7.353326</v>
      </c>
      <c r="Q32" s="2126" t="n">
        <v>0</v>
      </c>
      <c r="R32" s="2171">
        <f>P32+Q32*$R$46/1000</f>
        <v/>
      </c>
      <c r="S32" s="2148" t="n">
        <v>14.374141</v>
      </c>
      <c r="T32" s="2126" t="n">
        <v>0</v>
      </c>
      <c r="U32" s="2171">
        <f>S32+T32*U46/1000</f>
        <v/>
      </c>
      <c r="V32" s="2148" t="n">
        <v>9.782315000000001</v>
      </c>
      <c r="W32" s="2126" t="n">
        <v>0</v>
      </c>
      <c r="X32" s="2171">
        <f>V32+W32*X46/1000</f>
        <v/>
      </c>
      <c r="Y32" s="2148" t="n">
        <v>10.4441392</v>
      </c>
      <c r="Z32" s="2126" t="n">
        <v>0</v>
      </c>
      <c r="AA32" s="2171">
        <f>Y32+Z32*AA46/1000</f>
        <v/>
      </c>
      <c r="AB32" s="2148" t="n"/>
      <c r="AC32" s="2126" t="n"/>
      <c r="AD32" s="2171">
        <f>AB32+AC32*AD53/1000</f>
        <v/>
      </c>
      <c r="AE32" s="2148" t="n"/>
      <c r="AF32" s="2126" t="n"/>
      <c r="AG32" s="2171">
        <f>AE32+AF32*AG46/1000</f>
        <v/>
      </c>
      <c r="AH32" s="2148" t="n"/>
      <c r="AI32" s="2126" t="n"/>
      <c r="AJ32" s="2171">
        <f>AH32+AI32*AJ46/1000</f>
        <v/>
      </c>
      <c r="AK32" s="2148" t="n"/>
      <c r="AL32" s="2126" t="n"/>
      <c r="AM32" s="2171">
        <f>AK32+AL32*AM46/1000</f>
        <v/>
      </c>
      <c r="AN32" s="2148" t="n"/>
      <c r="AO32" s="2124" t="n"/>
      <c r="AP32" s="2171">
        <f>AN32+AO32*AP46/1000</f>
        <v/>
      </c>
      <c r="AQ32" s="2148" t="n"/>
      <c r="AR32" s="2124" t="n"/>
      <c r="AS32" s="2171">
        <f>AQ32+AR32*AS46/1000</f>
        <v/>
      </c>
      <c r="AT32" s="2172">
        <f>AQ32/$AW$3</f>
        <v/>
      </c>
      <c r="AU32" s="2124">
        <f>SUM(K32,N32,Q32,T32,W32,Z32,AC32,AF32,AI32,AL32,AO32,AR32)</f>
        <v/>
      </c>
      <c r="AV32" s="2171">
        <f>AT32+AU32*AV46/1000</f>
        <v/>
      </c>
    </row>
    <row r="33" ht="12.75" customHeight="1">
      <c r="C33" s="30" t="inlineStr">
        <is>
          <t>C. 운용자금 입지출(=해지-예치)</t>
        </is>
      </c>
      <c r="D33" s="30" t="n"/>
      <c r="E33" s="30" t="n"/>
      <c r="F33" s="29" t="n"/>
      <c r="G33" s="2098">
        <f>G34-G35</f>
        <v/>
      </c>
      <c r="H33" s="2099">
        <f>H34-H35</f>
        <v/>
      </c>
      <c r="I33" s="2098">
        <f>I34-I35</f>
        <v/>
      </c>
      <c r="J33" s="2100">
        <f>J34-J35</f>
        <v/>
      </c>
      <c r="K33" s="2099">
        <f>K34-K35</f>
        <v/>
      </c>
      <c r="L33" s="2101">
        <f>L34-L35</f>
        <v/>
      </c>
      <c r="M33" s="2102">
        <f>M34-M35</f>
        <v/>
      </c>
      <c r="N33" s="2099">
        <f>N34-N35</f>
        <v/>
      </c>
      <c r="O33" s="2173">
        <f>O34-O35</f>
        <v/>
      </c>
      <c r="P33" s="2102">
        <f>P34-P35</f>
        <v/>
      </c>
      <c r="Q33" s="2099">
        <f>Q34-Q35</f>
        <v/>
      </c>
      <c r="R33" s="2101">
        <f>R34-R35</f>
        <v/>
      </c>
      <c r="S33" s="2100">
        <f>S34-S35</f>
        <v/>
      </c>
      <c r="T33" s="2099">
        <f>T34-T35</f>
        <v/>
      </c>
      <c r="U33" s="2101">
        <f>U34-U35</f>
        <v/>
      </c>
      <c r="V33" s="2100">
        <f>V34-V35</f>
        <v/>
      </c>
      <c r="W33" s="2099">
        <f>W34-W35</f>
        <v/>
      </c>
      <c r="X33" s="2101">
        <f>X34-X35</f>
        <v/>
      </c>
      <c r="Y33" s="2100">
        <f>Y34-Y35</f>
        <v/>
      </c>
      <c r="Z33" s="2099">
        <f>Z34-Z35</f>
        <v/>
      </c>
      <c r="AA33" s="2101">
        <f>AA34-AA35</f>
        <v/>
      </c>
      <c r="AB33" s="2100">
        <f>AB34-AB35</f>
        <v/>
      </c>
      <c r="AC33" s="2099">
        <f>AC34-AC35</f>
        <v/>
      </c>
      <c r="AD33" s="2101">
        <f>AD34-AD35</f>
        <v/>
      </c>
      <c r="AE33" s="2100">
        <f>AE34-AE35</f>
        <v/>
      </c>
      <c r="AF33" s="2099">
        <f>AF34-AF35</f>
        <v/>
      </c>
      <c r="AG33" s="2101">
        <f>AG34-AG35</f>
        <v/>
      </c>
      <c r="AH33" s="2100">
        <f>AH34-AH35</f>
        <v/>
      </c>
      <c r="AI33" s="2099">
        <f>AI34-AI35</f>
        <v/>
      </c>
      <c r="AJ33" s="2101">
        <f>AJ34-AJ35</f>
        <v/>
      </c>
      <c r="AK33" s="2100">
        <f>AK34-AK35</f>
        <v/>
      </c>
      <c r="AL33" s="2099">
        <f>AL34-AL35</f>
        <v/>
      </c>
      <c r="AM33" s="2101">
        <f>AM34-AM35</f>
        <v/>
      </c>
      <c r="AN33" s="2100">
        <f>AN34-AN35</f>
        <v/>
      </c>
      <c r="AO33" s="2099">
        <f>AO34-AO35</f>
        <v/>
      </c>
      <c r="AP33" s="2101">
        <f>AP34-AP35</f>
        <v/>
      </c>
      <c r="AQ33" s="2100">
        <f>AQ34-AQ35</f>
        <v/>
      </c>
      <c r="AR33" s="2099">
        <f>AR34-AR35</f>
        <v/>
      </c>
      <c r="AS33" s="2101">
        <f>AS34-AS35</f>
        <v/>
      </c>
      <c r="AT33" s="2100">
        <f>AT34-AT35</f>
        <v/>
      </c>
      <c r="AU33" s="2099">
        <f>AU34-AU35</f>
        <v/>
      </c>
      <c r="AV33" s="2101">
        <f>AV34-AV35</f>
        <v/>
      </c>
    </row>
    <row r="34" ht="12.75" customHeight="1">
      <c r="C34" s="19" t="n"/>
      <c r="D34" s="26" t="inlineStr">
        <is>
          <t>해지(입금)</t>
        </is>
      </c>
      <c r="E34" s="18" t="n"/>
      <c r="F34" s="18" t="n"/>
      <c r="G34" s="2152" t="n">
        <v>900</v>
      </c>
      <c r="H34" s="2142">
        <f>SUMIFS('6월데이터'!$E:$E,'6월데이터'!$A:$A,"금융상품",'6월데이터'!$D:$D,"USD")/1000</f>
        <v/>
      </c>
      <c r="I34" s="2139">
        <f>G34+H34*$R$46/1000</f>
        <v/>
      </c>
      <c r="J34" s="2155" t="n">
        <v>0</v>
      </c>
      <c r="K34" s="2142">
        <f>SUMIFS('7월데이터'!$E:$E,'7월데이터'!$A:$A,"금융상품",'7월데이터'!$D:$D,"USD")/1000</f>
        <v/>
      </c>
      <c r="L34" s="2111">
        <f>J34+K34*$R$46/1000</f>
        <v/>
      </c>
      <c r="M34" s="2155" t="n"/>
      <c r="N34" s="2142">
        <f>SUMIFS('6월데이터'!$E:$E,'6월데이터'!$A:$A,"금융상품",'6월데이터'!$D:$D,"USD")/1000</f>
        <v/>
      </c>
      <c r="O34" s="2139">
        <f>M34+N34*$R$46/1000</f>
        <v/>
      </c>
      <c r="P34" s="2155" t="n">
        <v>0</v>
      </c>
      <c r="Q34" s="2142">
        <f>SUMIFS('7월데이터'!$E:$E,'7월데이터'!$A:$A,"금융상품",'7월데이터'!$D:$D,"USD")/1000</f>
        <v/>
      </c>
      <c r="R34" s="2111">
        <f>P34+Q34*$R$46/1000</f>
        <v/>
      </c>
      <c r="S34" s="2155" t="n">
        <v>0</v>
      </c>
      <c r="T34" s="2142">
        <f>SUMIFS('7월데이터'!$E:$E,'7월데이터'!$A:$A,"금융상품",'7월데이터'!$D:$D,"USD")/1000</f>
        <v/>
      </c>
      <c r="U34" s="2111">
        <f>S34+T34*U46/1000</f>
        <v/>
      </c>
      <c r="V34" s="2155" t="n">
        <v>300</v>
      </c>
      <c r="W34" s="2142" t="n">
        <v>0</v>
      </c>
      <c r="X34" s="2111">
        <f>V34+W34*X46/1000</f>
        <v/>
      </c>
      <c r="Y34" s="2155" t="n">
        <v>0</v>
      </c>
      <c r="Z34" s="2142">
        <f>SUMIFS('7월데이터'!$E:$E,'7월데이터'!$A:$A,"금융상품",'7월데이터'!$D:$D,"USD")/1000</f>
        <v/>
      </c>
      <c r="AA34" s="2111">
        <f>Y34+Z34*AA46/1000</f>
        <v/>
      </c>
      <c r="AB34" s="2155" t="n">
        <v>0</v>
      </c>
      <c r="AC34" s="2142">
        <f>SUMIFS('7월데이터'!$E:$E,'7월데이터'!$A:$A,"금융상품",'7월데이터'!$D:$D,"USD")/1000</f>
        <v/>
      </c>
      <c r="AD34" s="2111">
        <f>AB34+AC34*AD46/1000</f>
        <v/>
      </c>
      <c r="AE34" s="2155" t="n"/>
      <c r="AF34" s="2142">
        <f>SUMIFS('7월데이터'!$E:$E,'7월데이터'!$A:$A,"금융상품",'7월데이터'!$D:$D,"USD")/1000</f>
        <v/>
      </c>
      <c r="AG34" s="2111">
        <f>AE34+AF34*AG46/1000</f>
        <v/>
      </c>
      <c r="AH34" s="2155" t="n">
        <v>0</v>
      </c>
      <c r="AI34" s="2142" t="n">
        <v>0</v>
      </c>
      <c r="AJ34" s="2111">
        <f>AH34+AI34*AJ46/1000</f>
        <v/>
      </c>
      <c r="AK34" s="2155" t="n">
        <v>0</v>
      </c>
      <c r="AL34" s="2142">
        <f>SUMIFS('7월데이터'!$E:$E,'7월데이터'!$A:$A,"금융상품",'7월데이터'!$D:$D,"USD")/1000</f>
        <v/>
      </c>
      <c r="AM34" s="2111">
        <f>AK34+AL34*AM46/1000</f>
        <v/>
      </c>
      <c r="AN34" s="2155" t="n">
        <v>0</v>
      </c>
      <c r="AO34" s="2142">
        <f>SUMIFS('7월데이터'!$E:$E,'7월데이터'!$A:$A,"금융상품",'7월데이터'!$D:$D,"USD")/1000</f>
        <v/>
      </c>
      <c r="AP34" s="2111">
        <f>AN34+AO34*AP46/1000</f>
        <v/>
      </c>
      <c r="AQ34" s="2174">
        <f>SUM(G34,J34,M34,P34,S34,V34,Y34,AB34,AE34,AH34,AK34,AN34)</f>
        <v/>
      </c>
      <c r="AR34" s="2142">
        <f>SUM(H34,K34,N34,Q34,T34,W34,Z34,AC34,AF34,AI34,AL34,AO34)</f>
        <v/>
      </c>
      <c r="AS34" s="2111">
        <f>AQ34+AR34*AS46/1000</f>
        <v/>
      </c>
      <c r="AT34" s="2174">
        <f>AQ34/AW3</f>
        <v/>
      </c>
      <c r="AU34" s="2142">
        <f>SUM(K34,N34,Q34,T34,W34,Z34,AC34,AF34,AI34,AL34,AO34,AR34)</f>
        <v/>
      </c>
      <c r="AV34" s="2111">
        <f>AT34+AU34*AV46/1000</f>
        <v/>
      </c>
    </row>
    <row r="35" ht="12.75" customHeight="1">
      <c r="C35" s="15" t="n"/>
      <c r="D35" s="16" t="inlineStr">
        <is>
          <t>예치(지출)</t>
        </is>
      </c>
      <c r="E35" s="15" t="n"/>
      <c r="F35" s="15" t="n"/>
      <c r="G35" s="2175" t="n">
        <v>0</v>
      </c>
      <c r="H35" s="2176">
        <f>SUMIFS('6월데이터'!$F:$F,'6월데이터'!$A:$A,"금융상품",'6월데이터'!$D:$D,"USD")/1000</f>
        <v/>
      </c>
      <c r="I35" s="2177">
        <f>G35+H35*$R$46/1000</f>
        <v/>
      </c>
      <c r="J35" s="2178" t="n">
        <v>0</v>
      </c>
      <c r="K35" s="2179">
        <f>SUMIFS('7월데이터'!$F:$F,'7월데이터'!$A:$A,"금융상품",'7월데이터'!$D:$D,"USD")/1000</f>
        <v/>
      </c>
      <c r="L35" s="2171">
        <f>J35+K35*$R$46/1000</f>
        <v/>
      </c>
      <c r="M35" s="2180" t="n"/>
      <c r="N35" s="2176">
        <f>SUMIFS('6월데이터'!$F:$F,'6월데이터'!$A:$A,"금융상품",'6월데이터'!$D:$D,"USD")/1000</f>
        <v/>
      </c>
      <c r="O35" s="2177">
        <f>M35+N35*$R$46/1000</f>
        <v/>
      </c>
      <c r="P35" s="2178" t="n">
        <v>0</v>
      </c>
      <c r="Q35" s="2179">
        <f>SUMIFS('7월데이터'!$F:$F,'7월데이터'!$A:$A,"금융상품",'7월데이터'!$D:$D,"USD")/1000</f>
        <v/>
      </c>
      <c r="R35" s="2171">
        <f>P35+Q35*$R$46/1000</f>
        <v/>
      </c>
      <c r="S35" s="2181" t="n">
        <v>0</v>
      </c>
      <c r="T35" s="2179">
        <f>SUMIFS('7월데이터'!$F:$F,'7월데이터'!$A:$A,"금융상품",'7월데이터'!$D:$D,"USD")/1000</f>
        <v/>
      </c>
      <c r="U35" s="2171">
        <f>S35+T35*U46/1000</f>
        <v/>
      </c>
      <c r="V35" s="2182" t="n"/>
      <c r="W35" s="2179" t="n">
        <v>0</v>
      </c>
      <c r="X35" s="2171">
        <f>V35+W35*X46/1000</f>
        <v/>
      </c>
      <c r="Y35" s="2181" t="n">
        <v>0</v>
      </c>
      <c r="Z35" s="2179">
        <f>SUMIFS('7월데이터'!$F:$F,'7월데이터'!$A:$A,"금융상품",'7월데이터'!$D:$D,"USD")/1000</f>
        <v/>
      </c>
      <c r="AA35" s="2171">
        <f>Y35+Z35*AA46/1000</f>
        <v/>
      </c>
      <c r="AB35" s="2181" t="n">
        <v>0</v>
      </c>
      <c r="AC35" s="2179">
        <f>SUMIFS('7월데이터'!$F:$F,'7월데이터'!$A:$A,"금융상품",'7월데이터'!$D:$D,"USD")/1000</f>
        <v/>
      </c>
      <c r="AD35" s="2171">
        <f>AB35+AC35*AD46/1000</f>
        <v/>
      </c>
      <c r="AE35" s="2183" t="n">
        <v>0</v>
      </c>
      <c r="AF35" s="2179">
        <f>SUMIFS('7월데이터'!$F:$F,'7월데이터'!$A:$A,"금융상품",'7월데이터'!$D:$D,"USD")/1000</f>
        <v/>
      </c>
      <c r="AG35" s="2171">
        <f>AE35+AF35*AG46/1000</f>
        <v/>
      </c>
      <c r="AH35" s="2183" t="n">
        <v>0</v>
      </c>
      <c r="AI35" s="2179" t="n">
        <v>0</v>
      </c>
      <c r="AJ35" s="2171">
        <f>AH35+AI35*AJ46/1000</f>
        <v/>
      </c>
      <c r="AK35" s="2181" t="n">
        <v>0</v>
      </c>
      <c r="AL35" s="2179">
        <f>SUMIFS('7월데이터'!$F:$F,'7월데이터'!$A:$A,"금융상품",'7월데이터'!$D:$D,"USD")/1000</f>
        <v/>
      </c>
      <c r="AM35" s="2171">
        <f>AK35+AL35*AM46/1000</f>
        <v/>
      </c>
      <c r="AN35" s="2181" t="n">
        <v>0</v>
      </c>
      <c r="AO35" s="2179">
        <f>SUMIFS('7월데이터'!$F:$F,'7월데이터'!$A:$A,"금융상품",'7월데이터'!$D:$D,"USD")/1000</f>
        <v/>
      </c>
      <c r="AP35" s="2171">
        <f>AN35+AO35*AP46/1000</f>
        <v/>
      </c>
      <c r="AQ35" s="2184">
        <f>SUM(G35,J35,M35,P35,S35,V35,Y35,AB35,AE35,AH35,AK35,AN35)</f>
        <v/>
      </c>
      <c r="AR35" s="2179">
        <f>SUM(H35,K35,N35,Q35,T35,W35,Z35,AC35,AF35,AI35,AL35,AO35)</f>
        <v/>
      </c>
      <c r="AS35" s="2171">
        <f>AQ35+AR35*AS46/1000</f>
        <v/>
      </c>
      <c r="AT35" s="2184">
        <f>AQ35/AW3</f>
        <v/>
      </c>
      <c r="AU35" s="2179">
        <f>SUM(K35,N35,Q35,T35,W35,Z35,AC35,AF35,AI35,AL35,AO35,AR35)</f>
        <v/>
      </c>
      <c r="AV35" s="2171">
        <f>AT35+AU35*AV46/1000</f>
        <v/>
      </c>
    </row>
    <row r="36" ht="12.75" customHeight="1">
      <c r="C36" s="24" t="inlineStr">
        <is>
          <t>D. FX</t>
        </is>
      </c>
      <c r="D36" s="24" t="n"/>
      <c r="E36" s="23" t="n"/>
      <c r="F36" s="22" t="n"/>
      <c r="G36" s="2098">
        <f>G37-G38</f>
        <v/>
      </c>
      <c r="H36" s="2099">
        <f>H37-H38</f>
        <v/>
      </c>
      <c r="I36" s="2098">
        <f>I37-I38</f>
        <v/>
      </c>
      <c r="J36" s="2100">
        <f>J37-J38</f>
        <v/>
      </c>
      <c r="K36" s="2099">
        <f>K37-K38</f>
        <v/>
      </c>
      <c r="L36" s="2101">
        <f>L37-L38</f>
        <v/>
      </c>
      <c r="M36" s="2102">
        <f>M37-M38</f>
        <v/>
      </c>
      <c r="N36" s="2099">
        <f>N37-N38</f>
        <v/>
      </c>
      <c r="O36" s="2098">
        <f>O37-O38</f>
        <v/>
      </c>
      <c r="P36" s="2100">
        <f>P37-P38</f>
        <v/>
      </c>
      <c r="Q36" s="2099">
        <f>Q37-Q38</f>
        <v/>
      </c>
      <c r="R36" s="2101">
        <f>R37-R38</f>
        <v/>
      </c>
      <c r="S36" s="2100">
        <f>S37-S38</f>
        <v/>
      </c>
      <c r="T36" s="2099">
        <f>T37-T38</f>
        <v/>
      </c>
      <c r="U36" s="2101">
        <f>U37-U38</f>
        <v/>
      </c>
      <c r="V36" s="2100">
        <f>V37-V38</f>
        <v/>
      </c>
      <c r="W36" s="2099">
        <f>W37-W38</f>
        <v/>
      </c>
      <c r="X36" s="2101">
        <f>X37-X38</f>
        <v/>
      </c>
      <c r="Y36" s="2100">
        <f>Y37-Y38</f>
        <v/>
      </c>
      <c r="Z36" s="2099">
        <f>Z37-Z38</f>
        <v/>
      </c>
      <c r="AA36" s="2101">
        <f>AA37-AA38</f>
        <v/>
      </c>
      <c r="AB36" s="2100">
        <f>AB37-AB38</f>
        <v/>
      </c>
      <c r="AC36" s="2099">
        <f>AC37-AC38</f>
        <v/>
      </c>
      <c r="AD36" s="2101">
        <f>AD37-AD38</f>
        <v/>
      </c>
      <c r="AE36" s="2100">
        <f>AE37-AE38</f>
        <v/>
      </c>
      <c r="AF36" s="2099">
        <f>AF37-AF38</f>
        <v/>
      </c>
      <c r="AG36" s="2101">
        <f>AG37-AG38</f>
        <v/>
      </c>
      <c r="AH36" s="2100">
        <f>AH37-AH38</f>
        <v/>
      </c>
      <c r="AI36" s="2099">
        <f>AI37-AI38</f>
        <v/>
      </c>
      <c r="AJ36" s="2101">
        <f>AJ37-AJ38</f>
        <v/>
      </c>
      <c r="AK36" s="2100">
        <f>AK37-AK38</f>
        <v/>
      </c>
      <c r="AL36" s="2099">
        <f>AL37-AL38</f>
        <v/>
      </c>
      <c r="AM36" s="2101">
        <f>AM37-AM38</f>
        <v/>
      </c>
      <c r="AN36" s="2100">
        <f>AN37-AN38</f>
        <v/>
      </c>
      <c r="AO36" s="2099">
        <f>AO37-AO38</f>
        <v/>
      </c>
      <c r="AP36" s="2101">
        <f>AP37-AP38</f>
        <v/>
      </c>
      <c r="AQ36" s="2100">
        <f>AQ37-AQ38</f>
        <v/>
      </c>
      <c r="AR36" s="2099">
        <f>AR37-AR38</f>
        <v/>
      </c>
      <c r="AS36" s="2101">
        <f>AS37-AS38</f>
        <v/>
      </c>
      <c r="AT36" s="2100">
        <f>AT37-AT38</f>
        <v/>
      </c>
      <c r="AU36" s="2099">
        <f>AU37-AU38</f>
        <v/>
      </c>
      <c r="AV36" s="2101">
        <f>AV37-AV38</f>
        <v/>
      </c>
    </row>
    <row r="37" ht="12.75" customHeight="1">
      <c r="C37" s="19" t="n"/>
      <c r="D37" s="26" t="inlineStr">
        <is>
          <t>입금</t>
        </is>
      </c>
      <c r="E37" s="18" t="n"/>
      <c r="F37" s="18" t="n"/>
      <c r="G37" s="2185" t="n"/>
      <c r="H37" s="2142" t="n"/>
      <c r="I37" s="2110">
        <f>G37+H37*$R$46/1000</f>
        <v/>
      </c>
      <c r="J37" s="2185" t="n">
        <v>0</v>
      </c>
      <c r="K37" s="2142" t="n">
        <v>0</v>
      </c>
      <c r="L37" s="2111">
        <f>J37+K37*$R$46/1000</f>
        <v/>
      </c>
      <c r="M37" s="2186" t="n">
        <v>0</v>
      </c>
      <c r="N37" s="2142" t="n">
        <v>0</v>
      </c>
      <c r="O37" s="2110">
        <f>M37+N37*$R$46/1000</f>
        <v/>
      </c>
      <c r="P37" s="2185" t="n">
        <v>0</v>
      </c>
      <c r="Q37" s="2142" t="n">
        <v>0</v>
      </c>
      <c r="R37" s="2111">
        <f>P37+Q37*$R$46/1000</f>
        <v/>
      </c>
      <c r="S37" s="2185" t="n">
        <v>0</v>
      </c>
      <c r="T37" s="2142" t="n">
        <v>0</v>
      </c>
      <c r="U37" s="2111">
        <f>S37+T37*U46/1000</f>
        <v/>
      </c>
      <c r="V37" s="2185" t="n">
        <v>0</v>
      </c>
      <c r="W37" s="2142" t="n">
        <v>0</v>
      </c>
      <c r="X37" s="2111">
        <f>V37+W37*X46/1000</f>
        <v/>
      </c>
      <c r="Y37" s="2185" t="n">
        <v>0</v>
      </c>
      <c r="Z37" s="2142" t="n">
        <v>0</v>
      </c>
      <c r="AA37" s="2111">
        <f>Y37+Z37*AA46/1000</f>
        <v/>
      </c>
      <c r="AB37" s="2185" t="n">
        <v>0</v>
      </c>
      <c r="AC37" s="2142" t="n">
        <v>0</v>
      </c>
      <c r="AD37" s="2111">
        <f>AB37+AC37*AD46/1000</f>
        <v/>
      </c>
      <c r="AE37" s="2185" t="n">
        <v>0</v>
      </c>
      <c r="AF37" s="2142" t="n">
        <v>0</v>
      </c>
      <c r="AG37" s="2111">
        <f>AE37+AF37*AG46/1000</f>
        <v/>
      </c>
      <c r="AH37" s="2185" t="n">
        <v>0</v>
      </c>
      <c r="AI37" s="2142" t="n">
        <v>0</v>
      </c>
      <c r="AJ37" s="2111">
        <f>AH37+AI37*AJ46/1000</f>
        <v/>
      </c>
      <c r="AK37" s="2185" t="n">
        <v>0</v>
      </c>
      <c r="AL37" s="2142" t="n">
        <v>0</v>
      </c>
      <c r="AM37" s="2111">
        <f>AK37+AL37*AM46/1000</f>
        <v/>
      </c>
      <c r="AN37" s="2185" t="n">
        <v>0</v>
      </c>
      <c r="AO37" s="2142" t="n">
        <v>0</v>
      </c>
      <c r="AP37" s="2111">
        <f>AN37+AO37*AP46/1000</f>
        <v/>
      </c>
      <c r="AQ37" s="2185">
        <f>SUM(G37,J37,M37,P37,S37,V37,Y37,AB37,AE37,AH37,AK37,AN37)</f>
        <v/>
      </c>
      <c r="AR37" s="2142">
        <f>SUM(H37,K37,N37,Q37,T37,W37,Z37,AC37,AF37,AI37,AL37,AO37)</f>
        <v/>
      </c>
      <c r="AS37" s="2111">
        <f>AQ37+AR37*AS46/1000</f>
        <v/>
      </c>
      <c r="AT37" s="2185">
        <f>SUM(J37,M37,P37,S37,V37,Y37,AB37,AE37,AH37,AK37,AN37,AQ37)</f>
        <v/>
      </c>
      <c r="AU37" s="2142">
        <f>SUM(K37,N37,Q37,T37,W37,Z37,AC37,AF37,AI37,AL37,AO37,AR37)</f>
        <v/>
      </c>
      <c r="AV37" s="2111">
        <f>AT37+AU37*AV46/1000</f>
        <v/>
      </c>
    </row>
    <row r="38" ht="12.75" customHeight="1">
      <c r="C38" s="15" t="n"/>
      <c r="D38" s="16" t="inlineStr">
        <is>
          <t>출금</t>
        </is>
      </c>
      <c r="E38" s="15" t="n"/>
      <c r="F38" s="15" t="n"/>
      <c r="G38" s="2187" t="n"/>
      <c r="H38" s="2188" t="n"/>
      <c r="I38" s="2189">
        <f>G38+(H38*$R$46/1000)</f>
        <v/>
      </c>
      <c r="J38" s="2187" t="n">
        <v>0</v>
      </c>
      <c r="K38" s="2188" t="n">
        <v>0</v>
      </c>
      <c r="L38" s="2171">
        <f>J38+K38*$R$46/1000</f>
        <v/>
      </c>
      <c r="M38" s="2190" t="n">
        <v>0</v>
      </c>
      <c r="N38" s="2188" t="n">
        <v>0</v>
      </c>
      <c r="O38" s="2189">
        <f>M38+(N38*$R$46/1000)</f>
        <v/>
      </c>
      <c r="P38" s="2187" t="n">
        <v>0</v>
      </c>
      <c r="Q38" s="2188" t="n">
        <v>0</v>
      </c>
      <c r="R38" s="2171">
        <f>P38+Q38*$R$46/1000</f>
        <v/>
      </c>
      <c r="S38" s="2187" t="n">
        <v>0</v>
      </c>
      <c r="T38" s="2188" t="n">
        <v>0</v>
      </c>
      <c r="U38" s="2171">
        <f>S38+T38*U46/1000</f>
        <v/>
      </c>
      <c r="V38" s="2187" t="n">
        <v>0</v>
      </c>
      <c r="W38" s="2188" t="n">
        <v>0</v>
      </c>
      <c r="X38" s="2171">
        <f>V38+W38*X46/1000</f>
        <v/>
      </c>
      <c r="Y38" s="2187" t="n">
        <v>0</v>
      </c>
      <c r="Z38" s="2188" t="n">
        <v>0</v>
      </c>
      <c r="AA38" s="2171">
        <f>Y38+Z38*AA46/1000</f>
        <v/>
      </c>
      <c r="AB38" s="2187" t="n">
        <v>0</v>
      </c>
      <c r="AC38" s="2188" t="n">
        <v>0</v>
      </c>
      <c r="AD38" s="2171">
        <f>AB38+AC38*AD46/1000</f>
        <v/>
      </c>
      <c r="AE38" s="2187" t="n">
        <v>0</v>
      </c>
      <c r="AF38" s="2188" t="n">
        <v>0</v>
      </c>
      <c r="AG38" s="2171">
        <f>AE38+AF38*AG46/1000</f>
        <v/>
      </c>
      <c r="AH38" s="2187" t="n">
        <v>0</v>
      </c>
      <c r="AI38" s="2188" t="n">
        <v>0</v>
      </c>
      <c r="AJ38" s="2171">
        <f>AH38+AI38*AJ46/1000</f>
        <v/>
      </c>
      <c r="AK38" s="2187" t="n">
        <v>0</v>
      </c>
      <c r="AL38" s="2188" t="n">
        <v>0</v>
      </c>
      <c r="AM38" s="2171">
        <f>AK38+AL38*AM46/1000</f>
        <v/>
      </c>
      <c r="AN38" s="2187" t="n">
        <v>0</v>
      </c>
      <c r="AO38" s="2188" t="n">
        <v>0</v>
      </c>
      <c r="AP38" s="2171">
        <f>AN38+AO38*AP46/1000</f>
        <v/>
      </c>
      <c r="AQ38" s="2187">
        <f>SUM(G38,J38,M38,P38,S38,V38,Y38,AB38,AE38,AH38,AK38,AN38)</f>
        <v/>
      </c>
      <c r="AR38" s="2188">
        <f>SUM(H38,K38,N38,Q38,T38,W38,Z38,AC38,AF38,AI38,AL38,AO38)</f>
        <v/>
      </c>
      <c r="AS38" s="2171">
        <f>AQ38+AR38*AS46/1000</f>
        <v/>
      </c>
      <c r="AT38" s="2187">
        <f>SUM(J38,M38,P38,S38,V38,Y38,AB38,AE38,AH38,AK38,AN38,AQ38)</f>
        <v/>
      </c>
      <c r="AU38" s="2188">
        <f>SUM(K38,N38,Q38,T38,W38,Z38,AC38,AF38,AI38,AL38,AO38,AR38)</f>
        <v/>
      </c>
      <c r="AV38" s="2171">
        <f>AT38+AU38*AV46/1000</f>
        <v/>
      </c>
    </row>
    <row r="39" ht="12.75" customHeight="1">
      <c r="C39" s="24" t="inlineStr">
        <is>
          <t>E. 조달</t>
        </is>
      </c>
      <c r="D39" s="24" t="n"/>
      <c r="E39" s="23" t="n"/>
      <c r="F39" s="22" t="n"/>
      <c r="G39" s="2098">
        <f>G40-G41</f>
        <v/>
      </c>
      <c r="H39" s="2099">
        <f>H40-H41</f>
        <v/>
      </c>
      <c r="I39" s="2098">
        <f>I40-I41</f>
        <v/>
      </c>
      <c r="J39" s="2100">
        <f>J40-J41</f>
        <v/>
      </c>
      <c r="K39" s="2099">
        <f>K40-K41</f>
        <v/>
      </c>
      <c r="L39" s="2101">
        <f>L40-L41</f>
        <v/>
      </c>
      <c r="M39" s="2102">
        <f>M40-M41</f>
        <v/>
      </c>
      <c r="N39" s="2099">
        <f>N40-N41</f>
        <v/>
      </c>
      <c r="O39" s="2098">
        <f>O40-O41</f>
        <v/>
      </c>
      <c r="P39" s="2100">
        <f>P40-P41</f>
        <v/>
      </c>
      <c r="Q39" s="2099">
        <f>Q40-Q41</f>
        <v/>
      </c>
      <c r="R39" s="2101">
        <f>R40-R41</f>
        <v/>
      </c>
      <c r="S39" s="2100">
        <f>S40-S41</f>
        <v/>
      </c>
      <c r="T39" s="2099">
        <f>T40-T41</f>
        <v/>
      </c>
      <c r="U39" s="2101">
        <f>U40-U41</f>
        <v/>
      </c>
      <c r="V39" s="2100">
        <f>V40-V41</f>
        <v/>
      </c>
      <c r="W39" s="2099">
        <f>W40-W41</f>
        <v/>
      </c>
      <c r="X39" s="2101">
        <f>X40-X41</f>
        <v/>
      </c>
      <c r="Y39" s="2100">
        <f>Y40-Y41</f>
        <v/>
      </c>
      <c r="Z39" s="2099">
        <f>Z40-Z41</f>
        <v/>
      </c>
      <c r="AA39" s="2101">
        <f>AA40-AA41</f>
        <v/>
      </c>
      <c r="AB39" s="2100">
        <f>AB40-AB41</f>
        <v/>
      </c>
      <c r="AC39" s="2099">
        <f>AC40-AC41</f>
        <v/>
      </c>
      <c r="AD39" s="2101">
        <f>AD40-AD41</f>
        <v/>
      </c>
      <c r="AE39" s="2100">
        <f>AE40-AE41</f>
        <v/>
      </c>
      <c r="AF39" s="2099">
        <f>AF40-AF41</f>
        <v/>
      </c>
      <c r="AG39" s="2101">
        <f>AG40-AG41</f>
        <v/>
      </c>
      <c r="AH39" s="2100">
        <f>AH40-AH41</f>
        <v/>
      </c>
      <c r="AI39" s="2099">
        <f>AI40-AI41</f>
        <v/>
      </c>
      <c r="AJ39" s="2101">
        <f>AJ40-AJ41</f>
        <v/>
      </c>
      <c r="AK39" s="2100">
        <f>AK40-AK41</f>
        <v/>
      </c>
      <c r="AL39" s="2099">
        <f>AL40-AL41</f>
        <v/>
      </c>
      <c r="AM39" s="2101">
        <f>AM40-AM41</f>
        <v/>
      </c>
      <c r="AN39" s="2100">
        <f>AN40-AN41</f>
        <v/>
      </c>
      <c r="AO39" s="2099">
        <f>AO40-AO41</f>
        <v/>
      </c>
      <c r="AP39" s="2101">
        <f>AP40-AP41</f>
        <v/>
      </c>
      <c r="AQ39" s="2100">
        <f>AQ40-AQ41</f>
        <v/>
      </c>
      <c r="AR39" s="2099">
        <f>AR40-AR41</f>
        <v/>
      </c>
      <c r="AS39" s="2101">
        <f>AS40-AS41</f>
        <v/>
      </c>
      <c r="AT39" s="2100">
        <f>AT40-AT41</f>
        <v/>
      </c>
      <c r="AU39" s="2099">
        <f>AU40-AU41</f>
        <v/>
      </c>
      <c r="AV39" s="2101">
        <f>AV40-AV41</f>
        <v/>
      </c>
    </row>
    <row r="40" ht="12.75" customHeight="1">
      <c r="C40" s="19" t="n"/>
      <c r="D40" s="651" t="inlineStr">
        <is>
          <t>입금</t>
        </is>
      </c>
      <c r="E40" s="18" t="n"/>
      <c r="F40" s="18" t="n"/>
      <c r="G40" s="2185">
        <f>SUMIF('6월데이터'!$A:$A,"차입금",'6월데이터'!$E:$E)/1000000</f>
        <v/>
      </c>
      <c r="H40" s="2142" t="n">
        <v>0</v>
      </c>
      <c r="I40" s="2110">
        <f>G40+H40*$R$46/1000</f>
        <v/>
      </c>
      <c r="J40" s="2185" t="n">
        <v>0</v>
      </c>
      <c r="K40" s="2142" t="n">
        <v>0</v>
      </c>
      <c r="L40" s="2111">
        <f>J40+K40*$R$46/1000</f>
        <v/>
      </c>
      <c r="M40" s="2186">
        <f>SUMIF('6월데이터'!$A:$A,"차입금",'6월데이터'!$E:$E)/1000000</f>
        <v/>
      </c>
      <c r="N40" s="2142" t="n">
        <v>0</v>
      </c>
      <c r="O40" s="2110">
        <f>M40+N40*$R$46/1000</f>
        <v/>
      </c>
      <c r="P40" s="2185" t="n"/>
      <c r="Q40" s="2142" t="n">
        <v>0</v>
      </c>
      <c r="R40" s="2111">
        <f>P40+Q40*$R$46/1000</f>
        <v/>
      </c>
      <c r="S40" s="2185" t="n">
        <v>0</v>
      </c>
      <c r="T40" s="2142" t="n">
        <v>0</v>
      </c>
      <c r="U40" s="2111">
        <f>S40+T40*U46/1000</f>
        <v/>
      </c>
      <c r="V40" s="2185" t="n">
        <v>0</v>
      </c>
      <c r="W40" s="2142" t="n">
        <v>0</v>
      </c>
      <c r="X40" s="2111">
        <f>V40+W40*X46/1000</f>
        <v/>
      </c>
      <c r="Y40" s="2185" t="n">
        <v>0</v>
      </c>
      <c r="Z40" s="2142" t="n">
        <v>0</v>
      </c>
      <c r="AA40" s="2111">
        <f>Y40+Z40*AA46/1000</f>
        <v/>
      </c>
      <c r="AB40" s="2185" t="n">
        <v>0</v>
      </c>
      <c r="AC40" s="2142" t="n">
        <v>0</v>
      </c>
      <c r="AD40" s="2111">
        <f>AB40+AC40*AD46/1000</f>
        <v/>
      </c>
      <c r="AE40" s="2185" t="n"/>
      <c r="AF40" s="2142" t="n">
        <v>0</v>
      </c>
      <c r="AG40" s="2111">
        <f>AE40+AF40*AG46/1000</f>
        <v/>
      </c>
      <c r="AH40" s="2185" t="n">
        <v>0</v>
      </c>
      <c r="AI40" s="2142" t="n">
        <v>0</v>
      </c>
      <c r="AJ40" s="2111">
        <f>AH40+AI40*AJ46/1000</f>
        <v/>
      </c>
      <c r="AK40" s="2185" t="n"/>
      <c r="AL40" s="2142" t="n">
        <v>0</v>
      </c>
      <c r="AM40" s="2111">
        <f>AK40+AL40*AM46/1000</f>
        <v/>
      </c>
      <c r="AN40" s="2185" t="n"/>
      <c r="AO40" s="2142" t="n">
        <v>0</v>
      </c>
      <c r="AP40" s="2111">
        <f>AN40+AO40*AP46/1000</f>
        <v/>
      </c>
      <c r="AQ40" s="2185">
        <f>SUM(G40,J40,M40,P40,S40,V40,Y40,AB40,AE40,AH40,AK40,AN40)</f>
        <v/>
      </c>
      <c r="AR40" s="2142">
        <f>SUM(H40,K40,N40,Q40,T40,W40,Z40,AC40,AF40,AI40,AL40,AO40)</f>
        <v/>
      </c>
      <c r="AS40" s="2111">
        <f>AQ40+AR40*AS46/1000</f>
        <v/>
      </c>
      <c r="AT40" s="2185">
        <f>SUM(J40,M40,P40,S40,V40,Y40,AB40,AE40,AH40,AK40,AN40,AQ40)</f>
        <v/>
      </c>
      <c r="AU40" s="2142">
        <f>SUM(K40,N40,Q40,T40,W40,Z40,AC40,AF40,AI40,AL40,AO40,AR40)</f>
        <v/>
      </c>
      <c r="AV40" s="2111">
        <f>AT40+AU40*AV46/1000</f>
        <v/>
      </c>
    </row>
    <row r="41" ht="12.75" customHeight="1">
      <c r="C41" s="15" t="n"/>
      <c r="D41" s="16" t="inlineStr">
        <is>
          <t>출금</t>
        </is>
      </c>
      <c r="E41" s="15" t="n"/>
      <c r="F41" s="15" t="n"/>
      <c r="G41" s="2187">
        <f>SUMIF('6월데이터'!$A:$A,"차입금상환",'6월데이터'!$F:$F)/1000000</f>
        <v/>
      </c>
      <c r="H41" s="2188" t="n">
        <v>0</v>
      </c>
      <c r="I41" s="2189">
        <f>G41+(H41*$R$46/1000)</f>
        <v/>
      </c>
      <c r="J41" s="2187" t="n">
        <v>0</v>
      </c>
      <c r="K41" s="2188" t="n">
        <v>0</v>
      </c>
      <c r="L41" s="2171">
        <f>J41+K41*$R$46/1000</f>
        <v/>
      </c>
      <c r="M41" s="2190">
        <f>SUMIF('6월데이터'!$A:$A,"차입금상환",'6월데이터'!$F:$F)/1000000</f>
        <v/>
      </c>
      <c r="N41" s="2188" t="n">
        <v>0</v>
      </c>
      <c r="O41" s="2189">
        <f>M41+(N41*$R$46/1000)</f>
        <v/>
      </c>
      <c r="P41" s="2187" t="n">
        <v>0</v>
      </c>
      <c r="Q41" s="2188" t="n">
        <v>0</v>
      </c>
      <c r="R41" s="2171">
        <f>P41+Q41*$R$46/1000</f>
        <v/>
      </c>
      <c r="S41" s="2187" t="n">
        <v>0</v>
      </c>
      <c r="T41" s="2188" t="n">
        <v>0</v>
      </c>
      <c r="U41" s="2171">
        <f>S41+T41*U46/1000</f>
        <v/>
      </c>
      <c r="V41" s="2187" t="n">
        <v>0</v>
      </c>
      <c r="W41" s="2188" t="n">
        <v>0</v>
      </c>
      <c r="X41" s="2171">
        <f>V41+W41*X46/1000</f>
        <v/>
      </c>
      <c r="Y41" s="2187" t="n">
        <v>0</v>
      </c>
      <c r="Z41" s="2188" t="n">
        <v>0</v>
      </c>
      <c r="AA41" s="2171">
        <f>Y41+Z41*AA46/1000</f>
        <v/>
      </c>
      <c r="AB41" s="2187" t="n">
        <v>0</v>
      </c>
      <c r="AC41" s="2188" t="n">
        <v>0</v>
      </c>
      <c r="AD41" s="2171">
        <f>AB41+AC41*AD46/1000</f>
        <v/>
      </c>
      <c r="AE41" s="2187" t="n">
        <v>0</v>
      </c>
      <c r="AF41" s="2188" t="n">
        <v>0</v>
      </c>
      <c r="AG41" s="2171">
        <f>AE41+AF41*AG46/1000</f>
        <v/>
      </c>
      <c r="AH41" s="2187" t="n">
        <v>0</v>
      </c>
      <c r="AI41" s="2188" t="n">
        <v>0</v>
      </c>
      <c r="AJ41" s="2171">
        <f>AH41+AI41*AJ46/1000</f>
        <v/>
      </c>
      <c r="AK41" s="2187" t="n">
        <v>0</v>
      </c>
      <c r="AL41" s="2188" t="n">
        <v>0</v>
      </c>
      <c r="AM41" s="2171">
        <f>AK41+AL41*AM46/1000</f>
        <v/>
      </c>
      <c r="AN41" s="2187" t="n">
        <v>0</v>
      </c>
      <c r="AO41" s="2188" t="n">
        <v>0</v>
      </c>
      <c r="AP41" s="2171">
        <f>AN41+AO41*AP46/1000</f>
        <v/>
      </c>
      <c r="AQ41" s="2187">
        <f>SUM(G41,J41,M41,P41,S41,V41,Y41,AB41,AE41,AH41,AK41,AN41)</f>
        <v/>
      </c>
      <c r="AR41" s="2188">
        <f>SUM(H41,K41,N41,Q41,T41,W41,Z41,AC41,AF41,AI41,AL41,AO41)</f>
        <v/>
      </c>
      <c r="AS41" s="2171">
        <f>AQ41+AR41*AS46/1000</f>
        <v/>
      </c>
      <c r="AT41" s="2187">
        <f>SUM(J41,M41,P41,S41,V41,Y41,AB41,AE41,AH41,AK41,AN41,AQ41)</f>
        <v/>
      </c>
      <c r="AU41" s="2188">
        <f>SUM(K41,N41,Q41,T41,W41,Z41,AC41,AF41,AI41,AL41,AO41,AR41)</f>
        <v/>
      </c>
      <c r="AV41" s="2171">
        <f>AT41+AU41*AV46/1000</f>
        <v/>
      </c>
    </row>
    <row r="42" ht="12.75" customHeight="1">
      <c r="C42" s="11" t="inlineStr">
        <is>
          <t>F. 유동자금 증감(=B+C+D+E)</t>
        </is>
      </c>
      <c r="D42" s="11" t="n"/>
      <c r="E42" s="11" t="n"/>
      <c r="F42" s="10" t="n"/>
      <c r="G42" s="2093">
        <f>G7+G33+G36+G39</f>
        <v/>
      </c>
      <c r="H42" s="2094">
        <f>H7+H33+H36+H39</f>
        <v/>
      </c>
      <c r="I42" s="2093">
        <f>I7+I33+I36+I39</f>
        <v/>
      </c>
      <c r="J42" s="2095">
        <f>J7+J33+J36+J39</f>
        <v/>
      </c>
      <c r="K42" s="2094">
        <f>K7+K33+K36+K39</f>
        <v/>
      </c>
      <c r="L42" s="2096">
        <f>L7+L33+L36+L39</f>
        <v/>
      </c>
      <c r="M42" s="2097">
        <f>M7+M33+M36+M39</f>
        <v/>
      </c>
      <c r="N42" s="2094">
        <f>N7+N33+N36+N39</f>
        <v/>
      </c>
      <c r="O42" s="2093">
        <f>O7+O33+O36+O39</f>
        <v/>
      </c>
      <c r="P42" s="2095">
        <f>P7+P33+P36+P39</f>
        <v/>
      </c>
      <c r="Q42" s="2094">
        <f>Q7+Q33+Q36+Q39</f>
        <v/>
      </c>
      <c r="R42" s="2096">
        <f>R7+R33+R36+R39</f>
        <v/>
      </c>
      <c r="S42" s="2095">
        <f>S7+S33+S36+S39</f>
        <v/>
      </c>
      <c r="T42" s="2094">
        <f>T7+T33+T36+T39</f>
        <v/>
      </c>
      <c r="U42" s="2096">
        <f>U7+U33+U36+U39</f>
        <v/>
      </c>
      <c r="V42" s="2095">
        <f>V7+V33+V36+V39</f>
        <v/>
      </c>
      <c r="W42" s="2094">
        <f>W7+W33+W36+W39</f>
        <v/>
      </c>
      <c r="X42" s="2096">
        <f>X7+X33+X36+X39</f>
        <v/>
      </c>
      <c r="Y42" s="2095">
        <f>Y7+Y33+Y36+Y39</f>
        <v/>
      </c>
      <c r="Z42" s="2094">
        <f>Z7+Z33+Z36+Z39</f>
        <v/>
      </c>
      <c r="AA42" s="2096">
        <f>AA7+AA33+AA36+AA39</f>
        <v/>
      </c>
      <c r="AB42" s="2095">
        <f>AB7+AB33+AB36+AB39</f>
        <v/>
      </c>
      <c r="AC42" s="2094">
        <f>AC7+AC33+AC36+AC39</f>
        <v/>
      </c>
      <c r="AD42" s="2096">
        <f>AD7+AD33+AD36+AD39</f>
        <v/>
      </c>
      <c r="AE42" s="2095">
        <f>AE7+AE33+AE36+AE39</f>
        <v/>
      </c>
      <c r="AF42" s="2094">
        <f>AF7+AF33+AF36+AF39</f>
        <v/>
      </c>
      <c r="AG42" s="2096">
        <f>AG7+AG33+AG36+AG39</f>
        <v/>
      </c>
      <c r="AH42" s="2095">
        <f>AH7+AH33+AH36+AH39</f>
        <v/>
      </c>
      <c r="AI42" s="2094">
        <f>AI7+AI33+AI36+AI39</f>
        <v/>
      </c>
      <c r="AJ42" s="2096">
        <f>AJ7+AJ33+AJ36+AJ39</f>
        <v/>
      </c>
      <c r="AK42" s="2095">
        <f>AK7+AK33+AK36+AK39</f>
        <v/>
      </c>
      <c r="AL42" s="2094">
        <f>AL7+AL33+AL36+AL39</f>
        <v/>
      </c>
      <c r="AM42" s="2096">
        <f>AM7+AM33+AM36+AM39</f>
        <v/>
      </c>
      <c r="AN42" s="2095">
        <f>AN7+AN33+AN36+AN39</f>
        <v/>
      </c>
      <c r="AO42" s="2094">
        <f>AO7+AO33+AO36+AO39</f>
        <v/>
      </c>
      <c r="AP42" s="2096">
        <f>AP7+AP33+AP36+AP39</f>
        <v/>
      </c>
      <c r="AQ42" s="2095">
        <f>AQ7+AQ33+AQ36+AQ39</f>
        <v/>
      </c>
      <c r="AR42" s="2094">
        <f>AR7+AR33+AR36+AR39</f>
        <v/>
      </c>
      <c r="AS42" s="2096">
        <f>AS7+AS33+AS36+AS39</f>
        <v/>
      </c>
      <c r="AT42" s="2095">
        <f>AT7+AT33+AT36+AT39</f>
        <v/>
      </c>
      <c r="AU42" s="2094">
        <f>AU7+AU33+AU36+AU39</f>
        <v/>
      </c>
      <c r="AV42" s="2096">
        <f>AV7+AV33+AV36+AV39</f>
        <v/>
      </c>
    </row>
    <row r="43" ht="12.75" customHeight="1">
      <c r="C43" s="11" t="inlineStr">
        <is>
          <t>G. 운용자금 증감</t>
        </is>
      </c>
      <c r="D43" s="11" t="inlineStr">
        <is>
          <t>운용자금 증감</t>
        </is>
      </c>
      <c r="E43" s="11" t="n"/>
      <c r="F43" s="10" t="n"/>
      <c r="G43" s="2093">
        <f>G35-G34</f>
        <v/>
      </c>
      <c r="H43" s="2094">
        <f>H35-H34</f>
        <v/>
      </c>
      <c r="I43" s="2093">
        <f>I35-I34</f>
        <v/>
      </c>
      <c r="J43" s="2191" t="n"/>
      <c r="K43" s="2192" t="n"/>
      <c r="L43" s="2193" t="n"/>
      <c r="M43" s="2097" t="n"/>
      <c r="N43" s="2094" t="n"/>
      <c r="O43" s="2093" t="n"/>
      <c r="P43" s="2191" t="n"/>
      <c r="Q43" s="2192" t="n"/>
      <c r="R43" s="2193" t="n"/>
      <c r="S43" s="2191" t="n"/>
      <c r="T43" s="2192" t="n"/>
      <c r="U43" s="2193" t="n"/>
      <c r="V43" s="2194">
        <f>V35-V34</f>
        <v/>
      </c>
      <c r="W43" s="2192">
        <f>W35-W34</f>
        <v/>
      </c>
      <c r="X43" s="2193">
        <f>V43</f>
        <v/>
      </c>
      <c r="Y43" s="2191" t="n"/>
      <c r="Z43" s="2192" t="n"/>
      <c r="AA43" s="2193" t="n"/>
      <c r="AB43" s="2191" t="n"/>
      <c r="AC43" s="2192" t="n"/>
      <c r="AD43" s="2193" t="n"/>
      <c r="AE43" s="2191" t="n"/>
      <c r="AF43" s="2192" t="n"/>
      <c r="AG43" s="2193" t="n"/>
      <c r="AH43" s="2191" t="n"/>
      <c r="AI43" s="2192" t="n"/>
      <c r="AJ43" s="2193" t="n"/>
      <c r="AK43" s="2191" t="n"/>
      <c r="AL43" s="2192" t="n"/>
      <c r="AM43" s="2193" t="n"/>
      <c r="AN43" s="2191" t="n"/>
      <c r="AO43" s="2192" t="n"/>
      <c r="AP43" s="2193" t="n"/>
      <c r="AQ43" s="2187">
        <f>SUM(G43,J43,M43,P43,S43,V43,Y43,AB43,AE43,AH43,AK43,AN43)</f>
        <v/>
      </c>
      <c r="AR43" s="2192" t="n"/>
      <c r="AS43" s="2187">
        <f>SUM(I43,L43,O43,R43,U43,X43,AA43,AD43,AG43,AJ43,AM43,AP43)</f>
        <v/>
      </c>
      <c r="AT43" s="2191" t="n"/>
      <c r="AU43" s="2192" t="n"/>
      <c r="AV43" s="2193" t="n"/>
    </row>
    <row r="44" ht="12.75" customHeight="1">
      <c r="C44" s="11" t="inlineStr">
        <is>
          <t xml:space="preserve"> H. 기말잔고(=A+G+F)</t>
        </is>
      </c>
      <c r="D44" s="11" t="n"/>
      <c r="E44" s="11" t="n"/>
      <c r="F44" s="10" t="n"/>
      <c r="G44" s="2093">
        <f>G6+G42+G43</f>
        <v/>
      </c>
      <c r="H44" s="2094">
        <f>H6+H42+H43</f>
        <v/>
      </c>
      <c r="I44" s="2093">
        <f>I6+I42+I43</f>
        <v/>
      </c>
      <c r="J44" s="2195">
        <f>J6+J42</f>
        <v/>
      </c>
      <c r="K44" s="2196">
        <f>K6+K42</f>
        <v/>
      </c>
      <c r="L44" s="2197">
        <f>L6+L42</f>
        <v/>
      </c>
      <c r="M44" s="2097">
        <f>M6+M42</f>
        <v/>
      </c>
      <c r="N44" s="2094">
        <f>N6+N42</f>
        <v/>
      </c>
      <c r="O44" s="2093">
        <f>O6+O42</f>
        <v/>
      </c>
      <c r="P44" s="2195">
        <f>P6+P42</f>
        <v/>
      </c>
      <c r="Q44" s="2196">
        <f>Q6+Q42</f>
        <v/>
      </c>
      <c r="R44" s="2197">
        <f>R6+R42</f>
        <v/>
      </c>
      <c r="S44" s="2195">
        <f>S6+S42</f>
        <v/>
      </c>
      <c r="T44" s="2196">
        <f>T6+T42</f>
        <v/>
      </c>
      <c r="U44" s="2197">
        <f>U6+U42</f>
        <v/>
      </c>
      <c r="V44" s="2195">
        <f>V6+V42+V43</f>
        <v/>
      </c>
      <c r="W44" s="2196">
        <f>W6+W42+W43</f>
        <v/>
      </c>
      <c r="X44" s="2197">
        <f>X6+X42+X43</f>
        <v/>
      </c>
      <c r="Y44" s="2198">
        <f>Y6+Y42</f>
        <v/>
      </c>
      <c r="Z44" s="2196">
        <f>Z6+Z42</f>
        <v/>
      </c>
      <c r="AA44" s="2197">
        <f>AA6+AA42</f>
        <v/>
      </c>
      <c r="AB44" s="2195">
        <f>AB6+AB42</f>
        <v/>
      </c>
      <c r="AC44" s="2196">
        <f>AC6+AC42</f>
        <v/>
      </c>
      <c r="AD44" s="2197">
        <f>AD6+AD42</f>
        <v/>
      </c>
      <c r="AE44" s="2198">
        <f>AE6+AE42+AE43</f>
        <v/>
      </c>
      <c r="AF44" s="2196">
        <f>AF6+AF42</f>
        <v/>
      </c>
      <c r="AG44" s="2197">
        <f>AG6+AG42+AG43</f>
        <v/>
      </c>
      <c r="AH44" s="2198">
        <f>AH6+AH42</f>
        <v/>
      </c>
      <c r="AI44" s="2196">
        <f>AI6+AI42</f>
        <v/>
      </c>
      <c r="AJ44" s="2197">
        <f>AJ6+AJ42</f>
        <v/>
      </c>
      <c r="AK44" s="2195">
        <f>AK6+AK42</f>
        <v/>
      </c>
      <c r="AL44" s="2196">
        <f>AL6+AL42</f>
        <v/>
      </c>
      <c r="AM44" s="2197">
        <f>AM6+AM42</f>
        <v/>
      </c>
      <c r="AN44" s="2195">
        <f>AN6+AN42</f>
        <v/>
      </c>
      <c r="AO44" s="2196">
        <f>AO6+AO42</f>
        <v/>
      </c>
      <c r="AP44" s="2197">
        <f>AP6+AP42</f>
        <v/>
      </c>
      <c r="AQ44" s="2198">
        <f>AQ6+AQ42+AQ43</f>
        <v/>
      </c>
      <c r="AR44" s="2196">
        <f>AR6+AR42</f>
        <v/>
      </c>
      <c r="AS44" s="2197">
        <f>AS42+AS6+AS43</f>
        <v/>
      </c>
      <c r="AT44" s="2195" t="n"/>
      <c r="AU44" s="2196">
        <f>AU6+AU42</f>
        <v/>
      </c>
      <c r="AV44" s="2197" t="n"/>
    </row>
    <row r="45" ht="12.75" customHeight="1">
      <c r="G45" s="1997" t="n"/>
      <c r="P45" s="1997" t="n"/>
    </row>
    <row r="46">
      <c r="H46" s="2085" t="n"/>
      <c r="J46" s="1997" t="n"/>
      <c r="N46" s="2085" t="n"/>
      <c r="P46" s="1997" t="n"/>
      <c r="R46" s="2003" t="n"/>
      <c r="S46" s="1997" t="n"/>
      <c r="U46" s="2003" t="n"/>
      <c r="V46" s="1997" t="n"/>
      <c r="X46" s="2003" t="n"/>
      <c r="Y46" s="1997" t="n"/>
      <c r="AA46" s="2003" t="n"/>
      <c r="AB46" s="1997" t="n"/>
      <c r="AD46" s="2003" t="n"/>
      <c r="AE46" s="2003" t="n"/>
      <c r="AF46" s="2003" t="n"/>
      <c r="AG46" s="2003" t="n"/>
      <c r="AH46" s="1997" t="n"/>
      <c r="AJ46" s="2003" t="n"/>
      <c r="AK46" s="1997" t="n"/>
      <c r="AM46" s="2003" t="n"/>
      <c r="AN46" s="1997" t="n"/>
      <c r="AP46" s="2003" t="n"/>
    </row>
    <row r="47">
      <c r="H47" s="2085" t="n"/>
      <c r="N47" s="2085" t="n"/>
      <c r="V47" s="2199" t="n"/>
    </row>
    <row r="48">
      <c r="J48" s="2058" t="n"/>
      <c r="L48" s="1997" t="n"/>
      <c r="P48" s="2058" t="n"/>
      <c r="R48" s="1997" t="n"/>
      <c r="S48" s="2058" t="n"/>
      <c r="U48" s="1997" t="n"/>
      <c r="V48" s="1997" t="n"/>
      <c r="W48" s="1997" t="n"/>
      <c r="X48" s="1997" t="n"/>
      <c r="Y48" s="2058" t="n"/>
      <c r="AA48" s="1997" t="n"/>
      <c r="AB48" s="1997" t="n"/>
      <c r="AC48" s="1997" t="n"/>
      <c r="AD48" s="1997" t="n"/>
      <c r="AE48" s="1997" t="n"/>
      <c r="AF48" s="1997" t="n"/>
      <c r="AG48" s="1997" t="n"/>
      <c r="AH48" s="1997" t="n"/>
      <c r="AI48" s="1997" t="n"/>
      <c r="AJ48" s="1997" t="n"/>
      <c r="AK48" s="1997" t="n"/>
      <c r="AL48" s="1997" t="n"/>
      <c r="AM48" s="1997" t="n"/>
      <c r="AN48" s="1997" t="n"/>
      <c r="AO48" s="1997" t="n"/>
      <c r="AP48" s="1997" t="n"/>
    </row>
    <row r="49">
      <c r="V49" s="1997" t="n"/>
    </row>
    <row r="50">
      <c r="V50" s="2200" t="n"/>
    </row>
    <row r="52">
      <c r="G52" s="1997" t="n"/>
      <c r="M52" s="1997" t="n"/>
    </row>
  </sheetData>
  <mergeCells count="15">
    <mergeCell ref="C4:F5"/>
    <mergeCell ref="M4:O4"/>
    <mergeCell ref="S4:U4"/>
    <mergeCell ref="AK4:AM4"/>
    <mergeCell ref="AT4:AV4"/>
    <mergeCell ref="G4:I4"/>
    <mergeCell ref="V4:X4"/>
    <mergeCell ref="J4:L4"/>
    <mergeCell ref="AQ4:AS4"/>
    <mergeCell ref="AE4:AG4"/>
    <mergeCell ref="Y4:AA4"/>
    <mergeCell ref="AB4:AD4"/>
    <mergeCell ref="P4:R4"/>
    <mergeCell ref="AH4:AJ4"/>
    <mergeCell ref="AN4:AP4"/>
  </mergeCells>
  <conditionalFormatting sqref="F6:F12">
    <cfRule type="cellIs" priority="263" operator="equal" dxfId="0">
      <formula>0</formula>
    </cfRule>
  </conditionalFormatting>
  <conditionalFormatting sqref="G28:L39">
    <cfRule type="cellIs" priority="11" operator="equal" dxfId="0">
      <formula>0</formula>
    </cfRule>
  </conditionalFormatting>
  <conditionalFormatting sqref="G9:N12">
    <cfRule type="cellIs" priority="237" operator="equal" dxfId="0">
      <formula>0</formula>
    </cfRule>
  </conditionalFormatting>
  <conditionalFormatting sqref="G6:R8">
    <cfRule type="cellIs" priority="261" operator="equal" dxfId="0">
      <formula>0</formula>
    </cfRule>
  </conditionalFormatting>
  <conditionalFormatting sqref="G40:R44">
    <cfRule type="cellIs" priority="252" operator="equal" dxfId="0">
      <formula>0</formula>
    </cfRule>
  </conditionalFormatting>
  <conditionalFormatting sqref="G13:AV27">
    <cfRule type="cellIs" priority="1" operator="equal" dxfId="0">
      <formula>0</formula>
    </cfRule>
  </conditionalFormatting>
  <conditionalFormatting sqref="M33:R39">
    <cfRule type="cellIs" priority="290" operator="equal" dxfId="0">
      <formula>0</formula>
    </cfRule>
  </conditionalFormatting>
  <conditionalFormatting sqref="M28:AV32">
    <cfRule type="cellIs" priority="12" operator="equal" dxfId="0">
      <formula>0</formula>
    </cfRule>
  </conditionalFormatting>
  <conditionalFormatting sqref="O9:R9">
    <cfRule type="cellIs" priority="295" operator="equal" dxfId="0">
      <formula>0</formula>
    </cfRule>
  </conditionalFormatting>
  <conditionalFormatting sqref="O10:AV12">
    <cfRule type="cellIs" priority="23" operator="equal" dxfId="0">
      <formula>0</formula>
    </cfRule>
  </conditionalFormatting>
  <conditionalFormatting sqref="S6:AV9">
    <cfRule type="cellIs" priority="37" operator="equal" dxfId="0">
      <formula>0</formula>
    </cfRule>
  </conditionalFormatting>
  <conditionalFormatting sqref="S33:AV44">
    <cfRule type="cellIs" priority="3" operator="equal" dxfId="0">
      <formula>0</formula>
    </cfRule>
  </conditionalFormatting>
  <pageMargins left="0.26" right="0.2362204724409449" top="0.3937007874015748" bottom="0.4330708661417323" header="0.3149606299212598" footer="0.3149606299212598"/>
  <pageSetup orientation="landscape" paperSize="9" scale="56"/>
  <colBreaks count="1" manualBreakCount="1">
    <brk id="36" min="0" max="42" man="1"/>
  </colBreaks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696"/>
  <sheetViews>
    <sheetView zoomScale="130" zoomScaleNormal="130" workbookViewId="0">
      <selection activeCell="E35" sqref="E35"/>
    </sheetView>
  </sheetViews>
  <sheetFormatPr baseColWidth="8" defaultColWidth="9" defaultRowHeight="16.5" customHeight="1"/>
  <cols>
    <col width="14.625" customWidth="1" style="62" min="1" max="1"/>
    <col width="35.125" bestFit="1" customWidth="1" style="62" min="2" max="2"/>
    <col width="76.625" customWidth="1" style="63" min="3" max="3"/>
    <col width="13" customWidth="1" style="62" min="4" max="4"/>
    <col width="14.625" bestFit="1" customWidth="1" style="2201" min="5" max="5"/>
    <col width="15.125" bestFit="1" customWidth="1" style="2202" min="6" max="6"/>
    <col width="14.5" customWidth="1" style="60" min="7" max="7"/>
    <col width="14.125" bestFit="1" customWidth="1" style="61" min="8" max="8"/>
    <col width="12.875" bestFit="1" customWidth="1" style="60" min="9" max="9"/>
    <col width="15.125" bestFit="1" customWidth="1" style="60" min="10" max="10"/>
    <col width="9.5" bestFit="1" customWidth="1" style="60" min="11" max="11"/>
    <col width="9" customWidth="1" style="60" min="12" max="16384"/>
  </cols>
  <sheetData>
    <row r="1" ht="16.5" customFormat="1" customHeight="1" s="82">
      <c r="A1" s="88" t="inlineStr">
        <is>
          <t>6월 자금실적</t>
        </is>
      </c>
      <c r="B1" s="2203" t="n"/>
      <c r="C1" s="2204" t="n"/>
      <c r="D1" s="85" t="n"/>
      <c r="E1" s="2205" t="n"/>
      <c r="F1" s="2206" t="n"/>
      <c r="H1" s="84" t="inlineStr">
        <is>
          <t>USD</t>
        </is>
      </c>
      <c r="I1" s="83" t="n">
        <v>1541.5</v>
      </c>
      <c r="K1" s="83" t="n"/>
    </row>
    <row r="2" ht="16.5" customHeight="1">
      <c r="B2" s="2207" t="n"/>
      <c r="C2" s="2208" t="n"/>
    </row>
    <row r="3" ht="16.5" customFormat="1" customHeight="1" s="62">
      <c r="A3" s="78" t="inlineStr">
        <is>
          <t>구분</t>
        </is>
      </c>
      <c r="B3" s="78" t="inlineStr">
        <is>
          <t>업체명</t>
        </is>
      </c>
      <c r="C3" s="78" t="inlineStr">
        <is>
          <t>적요</t>
        </is>
      </c>
      <c r="D3" s="78" t="inlineStr">
        <is>
          <t>통화</t>
        </is>
      </c>
      <c r="E3" s="2209" t="inlineStr">
        <is>
          <t>입금</t>
        </is>
      </c>
      <c r="F3" s="2210" t="inlineStr">
        <is>
          <t>출금</t>
        </is>
      </c>
      <c r="G3" s="78" t="inlineStr">
        <is>
          <t>외화금액</t>
        </is>
      </c>
    </row>
    <row r="4" ht="16.5" customHeight="1">
      <c r="A4" s="62" t="inlineStr">
        <is>
          <t>기타지출</t>
        </is>
      </c>
      <c r="B4" s="343" t="inlineStr">
        <is>
          <t>유플러스</t>
        </is>
      </c>
      <c r="C4" s="2211" t="inlineStr">
        <is>
          <t>인터넷 전화 및 음성회의 전화요금</t>
        </is>
      </c>
      <c r="D4" s="344" t="inlineStr">
        <is>
          <t>KRW</t>
        </is>
      </c>
      <c r="E4" s="2212" t="n"/>
      <c r="F4" s="2213" t="n">
        <v>3260</v>
      </c>
    </row>
    <row r="5" ht="16.5" customHeight="1">
      <c r="A5" s="62" t="inlineStr">
        <is>
          <t>4대보험</t>
        </is>
      </c>
      <c r="B5" s="343" t="inlineStr">
        <is>
          <t>국민연금공단</t>
        </is>
      </c>
      <c r="C5" s="2211" t="inlineStr">
        <is>
          <t>국민연금 보험료</t>
        </is>
      </c>
      <c r="D5" s="344" t="inlineStr">
        <is>
          <t>KRW</t>
        </is>
      </c>
      <c r="E5" s="2212" t="n"/>
      <c r="F5" s="2213" t="n">
        <v>1085920</v>
      </c>
    </row>
    <row r="6" ht="16.5" customHeight="1">
      <c r="A6" s="62" t="inlineStr">
        <is>
          <t>4대보험</t>
        </is>
      </c>
      <c r="B6" s="343" t="inlineStr">
        <is>
          <t>건강보험공단</t>
        </is>
      </c>
      <c r="C6" s="2211" t="inlineStr">
        <is>
          <t>건강보험료</t>
        </is>
      </c>
      <c r="D6" s="344" t="inlineStr">
        <is>
          <t>KRW</t>
        </is>
      </c>
      <c r="E6" s="2212" t="n"/>
      <c r="F6" s="2213" t="n">
        <v>1678060</v>
      </c>
    </row>
    <row r="7" ht="16.5" customHeight="1">
      <c r="A7" s="62" t="inlineStr">
        <is>
          <t>4대보험</t>
        </is>
      </c>
      <c r="B7" s="343" t="inlineStr">
        <is>
          <t>고용보험공단</t>
        </is>
      </c>
      <c r="C7" s="2211" t="inlineStr">
        <is>
          <t>고용보험료</t>
        </is>
      </c>
      <c r="D7" s="344" t="inlineStr">
        <is>
          <t>KRW</t>
        </is>
      </c>
      <c r="E7" s="2212" t="n"/>
      <c r="F7" s="2213" t="n">
        <v>191380</v>
      </c>
    </row>
    <row r="8" ht="16.5" customHeight="1">
      <c r="A8" s="62" t="inlineStr">
        <is>
          <t>4대보험</t>
        </is>
      </c>
      <c r="B8" s="343" t="inlineStr">
        <is>
          <t>고용보험공단</t>
        </is>
      </c>
      <c r="C8" s="2211" t="inlineStr">
        <is>
          <t>산재보험료</t>
        </is>
      </c>
      <c r="D8" s="344" t="inlineStr">
        <is>
          <t>KRW</t>
        </is>
      </c>
      <c r="E8" s="2212" t="n"/>
      <c r="F8" s="2213" t="n">
        <v>69060</v>
      </c>
      <c r="H8" s="2214" t="n"/>
    </row>
    <row r="9" ht="16.5" customHeight="1">
      <c r="A9" s="62" t="inlineStr">
        <is>
          <t>퇴직연금</t>
        </is>
      </c>
      <c r="B9" s="343" t="inlineStr">
        <is>
          <t>기업은행(퇴직연금)</t>
        </is>
      </c>
      <c r="C9" s="2211" t="inlineStr">
        <is>
          <t>임직원 퇴직연금_기업은행</t>
        </is>
      </c>
      <c r="D9" s="344" t="inlineStr">
        <is>
          <t>KRW</t>
        </is>
      </c>
      <c r="E9" s="2212" t="n"/>
      <c r="F9" s="2213" t="n">
        <v>1466670</v>
      </c>
    </row>
    <row r="10" ht="16.5" customHeight="1">
      <c r="A10" s="62" t="inlineStr">
        <is>
          <t>원천세</t>
        </is>
      </c>
      <c r="B10" s="343" t="inlineStr">
        <is>
          <t>금천세무서</t>
        </is>
      </c>
      <c r="C10" s="2211" t="inlineStr">
        <is>
          <t>2026년 5월 근로소득세 원천징수</t>
        </is>
      </c>
      <c r="D10" s="344" t="inlineStr">
        <is>
          <t>KRW</t>
        </is>
      </c>
      <c r="E10" s="2212" t="n"/>
      <c r="F10" s="2213" t="n">
        <v>1590860</v>
      </c>
    </row>
    <row r="11" ht="16.5" customHeight="1">
      <c r="A11" s="62" t="inlineStr">
        <is>
          <t>원천세</t>
        </is>
      </c>
      <c r="B11" s="343" t="inlineStr">
        <is>
          <t>금천구청</t>
        </is>
      </c>
      <c r="C11" s="2211" t="inlineStr">
        <is>
          <t>2026년 5월 근로소득주민세 원천징수</t>
        </is>
      </c>
      <c r="D11" s="344" t="inlineStr">
        <is>
          <t>KRW</t>
        </is>
      </c>
      <c r="E11" s="2212" t="n"/>
      <c r="F11" s="2213" t="n">
        <v>159300</v>
      </c>
    </row>
    <row r="12" ht="16.5" customHeight="1">
      <c r="A12" s="62" t="inlineStr">
        <is>
          <t>지급수수료</t>
        </is>
      </c>
      <c r="B12" s="343" t="inlineStr">
        <is>
          <t>이트너스(주)</t>
        </is>
      </c>
      <c r="C12" s="2211" t="inlineStr">
        <is>
          <t>카탈리스터 전산자산 매각에 따른 위탁매매 수수료</t>
        </is>
      </c>
      <c r="D12" s="344" t="inlineStr">
        <is>
          <t>KRW</t>
        </is>
      </c>
      <c r="E12" s="2212" t="n"/>
      <c r="F12" s="2213" t="n">
        <v>2298395</v>
      </c>
    </row>
    <row r="13" ht="16.5" customHeight="1">
      <c r="A13" s="62" t="inlineStr">
        <is>
          <t>퇴직연금</t>
        </is>
      </c>
      <c r="B13" s="343" t="inlineStr">
        <is>
          <t>한국투자증권(퇴직연금)</t>
        </is>
      </c>
      <c r="C13" s="2211" t="inlineStr">
        <is>
          <t>임직원 퇴직연금_한국투자증권</t>
        </is>
      </c>
      <c r="D13" s="344" t="inlineStr">
        <is>
          <t>KRW</t>
        </is>
      </c>
      <c r="E13" s="2212" t="n"/>
      <c r="F13" s="2213" t="n">
        <v>461810</v>
      </c>
    </row>
    <row r="14" ht="16.5" customHeight="1">
      <c r="A14" s="62" t="inlineStr">
        <is>
          <t>복리후생비</t>
        </is>
      </c>
      <c r="B14" s="343" t="inlineStr">
        <is>
          <t>이경일</t>
        </is>
      </c>
      <c r="C14" s="2211" t="inlineStr">
        <is>
          <t>복리후생비(경조금) -이경일 대표</t>
        </is>
      </c>
      <c r="D14" s="344" t="inlineStr">
        <is>
          <t>KRW</t>
        </is>
      </c>
      <c r="E14" s="2212" t="n"/>
      <c r="F14" s="2213" t="n">
        <v>300000</v>
      </c>
    </row>
    <row r="15" ht="16.5" customHeight="1">
      <c r="A15" s="62" t="inlineStr">
        <is>
          <t>기타지출</t>
        </is>
      </c>
      <c r="B15" s="343" t="inlineStr">
        <is>
          <t>주식회사 세포아소프트</t>
        </is>
      </c>
      <c r="C15" s="2211" t="inlineStr">
        <is>
          <t>법인카드데이타 연동서비스</t>
        </is>
      </c>
      <c r="D15" s="344" t="inlineStr">
        <is>
          <t>KRW</t>
        </is>
      </c>
      <c r="E15" s="2212" t="n"/>
      <c r="F15" s="2213" t="n">
        <v>110000</v>
      </c>
    </row>
    <row r="16" ht="16.5" customHeight="1">
      <c r="A16" s="62" t="inlineStr">
        <is>
          <t>복리후생비</t>
        </is>
      </c>
      <c r="B16" s="343" t="inlineStr">
        <is>
          <t>아름다운세차</t>
        </is>
      </c>
      <c r="C16" s="2211" t="inlineStr">
        <is>
          <t>임원 복리후생(정기세차) 비용 납부</t>
        </is>
      </c>
      <c r="D16" s="344" t="inlineStr">
        <is>
          <t>KRW</t>
        </is>
      </c>
      <c r="E16" s="2212" t="n"/>
      <c r="F16" s="2213" t="n">
        <v>99000</v>
      </c>
    </row>
    <row r="17" ht="16.5" customHeight="1">
      <c r="A17" s="62" t="inlineStr">
        <is>
          <t>식당운영비</t>
        </is>
      </c>
      <c r="B17" s="343" t="inlineStr">
        <is>
          <t>삼성웰스토리㈜</t>
        </is>
      </c>
      <c r="C17" s="2211" t="inlineStr">
        <is>
          <t>사내식당 임직원 식대</t>
        </is>
      </c>
      <c r="D17" s="344" t="inlineStr">
        <is>
          <t>KRW</t>
        </is>
      </c>
      <c r="E17" s="2212" t="n"/>
      <c r="F17" s="2213" t="n">
        <v>83000</v>
      </c>
    </row>
    <row r="18" ht="16.5" customHeight="1">
      <c r="A18" s="62" t="inlineStr">
        <is>
          <t>복리후생비</t>
        </is>
      </c>
      <c r="B18" s="343" t="inlineStr">
        <is>
          <t>최민준(주택자금대출)</t>
        </is>
      </c>
      <c r="C18" s="2211" t="inlineStr">
        <is>
          <t>주택자금대출 이자지원</t>
        </is>
      </c>
      <c r="D18" s="344" t="inlineStr">
        <is>
          <t>KRW</t>
        </is>
      </c>
      <c r="E18" s="2212" t="n"/>
      <c r="F18" s="2213" t="n">
        <v>58717</v>
      </c>
    </row>
    <row r="19" ht="16.5" customHeight="1">
      <c r="A19" s="62" t="inlineStr">
        <is>
          <t>기타지출</t>
        </is>
      </c>
      <c r="B19" s="343" t="inlineStr">
        <is>
          <t>주식회사 고워드</t>
        </is>
      </c>
      <c r="C19" s="2211" t="inlineStr">
        <is>
          <t>5월 운반비</t>
        </is>
      </c>
      <c r="D19" s="344" t="inlineStr">
        <is>
          <t>KRW</t>
        </is>
      </c>
      <c r="E19" s="2212" t="n"/>
      <c r="F19" s="2213" t="n">
        <v>19800</v>
      </c>
    </row>
    <row r="20" ht="16.5" customHeight="1">
      <c r="A20" s="62" t="inlineStr">
        <is>
          <t>식당운영비</t>
        </is>
      </c>
      <c r="B20" s="343" t="inlineStr">
        <is>
          <t>카페 어썸</t>
        </is>
      </c>
      <c r="C20" s="2211" t="inlineStr">
        <is>
          <t>사내카페 운영비용</t>
        </is>
      </c>
      <c r="D20" s="344" t="inlineStr">
        <is>
          <t>KRW</t>
        </is>
      </c>
      <c r="E20" s="2212" t="n"/>
      <c r="F20" s="2213" t="n">
        <v>1000</v>
      </c>
    </row>
    <row r="21" ht="16.5" customHeight="1">
      <c r="A21" s="62" t="inlineStr">
        <is>
          <t>직원비용</t>
        </is>
      </c>
      <c r="B21" s="343" t="inlineStr">
        <is>
          <t>임직원</t>
        </is>
      </c>
      <c r="C21" s="2211" t="inlineStr">
        <is>
          <t>260618직원비용-카탈리스터(6/18)</t>
        </is>
      </c>
      <c r="D21" s="344" t="inlineStr">
        <is>
          <t>KRW</t>
        </is>
      </c>
      <c r="E21" s="2212" t="n"/>
      <c r="F21" s="2213" t="n">
        <v>2965366</v>
      </c>
    </row>
    <row r="22" ht="16.5" customHeight="1">
      <c r="A22" s="62" t="inlineStr">
        <is>
          <t>직원비용</t>
        </is>
      </c>
      <c r="B22" s="343" t="inlineStr">
        <is>
          <t>삼성카드</t>
        </is>
      </c>
      <c r="C22" s="2211" t="inlineStr">
        <is>
          <t>삼성법인카드대금(6/18)</t>
        </is>
      </c>
      <c r="D22" s="344" t="inlineStr">
        <is>
          <t>KRW</t>
        </is>
      </c>
      <c r="E22" s="2212" t="n"/>
      <c r="F22" s="2213" t="n">
        <v>224881</v>
      </c>
    </row>
    <row r="23" ht="16.5" customHeight="1">
      <c r="A23" s="62" t="inlineStr">
        <is>
          <t>이자수익</t>
        </is>
      </c>
      <c r="B23" s="343" t="inlineStr">
        <is>
          <t>하나은행</t>
        </is>
      </c>
      <c r="C23" s="2211" t="inlineStr">
        <is>
          <t>결산이자 입금(6/20)</t>
        </is>
      </c>
      <c r="D23" s="344" t="inlineStr">
        <is>
          <t>KRW</t>
        </is>
      </c>
      <c r="E23" s="2212" t="n">
        <v>1005</v>
      </c>
      <c r="F23" s="2213" t="n"/>
    </row>
    <row r="24" ht="16.5" customHeight="1">
      <c r="A24" s="62" t="inlineStr">
        <is>
          <t>이자수익</t>
        </is>
      </c>
      <c r="B24" s="343" t="inlineStr">
        <is>
          <t>기업은행</t>
        </is>
      </c>
      <c r="C24" s="2211" t="inlineStr">
        <is>
          <t>결산이자 입금(6/21)</t>
        </is>
      </c>
      <c r="D24" s="344" t="inlineStr">
        <is>
          <t>KRW</t>
        </is>
      </c>
      <c r="E24" s="2212" t="n">
        <v>6869</v>
      </c>
      <c r="F24" s="2213" t="n"/>
    </row>
    <row r="25" ht="16.5" customHeight="1">
      <c r="A25" s="62" t="inlineStr">
        <is>
          <t>지급임차료</t>
        </is>
      </c>
      <c r="B25" s="343" t="inlineStr">
        <is>
          <t>(주)컴투스</t>
        </is>
      </c>
      <c r="C25" s="2211" t="inlineStr">
        <is>
          <t>BYC 하이시티 B동 24층 월정임차료</t>
        </is>
      </c>
      <c r="D25" s="344" t="inlineStr">
        <is>
          <t>KRW</t>
        </is>
      </c>
      <c r="E25" s="2212" t="n"/>
      <c r="F25" s="2213" t="n">
        <v>919248</v>
      </c>
    </row>
    <row r="26" ht="16.5" customHeight="1">
      <c r="A26" s="62" t="inlineStr">
        <is>
          <t>전산유지비</t>
        </is>
      </c>
      <c r="B26" s="343" t="inlineStr">
        <is>
          <t>주식회사 한국소프트웨어서비스</t>
        </is>
      </c>
      <c r="C26" s="2211" t="inlineStr">
        <is>
          <t>Parallels Desktop Business 1EA 구독 비용</t>
        </is>
      </c>
      <c r="D26" s="344" t="inlineStr">
        <is>
          <t>KRW</t>
        </is>
      </c>
      <c r="E26" s="2212" t="n"/>
      <c r="F26" s="2213" t="n">
        <v>155100</v>
      </c>
    </row>
    <row r="27" ht="16.5" customHeight="1">
      <c r="A27" s="62" t="inlineStr">
        <is>
          <t>기타지출</t>
        </is>
      </c>
      <c r="B27" s="343" t="inlineStr">
        <is>
          <t>송파구청</t>
        </is>
      </c>
      <c r="C27" s="2211" t="inlineStr">
        <is>
          <t>법인차량 과태료 납부</t>
        </is>
      </c>
      <c r="D27" s="344" t="inlineStr">
        <is>
          <t>KRW</t>
        </is>
      </c>
      <c r="E27" s="2212" t="n"/>
      <c r="F27" s="2213" t="n">
        <v>80000</v>
      </c>
      <c r="G27" s="2213" t="n"/>
    </row>
    <row r="28" ht="16.5" customHeight="1">
      <c r="A28" s="62" t="inlineStr">
        <is>
          <t>경영지원용역비</t>
        </is>
      </c>
      <c r="B28" s="343" t="inlineStr">
        <is>
          <t>(주)컴투스</t>
        </is>
      </c>
      <c r="C28" s="2211" t="inlineStr">
        <is>
          <t>인사 용역료 지급</t>
        </is>
      </c>
      <c r="D28" s="344" t="inlineStr">
        <is>
          <t>KRW</t>
        </is>
      </c>
      <c r="E28" s="2212" t="n"/>
      <c r="F28" s="2213" t="n">
        <v>44976</v>
      </c>
      <c r="G28" s="2213" t="n"/>
    </row>
    <row r="29" ht="16.5" customHeight="1">
      <c r="A29" s="62" t="inlineStr">
        <is>
          <t>전산유지비</t>
        </is>
      </c>
      <c r="B29" s="343" t="inlineStr">
        <is>
          <t>㈜닥터소프트</t>
        </is>
      </c>
      <c r="C29" s="2211" t="inlineStr">
        <is>
          <t>[확정] 자산관리 솔루션(Netrix) 유지보수 수수료</t>
        </is>
      </c>
      <c r="D29" s="344" t="inlineStr">
        <is>
          <t>KRW</t>
        </is>
      </c>
      <c r="E29" s="2212" t="n"/>
      <c r="F29" s="2213" t="n">
        <v>825</v>
      </c>
    </row>
    <row r="30" ht="16.5" customHeight="1">
      <c r="A30" s="62" t="inlineStr">
        <is>
          <t>보통예금</t>
        </is>
      </c>
      <c r="B30" s="343" t="inlineStr">
        <is>
          <t>하나704</t>
        </is>
      </c>
      <c r="C30" s="2211" t="inlineStr">
        <is>
          <t>자금이체[하나704-&gt;하나404]</t>
        </is>
      </c>
      <c r="D30" s="344" t="inlineStr">
        <is>
          <t>KRW</t>
        </is>
      </c>
      <c r="E30" s="2212" t="n">
        <v>41789000</v>
      </c>
      <c r="F30" s="2213" t="n"/>
    </row>
    <row r="31" ht="16.5" customHeight="1">
      <c r="A31" s="62" t="inlineStr">
        <is>
          <t>보통예금</t>
        </is>
      </c>
      <c r="B31" s="343" t="inlineStr">
        <is>
          <t>하나404</t>
        </is>
      </c>
      <c r="C31" s="2211" t="inlineStr">
        <is>
          <t>자금이체[하나704-&gt;하나404]</t>
        </is>
      </c>
      <c r="D31" s="344" t="inlineStr">
        <is>
          <t>KRW</t>
        </is>
      </c>
      <c r="E31" s="2212" t="n"/>
      <c r="F31" s="2213" t="n">
        <v>41789000</v>
      </c>
    </row>
    <row r="32" ht="16.5" customHeight="1">
      <c r="A32" s="62" t="inlineStr">
        <is>
          <t>직원비용</t>
        </is>
      </c>
      <c r="B32" s="343" t="inlineStr">
        <is>
          <t>하나카드기업</t>
        </is>
      </c>
      <c r="C32" s="2211" t="inlineStr">
        <is>
          <t>복지카드 5월 사용분 출금(6/23)</t>
        </is>
      </c>
      <c r="D32" s="344" t="inlineStr">
        <is>
          <t>KRW</t>
        </is>
      </c>
      <c r="E32" s="2212" t="n"/>
      <c r="F32" s="2213" t="n">
        <v>1277200</v>
      </c>
    </row>
    <row r="33" ht="16.5" customHeight="1">
      <c r="A33" s="62" t="inlineStr">
        <is>
          <t>급여</t>
        </is>
      </c>
      <c r="B33" s="343" t="inlineStr">
        <is>
          <t>임직원</t>
        </is>
      </c>
      <c r="C33" s="2211" t="inlineStr">
        <is>
          <t>임직원 6월 급여(6/25)</t>
        </is>
      </c>
      <c r="D33" s="344" t="inlineStr">
        <is>
          <t>KRW</t>
        </is>
      </c>
      <c r="E33" s="2212" t="n"/>
      <c r="F33" s="2213" t="n">
        <v>14855137</v>
      </c>
    </row>
    <row r="34" ht="16.5" customHeight="1">
      <c r="A34" s="62" t="inlineStr">
        <is>
          <t>금융상품</t>
        </is>
      </c>
      <c r="B34" s="343" t="inlineStr">
        <is>
          <t>하나은행</t>
        </is>
      </c>
      <c r="C34" s="2211" t="inlineStr">
        <is>
          <t>정기예금 3억원 만기해지 입금-원금(6/29)</t>
        </is>
      </c>
      <c r="D34" s="344" t="inlineStr">
        <is>
          <t>KRW</t>
        </is>
      </c>
      <c r="E34" s="2212" t="n">
        <v>300000000</v>
      </c>
      <c r="F34" s="2215" t="n"/>
    </row>
    <row r="35" ht="16.5" customHeight="1">
      <c r="A35" s="62" t="inlineStr">
        <is>
          <t>이자수익</t>
        </is>
      </c>
      <c r="B35" s="343" t="inlineStr">
        <is>
          <t>하나은행</t>
        </is>
      </c>
      <c r="C35" s="2211" t="inlineStr">
        <is>
          <t>정기예금 3억원 만기해지 입금-원금(6/29)</t>
        </is>
      </c>
      <c r="D35" s="344" t="inlineStr">
        <is>
          <t>KRW</t>
        </is>
      </c>
      <c r="E35" s="2212" t="n">
        <v>6475833</v>
      </c>
      <c r="F35" s="2215" t="n"/>
    </row>
    <row r="36" ht="16.5" customHeight="1">
      <c r="A36" s="62" t="inlineStr">
        <is>
          <t>기타지출</t>
        </is>
      </c>
      <c r="B36" s="343" t="inlineStr">
        <is>
          <t>LGU+통신전화</t>
        </is>
      </c>
      <c r="C36" s="2211" t="inlineStr">
        <is>
          <t>자동이체 통신비(6/30)</t>
        </is>
      </c>
      <c r="D36" s="344" t="inlineStr">
        <is>
          <t>KRW</t>
        </is>
      </c>
      <c r="E36" s="2212" t="n"/>
      <c r="F36" s="2213" t="n">
        <v>3260</v>
      </c>
    </row>
    <row r="37" ht="16.5" customHeight="1">
      <c r="A37" s="62" t="inlineStr">
        <is>
          <t>이자수익</t>
        </is>
      </c>
      <c r="B37" s="62" t="inlineStr">
        <is>
          <t>농협은행</t>
        </is>
      </c>
      <c r="C37" s="63" t="inlineStr">
        <is>
          <t>결산이자 입금(6/28)</t>
        </is>
      </c>
      <c r="D37" s="344" t="inlineStr">
        <is>
          <t>KRW</t>
        </is>
      </c>
      <c r="E37" s="2216" t="n">
        <v>16</v>
      </c>
      <c r="F37" s="2202" t="n"/>
      <c r="G37" s="2217" t="n"/>
    </row>
    <row r="38" ht="16.5" customHeight="1">
      <c r="A38" s="62" t="inlineStr">
        <is>
          <t>복리후생비</t>
        </is>
      </c>
      <c r="B38" s="62" t="inlineStr">
        <is>
          <t>디비손해보험 주식회사</t>
        </is>
      </c>
      <c r="C38" s="63" t="inlineStr">
        <is>
          <t>2026년 단체상해보험료 지급의 건 (2026.07.01 ~ 2027.07.01)_DB손해보험</t>
        </is>
      </c>
      <c r="D38" s="344" t="inlineStr">
        <is>
          <t>KRW</t>
        </is>
      </c>
      <c r="E38" s="2216" t="n"/>
      <c r="F38" s="2202" t="n">
        <v>1131618</v>
      </c>
      <c r="G38" s="2217" t="n"/>
    </row>
    <row r="39" ht="16.5" customHeight="1">
      <c r="A39" s="62" t="inlineStr">
        <is>
          <t>전산유지비</t>
        </is>
      </c>
      <c r="B39" s="62" t="inlineStr">
        <is>
          <t>베스핀글로벌 주식회사</t>
        </is>
      </c>
      <c r="C39" s="63" t="inlineStr">
        <is>
          <t>[확정] 구글 클라우드 플랫폼 EDP 이용료</t>
        </is>
      </c>
      <c r="D39" s="344" t="inlineStr">
        <is>
          <t>KRW</t>
        </is>
      </c>
      <c r="E39" s="2216" t="n"/>
      <c r="F39" s="2202" t="n">
        <v>713911</v>
      </c>
    </row>
    <row r="40" ht="16.5" customHeight="1">
      <c r="A40" s="62" t="inlineStr">
        <is>
          <t>전산유지비</t>
        </is>
      </c>
      <c r="B40" s="62" t="inlineStr">
        <is>
          <t>(주)파인앤서비스</t>
        </is>
      </c>
      <c r="C40" s="63" t="inlineStr">
        <is>
          <t>Thawte Standard OV Wildcard 인증서 연장 구매_(*.com2verse.com)</t>
        </is>
      </c>
      <c r="D40" s="344" t="inlineStr">
        <is>
          <t>KRW</t>
        </is>
      </c>
      <c r="E40" s="2216" t="n"/>
      <c r="F40" s="2202" t="n">
        <v>429000</v>
      </c>
      <c r="I40" s="2217" t="n"/>
    </row>
    <row r="41" ht="16.5" customHeight="1">
      <c r="A41" s="62" t="inlineStr">
        <is>
          <t>복리후생비</t>
        </is>
      </c>
      <c r="B41" s="62" t="inlineStr">
        <is>
          <t>현대해상화재보험(주)</t>
        </is>
      </c>
      <c r="C41" s="63" t="inlineStr">
        <is>
          <t>2026년 단체상해보험료 지급의 건 (2026.07.01 ~ 2027.07.01)_현대해상</t>
        </is>
      </c>
      <c r="D41" s="344" t="inlineStr">
        <is>
          <t>KRW</t>
        </is>
      </c>
      <c r="E41" s="2216" t="n"/>
      <c r="F41" s="2202" t="n">
        <v>188870</v>
      </c>
    </row>
    <row r="42" ht="16.5" customHeight="1">
      <c r="A42" s="62" t="inlineStr">
        <is>
          <t>전산유지비</t>
        </is>
      </c>
      <c r="B42" s="62" t="inlineStr">
        <is>
          <t>텐센트코리아 유한회사</t>
        </is>
      </c>
      <c r="C42" s="63" t="inlineStr">
        <is>
          <t>[확정] 텐센트 클라우드 서비스 이용료</t>
        </is>
      </c>
      <c r="D42" s="344" t="inlineStr">
        <is>
          <t>KRW</t>
        </is>
      </c>
      <c r="E42" s="2216" t="n"/>
      <c r="F42" s="2202" t="n">
        <v>112654</v>
      </c>
    </row>
    <row r="43" ht="16.5" customHeight="1">
      <c r="A43" s="343" t="inlineStr">
        <is>
          <t>기타지출</t>
        </is>
      </c>
      <c r="B43" s="62" t="inlineStr">
        <is>
          <t>유플러스</t>
        </is>
      </c>
      <c r="C43" s="63" t="inlineStr">
        <is>
          <t>회사 대표번호 전화요금 지불의 건</t>
        </is>
      </c>
      <c r="D43" s="344" t="inlineStr">
        <is>
          <t>KRW</t>
        </is>
      </c>
      <c r="E43" s="2216" t="n"/>
      <c r="F43" s="2202" t="n">
        <v>18700</v>
      </c>
    </row>
    <row r="44" ht="16.5" customHeight="1">
      <c r="A44" s="62" t="inlineStr">
        <is>
          <t>외상매출금</t>
        </is>
      </c>
      <c r="B44" s="62" t="inlineStr">
        <is>
          <t>컴투스플랫폼</t>
        </is>
      </c>
      <c r="C44" s="63" t="inlineStr">
        <is>
          <t>서버비 정산금(6/30)</t>
        </is>
      </c>
      <c r="D44" s="344" t="inlineStr">
        <is>
          <t>KRW</t>
        </is>
      </c>
      <c r="E44" s="2216" t="n">
        <v>51810</v>
      </c>
      <c r="F44" s="2202" t="n"/>
    </row>
    <row r="45" ht="16.5" customHeight="1">
      <c r="D45" s="344" t="inlineStr">
        <is>
          <t>KRW</t>
        </is>
      </c>
      <c r="E45" s="2216" t="n"/>
      <c r="F45" s="2202" t="n"/>
    </row>
    <row r="46" ht="16.5" customHeight="1">
      <c r="D46" s="344" t="inlineStr">
        <is>
          <t>KRW</t>
        </is>
      </c>
      <c r="E46" s="2216" t="n"/>
      <c r="F46" s="2202" t="n"/>
    </row>
    <row r="47" ht="16.5" customHeight="1">
      <c r="D47" s="344" t="inlineStr">
        <is>
          <t>KRW</t>
        </is>
      </c>
      <c r="E47" s="2216" t="n"/>
      <c r="F47" s="2202" t="n"/>
    </row>
    <row r="48" ht="16.5" customHeight="1">
      <c r="B48" s="2216" t="n"/>
      <c r="D48" s="344" t="n"/>
      <c r="E48" s="2216" t="n"/>
      <c r="F48" s="2202" t="n"/>
    </row>
    <row r="49" ht="16.5" customHeight="1">
      <c r="B49" s="2216" t="n"/>
      <c r="D49" s="344" t="n"/>
      <c r="E49" s="2216" t="n"/>
      <c r="F49" s="2202" t="n"/>
    </row>
    <row r="50" ht="16.5" customHeight="1">
      <c r="D50" s="344" t="n"/>
      <c r="E50" s="2216" t="n"/>
      <c r="F50" s="2202" t="n"/>
    </row>
    <row r="51" ht="16.5" customHeight="1">
      <c r="D51" s="344" t="n"/>
      <c r="E51" s="2216" t="n"/>
      <c r="F51" s="2202" t="n"/>
    </row>
    <row r="52" ht="16.5" customHeight="1">
      <c r="D52" s="344" t="n"/>
      <c r="E52" s="2216" t="n"/>
      <c r="F52" s="2202" t="n"/>
    </row>
    <row r="53" ht="16.5" customHeight="1">
      <c r="D53" s="344" t="n"/>
      <c r="E53" s="2216" t="n"/>
      <c r="F53" s="2202" t="n"/>
    </row>
    <row r="54" ht="16.5" customHeight="1">
      <c r="D54" s="344" t="n"/>
      <c r="E54" s="2216" t="n"/>
      <c r="F54" s="2202" t="n"/>
    </row>
    <row r="55" ht="16.5" customHeight="1">
      <c r="D55" s="344" t="n"/>
      <c r="E55" s="2216" t="n"/>
      <c r="F55" s="2202" t="n"/>
    </row>
    <row r="56" ht="16.5" customHeight="1">
      <c r="D56" s="344" t="n"/>
      <c r="E56" s="2216" t="n"/>
      <c r="F56" s="2202" t="n"/>
    </row>
    <row r="57" ht="16.5" customHeight="1">
      <c r="D57" s="344" t="n"/>
      <c r="E57" s="2216" t="n"/>
      <c r="F57" s="2202" t="n"/>
    </row>
    <row r="58" ht="16.5" customHeight="1">
      <c r="D58" s="344" t="n"/>
      <c r="E58" s="2216" t="n"/>
      <c r="F58" s="2202" t="n"/>
    </row>
    <row r="59" ht="16.5" customHeight="1">
      <c r="D59" s="344" t="n"/>
      <c r="E59" s="2216" t="n"/>
      <c r="F59" s="2202" t="n"/>
    </row>
    <row r="60" ht="16.5" customHeight="1">
      <c r="D60" s="344" t="n"/>
      <c r="E60" s="2216" t="n"/>
      <c r="F60" s="2202" t="n"/>
    </row>
    <row r="61" ht="16.5" customHeight="1">
      <c r="D61" s="344" t="n"/>
      <c r="E61" s="2216" t="n"/>
      <c r="F61" s="2202" t="n"/>
    </row>
    <row r="62" ht="16.5" customHeight="1">
      <c r="D62" s="344" t="n"/>
      <c r="E62" s="2216" t="n"/>
      <c r="F62" s="2202" t="n"/>
    </row>
    <row r="63" ht="16.5" customHeight="1">
      <c r="D63" s="344" t="n"/>
      <c r="E63" s="2216" t="n"/>
      <c r="F63" s="2202" t="n"/>
    </row>
    <row r="64" ht="16.5" customHeight="1">
      <c r="D64" s="344" t="n"/>
      <c r="E64" s="2218" t="n"/>
      <c r="F64" s="2202" t="n"/>
    </row>
    <row r="65" ht="16.5" customHeight="1">
      <c r="D65" s="344" t="n"/>
      <c r="E65" s="2218" t="n"/>
      <c r="F65" s="2202" t="n"/>
    </row>
    <row r="66" ht="16.5" customHeight="1">
      <c r="D66" s="344" t="n"/>
      <c r="E66" s="2218" t="n"/>
      <c r="F66" s="2202" t="n"/>
    </row>
    <row r="67" ht="16.5" customHeight="1">
      <c r="D67" s="344" t="n"/>
      <c r="E67" s="2216" t="n"/>
      <c r="F67" s="2202" t="n"/>
    </row>
    <row r="68" ht="16.5" customHeight="1">
      <c r="D68" s="344" t="n"/>
      <c r="E68" s="2216" t="n"/>
      <c r="F68" s="2202" t="n"/>
    </row>
    <row r="69" ht="16.5" customHeight="1">
      <c r="D69" s="344" t="n"/>
      <c r="E69" s="2216" t="n"/>
      <c r="F69" s="2202" t="n"/>
    </row>
    <row r="70" ht="16.5" customHeight="1">
      <c r="D70" s="344" t="n"/>
      <c r="E70" s="2216" t="n"/>
      <c r="F70" s="2202" t="n"/>
      <c r="H70" s="2214" t="n"/>
    </row>
    <row r="71" ht="16.5" customHeight="1">
      <c r="D71" s="344" t="n"/>
      <c r="E71" s="2216" t="n"/>
      <c r="F71" s="2202" t="n"/>
      <c r="G71" s="2217" t="n"/>
    </row>
    <row r="72" ht="16.5" customHeight="1">
      <c r="D72" s="344" t="n"/>
      <c r="E72" s="2216" t="n"/>
      <c r="F72" s="2202" t="n"/>
    </row>
    <row r="73" ht="16.5" customHeight="1">
      <c r="D73" s="344" t="n"/>
      <c r="E73" s="2216" t="n"/>
      <c r="F73" s="2202" t="n"/>
      <c r="H73" s="2214" t="n"/>
    </row>
    <row r="74" ht="16.5" customHeight="1">
      <c r="D74" s="344" t="n"/>
      <c r="E74" s="2216" t="n"/>
      <c r="F74" s="2202" t="n"/>
    </row>
    <row r="75" ht="16.5" customHeight="1">
      <c r="D75" s="344" t="n"/>
      <c r="E75" s="2216" t="n"/>
      <c r="F75" s="2202" t="n"/>
      <c r="G75" s="2219" t="n"/>
    </row>
    <row r="76" ht="16.5" customHeight="1">
      <c r="D76" s="344" t="n"/>
      <c r="E76" s="2216" t="n"/>
      <c r="F76" s="2202" t="n"/>
    </row>
    <row r="77" ht="16.5" customHeight="1">
      <c r="D77" s="344" t="n"/>
      <c r="E77" s="2216" t="n"/>
      <c r="F77" s="2202" t="n"/>
    </row>
    <row r="78" ht="16.5" customHeight="1">
      <c r="D78" s="344" t="n"/>
      <c r="E78" s="2216" t="n"/>
      <c r="F78" s="2202" t="n"/>
    </row>
    <row r="79" ht="16.5" customHeight="1">
      <c r="D79" s="344" t="n"/>
      <c r="E79" s="2216" t="n"/>
      <c r="F79" s="2202" t="n"/>
    </row>
    <row r="80" ht="16.5" customHeight="1">
      <c r="D80" s="344" t="n"/>
      <c r="E80" s="2216" t="n"/>
      <c r="F80" s="2202" t="n"/>
    </row>
    <row r="81" ht="16.5" customHeight="1">
      <c r="D81" s="344" t="n"/>
      <c r="E81" s="2216" t="n"/>
      <c r="F81" s="2202" t="n"/>
    </row>
    <row r="82" ht="16.5" customHeight="1">
      <c r="D82" s="344" t="n"/>
      <c r="E82" s="2216" t="n"/>
      <c r="F82" s="2202" t="n"/>
    </row>
    <row r="83" ht="16.5" customHeight="1">
      <c r="E83" s="2218" t="n"/>
      <c r="F83" s="2202" t="n"/>
    </row>
    <row r="84" ht="16.5" customHeight="1">
      <c r="D84" s="344" t="n"/>
      <c r="E84" s="2218" t="n"/>
      <c r="F84" s="2202" t="n"/>
    </row>
    <row r="85" ht="16.5" customHeight="1">
      <c r="D85" s="344" t="n"/>
      <c r="E85" s="2218" t="n"/>
      <c r="F85" s="2202" t="n"/>
    </row>
    <row r="86" ht="16.5" customHeight="1">
      <c r="D86" s="344" t="n"/>
      <c r="E86" s="2216" t="n"/>
      <c r="F86" s="2202" t="n"/>
    </row>
    <row r="87" ht="16.5" customHeight="1">
      <c r="D87" s="344" t="n"/>
      <c r="E87" s="2216" t="n"/>
      <c r="F87" s="2202" t="n"/>
    </row>
    <row r="88" ht="16.5" customHeight="1">
      <c r="D88" s="344" t="n"/>
      <c r="E88" s="2216" t="n"/>
      <c r="F88" s="2202" t="n"/>
    </row>
    <row r="89" ht="16.5" customHeight="1">
      <c r="D89" s="344" t="n"/>
      <c r="E89" s="2216" t="n"/>
      <c r="F89" s="2202" t="n"/>
    </row>
    <row r="90" ht="16.5" customHeight="1">
      <c r="D90" s="344" t="n"/>
      <c r="E90" s="2216" t="n"/>
      <c r="F90" s="2202" t="n"/>
    </row>
    <row r="91" ht="16.5" customHeight="1">
      <c r="E91" s="2216" t="n"/>
      <c r="F91" s="2202" t="n"/>
    </row>
    <row r="92" ht="16.5" customHeight="1">
      <c r="E92" s="2216" t="n"/>
      <c r="F92" s="2202" t="n"/>
    </row>
    <row r="93" ht="16.5" customHeight="1">
      <c r="E93" s="2216" t="n"/>
      <c r="F93" s="2202" t="n"/>
    </row>
    <row r="94" ht="16.5" customHeight="1">
      <c r="E94" s="2216" t="n"/>
      <c r="F94" s="2202" t="n"/>
    </row>
    <row r="95" ht="16.5" customHeight="1">
      <c r="E95" s="2216" t="n"/>
      <c r="F95" s="2202" t="n"/>
    </row>
    <row r="96" ht="16.5" customHeight="1">
      <c r="E96" s="2216" t="n"/>
      <c r="F96" s="2202" t="n"/>
    </row>
    <row r="97" ht="16.5" customHeight="1">
      <c r="E97" s="2216" t="n"/>
      <c r="F97" s="2202" t="n"/>
    </row>
    <row r="98" ht="16.5" customHeight="1">
      <c r="E98" s="2216" t="n"/>
      <c r="F98" s="2202" t="n"/>
    </row>
    <row r="99" ht="16.5" customHeight="1">
      <c r="E99" s="2216" t="n"/>
      <c r="F99" s="2202" t="n"/>
    </row>
    <row r="100" ht="16.5" customHeight="1">
      <c r="E100" s="2216" t="n"/>
      <c r="F100" s="2202" t="n"/>
    </row>
    <row r="101" ht="16.5" customHeight="1">
      <c r="E101" s="2216" t="n"/>
      <c r="F101" s="2202" t="n"/>
    </row>
    <row r="102" ht="16.5" customHeight="1">
      <c r="E102" s="2216" t="n"/>
      <c r="F102" s="2202" t="n"/>
    </row>
    <row r="103" ht="16.5" customHeight="1">
      <c r="E103" s="2216" t="n"/>
      <c r="F103" s="2202" t="n"/>
    </row>
    <row r="104" ht="16.5" customHeight="1">
      <c r="E104" s="2216" t="n"/>
      <c r="F104" s="2202" t="n"/>
    </row>
    <row r="105" ht="16.5" customHeight="1">
      <c r="E105" s="2216" t="n"/>
      <c r="F105" s="2202" t="n"/>
    </row>
    <row r="106" ht="16.5" customHeight="1">
      <c r="E106" s="2216" t="n"/>
      <c r="F106" s="2202" t="n"/>
    </row>
    <row r="107" ht="16.5" customHeight="1">
      <c r="E107" s="2216" t="n"/>
      <c r="F107" s="2202" t="n"/>
    </row>
    <row r="108" ht="16.5" customHeight="1">
      <c r="E108" s="2216" t="n"/>
      <c r="F108" s="2202" t="n"/>
    </row>
    <row r="109" ht="16.5" customHeight="1">
      <c r="E109" s="2216" t="n"/>
      <c r="F109" s="2202" t="n"/>
    </row>
    <row r="110" ht="16.5" customHeight="1">
      <c r="E110" s="2216" t="n"/>
      <c r="F110" s="2202" t="n"/>
    </row>
    <row r="111" ht="16.5" customHeight="1">
      <c r="E111" s="2216" t="n"/>
      <c r="F111" s="2202" t="n"/>
    </row>
    <row r="112" ht="16.5" customHeight="1">
      <c r="E112" s="2216" t="n"/>
      <c r="F112" s="2202" t="n"/>
    </row>
    <row r="113" ht="16.5" customHeight="1">
      <c r="E113" s="2216" t="n"/>
      <c r="F113" s="2202" t="n"/>
    </row>
    <row r="114" ht="16.5" customHeight="1">
      <c r="E114" s="2216" t="n"/>
      <c r="F114" s="2202" t="n"/>
    </row>
    <row r="115" ht="16.5" customHeight="1">
      <c r="E115" s="2216" t="n"/>
      <c r="F115" s="2202" t="n"/>
    </row>
    <row r="116" ht="16.5" customHeight="1">
      <c r="E116" s="2216" t="n"/>
      <c r="F116" s="2202" t="n"/>
    </row>
    <row r="117" ht="16.5" customHeight="1">
      <c r="E117" s="2216" t="n"/>
      <c r="F117" s="2202" t="n"/>
    </row>
    <row r="118" ht="16.5" customHeight="1">
      <c r="E118" s="2216" t="n"/>
      <c r="F118" s="2202" t="n"/>
    </row>
    <row r="119" ht="16.5" customHeight="1">
      <c r="E119" s="2216" t="n"/>
      <c r="F119" s="2202" t="n"/>
    </row>
    <row r="120" ht="16.5" customHeight="1">
      <c r="E120" s="2216" t="n"/>
      <c r="F120" s="2202" t="n"/>
    </row>
    <row r="121" ht="16.5" customHeight="1">
      <c r="E121" s="2216" t="n"/>
      <c r="F121" s="2202" t="n"/>
    </row>
    <row r="122" ht="16.5" customHeight="1">
      <c r="E122" s="2216" t="n"/>
      <c r="F122" s="2202" t="n"/>
    </row>
    <row r="123" ht="16.5" customHeight="1">
      <c r="E123" s="2216" t="n"/>
      <c r="F123" s="2202" t="n"/>
    </row>
    <row r="124" ht="16.5" customHeight="1">
      <c r="E124" s="2216" t="n"/>
      <c r="F124" s="2202" t="n"/>
    </row>
    <row r="125" ht="16.5" customHeight="1">
      <c r="E125" s="2216" t="n"/>
      <c r="F125" s="2202" t="n"/>
    </row>
    <row r="126" ht="16.5" customHeight="1">
      <c r="E126" s="2216" t="n"/>
      <c r="F126" s="2202" t="n"/>
    </row>
    <row r="127" ht="16.5" customHeight="1">
      <c r="E127" s="2216" t="n"/>
      <c r="F127" s="2202" t="n"/>
    </row>
    <row r="128" ht="16.5" customHeight="1">
      <c r="E128" s="2216" t="n"/>
      <c r="F128" s="2202" t="n"/>
    </row>
    <row r="129" ht="16.5" customHeight="1">
      <c r="E129" s="2216" t="n"/>
      <c r="F129" s="2202" t="n"/>
    </row>
    <row r="130" ht="16.5" customHeight="1">
      <c r="E130" s="2216" t="n"/>
      <c r="F130" s="2202" t="n"/>
    </row>
    <row r="131" ht="16.5" customHeight="1">
      <c r="E131" s="2216" t="n"/>
      <c r="F131" s="2202" t="n"/>
    </row>
    <row r="132" ht="16.5" customHeight="1">
      <c r="E132" s="2216" t="n"/>
      <c r="F132" s="2202" t="n"/>
    </row>
    <row r="133" ht="16.5" customHeight="1">
      <c r="E133" s="2216" t="n"/>
      <c r="F133" s="2202" t="n"/>
    </row>
    <row r="134" ht="16.5" customHeight="1">
      <c r="E134" s="2216" t="n"/>
      <c r="F134" s="2202" t="n"/>
    </row>
    <row r="135" ht="16.5" customHeight="1">
      <c r="E135" s="2216" t="n"/>
      <c r="F135" s="2202" t="n"/>
    </row>
    <row r="136" ht="16.5" customHeight="1">
      <c r="E136" s="2216" t="n"/>
      <c r="F136" s="2202" t="n"/>
    </row>
    <row r="137" ht="16.5" customHeight="1">
      <c r="E137" s="2216" t="n"/>
      <c r="F137" s="2202" t="n"/>
    </row>
    <row r="138" ht="16.5" customHeight="1">
      <c r="E138" s="2216" t="n"/>
      <c r="F138" s="2202" t="n"/>
    </row>
    <row r="139" ht="16.5" customHeight="1">
      <c r="E139" s="2216" t="n"/>
      <c r="F139" s="2202" t="n"/>
    </row>
    <row r="140" ht="16.5" customHeight="1">
      <c r="E140" s="2216" t="n"/>
      <c r="F140" s="2202" t="n"/>
    </row>
    <row r="141" ht="16.5" customHeight="1">
      <c r="E141" s="2216" t="n"/>
      <c r="F141" s="2202" t="n"/>
    </row>
    <row r="142" ht="16.5" customHeight="1">
      <c r="E142" s="2216" t="n"/>
      <c r="F142" s="2202" t="n"/>
    </row>
    <row r="143" ht="16.5" customHeight="1">
      <c r="E143" s="2216" t="n"/>
      <c r="F143" s="2202" t="n"/>
    </row>
    <row r="144" ht="16.5" customHeight="1">
      <c r="E144" s="2216" t="n"/>
      <c r="F144" s="2202" t="n"/>
    </row>
    <row r="145" ht="16.5" customHeight="1">
      <c r="E145" s="2216" t="n"/>
      <c r="F145" s="2202" t="n"/>
    </row>
    <row r="146" ht="16.5" customHeight="1">
      <c r="E146" s="2216" t="n"/>
      <c r="F146" s="2202" t="n"/>
    </row>
    <row r="147" ht="16.5" customHeight="1">
      <c r="E147" s="2216" t="n"/>
      <c r="F147" s="2202" t="n"/>
    </row>
    <row r="148" ht="16.5" customHeight="1">
      <c r="E148" s="2216" t="n"/>
      <c r="F148" s="2202" t="n"/>
    </row>
    <row r="149" ht="16.5" customHeight="1">
      <c r="E149" s="2216" t="n"/>
      <c r="F149" s="2202" t="n"/>
    </row>
    <row r="150" ht="16.5" customHeight="1">
      <c r="E150" s="2216" t="n"/>
      <c r="F150" s="2202" t="n"/>
    </row>
    <row r="151" ht="16.5" customHeight="1">
      <c r="E151" s="2216" t="n"/>
      <c r="F151" s="2202" t="n"/>
    </row>
    <row r="152" ht="16.5" customHeight="1">
      <c r="E152" s="2216" t="n"/>
      <c r="F152" s="2202" t="n"/>
    </row>
    <row r="153" ht="16.5" customHeight="1">
      <c r="E153" s="2216" t="n"/>
      <c r="F153" s="2202" t="n"/>
    </row>
    <row r="154" ht="16.5" customHeight="1">
      <c r="E154" s="2216" t="n"/>
      <c r="F154" s="2202" t="n"/>
    </row>
    <row r="155" ht="16.5" customHeight="1">
      <c r="E155" s="2216" t="n"/>
      <c r="F155" s="2202" t="n"/>
    </row>
    <row r="156" ht="16.5" customHeight="1">
      <c r="E156" s="2216" t="n"/>
      <c r="F156" s="2202" t="n"/>
    </row>
    <row r="157" ht="16.5" customHeight="1">
      <c r="E157" s="2216" t="n"/>
      <c r="F157" s="2202" t="n"/>
    </row>
    <row r="158" ht="16.5" customHeight="1">
      <c r="E158" s="2216" t="n"/>
      <c r="F158" s="2202" t="n"/>
    </row>
    <row r="159" ht="16.5" customHeight="1">
      <c r="E159" s="2216" t="n"/>
      <c r="F159" s="2202" t="n"/>
    </row>
    <row r="160" ht="16.5" customHeight="1">
      <c r="E160" s="2216" t="n"/>
      <c r="F160" s="2202" t="n"/>
    </row>
    <row r="161" ht="16.5" customHeight="1">
      <c r="E161" s="2216" t="n"/>
      <c r="F161" s="2202" t="n"/>
    </row>
    <row r="162" ht="16.5" customHeight="1">
      <c r="E162" s="2216" t="n"/>
      <c r="F162" s="2202" t="n"/>
    </row>
    <row r="163" ht="16.5" customHeight="1">
      <c r="E163" s="2216" t="n"/>
      <c r="F163" s="2202" t="n"/>
    </row>
    <row r="164" ht="16.5" customHeight="1">
      <c r="E164" s="2216" t="n"/>
      <c r="F164" s="2202" t="n"/>
    </row>
    <row r="165" ht="16.5" customHeight="1">
      <c r="E165" s="2216" t="n"/>
      <c r="F165" s="2202" t="n"/>
    </row>
    <row r="166" ht="16.5" customHeight="1">
      <c r="E166" s="2216" t="n"/>
      <c r="F166" s="2202" t="n"/>
    </row>
    <row r="167" ht="16.5" customHeight="1">
      <c r="E167" s="2216" t="n"/>
      <c r="F167" s="2202" t="n"/>
    </row>
    <row r="168" ht="16.5" customHeight="1">
      <c r="E168" s="2216" t="n"/>
      <c r="F168" s="2202" t="n"/>
    </row>
    <row r="169" ht="16.5" customHeight="1">
      <c r="E169" s="2216" t="n"/>
      <c r="F169" s="2202" t="n"/>
    </row>
    <row r="170" ht="16.5" customHeight="1">
      <c r="E170" s="2216" t="n"/>
      <c r="F170" s="2202" t="n"/>
    </row>
    <row r="171" ht="16.5" customHeight="1">
      <c r="E171" s="2216" t="n"/>
      <c r="F171" s="2202" t="n"/>
    </row>
    <row r="172" ht="16.5" customHeight="1">
      <c r="E172" s="2216" t="n"/>
      <c r="F172" s="2202" t="n"/>
    </row>
    <row r="173" ht="16.5" customHeight="1">
      <c r="E173" s="2216" t="n"/>
      <c r="F173" s="2202" t="n"/>
    </row>
    <row r="174" ht="16.5" customHeight="1">
      <c r="E174" s="2216" t="n"/>
      <c r="F174" s="2202" t="n"/>
    </row>
    <row r="175" ht="16.5" customHeight="1">
      <c r="E175" s="2216" t="n"/>
      <c r="F175" s="2202" t="n"/>
    </row>
    <row r="176" ht="16.5" customHeight="1">
      <c r="E176" s="2216" t="n"/>
      <c r="F176" s="2202" t="n"/>
    </row>
    <row r="177" ht="16.5" customHeight="1">
      <c r="E177" s="2216" t="n"/>
      <c r="F177" s="2202" t="n"/>
    </row>
    <row r="178" ht="16.5" customHeight="1">
      <c r="E178" s="2216" t="n"/>
      <c r="F178" s="2202" t="n"/>
    </row>
    <row r="179" ht="16.5" customHeight="1">
      <c r="E179" s="2216" t="n"/>
      <c r="F179" s="2202" t="n"/>
    </row>
    <row r="180" ht="16.5" customHeight="1">
      <c r="E180" s="2216" t="n"/>
      <c r="F180" s="2202" t="n"/>
    </row>
    <row r="181" ht="16.5" customHeight="1">
      <c r="E181" s="2216" t="n"/>
      <c r="F181" s="2202" t="n"/>
    </row>
    <row r="182" ht="16.5" customHeight="1">
      <c r="E182" s="2216" t="n"/>
      <c r="F182" s="2202" t="n"/>
    </row>
    <row r="183" ht="16.5" customHeight="1">
      <c r="E183" s="2216" t="n"/>
      <c r="F183" s="2202" t="n"/>
    </row>
    <row r="184" ht="16.5" customHeight="1">
      <c r="E184" s="2216" t="n"/>
      <c r="F184" s="2202" t="n"/>
    </row>
    <row r="185" ht="16.5" customHeight="1">
      <c r="E185" s="2216" t="n"/>
      <c r="F185" s="2202" t="n"/>
    </row>
    <row r="186" ht="16.5" customHeight="1">
      <c r="E186" s="2216" t="n"/>
      <c r="F186" s="2202" t="n"/>
    </row>
    <row r="187" ht="16.5" customHeight="1">
      <c r="E187" s="2216" t="n"/>
      <c r="F187" s="2202" t="n"/>
    </row>
    <row r="188" ht="16.5" customHeight="1">
      <c r="E188" s="2216" t="n"/>
      <c r="F188" s="2202" t="n"/>
    </row>
    <row r="189" ht="16.5" customHeight="1">
      <c r="E189" s="2216" t="n"/>
      <c r="F189" s="2202" t="n"/>
    </row>
    <row r="190" ht="16.5" customHeight="1">
      <c r="E190" s="2216" t="n"/>
      <c r="F190" s="2202" t="n"/>
    </row>
    <row r="191" ht="16.5" customHeight="1">
      <c r="E191" s="2216" t="n"/>
      <c r="F191" s="2202" t="n"/>
    </row>
    <row r="192" ht="16.5" customHeight="1">
      <c r="E192" s="2216" t="n"/>
      <c r="F192" s="2202" t="n"/>
    </row>
    <row r="193" ht="16.5" customHeight="1">
      <c r="E193" s="2216" t="n"/>
      <c r="F193" s="2202" t="n"/>
    </row>
    <row r="194" ht="16.5" customHeight="1">
      <c r="E194" s="2216" t="n"/>
      <c r="F194" s="2202" t="n"/>
    </row>
    <row r="195" ht="16.5" customHeight="1">
      <c r="E195" s="2216" t="n"/>
      <c r="F195" s="2202" t="n"/>
    </row>
    <row r="196" ht="16.5" customHeight="1">
      <c r="E196" s="2216" t="n"/>
      <c r="F196" s="2202" t="n"/>
    </row>
    <row r="197" ht="16.5" customHeight="1">
      <c r="E197" s="2216" t="n"/>
      <c r="F197" s="2202" t="n"/>
    </row>
    <row r="198" ht="16.5" customHeight="1">
      <c r="E198" s="2216" t="n"/>
      <c r="F198" s="2202" t="n"/>
    </row>
    <row r="199" ht="16.5" customHeight="1">
      <c r="E199" s="2216" t="n"/>
      <c r="F199" s="2202" t="n"/>
    </row>
    <row r="200" ht="16.5" customHeight="1">
      <c r="E200" s="2216" t="n"/>
      <c r="F200" s="2202" t="n"/>
    </row>
    <row r="201" ht="16.5" customHeight="1">
      <c r="E201" s="2216" t="n"/>
      <c r="F201" s="2202" t="n"/>
    </row>
    <row r="202" ht="16.5" customHeight="1">
      <c r="E202" s="2216" t="n"/>
      <c r="F202" s="2202" t="n"/>
    </row>
    <row r="203" ht="16.5" customHeight="1">
      <c r="E203" s="2216" t="n"/>
      <c r="F203" s="2202" t="n"/>
    </row>
    <row r="204" ht="16.5" customHeight="1">
      <c r="E204" s="2216" t="n"/>
      <c r="F204" s="2202" t="n"/>
    </row>
    <row r="205" ht="16.5" customHeight="1">
      <c r="E205" s="2216" t="n"/>
      <c r="F205" s="2202" t="n"/>
    </row>
    <row r="206" ht="16.5" customHeight="1">
      <c r="E206" s="2216" t="n"/>
      <c r="F206" s="2202" t="n"/>
    </row>
    <row r="207" ht="16.5" customHeight="1">
      <c r="E207" s="2216" t="n"/>
      <c r="F207" s="2202" t="n"/>
    </row>
    <row r="208" ht="16.5" customHeight="1">
      <c r="E208" s="2216" t="n"/>
      <c r="F208" s="2202" t="n"/>
    </row>
    <row r="209" ht="16.5" customHeight="1">
      <c r="E209" s="2216" t="n"/>
      <c r="F209" s="2202" t="n"/>
    </row>
    <row r="210" ht="16.5" customHeight="1">
      <c r="E210" s="2216" t="n"/>
      <c r="F210" s="2202" t="n"/>
      <c r="I210" s="2217" t="n"/>
    </row>
    <row r="211" ht="16.5" customHeight="1">
      <c r="E211" s="2216" t="n"/>
      <c r="F211" s="2202" t="n"/>
      <c r="I211" s="2220" t="n"/>
    </row>
    <row r="212" ht="16.5" customHeight="1">
      <c r="E212" s="2216" t="n"/>
      <c r="F212" s="2202" t="n"/>
    </row>
    <row r="213" ht="16.5" customHeight="1">
      <c r="E213" s="2216" t="n"/>
      <c r="F213" s="2202" t="n"/>
    </row>
    <row r="214" ht="16.5" customHeight="1">
      <c r="E214" s="2216" t="n"/>
      <c r="F214" s="2202" t="n"/>
    </row>
    <row r="215" ht="16.5" customHeight="1">
      <c r="E215" s="2216" t="n"/>
      <c r="F215" s="2202" t="n"/>
    </row>
    <row r="216" ht="16.5" customHeight="1">
      <c r="E216" s="2216" t="n"/>
      <c r="F216" s="2202" t="n"/>
    </row>
    <row r="217" ht="16.5" customHeight="1">
      <c r="E217" s="2216" t="n"/>
      <c r="F217" s="2202" t="n"/>
    </row>
    <row r="218" ht="16.5" customHeight="1">
      <c r="E218" s="2216" t="n"/>
      <c r="F218" s="2202" t="n"/>
    </row>
    <row r="219" ht="16.5" customHeight="1">
      <c r="E219" s="2216" t="n"/>
      <c r="F219" s="2202" t="n"/>
    </row>
    <row r="220" ht="16.5" customHeight="1">
      <c r="E220" s="2216" t="n"/>
      <c r="F220" s="2202" t="n"/>
    </row>
    <row r="221" ht="16.5" customHeight="1">
      <c r="E221" s="2216" t="n"/>
      <c r="F221" s="2202" t="n"/>
    </row>
    <row r="222" ht="16.5" customHeight="1">
      <c r="E222" s="2216" t="n"/>
      <c r="F222" s="2202" t="n"/>
    </row>
    <row r="223" ht="16.5" customHeight="1">
      <c r="E223" s="2216" t="n"/>
      <c r="F223" s="2202" t="n"/>
    </row>
    <row r="224" ht="16.5" customHeight="1">
      <c r="E224" s="2216" t="n"/>
      <c r="F224" s="2202" t="n"/>
    </row>
    <row r="225" ht="16.5" customHeight="1">
      <c r="E225" s="2216" t="n"/>
      <c r="F225" s="2202" t="n"/>
    </row>
    <row r="226" ht="16.5" customHeight="1">
      <c r="E226" s="2216" t="n"/>
      <c r="F226" s="2202" t="n"/>
    </row>
    <row r="227" ht="16.5" customHeight="1">
      <c r="E227" s="2216" t="n"/>
      <c r="F227" s="2202" t="n"/>
    </row>
    <row r="228" ht="16.5" customHeight="1">
      <c r="E228" s="2216" t="n"/>
      <c r="F228" s="2202" t="n"/>
    </row>
    <row r="229" ht="16.5" customHeight="1">
      <c r="E229" s="2216" t="n"/>
      <c r="F229" s="2202" t="n"/>
    </row>
    <row r="230" ht="16.5" customHeight="1">
      <c r="E230" s="2216" t="n"/>
      <c r="F230" s="2202" t="n"/>
    </row>
    <row r="231" ht="16.5" customHeight="1">
      <c r="E231" s="2216" t="n"/>
      <c r="F231" s="2202" t="n"/>
    </row>
    <row r="232" ht="16.5" customHeight="1">
      <c r="E232" s="2216" t="n"/>
      <c r="F232" s="2202" t="n"/>
    </row>
    <row r="233" ht="16.5" customHeight="1">
      <c r="E233" s="2216" t="n"/>
      <c r="F233" s="2202" t="n"/>
    </row>
    <row r="234" ht="16.5" customHeight="1">
      <c r="E234" s="2216" t="n"/>
      <c r="F234" s="2202" t="n"/>
    </row>
    <row r="235" ht="16.5" customHeight="1">
      <c r="E235" s="2216" t="n"/>
      <c r="F235" s="2202" t="n"/>
    </row>
    <row r="236" ht="16.5" customHeight="1">
      <c r="E236" s="2216" t="n"/>
      <c r="F236" s="2202" t="n"/>
    </row>
    <row r="237" ht="16.5" customHeight="1">
      <c r="E237" s="2216" t="n"/>
      <c r="F237" s="2202" t="n"/>
    </row>
    <row r="238" ht="16.5" customHeight="1">
      <c r="E238" s="2216" t="n"/>
      <c r="F238" s="2202" t="n"/>
    </row>
    <row r="239" ht="16.5" customHeight="1">
      <c r="E239" s="2216" t="n"/>
      <c r="F239" s="2202" t="n"/>
    </row>
    <row r="240" ht="16.5" customHeight="1">
      <c r="E240" s="2216" t="n"/>
      <c r="F240" s="2202" t="n"/>
    </row>
    <row r="241" ht="16.5" customHeight="1">
      <c r="E241" s="2216" t="n"/>
      <c r="F241" s="2202" t="n"/>
    </row>
    <row r="242" ht="16.5" customHeight="1">
      <c r="E242" s="2216" t="n"/>
      <c r="F242" s="2202" t="n"/>
    </row>
    <row r="243" ht="16.5" customHeight="1">
      <c r="E243" s="2216" t="n"/>
      <c r="F243" s="2202" t="n"/>
    </row>
    <row r="244" ht="16.5" customHeight="1">
      <c r="E244" s="2216" t="n"/>
      <c r="F244" s="2202" t="n"/>
    </row>
    <row r="245" ht="16.5" customHeight="1">
      <c r="E245" s="2216" t="n"/>
      <c r="F245" s="2202" t="n"/>
    </row>
    <row r="246" ht="16.5" customHeight="1">
      <c r="E246" s="2216" t="n"/>
      <c r="F246" s="2202" t="n"/>
    </row>
    <row r="247" ht="16.5" customHeight="1">
      <c r="E247" s="2216" t="n"/>
      <c r="F247" s="2202" t="n"/>
    </row>
    <row r="248" ht="16.5" customHeight="1">
      <c r="E248" s="2216" t="n"/>
      <c r="F248" s="2202" t="n"/>
    </row>
    <row r="249" ht="16.5" customHeight="1">
      <c r="E249" s="2216" t="n"/>
      <c r="F249" s="2202" t="n"/>
    </row>
    <row r="250" ht="16.5" customHeight="1">
      <c r="E250" s="2216" t="n"/>
      <c r="F250" s="2202" t="n"/>
    </row>
    <row r="251" ht="16.5" customHeight="1">
      <c r="E251" s="2216" t="n"/>
      <c r="F251" s="2202" t="n"/>
    </row>
    <row r="252" ht="16.5" customHeight="1">
      <c r="E252" s="2216" t="n"/>
      <c r="F252" s="2202" t="n"/>
    </row>
    <row r="253" ht="16.5" customHeight="1">
      <c r="E253" s="2216" t="n"/>
      <c r="F253" s="2202" t="n"/>
    </row>
    <row r="254" ht="16.5" customHeight="1">
      <c r="E254" s="2216" t="n"/>
      <c r="F254" s="2202" t="n"/>
    </row>
    <row r="255" ht="16.5" customHeight="1">
      <c r="E255" s="2216" t="n"/>
      <c r="F255" s="2202" t="n"/>
    </row>
    <row r="256" ht="16.5" customHeight="1">
      <c r="E256" s="2216" t="n"/>
      <c r="F256" s="2202" t="n"/>
    </row>
    <row r="257" ht="16.5" customHeight="1">
      <c r="E257" s="2216" t="n"/>
      <c r="F257" s="2202" t="n"/>
    </row>
    <row r="258" ht="16.5" customHeight="1">
      <c r="E258" s="2216" t="n"/>
      <c r="F258" s="2202" t="n"/>
    </row>
    <row r="259" ht="16.5" customHeight="1">
      <c r="E259" s="2216" t="n"/>
      <c r="F259" s="2202" t="n"/>
    </row>
    <row r="260" ht="16.5" customHeight="1">
      <c r="E260" s="2216" t="n"/>
      <c r="F260" s="2202" t="n"/>
    </row>
    <row r="261" ht="16.5" customHeight="1">
      <c r="E261" s="2216" t="n"/>
      <c r="F261" s="2202" t="n"/>
    </row>
    <row r="262" ht="16.5" customHeight="1">
      <c r="E262" s="2216" t="n"/>
      <c r="F262" s="2202" t="n"/>
    </row>
    <row r="263" ht="16.5" customHeight="1">
      <c r="E263" s="2216" t="n"/>
      <c r="F263" s="2202" t="n"/>
    </row>
    <row r="264" ht="16.5" customHeight="1">
      <c r="E264" s="2216" t="n"/>
      <c r="F264" s="2202" t="n"/>
    </row>
    <row r="265" ht="16.5" customHeight="1">
      <c r="E265" s="2216" t="n"/>
      <c r="F265" s="2202" t="n"/>
    </row>
    <row r="266" ht="16.5" customHeight="1">
      <c r="E266" s="2216" t="n"/>
      <c r="F266" s="2202" t="n"/>
    </row>
    <row r="267" ht="16.5" customHeight="1">
      <c r="E267" s="2216" t="n"/>
      <c r="F267" s="2202" t="n"/>
    </row>
    <row r="268" ht="16.5" customHeight="1">
      <c r="E268" s="2216" t="n"/>
      <c r="F268" s="2202" t="n"/>
    </row>
    <row r="269" ht="16.5" customHeight="1">
      <c r="E269" s="2216" t="n"/>
      <c r="F269" s="2202" t="n"/>
    </row>
    <row r="270" ht="16.5" customHeight="1">
      <c r="E270" s="2216" t="n"/>
      <c r="F270" s="2202" t="n"/>
    </row>
    <row r="271" ht="16.5" customHeight="1">
      <c r="E271" s="2216" t="n"/>
      <c r="F271" s="2202" t="n"/>
    </row>
    <row r="272" ht="16.5" customHeight="1">
      <c r="E272" s="2216" t="n"/>
      <c r="F272" s="2202" t="n"/>
    </row>
    <row r="273" ht="16.5" customHeight="1">
      <c r="E273" s="2216" t="n"/>
      <c r="F273" s="2202" t="n"/>
    </row>
    <row r="274" ht="16.5" customHeight="1">
      <c r="E274" s="2216" t="n"/>
      <c r="F274" s="2202" t="n"/>
    </row>
    <row r="275" ht="16.5" customHeight="1">
      <c r="E275" s="2216" t="n"/>
      <c r="F275" s="2202" t="n"/>
    </row>
    <row r="276" ht="16.5" customHeight="1">
      <c r="E276" s="2201" t="n"/>
      <c r="F276" s="2202" t="n"/>
    </row>
    <row r="277" ht="16.5" customHeight="1">
      <c r="E277" s="2201" t="n"/>
      <c r="F277" s="2202" t="n"/>
    </row>
    <row r="278" ht="16.5" customHeight="1">
      <c r="E278" s="2216" t="n"/>
      <c r="F278" s="2202" t="n"/>
    </row>
    <row r="279" ht="16.5" customHeight="1">
      <c r="E279" s="2201" t="n"/>
      <c r="F279" s="2202" t="n"/>
    </row>
    <row r="280" ht="16.5" customHeight="1">
      <c r="E280" s="2216" t="n"/>
      <c r="F280" s="2202" t="n"/>
    </row>
    <row r="281" ht="16.5" customHeight="1">
      <c r="E281" s="2216" t="n"/>
      <c r="F281" s="2202" t="n"/>
    </row>
    <row r="282" ht="16.5" customHeight="1">
      <c r="E282" s="2216" t="n"/>
      <c r="F282" s="2202" t="n"/>
    </row>
    <row r="283" ht="16.5" customHeight="1">
      <c r="E283" s="2216" t="n"/>
      <c r="F283" s="2202" t="n"/>
    </row>
    <row r="284" ht="16.5" customHeight="1">
      <c r="E284" s="2216" t="n"/>
      <c r="F284" s="2202" t="n"/>
    </row>
    <row r="285" ht="16.5" customHeight="1">
      <c r="E285" s="2216" t="n"/>
      <c r="F285" s="2202" t="n"/>
    </row>
    <row r="286" ht="16.5" customHeight="1">
      <c r="E286" s="2216" t="n"/>
      <c r="F286" s="2202" t="n"/>
    </row>
    <row r="287" ht="16.5" customHeight="1">
      <c r="E287" s="2216" t="n"/>
      <c r="F287" s="2202" t="n"/>
    </row>
    <row r="288" ht="16.5" customHeight="1">
      <c r="E288" s="2216" t="n"/>
      <c r="F288" s="2202" t="n"/>
    </row>
    <row r="289" ht="16.5" customHeight="1">
      <c r="E289" s="2216" t="n"/>
      <c r="F289" s="2202" t="n"/>
    </row>
    <row r="290" ht="16.5" customHeight="1">
      <c r="E290" s="2216" t="n"/>
      <c r="F290" s="2202" t="n"/>
    </row>
    <row r="291" ht="16.5" customHeight="1">
      <c r="E291" s="2216" t="n"/>
      <c r="F291" s="2202" t="n"/>
    </row>
    <row r="292" ht="16.5" customHeight="1">
      <c r="E292" s="2216" t="n"/>
      <c r="F292" s="2202" t="n"/>
    </row>
    <row r="293" ht="16.5" customHeight="1">
      <c r="E293" s="2216" t="n"/>
      <c r="F293" s="2202" t="n"/>
    </row>
    <row r="294" ht="16.5" customHeight="1">
      <c r="E294" s="2216" t="n"/>
      <c r="F294" s="2202" t="n"/>
    </row>
    <row r="295" ht="16.5" customHeight="1">
      <c r="E295" s="2216" t="n"/>
      <c r="F295" s="2202" t="n"/>
    </row>
    <row r="296" ht="16.5" customHeight="1">
      <c r="E296" s="2216" t="n"/>
      <c r="F296" s="2202" t="n"/>
    </row>
    <row r="297" ht="16.5" customHeight="1">
      <c r="E297" s="2216" t="n"/>
      <c r="F297" s="2202" t="n"/>
    </row>
    <row r="298" ht="16.5" customHeight="1">
      <c r="E298" s="2216" t="n"/>
      <c r="F298" s="2202" t="n"/>
    </row>
    <row r="299" ht="16.5" customHeight="1">
      <c r="E299" s="2216" t="n"/>
      <c r="F299" s="2202" t="n"/>
    </row>
    <row r="300" ht="16.5" customHeight="1">
      <c r="E300" s="2216" t="n"/>
      <c r="F300" s="2202" t="n"/>
    </row>
    <row r="301" ht="16.5" customHeight="1">
      <c r="E301" s="2216" t="n"/>
      <c r="F301" s="2202" t="n"/>
    </row>
    <row r="302" ht="16.5" customHeight="1">
      <c r="E302" s="2216" t="n"/>
      <c r="F302" s="2202" t="n"/>
    </row>
    <row r="303" ht="16.5" customHeight="1">
      <c r="E303" s="2216" t="n"/>
      <c r="F303" s="2202" t="n"/>
    </row>
    <row r="304" ht="16.5" customHeight="1">
      <c r="E304" s="2216" t="n"/>
      <c r="F304" s="2202" t="n"/>
    </row>
    <row r="305" ht="16.5" customHeight="1">
      <c r="E305" s="2216" t="n"/>
      <c r="F305" s="2202" t="n"/>
    </row>
    <row r="306" ht="16.5" customHeight="1">
      <c r="E306" s="2216" t="n"/>
      <c r="F306" s="2202" t="n"/>
    </row>
    <row r="307" ht="16.5" customHeight="1">
      <c r="E307" s="2216" t="n"/>
      <c r="F307" s="2202" t="n"/>
    </row>
    <row r="308" ht="16.5" customHeight="1">
      <c r="E308" s="2216" t="n"/>
      <c r="F308" s="2202" t="n"/>
    </row>
    <row r="309" ht="16.5" customHeight="1">
      <c r="E309" s="2216" t="n"/>
      <c r="F309" s="2202" t="n"/>
    </row>
    <row r="310" ht="16.5" customHeight="1">
      <c r="E310" s="2216" t="n"/>
      <c r="F310" s="2202" t="n"/>
    </row>
    <row r="311" ht="16.5" customHeight="1">
      <c r="E311" s="2216" t="n"/>
      <c r="F311" s="2202" t="n"/>
    </row>
    <row r="312" ht="16.5" customHeight="1">
      <c r="E312" s="2216" t="n"/>
      <c r="F312" s="2202" t="n"/>
    </row>
    <row r="313" ht="16.5" customHeight="1">
      <c r="E313" s="2216" t="n"/>
      <c r="F313" s="2202" t="n"/>
    </row>
    <row r="314" ht="16.5" customHeight="1">
      <c r="E314" s="2216" t="n"/>
      <c r="F314" s="2202" t="n"/>
    </row>
    <row r="315" ht="16.5" customHeight="1">
      <c r="E315" s="2216" t="n"/>
      <c r="F315" s="2202" t="n"/>
    </row>
    <row r="316" ht="16.5" customHeight="1">
      <c r="E316" s="2216" t="n"/>
      <c r="F316" s="2202" t="n"/>
    </row>
    <row r="317" ht="16.5" customHeight="1">
      <c r="E317" s="2216" t="n"/>
      <c r="F317" s="2202" t="n"/>
    </row>
    <row r="318" ht="16.5" customHeight="1">
      <c r="E318" s="2216" t="n"/>
      <c r="F318" s="2202" t="n"/>
    </row>
    <row r="319" ht="16.5" customHeight="1">
      <c r="E319" s="2216" t="n"/>
      <c r="F319" s="2202" t="n"/>
    </row>
    <row r="320" ht="16.5" customHeight="1">
      <c r="E320" s="2216" t="n"/>
      <c r="F320" s="2202" t="n"/>
    </row>
    <row r="321" ht="16.5" customHeight="1">
      <c r="E321" s="2216" t="n"/>
      <c r="F321" s="2202" t="n"/>
    </row>
    <row r="322" ht="16.5" customHeight="1">
      <c r="E322" s="2216" t="n"/>
      <c r="F322" s="2202" t="n"/>
    </row>
    <row r="323" ht="16.5" customHeight="1">
      <c r="E323" s="2216" t="n"/>
      <c r="F323" s="2202" t="n"/>
    </row>
    <row r="324" ht="16.5" customHeight="1">
      <c r="E324" s="2216" t="n"/>
      <c r="F324" s="2202" t="n"/>
    </row>
    <row r="325" ht="16.5" customHeight="1">
      <c r="E325" s="2216" t="n"/>
      <c r="F325" s="2202" t="n"/>
    </row>
    <row r="326" ht="16.5" customHeight="1">
      <c r="E326" s="2216" t="n"/>
      <c r="F326" s="2202" t="n"/>
    </row>
    <row r="327" ht="16.5" customHeight="1">
      <c r="E327" s="2216" t="n"/>
      <c r="F327" s="2202" t="n"/>
      <c r="G327" s="2221" t="n"/>
    </row>
    <row r="328" ht="16.5" customHeight="1">
      <c r="E328" s="2216" t="n"/>
      <c r="F328" s="2202" t="n"/>
      <c r="G328" s="2217" t="n"/>
    </row>
    <row r="329" ht="16.5" customHeight="1">
      <c r="E329" s="2216" t="n"/>
      <c r="F329" s="2202" t="n"/>
    </row>
    <row r="330" ht="16.5" customHeight="1">
      <c r="E330" s="2216" t="n"/>
      <c r="F330" s="2202" t="n"/>
    </row>
    <row r="331" ht="16.5" customHeight="1">
      <c r="E331" s="2216" t="n"/>
      <c r="F331" s="2202" t="n"/>
    </row>
    <row r="332" ht="16.5" customHeight="1">
      <c r="E332" s="2216" t="n"/>
      <c r="F332" s="2202" t="n"/>
    </row>
    <row r="333" ht="16.5" customHeight="1">
      <c r="E333" s="2216" t="n"/>
      <c r="F333" s="2202" t="n"/>
    </row>
    <row r="334" ht="16.5" customHeight="1">
      <c r="E334" s="2216" t="n"/>
      <c r="F334" s="2202" t="n"/>
    </row>
    <row r="335" ht="16.5" customHeight="1">
      <c r="E335" s="2216" t="n"/>
      <c r="F335" s="2202" t="n"/>
    </row>
    <row r="336" ht="16.5" customHeight="1">
      <c r="E336" s="2216" t="n"/>
      <c r="F336" s="2202" t="n"/>
    </row>
    <row r="337" ht="16.5" customHeight="1">
      <c r="E337" s="2216" t="n"/>
      <c r="F337" s="2202" t="n"/>
    </row>
    <row r="338" ht="16.5" customHeight="1">
      <c r="E338" s="2216" t="n"/>
      <c r="F338" s="2202" t="n"/>
    </row>
    <row r="339" ht="16.5" customHeight="1">
      <c r="E339" s="2216" t="n"/>
      <c r="F339" s="2202" t="n"/>
    </row>
    <row r="340" ht="16.5" customHeight="1">
      <c r="E340" s="2216" t="n"/>
      <c r="F340" s="2202" t="n"/>
    </row>
    <row r="341" ht="16.5" customHeight="1">
      <c r="E341" s="2216" t="n"/>
      <c r="F341" s="2202" t="n"/>
    </row>
    <row r="342" ht="16.5" customHeight="1">
      <c r="E342" s="2216" t="n"/>
      <c r="F342" s="2202" t="n"/>
    </row>
    <row r="343" ht="16.5" customHeight="1">
      <c r="E343" s="2216" t="n"/>
      <c r="F343" s="2202" t="n"/>
    </row>
    <row r="344" ht="16.5" customHeight="1">
      <c r="E344" s="2216" t="n"/>
      <c r="F344" s="2202" t="n"/>
    </row>
    <row r="345" ht="16.5" customHeight="1">
      <c r="E345" s="2216" t="n"/>
      <c r="F345" s="2202" t="n"/>
    </row>
    <row r="346" ht="16.5" customHeight="1">
      <c r="E346" s="2216" t="n"/>
      <c r="F346" s="2202" t="n"/>
    </row>
    <row r="347" ht="16.5" customHeight="1">
      <c r="E347" s="2216" t="n"/>
      <c r="F347" s="2202" t="n"/>
    </row>
    <row r="348" ht="16.5" customHeight="1">
      <c r="E348" s="2216" t="n"/>
      <c r="F348" s="2202" t="n"/>
    </row>
    <row r="349" ht="16.5" customHeight="1">
      <c r="E349" s="2216" t="n"/>
      <c r="F349" s="2202" t="n"/>
    </row>
    <row r="350" ht="16.5" customHeight="1">
      <c r="E350" s="2216" t="n"/>
      <c r="F350" s="2202" t="n"/>
    </row>
    <row r="351" ht="16.5" customHeight="1">
      <c r="E351" s="2216" t="n"/>
      <c r="F351" s="2202" t="n"/>
    </row>
    <row r="352" ht="16.5" customHeight="1">
      <c r="E352" s="2216" t="n"/>
      <c r="F352" s="2202" t="n"/>
    </row>
    <row r="353" ht="16.5" customHeight="1">
      <c r="E353" s="2216" t="n"/>
      <c r="F353" s="2202" t="n"/>
    </row>
    <row r="354" ht="16.5" customHeight="1">
      <c r="E354" s="2216" t="n"/>
      <c r="F354" s="2202" t="n"/>
    </row>
    <row r="355" ht="16.5" customHeight="1">
      <c r="E355" s="2216" t="n"/>
      <c r="F355" s="2202" t="n"/>
    </row>
    <row r="356" ht="16.5" customHeight="1">
      <c r="E356" s="2216" t="n"/>
      <c r="F356" s="2202" t="n"/>
    </row>
    <row r="357" ht="16.5" customHeight="1">
      <c r="E357" s="2216" t="n"/>
      <c r="F357" s="2202" t="n"/>
    </row>
    <row r="358" ht="16.5" customHeight="1">
      <c r="E358" s="2216" t="n"/>
      <c r="F358" s="2202" t="n"/>
    </row>
    <row r="359" ht="16.5" customHeight="1">
      <c r="E359" s="2216" t="n"/>
      <c r="F359" s="2202" t="n"/>
    </row>
    <row r="360" ht="16.5" customHeight="1">
      <c r="E360" s="2216" t="n"/>
      <c r="F360" s="2202" t="n"/>
    </row>
    <row r="361" ht="16.5" customHeight="1">
      <c r="E361" s="2216" t="n"/>
      <c r="F361" s="2202" t="n"/>
    </row>
    <row r="362" ht="16.5" customHeight="1">
      <c r="E362" s="2216" t="n"/>
      <c r="F362" s="2202" t="n"/>
    </row>
    <row r="363" ht="16.5" customHeight="1">
      <c r="E363" s="2216" t="n"/>
      <c r="F363" s="2202" t="n"/>
    </row>
    <row r="364" ht="16.5" customHeight="1">
      <c r="E364" s="2216" t="n"/>
      <c r="F364" s="2202" t="n"/>
    </row>
    <row r="365" ht="16.5" customHeight="1">
      <c r="E365" s="2216" t="n"/>
      <c r="F365" s="2202" t="n"/>
    </row>
    <row r="366" ht="16.5" customHeight="1">
      <c r="E366" s="2216" t="n"/>
      <c r="F366" s="2202" t="n"/>
    </row>
    <row r="367" ht="16.5" customHeight="1">
      <c r="E367" s="2201" t="n"/>
      <c r="F367" s="2202" t="n"/>
    </row>
    <row r="368" ht="16.5" customHeight="1">
      <c r="E368" s="2216" t="n"/>
      <c r="F368" s="2202" t="n"/>
    </row>
    <row r="369" ht="16.5" customHeight="1">
      <c r="E369" s="2216" t="n"/>
      <c r="F369" s="2202" t="n"/>
    </row>
    <row r="370" ht="16.5" customHeight="1">
      <c r="E370" s="2216" t="n"/>
      <c r="F370" s="2202" t="n"/>
    </row>
    <row r="371" ht="16.5" customHeight="1">
      <c r="E371" s="2216" t="n"/>
      <c r="F371" s="2202" t="n"/>
    </row>
    <row r="372" ht="16.5" customHeight="1">
      <c r="E372" s="2216" t="n"/>
      <c r="F372" s="2202" t="n"/>
      <c r="G372" s="2222" t="n"/>
    </row>
    <row r="373" ht="16.5" customHeight="1">
      <c r="E373" s="2216" t="n"/>
      <c r="F373" s="2202" t="n"/>
      <c r="G373" s="2223" t="n"/>
    </row>
    <row r="374" ht="16.5" customHeight="1">
      <c r="E374" s="2216" t="n"/>
      <c r="F374" s="2202" t="n"/>
    </row>
    <row r="375" ht="16.5" customHeight="1">
      <c r="E375" s="2216" t="n"/>
      <c r="F375" s="2202" t="n"/>
    </row>
    <row r="376" ht="16.5" customHeight="1">
      <c r="E376" s="2216" t="n"/>
      <c r="F376" s="2202" t="n"/>
    </row>
    <row r="377" ht="16.5" customHeight="1">
      <c r="E377" s="2216" t="n"/>
      <c r="F377" s="2202" t="n"/>
    </row>
    <row r="378" ht="16.5" customHeight="1">
      <c r="E378" s="2216" t="n"/>
      <c r="F378" s="2202" t="n"/>
    </row>
    <row r="379" ht="16.5" customHeight="1">
      <c r="E379" s="2216" t="n"/>
      <c r="F379" s="2202" t="n"/>
    </row>
    <row r="380" ht="16.5" customHeight="1">
      <c r="E380" s="2216" t="n"/>
      <c r="F380" s="2202" t="n"/>
    </row>
    <row r="381" ht="16.5" customHeight="1">
      <c r="E381" s="2216" t="n"/>
      <c r="F381" s="2202" t="n"/>
    </row>
    <row r="382" ht="16.5" customHeight="1">
      <c r="E382" s="2216" t="n"/>
      <c r="F382" s="2202" t="n"/>
    </row>
    <row r="383" ht="16.5" customHeight="1">
      <c r="E383" s="2216" t="n"/>
      <c r="F383" s="2202" t="n"/>
    </row>
    <row r="384" ht="16.5" customHeight="1">
      <c r="E384" s="2216" t="n"/>
      <c r="F384" s="2202" t="n"/>
    </row>
    <row r="385" ht="16.5" customHeight="1">
      <c r="E385" s="2216" t="n"/>
      <c r="F385" s="2202" t="n"/>
    </row>
    <row r="386" ht="16.5" customHeight="1">
      <c r="E386" s="2216" t="n"/>
      <c r="F386" s="2202" t="n"/>
      <c r="G386" s="2220" t="n"/>
    </row>
    <row r="387" ht="16.5" customHeight="1">
      <c r="E387" s="2216" t="n"/>
      <c r="F387" s="2202" t="n"/>
      <c r="G387" s="2220" t="n"/>
    </row>
    <row r="388" ht="16.5" customHeight="1">
      <c r="E388" s="2216" t="n"/>
      <c r="F388" s="2202" t="n"/>
      <c r="H388" s="60" t="n"/>
      <c r="I388" s="227" t="n"/>
    </row>
    <row r="389" ht="16.5" customHeight="1">
      <c r="E389" s="2216" t="n"/>
      <c r="F389" s="2202" t="n"/>
      <c r="G389" s="2224" t="n"/>
      <c r="H389" s="60" t="n"/>
      <c r="I389" s="61" t="n"/>
    </row>
    <row r="390" ht="16.5" customHeight="1">
      <c r="E390" s="2216" t="n"/>
      <c r="F390" s="2202" t="n"/>
      <c r="G390" s="2224" t="n"/>
      <c r="H390" s="60" t="n"/>
      <c r="I390" s="61" t="n"/>
    </row>
    <row r="391" ht="16.5" customHeight="1">
      <c r="E391" s="2216" t="n"/>
      <c r="F391" s="2202" t="n"/>
    </row>
    <row r="392" ht="16.5" customHeight="1">
      <c r="E392" s="2216" t="n"/>
      <c r="F392" s="2202" t="n"/>
      <c r="G392" s="2223" t="n"/>
    </row>
    <row r="393" ht="16.5" customHeight="1">
      <c r="E393" s="2216" t="n"/>
      <c r="F393" s="2202" t="n"/>
    </row>
    <row r="394" ht="16.5" customHeight="1">
      <c r="E394" s="2216" t="n"/>
      <c r="F394" s="2202" t="n"/>
    </row>
    <row r="395" ht="16.5" customHeight="1">
      <c r="E395" s="2216" t="n"/>
      <c r="F395" s="2202" t="n"/>
    </row>
    <row r="396" ht="16.5" customHeight="1">
      <c r="E396" s="2216" t="n"/>
      <c r="F396" s="2202" t="n"/>
    </row>
    <row r="397" ht="16.5" customHeight="1">
      <c r="E397" s="2216" t="n"/>
      <c r="F397" s="2202" t="n"/>
    </row>
    <row r="398" ht="16.5" customHeight="1">
      <c r="E398" s="2216" t="n"/>
      <c r="F398" s="2202" t="n"/>
    </row>
    <row r="399" ht="16.5" customHeight="1">
      <c r="E399" s="2216" t="n"/>
      <c r="F399" s="2202" t="n"/>
    </row>
    <row r="400" ht="16.5" customHeight="1">
      <c r="E400" s="2216" t="n"/>
      <c r="F400" s="2202" t="n"/>
    </row>
    <row r="401" ht="16.5" customHeight="1">
      <c r="E401" s="2216" t="n"/>
      <c r="F401" s="2202" t="n"/>
    </row>
    <row r="402" ht="16.5" customHeight="1">
      <c r="E402" s="2216" t="n"/>
      <c r="F402" s="2202" t="n"/>
    </row>
    <row r="403" ht="16.5" customHeight="1">
      <c r="E403" s="2216" t="n"/>
      <c r="F403" s="2202" t="n"/>
    </row>
    <row r="404" ht="16.5" customHeight="1">
      <c r="E404" s="2216" t="n"/>
      <c r="F404" s="2202" t="n"/>
    </row>
    <row r="405" ht="16.5" customHeight="1">
      <c r="E405" s="2216" t="n"/>
      <c r="F405" s="2202" t="n"/>
    </row>
    <row r="406" ht="16.5" customHeight="1">
      <c r="E406" s="2216" t="n"/>
      <c r="F406" s="2202" t="n"/>
    </row>
    <row r="407" ht="16.5" customHeight="1">
      <c r="E407" s="2216" t="n"/>
      <c r="F407" s="2202" t="n"/>
    </row>
    <row r="408" ht="16.5" customHeight="1">
      <c r="E408" s="2216" t="n"/>
      <c r="F408" s="2202" t="n"/>
    </row>
    <row r="409" ht="16.5" customHeight="1">
      <c r="E409" s="2216" t="n"/>
      <c r="F409" s="2202" t="n"/>
    </row>
    <row r="410" ht="16.5" customHeight="1">
      <c r="E410" s="2216" t="n"/>
      <c r="F410" s="2202" t="n"/>
      <c r="H410" s="60" t="n"/>
    </row>
    <row r="411" ht="16.5" customHeight="1">
      <c r="E411" s="2216" t="n"/>
      <c r="F411" s="2202" t="n"/>
      <c r="G411" s="2220" t="n"/>
    </row>
    <row r="412" ht="16.5" customHeight="1">
      <c r="E412" s="2216" t="n"/>
      <c r="F412" s="2202" t="n"/>
      <c r="G412" s="2220" t="n"/>
    </row>
    <row r="413" ht="16.5" customHeight="1">
      <c r="E413" s="2216" t="n"/>
      <c r="F413" s="2202" t="n"/>
      <c r="G413" s="2220" t="n"/>
    </row>
    <row r="414" ht="16.5" customHeight="1">
      <c r="E414" s="2216" t="n"/>
      <c r="F414" s="2202" t="n"/>
      <c r="G414" s="2220" t="n"/>
    </row>
    <row r="415" ht="16.5" customHeight="1">
      <c r="E415" s="2216" t="n"/>
      <c r="F415" s="2202" t="n"/>
      <c r="G415" s="2220" t="n"/>
    </row>
    <row r="416" ht="16.5" customHeight="1">
      <c r="E416" s="2216" t="n"/>
      <c r="F416" s="2202" t="n"/>
      <c r="G416" s="2220" t="n"/>
    </row>
    <row r="417" ht="16.5" customHeight="1">
      <c r="E417" s="2201" t="n"/>
      <c r="F417" s="2202" t="n"/>
    </row>
    <row r="418" ht="16.5" customHeight="1">
      <c r="E418" s="2201" t="n"/>
      <c r="F418" s="2202" t="n"/>
    </row>
    <row r="419" ht="16.5" customHeight="1">
      <c r="E419" s="2201" t="n"/>
      <c r="F419" s="2202" t="n"/>
    </row>
    <row r="420" ht="16.5" customHeight="1">
      <c r="E420" s="2201" t="n"/>
      <c r="F420" s="2202" t="n"/>
      <c r="G420" s="2225" t="n"/>
    </row>
    <row r="421" ht="16.5" customHeight="1">
      <c r="E421" s="2201" t="n"/>
      <c r="F421" s="2202" t="n"/>
      <c r="G421" s="2225" t="n"/>
    </row>
    <row r="422" ht="16.5" customHeight="1">
      <c r="E422" s="2201" t="n"/>
      <c r="F422" s="2202" t="n"/>
      <c r="G422" s="2225" t="n"/>
    </row>
    <row r="423" ht="16.5" customHeight="1">
      <c r="E423" s="2201" t="n"/>
      <c r="F423" s="2202" t="n"/>
      <c r="G423" s="2225" t="n"/>
    </row>
    <row r="424" ht="16.5" customHeight="1">
      <c r="E424" s="2201" t="n"/>
      <c r="F424" s="2202" t="n"/>
      <c r="G424" s="2225" t="n"/>
    </row>
    <row r="425" ht="16.5" customHeight="1">
      <c r="E425" s="2201" t="n"/>
      <c r="F425" s="2202" t="n"/>
      <c r="G425" s="2225" t="n"/>
    </row>
    <row r="426" ht="16.5" customHeight="1">
      <c r="E426" s="2201" t="n"/>
      <c r="F426" s="2202" t="n"/>
      <c r="G426" s="2225" t="n"/>
    </row>
    <row r="427" ht="16.5" customHeight="1">
      <c r="E427" s="2201" t="n"/>
      <c r="F427" s="2202" t="n"/>
      <c r="G427" s="2225" t="n"/>
    </row>
    <row r="428" ht="16.5" customHeight="1">
      <c r="E428" s="2201" t="n"/>
      <c r="F428" s="2202" t="n"/>
      <c r="G428" s="2225" t="n"/>
    </row>
    <row r="429" ht="16.5" customHeight="1">
      <c r="E429" s="2201" t="n"/>
      <c r="F429" s="2202" t="n"/>
      <c r="G429" s="2225" t="n"/>
    </row>
    <row r="430" ht="16.5" customHeight="1">
      <c r="E430" s="2201" t="n"/>
      <c r="F430" s="2202" t="n"/>
      <c r="G430" s="2225" t="n"/>
    </row>
    <row r="431" ht="16.5" customHeight="1">
      <c r="E431" s="2201" t="n"/>
      <c r="F431" s="2202" t="n"/>
      <c r="H431" s="2226" t="n"/>
    </row>
    <row r="432" ht="16.5" customHeight="1">
      <c r="E432" s="2201" t="n"/>
      <c r="F432" s="2202" t="n"/>
    </row>
    <row r="433" ht="16.5" customHeight="1">
      <c r="E433" s="2201" t="n"/>
      <c r="F433" s="2202" t="n"/>
    </row>
    <row r="434" ht="16.5" customHeight="1">
      <c r="E434" s="2201" t="n"/>
      <c r="F434" s="2202" t="n"/>
    </row>
    <row r="435" ht="16.5" customHeight="1">
      <c r="E435" s="2201" t="n"/>
      <c r="F435" s="2202" t="n"/>
    </row>
    <row r="436" ht="16.5" customHeight="1">
      <c r="E436" s="2201" t="n"/>
      <c r="F436" s="2202" t="n"/>
    </row>
    <row r="437" ht="16.5" customHeight="1">
      <c r="E437" s="2201" t="n"/>
      <c r="F437" s="2202" t="n"/>
    </row>
    <row r="438" ht="16.5" customHeight="1">
      <c r="E438" s="2201" t="n"/>
      <c r="F438" s="2202" t="n"/>
    </row>
    <row r="439" ht="16.5" customHeight="1">
      <c r="E439" s="2201" t="n"/>
      <c r="F439" s="2202" t="n"/>
    </row>
    <row r="440" ht="16.5" customHeight="1">
      <c r="E440" s="2201" t="n"/>
      <c r="F440" s="2202" t="n"/>
    </row>
    <row r="441" ht="16.5" customHeight="1">
      <c r="E441" s="2216" t="n"/>
      <c r="F441" s="2202" t="n"/>
    </row>
    <row r="442" ht="16.5" customHeight="1">
      <c r="E442" s="2216" t="n"/>
      <c r="F442" s="2202" t="n"/>
    </row>
    <row r="443" ht="16.5" customHeight="1">
      <c r="E443" s="2216" t="n"/>
      <c r="F443" s="2202" t="n"/>
      <c r="G443" s="2223" t="n"/>
    </row>
    <row r="444" ht="16.5" customHeight="1">
      <c r="E444" s="2216" t="n"/>
      <c r="F444" s="2202" t="n"/>
      <c r="G444" s="2223" t="n"/>
    </row>
    <row r="445" ht="16.5" customHeight="1">
      <c r="E445" s="2216" t="n"/>
      <c r="F445" s="2202" t="n"/>
      <c r="G445" s="2223" t="n"/>
    </row>
    <row r="446" ht="16.5" customHeight="1">
      <c r="E446" s="2216" t="n"/>
      <c r="F446" s="2202" t="n"/>
    </row>
    <row r="447" ht="16.5" customHeight="1">
      <c r="E447" s="2216" t="n"/>
      <c r="F447" s="2202" t="n"/>
      <c r="G447" s="2227" t="n"/>
    </row>
    <row r="448" ht="16.5" customHeight="1">
      <c r="E448" s="2216" t="n"/>
      <c r="F448" s="2202" t="n"/>
      <c r="G448" s="2225" t="n"/>
    </row>
    <row r="449" ht="16.5" customHeight="1">
      <c r="E449" s="2216" t="n"/>
      <c r="F449" s="2202" t="n"/>
      <c r="G449" s="2225" t="n"/>
    </row>
    <row r="450" ht="16.5" customHeight="1">
      <c r="E450" s="2216" t="n"/>
      <c r="G450" s="2225" t="n"/>
    </row>
    <row r="451" ht="16.5" customHeight="1">
      <c r="E451" s="2216" t="n"/>
      <c r="F451" s="2202" t="n"/>
      <c r="G451" s="2225" t="n"/>
    </row>
    <row r="452" ht="16.5" customHeight="1">
      <c r="A452" s="75" t="n"/>
      <c r="E452" s="2216" t="n"/>
      <c r="F452" s="2202" t="n"/>
      <c r="G452" s="2225" t="n"/>
    </row>
    <row r="453" ht="16.5" customHeight="1">
      <c r="E453" s="2216" t="n"/>
      <c r="F453" s="2202" t="n"/>
      <c r="G453" s="2227" t="n"/>
    </row>
    <row r="454" ht="16.5" customHeight="1">
      <c r="E454" s="2216" t="n"/>
      <c r="F454" s="2202" t="n"/>
    </row>
    <row r="455" ht="16.5" customHeight="1">
      <c r="E455" s="2216" t="n"/>
      <c r="F455" s="2202" t="n"/>
    </row>
    <row r="456" ht="16.5" customHeight="1">
      <c r="E456" s="2216" t="n"/>
      <c r="F456" s="2202" t="n"/>
    </row>
    <row r="457" ht="16.5" customHeight="1">
      <c r="E457" s="2216" t="n"/>
      <c r="F457" s="2202" t="n"/>
    </row>
    <row r="458" ht="16.5" customHeight="1">
      <c r="E458" s="2216" t="n"/>
      <c r="F458" s="2202" t="n"/>
    </row>
    <row r="459" ht="16.5" customHeight="1">
      <c r="E459" s="2216" t="n"/>
      <c r="F459" s="2202" t="n"/>
    </row>
    <row r="460" ht="16.5" customHeight="1">
      <c r="E460" s="2216" t="n"/>
      <c r="F460" s="2202" t="n"/>
    </row>
    <row r="461" ht="16.5" customHeight="1">
      <c r="E461" s="2216" t="n"/>
      <c r="F461" s="2202" t="n"/>
    </row>
    <row r="462" ht="16.5" customHeight="1">
      <c r="E462" s="2216" t="n"/>
      <c r="F462" s="2202" t="n"/>
    </row>
    <row r="463" ht="16.5" customHeight="1">
      <c r="E463" s="2216" t="n"/>
      <c r="F463" s="2202" t="n"/>
      <c r="H463" s="2214" t="n"/>
    </row>
    <row r="464" ht="16.5" customHeight="1">
      <c r="E464" s="2216" t="n"/>
      <c r="F464" s="2202" t="n"/>
      <c r="H464" s="2214" t="n"/>
    </row>
    <row r="465" ht="16.5" customHeight="1">
      <c r="E465" s="2216" t="n"/>
      <c r="F465" s="2202" t="n"/>
      <c r="H465" s="2214" t="n"/>
    </row>
    <row r="466" ht="16.5" customHeight="1">
      <c r="E466" s="2216" t="n"/>
      <c r="F466" s="2202" t="n"/>
      <c r="H466" s="2214" t="n"/>
    </row>
    <row r="467" ht="16.5" customHeight="1">
      <c r="E467" s="2216" t="n"/>
      <c r="F467" s="2202" t="n"/>
      <c r="H467" s="2214" t="n"/>
    </row>
    <row r="468" ht="16.5" customHeight="1">
      <c r="E468" s="2216" t="n"/>
      <c r="F468" s="2202" t="n"/>
    </row>
    <row r="469" ht="16.5" customHeight="1">
      <c r="E469" s="2216" t="n"/>
      <c r="F469" s="2202" t="n"/>
    </row>
    <row r="470" ht="16.5" customHeight="1">
      <c r="E470" s="2216" t="n"/>
      <c r="F470" s="2202" t="n"/>
    </row>
    <row r="471" ht="16.5" customHeight="1">
      <c r="E471" s="2216" t="n"/>
      <c r="F471" s="2202" t="n"/>
    </row>
    <row r="472" ht="16.5" customHeight="1">
      <c r="E472" s="2216" t="n"/>
      <c r="F472" s="2202" t="n"/>
    </row>
    <row r="473" ht="16.5" customHeight="1">
      <c r="E473" s="2216" t="n"/>
      <c r="F473" s="2202" t="n"/>
    </row>
    <row r="474" ht="16.5" customHeight="1">
      <c r="E474" s="2216" t="n"/>
      <c r="F474" s="2202" t="n"/>
    </row>
    <row r="475" ht="16.5" customHeight="1">
      <c r="E475" s="2216" t="n"/>
      <c r="F475" s="2202" t="n"/>
    </row>
    <row r="476" ht="16.5" customHeight="1">
      <c r="E476" s="2216" t="n"/>
      <c r="F476" s="2202" t="n"/>
    </row>
    <row r="477" ht="16.5" customHeight="1">
      <c r="E477" s="2216" t="n"/>
      <c r="F477" s="2202" t="n"/>
    </row>
    <row r="478" ht="16.5" customHeight="1">
      <c r="E478" s="2216" t="n"/>
      <c r="F478" s="2202" t="n"/>
    </row>
    <row r="479" ht="16.5" customHeight="1">
      <c r="E479" s="2216" t="n"/>
      <c r="F479" s="2202" t="n"/>
    </row>
    <row r="480" ht="16.5" customHeight="1">
      <c r="E480" s="2216" t="n"/>
      <c r="F480" s="2202" t="n"/>
    </row>
    <row r="481" ht="16.5" customHeight="1">
      <c r="E481" s="2216" t="n"/>
      <c r="F481" s="2202" t="n"/>
    </row>
    <row r="482" ht="16.5" customHeight="1">
      <c r="E482" s="2216" t="n"/>
      <c r="F482" s="2202" t="n"/>
    </row>
    <row r="483" ht="16.5" customHeight="1">
      <c r="E483" s="2216" t="n"/>
      <c r="F483" s="2202" t="n"/>
    </row>
    <row r="484" ht="16.5" customHeight="1">
      <c r="E484" s="2216" t="n"/>
      <c r="F484" s="2202" t="n"/>
    </row>
    <row r="485" ht="16.5" customHeight="1">
      <c r="E485" s="2216" t="n"/>
      <c r="F485" s="2202" t="n"/>
      <c r="I485" s="2223" t="n"/>
      <c r="J485" s="2220" t="n"/>
    </row>
    <row r="486" ht="16.5" customHeight="1">
      <c r="C486" s="73" t="n"/>
      <c r="E486" s="2216" t="n"/>
      <c r="F486" s="2202" t="n"/>
    </row>
    <row r="487" ht="16.5" customHeight="1">
      <c r="E487" s="2216" t="n"/>
      <c r="F487" s="2202" t="n"/>
      <c r="G487" s="2225" t="n"/>
    </row>
    <row r="488" ht="16.5" customHeight="1">
      <c r="E488" s="2201" t="n"/>
      <c r="F488" s="2202" t="n"/>
      <c r="G488" s="2221" t="n"/>
    </row>
    <row r="489" ht="16.5" customHeight="1">
      <c r="E489" s="2216" t="n"/>
      <c r="F489" s="2202" t="n"/>
      <c r="G489" s="2228" t="n"/>
    </row>
    <row r="490" ht="16.5" customHeight="1">
      <c r="E490" s="2216" t="n"/>
      <c r="F490" s="2202" t="n"/>
      <c r="G490" s="2228" t="n"/>
    </row>
    <row r="491" ht="16.5" customHeight="1">
      <c r="E491" s="2216" t="n"/>
      <c r="F491" s="2202" t="n"/>
      <c r="G491" s="2228" t="n"/>
    </row>
    <row r="492" ht="16.5" customHeight="1">
      <c r="E492" s="2216" t="n"/>
      <c r="F492" s="2202" t="n"/>
      <c r="G492" s="2228" t="n"/>
    </row>
    <row r="493" ht="16.5" customHeight="1">
      <c r="E493" s="2216" t="n"/>
      <c r="F493" s="2202" t="n"/>
      <c r="G493" s="2228" t="n"/>
    </row>
    <row r="494" ht="16.5" customHeight="1">
      <c r="E494" s="2216" t="n"/>
      <c r="F494" s="2202" t="n"/>
      <c r="G494" s="2228" t="n"/>
    </row>
    <row r="495" ht="16.5" customHeight="1">
      <c r="E495" s="2216" t="n"/>
      <c r="F495" s="2202" t="n"/>
      <c r="G495" s="2229" t="n"/>
    </row>
    <row r="496" ht="16.5" customHeight="1">
      <c r="E496" s="2216" t="n"/>
      <c r="F496" s="2202" t="n"/>
      <c r="G496" s="2228" t="n"/>
    </row>
    <row r="497" ht="16.5" customHeight="1">
      <c r="E497" s="2216" t="n"/>
      <c r="F497" s="2202" t="n"/>
      <c r="G497" s="2228" t="n"/>
    </row>
    <row r="498" ht="16.5" customHeight="1">
      <c r="E498" s="2216" t="n"/>
      <c r="F498" s="2202" t="n"/>
      <c r="G498" s="2228" t="n"/>
    </row>
    <row r="499" ht="16.5" customHeight="1">
      <c r="E499" s="2216" t="n"/>
      <c r="F499" s="2202" t="n"/>
      <c r="G499" s="2228" t="n"/>
    </row>
    <row r="500" ht="16.5" customHeight="1">
      <c r="E500" s="2216" t="n"/>
      <c r="F500" s="2202" t="n"/>
      <c r="G500" s="2221" t="n"/>
    </row>
    <row r="501" ht="16.5" customHeight="1">
      <c r="E501" s="2201" t="n"/>
      <c r="F501" s="2202" t="n"/>
      <c r="G501" s="2221" t="n"/>
    </row>
    <row r="502" ht="16.5" customHeight="1">
      <c r="E502" s="2216" t="n"/>
      <c r="F502" s="2202" t="n"/>
      <c r="G502" s="2221" t="n"/>
      <c r="I502" s="2220" t="n"/>
    </row>
    <row r="503" ht="16.5" customHeight="1">
      <c r="E503" s="2201" t="n"/>
      <c r="F503" s="2202" t="n"/>
      <c r="G503" s="2221" t="n"/>
      <c r="I503" s="2220" t="n"/>
    </row>
    <row r="504" ht="16.5" customHeight="1">
      <c r="E504" s="2216" t="n"/>
      <c r="F504" s="2202" t="n"/>
      <c r="G504" s="2221" t="n"/>
      <c r="I504" s="2220" t="n"/>
    </row>
    <row r="505" ht="16.5" customHeight="1">
      <c r="E505" s="2216" t="n"/>
      <c r="F505" s="2202" t="n"/>
      <c r="I505" s="2220" t="n"/>
      <c r="J505" s="2217" t="n"/>
    </row>
    <row r="506" ht="16.5" customHeight="1">
      <c r="E506" s="2216" t="n"/>
      <c r="F506" s="2202" t="n"/>
      <c r="I506" s="2220" t="n"/>
    </row>
    <row r="507" ht="16.5" customHeight="1">
      <c r="E507" s="2216" t="n"/>
      <c r="F507" s="2202" t="n"/>
      <c r="I507" s="2220" t="n"/>
    </row>
    <row r="508" ht="16.5" customHeight="1">
      <c r="E508" s="2216" t="n"/>
      <c r="F508" s="2202" t="n"/>
      <c r="I508" s="2220" t="n"/>
      <c r="J508" s="2217" t="n"/>
    </row>
    <row r="509" ht="16.5" customHeight="1">
      <c r="E509" s="2216" t="n"/>
      <c r="F509" s="2202" t="n"/>
    </row>
    <row r="510" ht="16.5" customHeight="1">
      <c r="E510" s="2216" t="n"/>
      <c r="F510" s="2202" t="n"/>
    </row>
    <row r="511" ht="16.5" customHeight="1">
      <c r="E511" s="2216" t="n"/>
      <c r="F511" s="2202" t="n"/>
    </row>
    <row r="512" ht="16.5" customHeight="1">
      <c r="E512" s="2216" t="n"/>
      <c r="F512" s="2202" t="n"/>
      <c r="G512" s="2230" t="n"/>
    </row>
    <row r="513" ht="16.5" customHeight="1">
      <c r="E513" s="2216" t="n"/>
      <c r="F513" s="2202" t="n"/>
    </row>
    <row r="514" ht="16.5" customHeight="1">
      <c r="E514" s="2216" t="n"/>
      <c r="F514" s="2202" t="n"/>
    </row>
    <row r="515" ht="16.5" customHeight="1">
      <c r="E515" s="2216" t="n"/>
      <c r="F515" s="2202" t="n"/>
    </row>
    <row r="516" ht="16.5" customHeight="1">
      <c r="E516" s="2216" t="n"/>
      <c r="F516" s="2202" t="n"/>
    </row>
    <row r="517" ht="16.5" customHeight="1">
      <c r="E517" s="2216" t="n"/>
      <c r="F517" s="2202" t="n"/>
    </row>
    <row r="518" ht="16.5" customHeight="1">
      <c r="E518" s="2216" t="n"/>
      <c r="F518" s="2202" t="n"/>
    </row>
    <row r="519" ht="16.5" customHeight="1">
      <c r="E519" s="2216" t="n"/>
      <c r="F519" s="2202" t="n"/>
    </row>
    <row r="520" ht="16.5" customHeight="1">
      <c r="E520" s="2216" t="n"/>
      <c r="F520" s="2202" t="n"/>
    </row>
    <row r="521" ht="16.5" customHeight="1">
      <c r="E521" s="2216" t="n"/>
      <c r="F521" s="2202" t="n"/>
    </row>
    <row r="522" ht="16.5" customHeight="1">
      <c r="E522" s="2216" t="n"/>
      <c r="F522" s="2202" t="n"/>
      <c r="H522" s="2225" t="n"/>
    </row>
    <row r="523" ht="16.5" customHeight="1">
      <c r="E523" s="2216" t="n"/>
      <c r="F523" s="2202" t="n"/>
      <c r="H523" s="2225" t="n"/>
    </row>
    <row r="524" ht="16.5" customHeight="1">
      <c r="E524" s="2216" t="n"/>
      <c r="F524" s="2202" t="n"/>
      <c r="H524" s="2225" t="n"/>
    </row>
    <row r="525" ht="16.5" customHeight="1">
      <c r="E525" s="2216" t="n"/>
      <c r="F525" s="2202" t="n"/>
    </row>
    <row r="526" ht="16.5" customHeight="1">
      <c r="E526" s="2201" t="n"/>
      <c r="F526" s="2202" t="n"/>
    </row>
    <row r="527" ht="16.5" customHeight="1">
      <c r="E527" s="2201" t="n"/>
      <c r="F527" s="2202" t="n"/>
    </row>
    <row r="528" ht="16.5" customHeight="1">
      <c r="E528" s="2201" t="n"/>
      <c r="F528" s="2202" t="n"/>
    </row>
    <row r="529" ht="16.5" customHeight="1">
      <c r="E529" s="2201" t="n"/>
      <c r="F529" s="2202" t="n"/>
    </row>
    <row r="530" ht="16.5" customHeight="1">
      <c r="E530" s="2216" t="n"/>
      <c r="F530" s="2202" t="n"/>
    </row>
    <row r="531" ht="16.5" customHeight="1">
      <c r="E531" s="2216" t="n"/>
      <c r="F531" s="2202" t="n"/>
      <c r="G531" s="2220" t="n"/>
    </row>
    <row r="532" ht="16.5" customHeight="1">
      <c r="E532" s="2216" t="n"/>
      <c r="F532" s="2202" t="n"/>
    </row>
    <row r="533" ht="16.5" customHeight="1">
      <c r="E533" s="2216" t="n"/>
      <c r="F533" s="2202" t="n"/>
      <c r="G533" s="2220" t="n"/>
    </row>
    <row r="534" ht="16.5" customHeight="1">
      <c r="E534" s="2216" t="n"/>
      <c r="F534" s="2202" t="n"/>
      <c r="G534" s="2220" t="n"/>
    </row>
    <row r="535" ht="16.5" customHeight="1">
      <c r="E535" s="2216" t="n"/>
      <c r="F535" s="2202" t="n"/>
      <c r="G535" s="2220" t="n"/>
    </row>
    <row r="536" ht="16.5" customHeight="1">
      <c r="E536" s="2216" t="n"/>
      <c r="F536" s="2202" t="n"/>
      <c r="G536" s="2220" t="n"/>
    </row>
    <row r="537" ht="16.5" customHeight="1">
      <c r="E537" s="2216" t="n"/>
      <c r="F537" s="2202" t="n"/>
    </row>
    <row r="538" ht="16.5" customHeight="1">
      <c r="E538" s="2216" t="n"/>
      <c r="F538" s="2202" t="n"/>
      <c r="G538" s="2225" t="n"/>
    </row>
    <row r="539" ht="16.5" customHeight="1">
      <c r="E539" s="2216" t="n"/>
      <c r="F539" s="2202" t="n"/>
    </row>
    <row r="540" ht="16.5" customHeight="1">
      <c r="E540" s="2216" t="n"/>
      <c r="F540" s="2202" t="n"/>
      <c r="G540" s="2225" t="n"/>
    </row>
    <row r="541" ht="16.5" customHeight="1">
      <c r="E541" s="2216" t="n"/>
      <c r="F541" s="2202" t="n"/>
    </row>
    <row r="542" ht="16.5" customHeight="1">
      <c r="E542" s="2216" t="n"/>
      <c r="F542" s="2202" t="n"/>
    </row>
    <row r="543" ht="16.5" customHeight="1">
      <c r="E543" s="2216" t="n"/>
      <c r="F543" s="2202" t="n"/>
    </row>
    <row r="544" ht="16.5" customHeight="1">
      <c r="E544" s="2216" t="n"/>
      <c r="F544" s="2202" t="n"/>
    </row>
    <row r="545" ht="16.5" customHeight="1">
      <c r="E545" s="2216" t="n"/>
      <c r="F545" s="2202" t="n"/>
    </row>
    <row r="546" ht="16.5" customHeight="1">
      <c r="E546" s="2216" t="n"/>
      <c r="F546" s="2202" t="n"/>
    </row>
    <row r="547" ht="16.5" customHeight="1">
      <c r="E547" s="2216" t="n"/>
      <c r="F547" s="2202" t="n"/>
    </row>
    <row r="548" ht="16.5" customHeight="1">
      <c r="E548" s="2216" t="n"/>
      <c r="F548" s="2202" t="n"/>
    </row>
    <row r="549" ht="16.5" customHeight="1">
      <c r="E549" s="2216" t="n"/>
      <c r="F549" s="2202" t="n"/>
    </row>
    <row r="550" ht="16.5" customHeight="1">
      <c r="E550" s="2216" t="n"/>
      <c r="F550" s="2202" t="n"/>
    </row>
    <row r="551" ht="16.5" customHeight="1">
      <c r="E551" s="2216" t="n"/>
      <c r="F551" s="2202" t="n"/>
    </row>
    <row r="552" ht="16.5" customHeight="1">
      <c r="E552" s="2216" t="n"/>
      <c r="F552" s="2202" t="n"/>
    </row>
    <row r="553" ht="16.5" customHeight="1">
      <c r="E553" s="2216" t="n"/>
      <c r="F553" s="2202" t="n"/>
    </row>
    <row r="554" ht="16.5" customHeight="1">
      <c r="E554" s="2216" t="n"/>
      <c r="F554" s="2202" t="n"/>
    </row>
    <row r="555" ht="16.5" customHeight="1">
      <c r="E555" s="2216" t="n"/>
      <c r="F555" s="2202" t="n"/>
    </row>
    <row r="556" ht="16.5" customHeight="1">
      <c r="E556" s="2216" t="n"/>
      <c r="F556" s="2202" t="n"/>
    </row>
    <row r="557" ht="16.5" customHeight="1">
      <c r="E557" s="2216" t="n"/>
      <c r="F557" s="2202" t="n"/>
    </row>
    <row r="558" ht="16.5" customHeight="1">
      <c r="E558" s="2216" t="n"/>
      <c r="F558" s="2202" t="n"/>
    </row>
    <row r="559" ht="16.5" customHeight="1">
      <c r="E559" s="2216" t="n"/>
      <c r="F559" s="2202" t="n"/>
    </row>
    <row r="560" ht="16.5" customHeight="1">
      <c r="E560" s="2216" t="n"/>
      <c r="F560" s="2202" t="n"/>
    </row>
    <row r="561" ht="16.5" customHeight="1">
      <c r="E561" s="2216" t="n"/>
      <c r="F561" s="2202" t="n"/>
    </row>
    <row r="562" ht="16.5" customHeight="1">
      <c r="E562" s="2201" t="n"/>
      <c r="F562" s="2202" t="n"/>
    </row>
    <row r="563" ht="16.5" customHeight="1">
      <c r="E563" s="2216" t="n"/>
      <c r="F563" s="2202" t="n"/>
    </row>
    <row r="564" ht="16.5" customHeight="1">
      <c r="E564" s="2216" t="n"/>
      <c r="F564" s="2202" t="n"/>
    </row>
    <row r="565" ht="16.5" customHeight="1">
      <c r="E565" s="2216" t="n"/>
      <c r="F565" s="2202" t="n"/>
    </row>
    <row r="566" ht="16.5" customHeight="1">
      <c r="E566" s="2216" t="n"/>
      <c r="F566" s="2202" t="n"/>
    </row>
    <row r="567" ht="16.5" customHeight="1">
      <c r="E567" s="2216" t="n"/>
      <c r="F567" s="2202" t="n"/>
    </row>
    <row r="568" ht="16.5" customHeight="1">
      <c r="E568" s="2216" t="n"/>
      <c r="F568" s="2202" t="n"/>
    </row>
    <row r="569" ht="16.5" customHeight="1">
      <c r="E569" s="2216" t="n"/>
      <c r="F569" s="2202" t="n"/>
    </row>
    <row r="570" ht="16.5" customHeight="1">
      <c r="E570" s="2216" t="n"/>
      <c r="F570" s="2202" t="n"/>
    </row>
    <row r="571" ht="16.5" customHeight="1">
      <c r="E571" s="2216" t="n"/>
      <c r="F571" s="2202" t="n"/>
    </row>
    <row r="572" ht="16.5" customHeight="1">
      <c r="E572" s="2216" t="n"/>
      <c r="F572" s="2202" t="n"/>
    </row>
    <row r="573" ht="16.5" customHeight="1">
      <c r="E573" s="2216" t="n"/>
      <c r="F573" s="2202" t="n"/>
      <c r="G573" s="2227" t="n"/>
    </row>
    <row r="574" ht="16.5" customHeight="1">
      <c r="E574" s="2216" t="n"/>
      <c r="F574" s="2202" t="n"/>
      <c r="G574" s="2227" t="n"/>
    </row>
    <row r="575" ht="16.5" customHeight="1">
      <c r="E575" s="2216" t="n"/>
      <c r="F575" s="2202" t="n"/>
      <c r="G575" s="2227" t="n"/>
    </row>
    <row r="576" ht="16.5" customHeight="1">
      <c r="E576" s="2216" t="n"/>
      <c r="F576" s="2202" t="n"/>
      <c r="G576" s="2227" t="n"/>
    </row>
    <row r="577" ht="16.5" customHeight="1">
      <c r="E577" s="2216" t="n"/>
      <c r="F577" s="2202" t="n"/>
      <c r="G577" s="2227" t="n"/>
    </row>
    <row r="578" ht="16.5" customHeight="1">
      <c r="E578" s="2216" t="n"/>
      <c r="F578" s="2202" t="n"/>
      <c r="G578" s="2225" t="n"/>
    </row>
    <row r="579" ht="16.5" customHeight="1">
      <c r="E579" s="2216" t="n"/>
      <c r="F579" s="2202" t="n"/>
      <c r="G579" s="2225" t="n"/>
    </row>
    <row r="580" ht="16.5" customHeight="1">
      <c r="E580" s="2216" t="n"/>
      <c r="F580" s="2202" t="n"/>
      <c r="G580" s="2225" t="n"/>
    </row>
    <row r="581" ht="16.5" customHeight="1">
      <c r="E581" s="2216" t="n"/>
      <c r="F581" s="2202" t="n"/>
      <c r="G581" s="2227" t="n"/>
    </row>
    <row r="582" ht="16.5" customHeight="1">
      <c r="E582" s="2216" t="n"/>
      <c r="F582" s="2202" t="n"/>
    </row>
    <row r="583" ht="16.5" customHeight="1">
      <c r="E583" s="2216" t="n"/>
      <c r="F583" s="2202" t="n"/>
    </row>
    <row r="584" ht="16.5" customHeight="1">
      <c r="E584" s="2216" t="n"/>
      <c r="F584" s="2202" t="n"/>
    </row>
    <row r="585" ht="16.5" customHeight="1">
      <c r="E585" s="2216" t="n"/>
      <c r="F585" s="2202" t="n"/>
    </row>
    <row r="586" ht="16.5" customHeight="1">
      <c r="E586" s="2216" t="n"/>
      <c r="F586" s="2202" t="n"/>
    </row>
    <row r="587" ht="16.5" customHeight="1">
      <c r="E587" s="2216" t="n"/>
      <c r="F587" s="2202" t="n"/>
    </row>
    <row r="588" ht="16.5" customHeight="1">
      <c r="E588" s="2216" t="n"/>
      <c r="F588" s="2202" t="n"/>
    </row>
    <row r="589" ht="16.5" customHeight="1">
      <c r="E589" s="2216" t="n"/>
      <c r="F589" s="2202" t="n"/>
    </row>
    <row r="590" ht="16.5" customHeight="1">
      <c r="E590" s="2201" t="n"/>
      <c r="F590" s="2202" t="n"/>
    </row>
    <row r="591" ht="16.5" customHeight="1">
      <c r="E591" s="2201" t="n"/>
      <c r="F591" s="2202" t="n"/>
    </row>
    <row r="592" ht="16.5" customHeight="1">
      <c r="E592" s="2201" t="n"/>
      <c r="F592" s="2202" t="n"/>
    </row>
    <row r="593" ht="16.5" customHeight="1">
      <c r="E593" s="2201" t="n"/>
      <c r="F593" s="2202" t="n"/>
    </row>
    <row r="594" ht="16.5" customHeight="1">
      <c r="E594" s="2201" t="n"/>
      <c r="F594" s="2202" t="n"/>
    </row>
    <row r="595" ht="16.5" customHeight="1">
      <c r="E595" s="2201" t="n"/>
      <c r="F595" s="2202" t="n"/>
    </row>
    <row r="596" ht="16.5" customHeight="1">
      <c r="E596" s="2201" t="n"/>
      <c r="F596" s="2202" t="n"/>
    </row>
    <row r="597" ht="16.5" customHeight="1">
      <c r="E597" s="2201" t="n"/>
      <c r="F597" s="2202" t="n"/>
      <c r="G597" s="2223" t="n"/>
    </row>
    <row r="598" ht="16.5" customHeight="1">
      <c r="E598" s="2201" t="n"/>
      <c r="F598" s="2202" t="n"/>
      <c r="G598" s="2223" t="n"/>
    </row>
    <row r="599" ht="16.5" customHeight="1">
      <c r="E599" s="2201" t="n"/>
      <c r="F599" s="2202" t="n"/>
      <c r="G599" s="2223" t="n"/>
    </row>
    <row r="600" ht="16.5" customHeight="1">
      <c r="E600" s="2201" t="n"/>
      <c r="F600" s="2202" t="n"/>
      <c r="G600" s="2223" t="n"/>
    </row>
    <row r="601" ht="16.5" customHeight="1">
      <c r="E601" s="2201" t="n"/>
      <c r="F601" s="2202" t="n"/>
      <c r="G601" s="2223" t="n"/>
    </row>
    <row r="602" ht="16.5" customHeight="1">
      <c r="E602" s="2201" t="n"/>
      <c r="F602" s="2202" t="n"/>
      <c r="G602" s="2223" t="n"/>
    </row>
    <row r="603" ht="16.5" customHeight="1">
      <c r="E603" s="2201" t="n"/>
      <c r="F603" s="2202" t="n"/>
      <c r="G603" s="2223" t="n"/>
    </row>
    <row r="604" ht="16.5" customHeight="1">
      <c r="E604" s="2201" t="n"/>
      <c r="F604" s="2202" t="n"/>
    </row>
    <row r="605" ht="16.5" customHeight="1">
      <c r="E605" s="2201" t="n"/>
      <c r="F605" s="2202" t="n"/>
    </row>
    <row r="606" ht="16.5" customHeight="1">
      <c r="E606" s="2201" t="n"/>
      <c r="F606" s="2202" t="n"/>
    </row>
    <row r="607" ht="16.5" customHeight="1">
      <c r="E607" s="2201" t="n"/>
      <c r="F607" s="2202" t="n"/>
    </row>
    <row r="608" ht="16.5" customHeight="1">
      <c r="E608" s="2201" t="n"/>
      <c r="F608" s="2202" t="n"/>
    </row>
    <row r="609" ht="16.5" customHeight="1">
      <c r="E609" s="2201" t="n"/>
      <c r="F609" s="2202" t="n"/>
    </row>
    <row r="610" ht="16.5" customHeight="1">
      <c r="E610" s="2201" t="n"/>
      <c r="F610" s="2202" t="n"/>
    </row>
    <row r="611" ht="16.5" customHeight="1">
      <c r="E611" s="2201" t="n"/>
      <c r="F611" s="2202" t="n"/>
    </row>
    <row r="612" ht="16.5" customHeight="1">
      <c r="E612" s="2201" t="n"/>
      <c r="F612" s="2202" t="n"/>
    </row>
    <row r="613" ht="16.5" customHeight="1">
      <c r="E613" s="2201" t="n"/>
      <c r="F613" s="2202" t="n"/>
    </row>
    <row r="614" ht="16.5" customHeight="1">
      <c r="E614" s="2201" t="n"/>
      <c r="F614" s="2202" t="n"/>
    </row>
    <row r="615" ht="16.5" customHeight="1">
      <c r="E615" s="2201" t="n"/>
      <c r="F615" s="2202" t="n"/>
    </row>
    <row r="616" ht="16.5" customHeight="1">
      <c r="E616" s="2201" t="n"/>
      <c r="F616" s="2202" t="n"/>
    </row>
    <row r="617" ht="16.5" customHeight="1">
      <c r="E617" s="2201" t="n"/>
      <c r="F617" s="2202" t="n"/>
    </row>
    <row r="618" ht="16.5" customHeight="1">
      <c r="E618" s="2201" t="n"/>
      <c r="F618" s="2202" t="n"/>
    </row>
    <row r="619" ht="16.5" customHeight="1">
      <c r="E619" s="2201" t="n"/>
      <c r="F619" s="2202" t="n"/>
    </row>
    <row r="620" ht="16.5" customHeight="1">
      <c r="E620" s="2201" t="n"/>
      <c r="F620" s="2202" t="n"/>
    </row>
    <row r="621" ht="16.5" customHeight="1">
      <c r="E621" s="2201" t="n"/>
      <c r="F621" s="2202" t="n"/>
    </row>
    <row r="622" ht="16.5" customHeight="1">
      <c r="E622" s="2201" t="n"/>
      <c r="F622" s="2202" t="n"/>
    </row>
    <row r="623" ht="16.5" customHeight="1">
      <c r="E623" s="2201" t="n"/>
      <c r="F623" s="2202" t="n"/>
    </row>
    <row r="624" ht="16.5" customHeight="1">
      <c r="E624" s="2201" t="n"/>
      <c r="F624" s="2202" t="n"/>
    </row>
    <row r="625" ht="16.5" customHeight="1">
      <c r="E625" s="2201" t="n"/>
      <c r="F625" s="2202" t="n"/>
    </row>
    <row r="626" ht="16.5" customHeight="1">
      <c r="E626" s="2201" t="n"/>
      <c r="F626" s="2202" t="n"/>
    </row>
    <row r="627" ht="16.5" customHeight="1">
      <c r="E627" s="2201" t="n"/>
      <c r="F627" s="2202" t="n"/>
    </row>
    <row r="628" ht="16.5" customHeight="1">
      <c r="E628" s="2201" t="n"/>
      <c r="F628" s="2202" t="n"/>
    </row>
    <row r="629" ht="16.5" customHeight="1">
      <c r="E629" s="2201" t="n"/>
      <c r="F629" s="2202" t="n"/>
    </row>
    <row r="630" ht="16.5" customHeight="1">
      <c r="E630" s="2201" t="n"/>
      <c r="F630" s="2202" t="n"/>
    </row>
    <row r="631" ht="16.5" customHeight="1">
      <c r="E631" s="2201" t="n"/>
      <c r="F631" s="2202" t="n"/>
    </row>
    <row r="632" ht="16.5" customHeight="1">
      <c r="E632" s="2201" t="n"/>
      <c r="F632" s="2202" t="n"/>
    </row>
    <row r="633" ht="16.5" customHeight="1">
      <c r="E633" s="2201" t="n"/>
      <c r="F633" s="2202" t="n"/>
    </row>
    <row r="634" ht="16.5" customHeight="1">
      <c r="E634" s="2201" t="n"/>
      <c r="F634" s="2202" t="n"/>
    </row>
    <row r="635" ht="16.5" customHeight="1">
      <c r="E635" s="2201" t="n"/>
      <c r="F635" s="2202" t="n"/>
    </row>
    <row r="636" ht="16.5" customHeight="1">
      <c r="E636" s="2201" t="n"/>
      <c r="F636" s="2202" t="n"/>
    </row>
    <row r="637" ht="16.5" customHeight="1">
      <c r="E637" s="2201" t="n"/>
      <c r="F637" s="2202" t="n"/>
    </row>
    <row r="638" ht="16.5" customHeight="1">
      <c r="E638" s="2201" t="n"/>
      <c r="F638" s="2202" t="n"/>
    </row>
    <row r="639" ht="16.5" customHeight="1">
      <c r="E639" s="2201" t="n"/>
      <c r="F639" s="2202" t="n"/>
    </row>
    <row r="640" ht="16.5" customHeight="1">
      <c r="E640" s="2201" t="n"/>
      <c r="F640" s="2202" t="n"/>
    </row>
    <row r="641" ht="16.5" customHeight="1">
      <c r="E641" s="2201" t="n"/>
      <c r="F641" s="2202" t="n"/>
    </row>
    <row r="642" ht="16.5" customHeight="1">
      <c r="E642" s="2201" t="n"/>
      <c r="F642" s="2202" t="n"/>
    </row>
    <row r="643" ht="16.5" customHeight="1">
      <c r="E643" s="2201" t="n"/>
      <c r="F643" s="2202" t="n"/>
    </row>
    <row r="644" ht="16.5" customHeight="1">
      <c r="E644" s="2201" t="n"/>
      <c r="F644" s="2202" t="n"/>
    </row>
    <row r="645" ht="16.5" customHeight="1">
      <c r="E645" s="2201" t="n"/>
      <c r="F645" s="2202" t="n"/>
    </row>
    <row r="646" ht="16.5" customHeight="1">
      <c r="E646" s="2201" t="n"/>
      <c r="F646" s="2202" t="n"/>
    </row>
    <row r="647" ht="16.5" customHeight="1">
      <c r="E647" s="2201" t="n"/>
      <c r="F647" s="2202" t="n"/>
    </row>
    <row r="648" ht="16.5" customHeight="1">
      <c r="E648" s="2201" t="n"/>
      <c r="F648" s="2202" t="n"/>
    </row>
    <row r="649" ht="16.5" customHeight="1">
      <c r="E649" s="2201" t="n"/>
      <c r="F649" s="2202" t="n"/>
    </row>
    <row r="650" ht="16.5" customHeight="1">
      <c r="E650" s="2201" t="n"/>
      <c r="F650" s="2202" t="n"/>
    </row>
    <row r="651" ht="16.5" customHeight="1">
      <c r="E651" s="2201" t="n"/>
      <c r="F651" s="2202" t="n"/>
    </row>
    <row r="652" ht="16.5" customHeight="1">
      <c r="E652" s="2201" t="n"/>
      <c r="F652" s="2202" t="n"/>
    </row>
    <row r="653" ht="16.5" customHeight="1">
      <c r="E653" s="2201" t="n"/>
      <c r="F653" s="2202" t="n"/>
    </row>
    <row r="654" ht="16.5" customHeight="1">
      <c r="E654" s="2201" t="n"/>
      <c r="F654" s="2202" t="n"/>
      <c r="G654" s="2223" t="n"/>
    </row>
    <row r="655" ht="16.5" customHeight="1">
      <c r="E655" s="2201" t="n"/>
      <c r="F655" s="2202" t="n"/>
      <c r="G655" s="2223" t="n"/>
    </row>
    <row r="656" ht="16.5" customHeight="1">
      <c r="E656" s="2201" t="n"/>
      <c r="F656" s="2202" t="n"/>
      <c r="G656" s="2223" t="n"/>
    </row>
    <row r="657" ht="16.5" customHeight="1">
      <c r="E657" s="2201" t="n"/>
      <c r="F657" s="2202" t="n"/>
      <c r="G657" s="2223" t="n"/>
    </row>
    <row r="658" ht="16.5" customHeight="1">
      <c r="E658" s="2201" t="n"/>
      <c r="F658" s="2202" t="n"/>
    </row>
    <row r="659" ht="16.5" customHeight="1">
      <c r="E659" s="2201" t="n"/>
      <c r="F659" s="2202" t="n"/>
    </row>
    <row r="660" ht="16.5" customHeight="1">
      <c r="E660" s="2201" t="n"/>
      <c r="F660" s="2202" t="n"/>
    </row>
    <row r="661" ht="16.5" customHeight="1">
      <c r="E661" s="2201" t="n"/>
      <c r="F661" s="2202" t="n"/>
    </row>
    <row r="662" ht="16.5" customHeight="1">
      <c r="E662" s="2201" t="n"/>
      <c r="F662" s="2202" t="n"/>
    </row>
    <row r="663" ht="16.5" customHeight="1">
      <c r="E663" s="2201" t="n"/>
      <c r="F663" s="2202" t="n"/>
    </row>
    <row r="664" ht="16.5" customHeight="1">
      <c r="E664" s="2201" t="n"/>
      <c r="F664" s="2202" t="n"/>
    </row>
    <row r="665" ht="16.5" customHeight="1">
      <c r="E665" s="2201" t="n"/>
      <c r="F665" s="2202" t="n"/>
    </row>
    <row r="666" ht="16.5" customHeight="1">
      <c r="E666" s="2201" t="n"/>
      <c r="F666" s="2202" t="n"/>
    </row>
    <row r="667" ht="16.5" customHeight="1">
      <c r="E667" s="2201" t="n"/>
      <c r="F667" s="2202" t="n"/>
    </row>
    <row r="668" ht="16.5" customHeight="1">
      <c r="E668" s="2201" t="n"/>
      <c r="F668" s="2202" t="n"/>
    </row>
    <row r="669" ht="16.5" customHeight="1">
      <c r="E669" s="2201" t="n"/>
      <c r="F669" s="2202" t="n"/>
    </row>
    <row r="670" ht="16.5" customHeight="1">
      <c r="E670" s="2201" t="n"/>
      <c r="F670" s="2202" t="n"/>
    </row>
    <row r="671" ht="16.5" customHeight="1">
      <c r="E671" s="2201" t="n"/>
      <c r="F671" s="2202" t="n"/>
    </row>
    <row r="672" ht="16.5" customHeight="1">
      <c r="E672" s="2201" t="n"/>
      <c r="F672" s="2202" t="n"/>
    </row>
    <row r="673" ht="16.5" customHeight="1">
      <c r="E673" s="2201" t="n"/>
      <c r="F673" s="2202" t="n"/>
    </row>
    <row r="674" ht="16.5" customHeight="1">
      <c r="E674" s="2201" t="n"/>
      <c r="F674" s="2202" t="n"/>
    </row>
    <row r="675" ht="16.5" customHeight="1">
      <c r="E675" s="2201" t="n"/>
      <c r="F675" s="2202" t="n"/>
    </row>
    <row r="676" ht="16.5" customHeight="1">
      <c r="E676" s="2201" t="n"/>
      <c r="F676" s="2202" t="n"/>
    </row>
    <row r="677" ht="16.5" customHeight="1">
      <c r="E677" s="2201" t="n"/>
      <c r="F677" s="2202" t="n"/>
    </row>
    <row r="678" ht="16.5" customHeight="1">
      <c r="E678" s="2201" t="n"/>
      <c r="F678" s="2202" t="n"/>
    </row>
    <row r="679" ht="16.5" customHeight="1">
      <c r="E679" s="2201" t="n"/>
      <c r="F679" s="2202" t="n"/>
    </row>
    <row r="680" ht="16.5" customHeight="1">
      <c r="E680" s="2201" t="n"/>
      <c r="F680" s="2202" t="n"/>
    </row>
    <row r="681" ht="16.5" customHeight="1">
      <c r="E681" s="2201" t="n"/>
      <c r="F681" s="2202" t="n"/>
    </row>
    <row r="682" ht="16.5" customHeight="1">
      <c r="E682" s="2201" t="n"/>
      <c r="F682" s="2202" t="n"/>
    </row>
    <row r="683" ht="16.5" customHeight="1">
      <c r="E683" s="2201" t="n"/>
      <c r="F683" s="2202" t="n"/>
    </row>
    <row r="684" ht="16.5" customHeight="1">
      <c r="E684" s="2201" t="n"/>
      <c r="F684" s="2202" t="n"/>
    </row>
    <row r="685" ht="16.5" customHeight="1">
      <c r="E685" s="2201" t="n"/>
      <c r="F685" s="2202" t="n"/>
    </row>
    <row r="686" ht="16.5" customHeight="1">
      <c r="E686" s="2201" t="n"/>
      <c r="F686" s="2202" t="n"/>
    </row>
    <row r="687" ht="16.5" customHeight="1">
      <c r="E687" s="2201" t="n"/>
      <c r="F687" s="2202" t="n"/>
    </row>
    <row r="688" ht="16.5" customHeight="1">
      <c r="E688" s="2201" t="n"/>
      <c r="F688" s="2202" t="n"/>
    </row>
    <row r="689" ht="16.5" customHeight="1">
      <c r="E689" s="2201" t="n"/>
      <c r="F689" s="2202" t="n"/>
    </row>
    <row r="690" ht="16.5" customHeight="1">
      <c r="E690" s="2201" t="n"/>
      <c r="F690" s="2202" t="n"/>
    </row>
    <row r="691" ht="16.5" customHeight="1">
      <c r="E691" s="2201" t="n"/>
      <c r="F691" s="2202" t="n"/>
    </row>
    <row r="692" ht="16.5" customHeight="1">
      <c r="E692" s="2201" t="n"/>
      <c r="F692" s="2202" t="n"/>
    </row>
    <row r="693" ht="16.5" customHeight="1">
      <c r="E693" s="2201" t="n"/>
      <c r="F693" s="2202" t="n"/>
    </row>
    <row r="694" ht="16.5" customHeight="1">
      <c r="E694" s="2201" t="n"/>
      <c r="F694" s="2202" t="n"/>
    </row>
    <row r="695" ht="16.5" customHeight="1">
      <c r="E695" s="2201" t="n"/>
      <c r="F695" s="2202" t="n"/>
    </row>
    <row r="696" ht="16.5" customHeight="1">
      <c r="E696" s="2201" t="n"/>
      <c r="F696" s="2202" t="n"/>
    </row>
  </sheetData>
  <autoFilter ref="A3:G90"/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V289"/>
  <sheetViews>
    <sheetView zoomScale="115" zoomScaleNormal="115" workbookViewId="0">
      <selection activeCell="B42" sqref="B42"/>
    </sheetView>
  </sheetViews>
  <sheetFormatPr baseColWidth="8" defaultColWidth="9" defaultRowHeight="16.5" customHeight="1"/>
  <cols>
    <col width="18" customWidth="1" style="77" min="1" max="1"/>
    <col width="38.625" customWidth="1" style="77" min="2" max="2"/>
    <col width="71.875" customWidth="1" style="89" min="3" max="3"/>
    <col width="13.125" customWidth="1" style="77" min="4" max="4"/>
    <col width="20" customWidth="1" style="2231" min="5" max="6"/>
    <col width="21.125" customWidth="1" style="89" min="7" max="7"/>
    <col width="9.875" customWidth="1" style="89" min="8" max="8"/>
    <col width="11" bestFit="1" customWidth="1" style="89" min="9" max="9"/>
    <col width="12.5" bestFit="1" customWidth="1" style="89" min="10" max="10"/>
    <col width="11.875" bestFit="1" customWidth="1" style="2232" min="11" max="11"/>
    <col width="13.375" bestFit="1" customWidth="1" style="2232" min="12" max="12"/>
    <col width="10.625" customWidth="1" style="89" min="13" max="21"/>
    <col width="14.875" customWidth="1" style="89" min="22" max="22"/>
    <col width="9" customWidth="1" style="89" min="23" max="16384"/>
  </cols>
  <sheetData>
    <row r="1" ht="20.25" customHeight="1">
      <c r="A1" s="101" t="inlineStr">
        <is>
          <t>7월 자금계획</t>
        </is>
      </c>
      <c r="B1" s="516" t="n"/>
      <c r="G1" s="2233" t="inlineStr">
        <is>
          <t>환율</t>
        </is>
      </c>
      <c r="H1" s="97" t="inlineStr">
        <is>
          <t>USD</t>
        </is>
      </c>
      <c r="I1" s="99" t="n">
        <v>1541.5</v>
      </c>
      <c r="J1" s="1431" t="n"/>
      <c r="L1" s="2234" t="n"/>
      <c r="M1" s="2235" t="n"/>
      <c r="N1" s="97" t="n"/>
      <c r="O1" s="2235" t="n"/>
      <c r="P1" s="97" t="n"/>
      <c r="Q1" s="2235" t="n"/>
      <c r="R1" s="97" t="n"/>
      <c r="S1" s="2235" t="n"/>
      <c r="T1" s="97" t="n"/>
      <c r="U1" s="2235" t="n"/>
      <c r="V1" s="97" t="n"/>
    </row>
    <row r="2" ht="16.5" customHeight="1">
      <c r="A2" s="94" t="n"/>
      <c r="B2" s="2236" t="n"/>
      <c r="H2" s="95" t="n"/>
      <c r="J2" s="77" t="n"/>
      <c r="K2" s="2236" t="n"/>
      <c r="L2" s="2236" t="n"/>
      <c r="Q2" s="2231" t="n"/>
    </row>
    <row r="3" ht="16.5" customHeight="1">
      <c r="A3" s="96" t="inlineStr">
        <is>
          <t>구분</t>
        </is>
      </c>
      <c r="B3" s="96" t="inlineStr">
        <is>
          <t>업체명</t>
        </is>
      </c>
      <c r="C3" s="96" t="inlineStr">
        <is>
          <t>적요</t>
        </is>
      </c>
      <c r="D3" s="96" t="inlineStr">
        <is>
          <t>통화</t>
        </is>
      </c>
      <c r="E3" s="2237" t="inlineStr">
        <is>
          <t>입금</t>
        </is>
      </c>
      <c r="F3" s="2237" t="inlineStr">
        <is>
          <t>출금</t>
        </is>
      </c>
      <c r="G3" s="78" t="inlineStr">
        <is>
          <t>외화금액</t>
        </is>
      </c>
      <c r="H3" s="95" t="n"/>
    </row>
    <row r="4" hidden="1" ht="16.5" customFormat="1" customHeight="1" s="60">
      <c r="A4" s="363" t="inlineStr">
        <is>
          <t>투자금</t>
        </is>
      </c>
      <c r="B4" s="363" t="n"/>
      <c r="C4" s="364" t="n"/>
      <c r="D4" s="365" t="inlineStr">
        <is>
          <t>KRW</t>
        </is>
      </c>
      <c r="E4" s="2238" t="n"/>
      <c r="F4" s="2238" t="n"/>
      <c r="G4" s="366" t="n"/>
      <c r="K4" s="2201" t="n"/>
      <c r="L4" s="2201" t="n"/>
    </row>
    <row r="5" hidden="1" ht="16.5" customFormat="1" customHeight="1" s="60">
      <c r="A5" s="363" t="inlineStr">
        <is>
          <t>투자금</t>
        </is>
      </c>
      <c r="B5" s="363" t="n"/>
      <c r="C5" s="364" t="n"/>
      <c r="D5" s="365" t="inlineStr">
        <is>
          <t>KRW</t>
        </is>
      </c>
      <c r="E5" s="2238" t="n"/>
      <c r="F5" s="2238" t="n"/>
      <c r="G5" s="366" t="n"/>
      <c r="K5" s="2201" t="n"/>
      <c r="L5" s="2201" t="n"/>
    </row>
    <row r="6" ht="16.5" customFormat="1" customHeight="1" s="60">
      <c r="A6" s="363" t="inlineStr">
        <is>
          <t>금융상품</t>
        </is>
      </c>
      <c r="B6" s="363" t="inlineStr">
        <is>
          <t>하나은행</t>
        </is>
      </c>
      <c r="C6" s="364" t="inlineStr">
        <is>
          <t>정기예금 3억원 만기 해지(6/22)</t>
        </is>
      </c>
      <c r="D6" s="365" t="inlineStr">
        <is>
          <t>KRW</t>
        </is>
      </c>
      <c r="E6" s="2238" t="n"/>
      <c r="F6" s="2238" t="n"/>
      <c r="G6" s="366" t="n"/>
      <c r="K6" s="2201" t="n"/>
      <c r="L6" s="2201" t="n"/>
    </row>
    <row r="7" ht="16.5" customFormat="1" customHeight="1" s="60">
      <c r="A7" s="363" t="inlineStr">
        <is>
          <t>이자수익</t>
        </is>
      </c>
      <c r="B7" s="363" t="inlineStr">
        <is>
          <t>하나은행</t>
        </is>
      </c>
      <c r="C7" s="364" t="inlineStr">
        <is>
          <t>정기예금 3억원 만기 해지 이자 입금(6/22)</t>
        </is>
      </c>
      <c r="D7" s="365" t="inlineStr">
        <is>
          <t>KRW</t>
        </is>
      </c>
      <c r="E7" s="2238" t="n"/>
      <c r="F7" s="2238" t="n"/>
      <c r="G7" s="366" t="n"/>
      <c r="K7" s="2201" t="n"/>
      <c r="L7" s="2201" t="n"/>
    </row>
    <row r="8" ht="16.5" customFormat="1" customHeight="1" s="60">
      <c r="A8" s="363" t="inlineStr">
        <is>
          <t>금융상품</t>
        </is>
      </c>
      <c r="B8" s="363" t="inlineStr">
        <is>
          <t>하나은행</t>
        </is>
      </c>
      <c r="C8" s="364" t="inlineStr">
        <is>
          <t>하나/정기예금/3억/6M</t>
        </is>
      </c>
      <c r="D8" s="365" t="inlineStr">
        <is>
          <t>KRW</t>
        </is>
      </c>
      <c r="E8" s="2238" t="n"/>
      <c r="F8" s="2238" t="n"/>
      <c r="G8" s="366" t="n"/>
      <c r="H8" s="2201" t="n"/>
      <c r="K8" s="2201" t="n"/>
      <c r="L8" s="2201" t="n"/>
    </row>
    <row r="9" ht="16.5" customFormat="1" customHeight="1" s="60">
      <c r="A9" s="363" t="inlineStr">
        <is>
          <t>금융상품</t>
        </is>
      </c>
      <c r="B9" s="363" t="inlineStr">
        <is>
          <t>하나은행</t>
        </is>
      </c>
      <c r="C9" s="364" t="inlineStr">
        <is>
          <t>펀드 일부 해지</t>
        </is>
      </c>
      <c r="D9" s="365" t="inlineStr">
        <is>
          <t>KRW</t>
        </is>
      </c>
      <c r="E9" s="2238" t="n"/>
      <c r="F9" s="2238" t="n"/>
      <c r="G9" s="366" t="n"/>
      <c r="H9" s="2201" t="n"/>
      <c r="K9" s="2201" t="n"/>
      <c r="L9" s="2201" t="n"/>
    </row>
    <row r="10" ht="16.5" customFormat="1" customHeight="1" s="60">
      <c r="A10" s="363" t="inlineStr">
        <is>
          <t>이자수익</t>
        </is>
      </c>
      <c r="B10" s="363" t="inlineStr">
        <is>
          <t>하나은행</t>
        </is>
      </c>
      <c r="C10" s="364" t="inlineStr">
        <is>
          <t>펀드 일부 해지 수익 입금</t>
        </is>
      </c>
      <c r="D10" s="365" t="inlineStr">
        <is>
          <t>KRW</t>
        </is>
      </c>
      <c r="E10" s="2238" t="n"/>
      <c r="F10" s="2238" t="n"/>
      <c r="G10" s="366" t="n"/>
      <c r="H10" s="2201" t="n"/>
      <c r="K10" s="2201" t="n"/>
      <c r="L10" s="2201" t="n"/>
    </row>
    <row r="11" ht="16.5" customFormat="1" customHeight="1" s="60">
      <c r="A11" s="370" t="inlineStr">
        <is>
          <t>세금환급</t>
        </is>
      </c>
      <c r="B11" s="363" t="inlineStr">
        <is>
          <t>금천구</t>
        </is>
      </c>
      <c r="C11" s="364" t="inlineStr">
        <is>
          <t>법인세 환급</t>
        </is>
      </c>
      <c r="D11" s="365" t="inlineStr">
        <is>
          <t>KRW</t>
        </is>
      </c>
      <c r="E11" s="2238" t="n"/>
      <c r="F11" s="2238" t="n"/>
      <c r="G11" s="366" t="n"/>
      <c r="H11" s="2201" t="n"/>
      <c r="K11" s="2201" t="n"/>
      <c r="L11" s="2201" t="n"/>
    </row>
    <row r="12" ht="16.5" customFormat="1" customHeight="1" s="60">
      <c r="A12" s="370" t="inlineStr">
        <is>
          <t>세금환급</t>
        </is>
      </c>
      <c r="B12" s="363" t="inlineStr">
        <is>
          <t>금천구</t>
        </is>
      </c>
      <c r="C12" s="364" t="inlineStr">
        <is>
          <t>법인지방소득세 환급</t>
        </is>
      </c>
      <c r="D12" s="365" t="inlineStr">
        <is>
          <t>KRW</t>
        </is>
      </c>
      <c r="E12" s="2238" t="n"/>
      <c r="F12" s="2238" t="n"/>
      <c r="G12" s="366" t="n"/>
      <c r="K12" s="2201" t="n"/>
      <c r="L12" s="2201" t="n"/>
    </row>
    <row r="13" ht="16.5" customFormat="1" customHeight="1" s="60">
      <c r="A13" s="370" t="inlineStr">
        <is>
          <t>세금환급</t>
        </is>
      </c>
      <c r="B13" s="363" t="inlineStr">
        <is>
          <t>금천세무서</t>
        </is>
      </c>
      <c r="C13" s="364" t="inlineStr">
        <is>
          <t>부가가치세 환급(5월중순)</t>
        </is>
      </c>
      <c r="D13" s="365" t="inlineStr">
        <is>
          <t>KRW</t>
        </is>
      </c>
      <c r="E13" s="2238" t="n"/>
      <c r="F13" s="2238" t="n"/>
      <c r="G13" s="366" t="n"/>
      <c r="K13" s="2201" t="n"/>
      <c r="L13" s="2201" t="n"/>
    </row>
    <row r="14" ht="16.5" customFormat="1" customHeight="1" s="60" thickBot="1">
      <c r="A14" s="361" t="inlineStr">
        <is>
          <t>부가가치세</t>
        </is>
      </c>
      <c r="B14" s="361" t="inlineStr">
        <is>
          <t>금천세무서</t>
        </is>
      </c>
      <c r="C14" s="362" t="inlineStr">
        <is>
          <t>부가가치세 신고 (다음 환급일 : 4월)</t>
        </is>
      </c>
      <c r="D14" s="367" t="inlineStr">
        <is>
          <t>KRW</t>
        </is>
      </c>
      <c r="E14" s="2239" t="n"/>
      <c r="F14" s="2239" t="n"/>
      <c r="G14" s="369" t="n"/>
      <c r="K14" s="2201" t="n"/>
      <c r="L14" s="2201" t="n"/>
    </row>
    <row r="15" ht="16.5" customFormat="1" customHeight="1" s="60" thickBot="1" thickTop="1">
      <c r="A15" s="1503" t="inlineStr">
        <is>
          <t>투자금</t>
        </is>
      </c>
      <c r="B15" s="1503" t="inlineStr">
        <is>
          <t>에이탑유니버스</t>
        </is>
      </c>
      <c r="C15" s="1504" t="inlineStr">
        <is>
          <t>신주인수 투자금 납입</t>
        </is>
      </c>
      <c r="D15" s="1505" t="inlineStr">
        <is>
          <t>KRW</t>
        </is>
      </c>
      <c r="E15" s="2240" t="n"/>
      <c r="F15" s="2240" t="n"/>
      <c r="G15" s="1507" t="n"/>
      <c r="H15" s="2223" t="n"/>
      <c r="K15" s="2201" t="n"/>
      <c r="L15" s="2201" t="n"/>
    </row>
    <row r="16" ht="16.5" customFormat="1" customHeight="1" s="60" thickTop="1">
      <c r="A16" s="62" t="inlineStr">
        <is>
          <t>기타지출</t>
        </is>
      </c>
      <c r="B16" s="618" t="inlineStr">
        <is>
          <t>주식회사 세포아소프트</t>
        </is>
      </c>
      <c r="C16" s="619" t="inlineStr">
        <is>
          <t>법인카드 데이터 연동시스템 사용</t>
        </is>
      </c>
      <c r="D16" s="62" t="inlineStr">
        <is>
          <t>KRW</t>
        </is>
      </c>
      <c r="E16" s="2220" t="n"/>
      <c r="F16" s="2201" t="n">
        <v>110000</v>
      </c>
      <c r="K16" s="2201" t="n"/>
      <c r="L16" s="2201" t="n"/>
    </row>
    <row r="17" ht="16.5" customFormat="1" customHeight="1" s="60">
      <c r="A17" s="62" t="inlineStr">
        <is>
          <t>경영지원용역비</t>
        </is>
      </c>
      <c r="B17" s="618" t="inlineStr">
        <is>
          <t>㈜컴투스</t>
        </is>
      </c>
      <c r="C17" s="620" t="inlineStr">
        <is>
          <t>인사 용역료</t>
        </is>
      </c>
      <c r="D17" s="62" t="inlineStr">
        <is>
          <t>KRW</t>
        </is>
      </c>
      <c r="E17" s="2220" t="n"/>
      <c r="F17" s="2201" t="n">
        <v>60500</v>
      </c>
      <c r="K17" s="2201" t="n"/>
      <c r="L17" s="2201" t="n"/>
    </row>
    <row r="18" ht="16.5" customFormat="1" customHeight="1" s="60">
      <c r="A18" s="62" t="inlineStr">
        <is>
          <t>경영지원용역비</t>
        </is>
      </c>
      <c r="B18" s="62" t="inlineStr">
        <is>
          <t>㈜컴투스홀딩스</t>
        </is>
      </c>
      <c r="C18" s="63" t="inlineStr">
        <is>
          <t>전산자산 운용 용역료</t>
        </is>
      </c>
      <c r="D18" s="62" t="inlineStr">
        <is>
          <t>KRW</t>
        </is>
      </c>
      <c r="E18" s="2220" t="n"/>
      <c r="F18" s="2201" t="n"/>
      <c r="K18" s="2201" t="n"/>
      <c r="L18" s="2201" t="n"/>
    </row>
    <row r="19" ht="16.5" customFormat="1" customHeight="1" s="60">
      <c r="A19" s="62" t="inlineStr">
        <is>
          <t>경영지원용역비</t>
        </is>
      </c>
      <c r="B19" s="62" t="inlineStr">
        <is>
          <t>㈜컴투스</t>
        </is>
      </c>
      <c r="C19" s="63" t="inlineStr">
        <is>
          <t>분기별 경영부문 용역료</t>
        </is>
      </c>
      <c r="D19" s="62" t="inlineStr">
        <is>
          <t>KRW</t>
        </is>
      </c>
      <c r="E19" s="2220" t="n"/>
      <c r="F19" s="2201" t="n">
        <v>2970000</v>
      </c>
      <c r="K19" s="2201" t="n"/>
      <c r="L19" s="2201" t="n"/>
    </row>
    <row r="20" ht="16.5" customFormat="1" customHeight="1" s="60">
      <c r="A20" s="62" t="inlineStr">
        <is>
          <t>경영지원용역비</t>
        </is>
      </c>
      <c r="B20" s="62" t="inlineStr">
        <is>
          <t>㈜컴투스</t>
        </is>
      </c>
      <c r="C20" s="63" t="inlineStr">
        <is>
          <t>분기별 그룹사 공용비용</t>
        </is>
      </c>
      <c r="D20" s="62" t="inlineStr">
        <is>
          <t>KRW</t>
        </is>
      </c>
      <c r="E20" s="2220" t="n"/>
      <c r="F20" s="2201" t="n">
        <v>334696</v>
      </c>
      <c r="K20" s="2201" t="n"/>
      <c r="L20" s="2201" t="n"/>
    </row>
    <row r="21" ht="16.5" customFormat="1" customHeight="1" s="60">
      <c r="A21" s="62" t="inlineStr">
        <is>
          <t>기타지출</t>
        </is>
      </c>
      <c r="B21" s="62" t="inlineStr">
        <is>
          <t>㈜컴투스</t>
        </is>
      </c>
      <c r="C21" s="63" t="inlineStr">
        <is>
          <t>컨벤션 행사 서비스 용역료</t>
        </is>
      </c>
      <c r="D21" s="62" t="inlineStr">
        <is>
          <t>KRW</t>
        </is>
      </c>
      <c r="E21" s="2220" t="n"/>
      <c r="F21" s="2201" t="n"/>
      <c r="K21" s="2201" t="n"/>
      <c r="L21" s="2201" t="n"/>
    </row>
    <row r="22" ht="16.5" customFormat="1" customHeight="1" s="60">
      <c r="A22" s="62" t="inlineStr">
        <is>
          <t>기타지출</t>
        </is>
      </c>
      <c r="B22" s="62" t="inlineStr">
        <is>
          <t>㈜컴투스</t>
        </is>
      </c>
      <c r="C22" s="63" t="inlineStr">
        <is>
          <t>상표권 로열티</t>
        </is>
      </c>
      <c r="D22" s="62" t="inlineStr">
        <is>
          <t>KRW</t>
        </is>
      </c>
      <c r="E22" s="2220" t="n"/>
      <c r="F22" s="2201" t="n"/>
      <c r="K22" s="2201" t="n"/>
      <c r="L22" s="2201" t="n"/>
    </row>
    <row r="23" ht="16.5" customFormat="1" customHeight="1" s="60">
      <c r="A23" s="62" t="inlineStr">
        <is>
          <t>지급임차료</t>
        </is>
      </c>
      <c r="B23" s="62" t="inlineStr">
        <is>
          <t>㈜컴투스</t>
        </is>
      </c>
      <c r="C23" s="63" t="inlineStr">
        <is>
          <t>월정임차료 및 관리비</t>
        </is>
      </c>
      <c r="D23" s="62" t="inlineStr">
        <is>
          <t>KRW</t>
        </is>
      </c>
      <c r="E23" s="2220" t="n"/>
      <c r="F23" s="2201" t="n">
        <v>919248</v>
      </c>
      <c r="K23" s="2201" t="n"/>
      <c r="L23" s="2201" t="n"/>
    </row>
    <row r="24" ht="16.5" customFormat="1" customHeight="1" s="60">
      <c r="A24" s="62" t="inlineStr">
        <is>
          <t>기타지출</t>
        </is>
      </c>
      <c r="B24" s="62" t="inlineStr">
        <is>
          <t>LG유플러스</t>
        </is>
      </c>
      <c r="C24" s="63" t="inlineStr">
        <is>
          <t>대표번호 전화요금</t>
        </is>
      </c>
      <c r="D24" s="62" t="inlineStr">
        <is>
          <t>KRW</t>
        </is>
      </c>
      <c r="E24" s="2220" t="n"/>
      <c r="F24" s="2201" t="n">
        <v>18700</v>
      </c>
      <c r="K24" s="2201" t="n"/>
      <c r="L24" s="2201" t="n"/>
    </row>
    <row r="25" ht="16.5" customFormat="1" customHeight="1" s="60">
      <c r="A25" s="62" t="inlineStr">
        <is>
          <t>세금환급</t>
        </is>
      </c>
      <c r="B25" s="62" t="inlineStr">
        <is>
          <t>금천세무서</t>
        </is>
      </c>
      <c r="C25" s="63" t="inlineStr">
        <is>
          <t>2024년도 법인세 환급</t>
        </is>
      </c>
      <c r="D25" s="62" t="inlineStr">
        <is>
          <t>KRW</t>
        </is>
      </c>
      <c r="E25" s="2220" t="n"/>
      <c r="F25" s="2201" t="n"/>
      <c r="K25" s="2201" t="n"/>
      <c r="L25" s="2201" t="n"/>
    </row>
    <row r="26" ht="16.5" customFormat="1" customHeight="1" s="60">
      <c r="A26" s="62" t="inlineStr">
        <is>
          <t>세금환급</t>
        </is>
      </c>
      <c r="B26" s="62" t="inlineStr">
        <is>
          <t>금천구청</t>
        </is>
      </c>
      <c r="C26" s="63" t="inlineStr">
        <is>
          <t>2024년도 법인지방소득세 환급</t>
        </is>
      </c>
      <c r="D26" s="62" t="inlineStr">
        <is>
          <t>KRW</t>
        </is>
      </c>
      <c r="E26" s="2220" t="n"/>
      <c r="F26" s="2201" t="n"/>
      <c r="K26" s="2201" t="n"/>
      <c r="L26" s="2201" t="n"/>
    </row>
    <row r="27" ht="16.5" customFormat="1" customHeight="1" s="60">
      <c r="A27" s="62" t="inlineStr">
        <is>
          <t>부가가치세</t>
        </is>
      </c>
      <c r="B27" s="62" t="inlineStr">
        <is>
          <t>금천세무서</t>
        </is>
      </c>
      <c r="C27" s="63" t="inlineStr">
        <is>
          <t>1기 확정 부가가치세 납부</t>
        </is>
      </c>
      <c r="D27" s="62" t="inlineStr">
        <is>
          <t>KRW</t>
        </is>
      </c>
      <c r="E27" s="2220" t="n"/>
      <c r="F27" s="2201" t="n">
        <v>5274219</v>
      </c>
      <c r="K27" s="2201" t="n"/>
      <c r="L27" s="2201" t="n"/>
    </row>
    <row r="28" ht="16.5" customFormat="1" customHeight="1" s="60">
      <c r="A28" s="62" t="inlineStr">
        <is>
          <t>기타입금</t>
        </is>
      </c>
      <c r="B28" s="62" t="inlineStr">
        <is>
          <t>㈜컴투스플랫폼</t>
        </is>
      </c>
      <c r="C28" s="63" t="inlineStr">
        <is>
          <t>컨벤션 공동운영 수익 배분</t>
        </is>
      </c>
      <c r="D28" s="62" t="inlineStr">
        <is>
          <t>KRW</t>
        </is>
      </c>
      <c r="E28" s="2220" t="n"/>
      <c r="F28" s="2201" t="n"/>
      <c r="K28" s="2201" t="n"/>
      <c r="L28" s="2201" t="n"/>
    </row>
    <row r="29" ht="16.5" customFormat="1" customHeight="1" s="60">
      <c r="A29" s="62" t="inlineStr">
        <is>
          <t>기타입금</t>
        </is>
      </c>
      <c r="B29" s="62" t="inlineStr">
        <is>
          <t>㈜컴투스플랫폼</t>
        </is>
      </c>
      <c r="C29" s="63" t="inlineStr">
        <is>
          <t>컨벤션 행사 서버비 분담금</t>
        </is>
      </c>
      <c r="D29" s="62" t="inlineStr">
        <is>
          <t>KRW</t>
        </is>
      </c>
      <c r="E29" s="2220" t="n"/>
      <c r="F29" s="2201" t="n"/>
      <c r="K29" s="2201" t="n"/>
      <c r="L29" s="2201" t="n"/>
    </row>
    <row r="30" ht="16.5" customFormat="1" customHeight="1" s="60">
      <c r="A30" s="62" t="inlineStr">
        <is>
          <t>기타제세공과금</t>
        </is>
      </c>
      <c r="B30" s="62" t="inlineStr">
        <is>
          <t>금천구청</t>
        </is>
      </c>
      <c r="C30" s="63" t="inlineStr">
        <is>
          <t>2024년 사업소분 주민세 납부</t>
        </is>
      </c>
      <c r="D30" s="62" t="inlineStr">
        <is>
          <t>KRW</t>
        </is>
      </c>
      <c r="E30" s="2220" t="n"/>
      <c r="F30" s="2201" t="n"/>
      <c r="K30" s="2201" t="n"/>
      <c r="L30" s="2201" t="n"/>
    </row>
    <row r="31" ht="16.5" customFormat="1" customHeight="1" s="60">
      <c r="A31" s="62" t="inlineStr">
        <is>
          <t>복리후생비</t>
        </is>
      </c>
      <c r="B31" s="62" t="inlineStr">
        <is>
          <t>임직원</t>
        </is>
      </c>
      <c r="C31" s="63" t="inlineStr">
        <is>
          <t>주택자금대출 이자지원</t>
        </is>
      </c>
      <c r="D31" s="62" t="inlineStr">
        <is>
          <t>KRW</t>
        </is>
      </c>
      <c r="E31" s="2220" t="n"/>
      <c r="F31" s="2220" t="n">
        <v>59247</v>
      </c>
      <c r="K31" s="2201" t="n"/>
      <c r="L31" s="2201" t="n"/>
    </row>
    <row r="32" ht="15.6" customFormat="1" customHeight="1" s="60">
      <c r="A32" s="62" t="inlineStr">
        <is>
          <t>식당운영비</t>
        </is>
      </c>
      <c r="B32" s="62" t="inlineStr">
        <is>
          <t>삼성웰스토리</t>
        </is>
      </c>
      <c r="C32" s="607" t="inlineStr">
        <is>
          <t>사내식당 이용 금액</t>
        </is>
      </c>
      <c r="D32" s="62" t="inlineStr">
        <is>
          <t>KRW</t>
        </is>
      </c>
      <c r="E32" s="2241" t="n"/>
      <c r="F32" s="2201">
        <f>87273*1.1</f>
        <v/>
      </c>
      <c r="K32" s="2201" t="n"/>
      <c r="L32" s="2201" t="n"/>
    </row>
    <row r="33" ht="15.6" customFormat="1" customHeight="1" s="60">
      <c r="A33" s="62" t="inlineStr">
        <is>
          <t>식당운영비</t>
        </is>
      </c>
      <c r="B33" s="62" t="inlineStr">
        <is>
          <t>카페어썸</t>
        </is>
      </c>
      <c r="C33" s="607" t="inlineStr">
        <is>
          <t>사내카페 이용 금액</t>
        </is>
      </c>
      <c r="D33" s="62" t="inlineStr">
        <is>
          <t>KRW</t>
        </is>
      </c>
      <c r="E33" s="2241" t="n"/>
      <c r="F33" s="2201">
        <f>909*1.1</f>
        <v/>
      </c>
      <c r="K33" s="2201" t="n"/>
      <c r="L33" s="2201" t="n"/>
    </row>
    <row r="34" ht="15.6" customFormat="1" customHeight="1" s="60">
      <c r="A34" s="62" t="inlineStr">
        <is>
          <t>식당운영비</t>
        </is>
      </c>
      <c r="B34" s="62" t="inlineStr">
        <is>
          <t>카페테리아 어썸</t>
        </is>
      </c>
      <c r="C34" s="607" t="inlineStr">
        <is>
          <t>야간매점 이용 금액</t>
        </is>
      </c>
      <c r="D34" s="62" t="inlineStr">
        <is>
          <t>KRW</t>
        </is>
      </c>
      <c r="E34" s="2241" t="n"/>
      <c r="F34" s="2201" t="n"/>
      <c r="K34" s="2201" t="n"/>
      <c r="L34" s="2201" t="n"/>
    </row>
    <row r="35" ht="15.6" customFormat="1" customHeight="1" s="60">
      <c r="A35" s="62" t="inlineStr">
        <is>
          <t>기타지출</t>
        </is>
      </c>
      <c r="B35" s="62" t="inlineStr">
        <is>
          <t>에스케이쉴더스</t>
        </is>
      </c>
      <c r="C35" s="607" t="inlineStr">
        <is>
          <t>사내보안 월정료</t>
        </is>
      </c>
      <c r="D35" s="62" t="inlineStr">
        <is>
          <t>KRW</t>
        </is>
      </c>
      <c r="E35" s="2241" t="n"/>
      <c r="F35" s="2201" t="n"/>
      <c r="K35" s="2201" t="n"/>
      <c r="L35" s="2201" t="n"/>
    </row>
    <row r="36" ht="15.6" customFormat="1" customHeight="1" s="60">
      <c r="A36" s="62" t="inlineStr">
        <is>
          <t>기타지출</t>
        </is>
      </c>
      <c r="B36" s="62" t="inlineStr">
        <is>
          <t>신도네트웍스</t>
        </is>
      </c>
      <c r="C36" s="607" t="inlineStr">
        <is>
          <t>복합기 임차료</t>
        </is>
      </c>
      <c r="D36" s="62" t="inlineStr">
        <is>
          <t>KRW</t>
        </is>
      </c>
      <c r="E36" s="2241" t="n"/>
      <c r="F36" s="2201" t="n"/>
      <c r="K36" s="2201" t="n"/>
      <c r="L36" s="2201" t="n"/>
    </row>
    <row r="37" ht="15.6" customFormat="1" customHeight="1" s="60">
      <c r="A37" s="62" t="inlineStr">
        <is>
          <t>기타지출</t>
        </is>
      </c>
      <c r="B37" s="62" t="inlineStr">
        <is>
          <t>LG U+</t>
        </is>
      </c>
      <c r="C37" s="607" t="inlineStr">
        <is>
          <t>사내 인터넷전화 이용 금액</t>
        </is>
      </c>
      <c r="D37" s="62" t="inlineStr">
        <is>
          <t>KRW</t>
        </is>
      </c>
      <c r="E37" s="2241" t="n"/>
      <c r="F37" s="2201" t="n">
        <v>3264</v>
      </c>
      <c r="K37" s="2201" t="n"/>
      <c r="L37" s="2201" t="n"/>
    </row>
    <row r="38" ht="15.6" customFormat="1" customHeight="1" s="60">
      <c r="A38" s="62" t="inlineStr">
        <is>
          <t>기타지출</t>
        </is>
      </c>
      <c r="B38" s="62" t="inlineStr">
        <is>
          <t>비전가</t>
        </is>
      </c>
      <c r="C38" s="607" t="inlineStr">
        <is>
          <t>사내 비데 유지보수</t>
        </is>
      </c>
      <c r="D38" s="62" t="inlineStr">
        <is>
          <t>KRW</t>
        </is>
      </c>
      <c r="E38" s="2241" t="n"/>
      <c r="F38" s="2201" t="n"/>
      <c r="K38" s="2201" t="n"/>
      <c r="L38" s="2201" t="n"/>
    </row>
    <row r="39" ht="15.6" customFormat="1" customHeight="1" s="60">
      <c r="A39" s="62" t="inlineStr">
        <is>
          <t>기타지출</t>
        </is>
      </c>
      <c r="B39" s="62" t="inlineStr">
        <is>
          <t>느루정(주식회사 영석)</t>
        </is>
      </c>
      <c r="C39" s="1508" t="inlineStr">
        <is>
          <t>26년 외부 거래처 설날 선물 지급의 건</t>
        </is>
      </c>
      <c r="D39" s="62" t="inlineStr">
        <is>
          <t>KRW</t>
        </is>
      </c>
      <c r="E39" s="2241" t="n"/>
      <c r="F39" s="2201" t="n"/>
      <c r="K39" s="2201" t="n"/>
      <c r="L39" s="2201" t="n"/>
    </row>
    <row r="40" ht="15.6" customFormat="1" customHeight="1" s="60">
      <c r="A40" s="62" t="inlineStr">
        <is>
          <t>기타지출</t>
        </is>
      </c>
      <c r="B40" s="62" t="inlineStr">
        <is>
          <t>알고랩</t>
        </is>
      </c>
      <c r="C40" s="607" t="inlineStr">
        <is>
          <t>퀵 운반비 이용 금액</t>
        </is>
      </c>
      <c r="D40" s="62" t="inlineStr">
        <is>
          <t>KRW</t>
        </is>
      </c>
      <c r="E40" s="2241" t="n"/>
      <c r="F40" s="2201" t="n">
        <v>20350</v>
      </c>
      <c r="K40" s="2201" t="n"/>
      <c r="L40" s="2201" t="n"/>
    </row>
    <row r="41" ht="15.6" customFormat="1" customHeight="1" s="60">
      <c r="A41" s="62" t="inlineStr">
        <is>
          <t>복리후생비</t>
        </is>
      </c>
      <c r="B41" s="62" t="inlineStr">
        <is>
          <t>브이아이피버스</t>
        </is>
      </c>
      <c r="C41" s="607" t="inlineStr">
        <is>
          <t>통근버스 이용 금액</t>
        </is>
      </c>
      <c r="D41" s="62" t="inlineStr">
        <is>
          <t>KRW</t>
        </is>
      </c>
      <c r="E41" s="2241" t="n"/>
      <c r="F41" s="2201" t="n"/>
      <c r="K41" s="2201" t="n"/>
      <c r="L41" s="2201" t="n"/>
    </row>
    <row r="42" ht="15.6" customFormat="1" customHeight="1" s="60">
      <c r="A42" s="62" t="inlineStr">
        <is>
          <t>기타지출</t>
        </is>
      </c>
      <c r="B42" s="62" t="inlineStr">
        <is>
          <t>청호나이스</t>
        </is>
      </c>
      <c r="C42" s="607" t="inlineStr">
        <is>
          <t>사내 얼음정수기 이용 금액</t>
        </is>
      </c>
      <c r="D42" s="62" t="inlineStr">
        <is>
          <t>KRW</t>
        </is>
      </c>
      <c r="E42" s="2241" t="n"/>
      <c r="F42" s="2201" t="n"/>
      <c r="K42" s="2201" t="n"/>
      <c r="L42" s="2201" t="n"/>
    </row>
    <row r="43" hidden="1" ht="16.5" customFormat="1" customHeight="1" s="60">
      <c r="A43" s="62" t="inlineStr">
        <is>
          <t>기타지출</t>
        </is>
      </c>
      <c r="B43" s="608" t="inlineStr">
        <is>
          <t>포브리지</t>
        </is>
      </c>
      <c r="C43" s="609" t="inlineStr">
        <is>
          <t>명함 제작</t>
        </is>
      </c>
      <c r="D43" s="62" t="inlineStr">
        <is>
          <t>KRW</t>
        </is>
      </c>
      <c r="E43" s="2216" t="n"/>
      <c r="F43" s="2216" t="n"/>
      <c r="K43" s="2201" t="n"/>
      <c r="L43" s="2201" t="n"/>
    </row>
    <row r="44" ht="16.5" customFormat="1" customHeight="1" s="60">
      <c r="A44" s="62" t="inlineStr">
        <is>
          <t>기타지출</t>
        </is>
      </c>
      <c r="B44" s="608" t="inlineStr">
        <is>
          <t>다큐페이스</t>
        </is>
      </c>
      <c r="C44" s="609" t="inlineStr">
        <is>
          <t>명함 제작</t>
        </is>
      </c>
      <c r="D44" s="62" t="inlineStr">
        <is>
          <t>KRW</t>
        </is>
      </c>
      <c r="E44" s="2216" t="n"/>
      <c r="F44" s="2216" t="n">
        <v>19800</v>
      </c>
      <c r="K44" s="2201" t="n"/>
      <c r="L44" s="2201" t="n"/>
    </row>
    <row r="45" ht="16.5" customFormat="1" customHeight="1" s="60">
      <c r="A45" s="62" t="inlineStr">
        <is>
          <t>직원비용</t>
        </is>
      </c>
      <c r="B45" s="62" t="inlineStr">
        <is>
          <t>㈜비즈마켓</t>
        </is>
      </c>
      <c r="C45" s="63" t="inlineStr">
        <is>
          <t>복지포인트 온라인 결제금액</t>
        </is>
      </c>
      <c r="D45" s="62" t="inlineStr">
        <is>
          <t>KRW</t>
        </is>
      </c>
      <c r="E45" s="2216" t="n"/>
      <c r="F45" s="2216" t="n"/>
      <c r="K45" s="2201" t="n"/>
      <c r="L45" s="2201" t="n"/>
    </row>
    <row r="46" ht="16.5" customFormat="1" customHeight="1" s="60">
      <c r="A46" s="62" t="inlineStr">
        <is>
          <t>직원비용</t>
        </is>
      </c>
      <c r="B46" s="62" t="inlineStr">
        <is>
          <t>하나카드</t>
        </is>
      </c>
      <c r="C46" s="63" t="inlineStr">
        <is>
          <t>복지포인트 오프라인 결제금액</t>
        </is>
      </c>
      <c r="D46" s="62" t="inlineStr">
        <is>
          <t>KRW</t>
        </is>
      </c>
      <c r="F46" s="2216" t="n"/>
      <c r="K46" s="2201" t="n"/>
      <c r="L46" s="2201" t="n"/>
    </row>
    <row r="47" ht="16.5" customFormat="1" customHeight="1" s="60">
      <c r="A47" s="62" t="inlineStr">
        <is>
          <t>기타입금</t>
        </is>
      </c>
      <c r="B47" s="62" t="inlineStr">
        <is>
          <t>인터파크</t>
        </is>
      </c>
      <c r="C47" s="63" t="inlineStr">
        <is>
          <t>복지포인트 환급</t>
        </is>
      </c>
      <c r="D47" s="62" t="inlineStr">
        <is>
          <t>KRW</t>
        </is>
      </c>
      <c r="E47" s="2201" t="n">
        <v>78020</v>
      </c>
      <c r="F47" s="2216" t="n"/>
      <c r="K47" s="2201" t="n"/>
      <c r="L47" s="2201" t="n"/>
    </row>
    <row r="48" ht="16.5" customFormat="1" customHeight="1" s="60">
      <c r="A48" s="62" t="inlineStr">
        <is>
          <t>직원비용</t>
        </is>
      </c>
      <c r="B48" s="62" t="inlineStr">
        <is>
          <t>삼성카드/임직원</t>
        </is>
      </c>
      <c r="C48" s="63" t="inlineStr">
        <is>
          <t>직원경비 및 삼성카드 대금</t>
        </is>
      </c>
      <c r="D48" s="62" t="inlineStr">
        <is>
          <t>KRW</t>
        </is>
      </c>
      <c r="E48" s="2216" t="n"/>
      <c r="F48" s="2201" t="n">
        <v>8786530</v>
      </c>
      <c r="K48" s="2201" t="n"/>
      <c r="L48" s="2201" t="n"/>
    </row>
    <row r="49" ht="16.5" customFormat="1" customHeight="1" s="60">
      <c r="A49" s="62" t="inlineStr">
        <is>
          <t>복리후생비</t>
        </is>
      </c>
      <c r="B49" s="62" t="inlineStr">
        <is>
          <t>어린이집</t>
        </is>
      </c>
      <c r="C49" s="63" t="inlineStr">
        <is>
          <t>위탁보육료</t>
        </is>
      </c>
      <c r="D49" s="62" t="inlineStr">
        <is>
          <t>KRW</t>
        </is>
      </c>
      <c r="E49" s="2216" t="n"/>
      <c r="F49" s="2216" t="n"/>
      <c r="K49" s="2201" t="n"/>
      <c r="L49" s="2201" t="n"/>
    </row>
    <row r="50" ht="16.5" customFormat="1" customHeight="1" s="60">
      <c r="A50" s="62" t="inlineStr">
        <is>
          <t>기타지출</t>
        </is>
      </c>
      <c r="B50" s="62" t="inlineStr">
        <is>
          <t>삼신상사</t>
        </is>
      </c>
      <c r="C50" s="63" t="inlineStr">
        <is>
          <t>경조업체</t>
        </is>
      </c>
      <c r="D50" s="62" t="inlineStr">
        <is>
          <t>KRW</t>
        </is>
      </c>
      <c r="E50" s="2216" t="n"/>
      <c r="F50" s="2216" t="n">
        <v>300000</v>
      </c>
      <c r="K50" s="2201" t="n"/>
      <c r="L50" s="2201" t="n"/>
    </row>
    <row r="51" ht="16.5" customFormat="1" customHeight="1" s="60">
      <c r="A51" s="62" t="inlineStr">
        <is>
          <t>복리후생비</t>
        </is>
      </c>
      <c r="B51" s="62" t="inlineStr">
        <is>
          <t>아름다운세차</t>
        </is>
      </c>
      <c r="C51" s="63" t="inlineStr">
        <is>
          <t>임원 세차</t>
        </is>
      </c>
      <c r="D51" s="62" t="inlineStr">
        <is>
          <t>KRW</t>
        </is>
      </c>
      <c r="E51" s="2216" t="n"/>
      <c r="F51" s="2216" t="n">
        <v>110000</v>
      </c>
      <c r="K51" s="2201" t="n"/>
      <c r="L51" s="2201" t="n"/>
    </row>
    <row r="52" ht="16.5" customFormat="1" customHeight="1" s="60">
      <c r="A52" s="62" t="inlineStr">
        <is>
          <t>복리후생비</t>
        </is>
      </c>
      <c r="B52" s="62" t="inlineStr">
        <is>
          <t>슈퍼콘</t>
        </is>
      </c>
      <c r="C52" s="63" t="inlineStr">
        <is>
          <t>임직원 명절(설/추석)선물</t>
        </is>
      </c>
      <c r="D52" s="62" t="inlineStr">
        <is>
          <t>KRW</t>
        </is>
      </c>
      <c r="E52" s="2216" t="n"/>
      <c r="F52" s="2216" t="n"/>
      <c r="K52" s="2201" t="n"/>
      <c r="L52" s="2201" t="n"/>
    </row>
    <row r="53" ht="16.5" customFormat="1" customHeight="1" s="60">
      <c r="A53" s="62" t="inlineStr">
        <is>
          <t>복리후생비</t>
        </is>
      </c>
      <c r="B53" s="62" t="inlineStr">
        <is>
          <t>핸들포유</t>
        </is>
      </c>
      <c r="C53" s="63" t="inlineStr">
        <is>
          <t>임원 운전대행비</t>
        </is>
      </c>
      <c r="D53" s="62" t="inlineStr">
        <is>
          <t>KRW</t>
        </is>
      </c>
      <c r="E53" s="2216" t="n"/>
      <c r="F53" s="2216" t="n"/>
      <c r="K53" s="2201" t="n"/>
      <c r="L53" s="2201" t="n"/>
    </row>
    <row r="54" ht="16.5" customFormat="1" customHeight="1" s="60">
      <c r="A54" s="62" t="inlineStr">
        <is>
          <t>4대보험</t>
        </is>
      </c>
      <c r="B54" s="62" t="inlineStr">
        <is>
          <t>국민연금보험공단</t>
        </is>
      </c>
      <c r="C54" s="63" t="inlineStr">
        <is>
          <t>연금보험료</t>
        </is>
      </c>
      <c r="D54" s="62" t="inlineStr">
        <is>
          <t>KRW</t>
        </is>
      </c>
      <c r="E54" s="2216" t="n"/>
      <c r="F54" s="2216" t="n">
        <v>1085920</v>
      </c>
      <c r="K54" s="2201" t="n"/>
      <c r="L54" s="2201" t="n"/>
    </row>
    <row r="55" ht="16.5" customFormat="1" customHeight="1" s="60">
      <c r="A55" s="62" t="inlineStr">
        <is>
          <t>4대보험</t>
        </is>
      </c>
      <c r="B55" s="62" t="inlineStr">
        <is>
          <t>국민건강보험공단</t>
        </is>
      </c>
      <c r="C55" s="63" t="inlineStr">
        <is>
          <t>건강보험료</t>
        </is>
      </c>
      <c r="D55" s="62" t="inlineStr">
        <is>
          <t>KRW</t>
        </is>
      </c>
      <c r="E55" s="2220" t="n"/>
      <c r="F55" s="2242" t="n">
        <v>1678060</v>
      </c>
      <c r="G55" s="2220" t="n"/>
      <c r="K55" s="2201" t="n"/>
      <c r="L55" s="2201" t="n"/>
    </row>
    <row r="56" ht="16.5" customFormat="1" customHeight="1" s="60">
      <c r="A56" s="62" t="inlineStr">
        <is>
          <t>4대보험</t>
        </is>
      </c>
      <c r="B56" s="62" t="inlineStr">
        <is>
          <t>고용보험공단</t>
        </is>
      </c>
      <c r="C56" s="63" t="inlineStr">
        <is>
          <t>고용산재보험료</t>
        </is>
      </c>
      <c r="D56" s="62" t="inlineStr">
        <is>
          <t>KRW</t>
        </is>
      </c>
      <c r="E56" s="2220" t="n"/>
      <c r="F56" s="2242" t="n">
        <v>161190</v>
      </c>
      <c r="G56" s="2220" t="n"/>
      <c r="K56" s="2201" t="n"/>
      <c r="L56" s="2201" t="n"/>
    </row>
    <row r="57" ht="16.5" customFormat="1" customHeight="1" s="60">
      <c r="A57" s="62" t="inlineStr">
        <is>
          <t>복리후생비</t>
        </is>
      </c>
      <c r="B57" s="62" t="inlineStr">
        <is>
          <t>임직원</t>
        </is>
      </c>
      <c r="C57" s="63" t="inlineStr">
        <is>
          <t>동호회비</t>
        </is>
      </c>
      <c r="D57" s="62" t="inlineStr">
        <is>
          <t>KRW</t>
        </is>
      </c>
      <c r="E57" s="2220" t="n"/>
      <c r="F57" s="2242" t="n"/>
      <c r="G57" s="2220" t="n"/>
      <c r="K57" s="2201" t="n"/>
      <c r="L57" s="2201" t="n"/>
    </row>
    <row r="58" ht="16.5" customFormat="1" customHeight="1" s="60">
      <c r="A58" s="62" t="inlineStr">
        <is>
          <t>복리후생비</t>
        </is>
      </c>
      <c r="B58" s="62" t="inlineStr">
        <is>
          <t>임직원</t>
        </is>
      </c>
      <c r="C58" s="63" t="inlineStr">
        <is>
          <t>경조사비</t>
        </is>
      </c>
      <c r="D58" s="62" t="inlineStr">
        <is>
          <t>KRW</t>
        </is>
      </c>
      <c r="E58" s="2220" t="n"/>
      <c r="F58" s="2242" t="n"/>
      <c r="G58" s="2220" t="n"/>
      <c r="K58" s="2201" t="n"/>
      <c r="L58" s="2201" t="n"/>
    </row>
    <row r="59" ht="16.5" customFormat="1" customHeight="1" s="60">
      <c r="A59" s="62" t="inlineStr">
        <is>
          <t>기타지출</t>
        </is>
      </c>
      <c r="B59" s="62" t="inlineStr">
        <is>
          <t>이지앤웰니스 주식회사</t>
        </is>
      </c>
      <c r="C59" s="63" t="inlineStr">
        <is>
          <t>EAP서비스 이용 대금</t>
        </is>
      </c>
      <c r="D59" s="62" t="inlineStr">
        <is>
          <t>KRW</t>
        </is>
      </c>
      <c r="E59" s="2220" t="n"/>
      <c r="F59" s="2242" t="n"/>
      <c r="G59" s="2220" t="n"/>
      <c r="K59" s="2201" t="n"/>
      <c r="L59" s="2201" t="n"/>
    </row>
    <row r="60" ht="16.5" customFormat="1" customHeight="1" s="60">
      <c r="A60" s="62" t="inlineStr">
        <is>
          <t>복리후생비</t>
        </is>
      </c>
      <c r="B60" s="62" t="inlineStr">
        <is>
          <t>주식회사 인프랩</t>
        </is>
      </c>
      <c r="C60" s="63" t="inlineStr">
        <is>
          <t>학습플랫폼(인프런) 교육비 지급</t>
        </is>
      </c>
      <c r="D60" s="62" t="inlineStr">
        <is>
          <t>KRW</t>
        </is>
      </c>
      <c r="E60" s="2220" t="n"/>
      <c r="F60" s="2242" t="n"/>
      <c r="G60" s="2220" t="n"/>
      <c r="K60" s="2201" t="n"/>
      <c r="L60" s="2201" t="n"/>
    </row>
    <row r="61" ht="16.5" customFormat="1" customHeight="1" s="60">
      <c r="A61" s="62" t="inlineStr">
        <is>
          <t>기타지출</t>
        </is>
      </c>
      <c r="B61" s="62" t="inlineStr">
        <is>
          <t>주식회사 모두의교육그룹</t>
        </is>
      </c>
      <c r="C61" s="63" t="inlineStr">
        <is>
          <t>25년 법정의무교육 비용 지급</t>
        </is>
      </c>
      <c r="D61" s="62" t="inlineStr">
        <is>
          <t>KRW</t>
        </is>
      </c>
      <c r="E61" s="2220" t="n"/>
      <c r="F61" s="2242" t="n"/>
      <c r="G61" s="2220" t="n"/>
      <c r="K61" s="2201" t="n"/>
      <c r="L61" s="2201" t="n"/>
    </row>
    <row r="62" ht="16.5" customHeight="1">
      <c r="A62" s="62" t="inlineStr">
        <is>
          <t>급여</t>
        </is>
      </c>
      <c r="B62" s="62" t="inlineStr">
        <is>
          <t>임직원</t>
        </is>
      </c>
      <c r="C62" s="63" t="inlineStr">
        <is>
          <t>급여/2025년 잔여연차수당/연말정산세액/퇴직위로금</t>
        </is>
      </c>
      <c r="D62" s="62" t="inlineStr">
        <is>
          <t>KRW</t>
        </is>
      </c>
      <c r="E62" s="2220" t="n"/>
      <c r="F62" s="2242" t="n">
        <v>15000000</v>
      </c>
      <c r="G62" s="60" t="n"/>
    </row>
    <row r="63" ht="16.5" customHeight="1">
      <c r="A63" s="62" t="inlineStr">
        <is>
          <t>원천세</t>
        </is>
      </c>
      <c r="B63" s="62" t="inlineStr">
        <is>
          <t>금천세무서, 금천구청</t>
        </is>
      </c>
      <c r="C63" s="63" t="inlineStr">
        <is>
          <t>근로소득세/지방소득세/종업원할사업소세</t>
        </is>
      </c>
      <c r="D63" s="62" t="inlineStr">
        <is>
          <t>KRW</t>
        </is>
      </c>
      <c r="E63" s="2220" t="n"/>
      <c r="F63" s="2201" t="n">
        <v>4000000</v>
      </c>
      <c r="G63" s="60" t="n"/>
    </row>
    <row r="64" ht="16.5" customHeight="1">
      <c r="A64" s="62" t="inlineStr">
        <is>
          <t>지급수수료</t>
        </is>
      </c>
      <c r="B64" s="62" t="inlineStr">
        <is>
          <t>기업은행</t>
        </is>
      </c>
      <c r="C64" s="63" t="inlineStr">
        <is>
          <t>2024년 퇴직연금 관리 수수료 납입의 건(기업은행)</t>
        </is>
      </c>
      <c r="D64" s="62" t="inlineStr">
        <is>
          <t>KRW</t>
        </is>
      </c>
      <c r="E64" s="2220" t="n"/>
      <c r="G64" s="60" t="n"/>
      <c r="K64" s="2232" t="n"/>
      <c r="L64" s="2232" t="n"/>
    </row>
    <row r="65" ht="16.5" customHeight="1">
      <c r="A65" s="62" t="inlineStr">
        <is>
          <t>퇴직연금</t>
        </is>
      </c>
      <c r="B65" s="62" t="inlineStr">
        <is>
          <t>한국투자증권,미래에셋증권, 기업은행</t>
        </is>
      </c>
      <c r="C65" s="617" t="inlineStr">
        <is>
          <t>퇴직연금</t>
        </is>
      </c>
      <c r="D65" s="62" t="inlineStr">
        <is>
          <t>KRW</t>
        </is>
      </c>
      <c r="E65" s="2220" t="n"/>
      <c r="F65" s="2201" t="n">
        <v>1928480</v>
      </c>
      <c r="G65" s="60" t="n"/>
    </row>
    <row r="66" ht="16.5" customHeight="1">
      <c r="A66" s="62" t="inlineStr">
        <is>
          <t>복리후생비</t>
        </is>
      </c>
      <c r="B66" s="62" t="inlineStr">
        <is>
          <t>하나로,KMI,녹십자,소중한메디케어</t>
        </is>
      </c>
      <c r="C66" s="617" t="inlineStr">
        <is>
          <t>건강검진비용</t>
        </is>
      </c>
      <c r="D66" s="62" t="inlineStr">
        <is>
          <t>KRW</t>
        </is>
      </c>
      <c r="E66" s="2220" t="n"/>
      <c r="F66" s="2201" t="n"/>
      <c r="G66" s="60" t="n"/>
    </row>
    <row r="67" ht="16.5" customHeight="1">
      <c r="A67" s="62" t="inlineStr">
        <is>
          <t>복리후생비</t>
        </is>
      </c>
      <c r="B67" s="62" t="inlineStr">
        <is>
          <t>엘케이보험중개</t>
        </is>
      </c>
      <c r="C67" s="617" t="inlineStr">
        <is>
          <t>26년 단체상해보험계약</t>
        </is>
      </c>
      <c r="D67" s="62" t="inlineStr">
        <is>
          <t>KRW</t>
        </is>
      </c>
      <c r="E67" s="2220" t="n"/>
      <c r="F67" s="2201" t="n"/>
      <c r="G67" s="60" t="n"/>
    </row>
    <row r="68" ht="16.5" customHeight="1">
      <c r="A68" s="62" t="inlineStr">
        <is>
          <t>전산관련지출</t>
        </is>
      </c>
      <c r="B68" s="62" t="inlineStr">
        <is>
          <t>(주)닥터소프트</t>
        </is>
      </c>
      <c r="C68" s="63" t="inlineStr">
        <is>
          <t>S/W 자산솔루션(Netrix) 유지보수</t>
        </is>
      </c>
      <c r="D68" s="62" t="inlineStr">
        <is>
          <t>KRW</t>
        </is>
      </c>
      <c r="E68" s="2220" t="n"/>
      <c r="F68" s="2201" t="n">
        <v>825</v>
      </c>
      <c r="G68" s="60" t="n"/>
    </row>
    <row r="69" ht="16.5" customHeight="1">
      <c r="A69" s="62" t="inlineStr">
        <is>
          <t>전산관련지출</t>
        </is>
      </c>
      <c r="B69" s="62" t="inlineStr">
        <is>
          <t>아이티스톤</t>
        </is>
      </c>
      <c r="C69" s="63" t="inlineStr">
        <is>
          <t>전산소모품 구매</t>
        </is>
      </c>
      <c r="D69" s="62" t="inlineStr">
        <is>
          <t>KRW</t>
        </is>
      </c>
      <c r="E69" s="2220" t="n"/>
      <c r="F69" s="2201" t="n"/>
      <c r="G69" s="60" t="n"/>
    </row>
    <row r="70" ht="16.5" customHeight="1">
      <c r="A70" s="62" t="inlineStr">
        <is>
          <t>전산관련지출</t>
        </is>
      </c>
      <c r="B70" s="62" t="inlineStr">
        <is>
          <t>(주)소프트플러스</t>
        </is>
      </c>
      <c r="C70" s="63" t="inlineStr">
        <is>
          <t>25년 Adobe 라이선스 연간 단가 갱신 계약의 건 (컴투버스)</t>
        </is>
      </c>
      <c r="D70" s="62" t="inlineStr">
        <is>
          <t>KRW</t>
        </is>
      </c>
      <c r="E70" s="2220" t="n"/>
      <c r="F70" s="2201" t="n"/>
      <c r="G70" s="60" t="n"/>
    </row>
    <row r="71" ht="16.5" customHeight="1">
      <c r="A71" s="62" t="inlineStr">
        <is>
          <t>전산관련지출</t>
        </is>
      </c>
      <c r="B71" s="62" t="inlineStr">
        <is>
          <t>베스핀글로벌(주)</t>
        </is>
      </c>
      <c r="C71" s="60" t="inlineStr">
        <is>
          <t>구글 클라우드 플랫폼 EDP 계약</t>
        </is>
      </c>
      <c r="D71" s="62" t="inlineStr">
        <is>
          <t>KRW</t>
        </is>
      </c>
      <c r="E71" s="2220" t="n"/>
      <c r="F71" s="2201" t="n">
        <v>713900</v>
      </c>
      <c r="G71" s="60" t="n"/>
    </row>
    <row r="72" ht="16.5" customHeight="1">
      <c r="A72" s="62" t="inlineStr">
        <is>
          <t>전산관련지출</t>
        </is>
      </c>
      <c r="B72" s="62" t="inlineStr">
        <is>
          <t>텐센트코리아 유한회사</t>
        </is>
      </c>
      <c r="C72" s="60" t="inlineStr">
        <is>
          <t>Tencent Cloud 서비스 이용료(상용/개발)</t>
        </is>
      </c>
      <c r="D72" s="62" t="inlineStr">
        <is>
          <t>KRW</t>
        </is>
      </c>
      <c r="E72" s="2220" t="n"/>
      <c r="F72" s="2201" t="n">
        <v>112200</v>
      </c>
      <c r="G72" s="60" t="n"/>
    </row>
    <row r="73" ht="16.5" customHeight="1">
      <c r="A73" s="62" t="inlineStr">
        <is>
          <t>전산관련지출</t>
        </is>
      </c>
      <c r="B73" s="62" t="inlineStr">
        <is>
          <t>(주)가비아</t>
        </is>
      </c>
      <c r="C73" s="60" t="inlineStr">
        <is>
          <t>신규 도메인 구매 (catalyster.io)/도메인 연장 비용</t>
        </is>
      </c>
      <c r="D73" s="62" t="inlineStr">
        <is>
          <t>KRW</t>
        </is>
      </c>
      <c r="E73" s="2220" t="n"/>
      <c r="F73" s="2201" t="n"/>
      <c r="G73" s="60" t="n"/>
    </row>
    <row r="74" ht="16.5" customHeight="1">
      <c r="A74" s="62" t="inlineStr">
        <is>
          <t>지급수수료</t>
        </is>
      </c>
      <c r="B74" s="62" t="inlineStr">
        <is>
          <t>국민이주 ㈜</t>
        </is>
      </c>
      <c r="C74" s="60" t="inlineStr">
        <is>
          <t>컴투버스 미국 법인 설립대행 계약금액 지출</t>
        </is>
      </c>
      <c r="D74" s="62" t="inlineStr">
        <is>
          <t>KRW</t>
        </is>
      </c>
      <c r="E74" s="2220" t="n"/>
      <c r="F74" s="2220" t="n"/>
      <c r="G74" s="60" t="n"/>
    </row>
    <row r="75" ht="16.5" customHeight="1">
      <c r="A75" s="62" t="inlineStr">
        <is>
          <t>전산관련지출</t>
        </is>
      </c>
      <c r="B75" s="62" t="inlineStr">
        <is>
          <t>㈜파인앤서비스</t>
        </is>
      </c>
      <c r="C75" s="60" t="inlineStr">
        <is>
          <t>CodeSign 인증서 연장 구매 비용</t>
        </is>
      </c>
      <c r="D75" s="62" t="inlineStr">
        <is>
          <t>KRW</t>
        </is>
      </c>
      <c r="E75" s="2220" t="n"/>
      <c r="F75" s="2220" t="n"/>
      <c r="G75" s="60" t="n"/>
    </row>
    <row r="76" ht="16.5" customHeight="1">
      <c r="A76" s="62" t="inlineStr">
        <is>
          <t>전산관련지출</t>
        </is>
      </c>
      <c r="B76" s="62" t="inlineStr">
        <is>
          <t>슈어엠㈜</t>
        </is>
      </c>
      <c r="C76" s="60" t="inlineStr">
        <is>
          <t>SMS 후불 비용 정산</t>
        </is>
      </c>
      <c r="D76" s="62" t="inlineStr">
        <is>
          <t>KRW</t>
        </is>
      </c>
      <c r="E76" s="2220" t="n"/>
      <c r="F76" s="2220" t="n"/>
      <c r="G76" s="60" t="n"/>
    </row>
    <row r="77" ht="16.5" customHeight="1">
      <c r="A77" s="62" t="inlineStr">
        <is>
          <t>전산관련지출</t>
        </is>
      </c>
      <c r="B77" s="62" t="inlineStr">
        <is>
          <t>메가존클라우드(주)</t>
        </is>
      </c>
      <c r="C77" s="60" t="inlineStr">
        <is>
          <t>AWS</t>
        </is>
      </c>
      <c r="D77" s="62" t="inlineStr">
        <is>
          <t>KRW</t>
        </is>
      </c>
      <c r="E77" s="2220" t="n"/>
      <c r="F77" s="2220" t="n"/>
      <c r="G77" s="60" t="n"/>
    </row>
    <row r="78" ht="16.5" customHeight="1">
      <c r="A78" s="62" t="inlineStr">
        <is>
          <t>전산관련지출</t>
        </is>
      </c>
      <c r="B78" s="62" t="inlineStr">
        <is>
          <t>메가존소프트(주)</t>
        </is>
      </c>
      <c r="C78" s="60" t="inlineStr">
        <is>
          <t>CDN</t>
        </is>
      </c>
      <c r="D78" s="62" t="inlineStr">
        <is>
          <t>KRW</t>
        </is>
      </c>
      <c r="E78" s="2220" t="n"/>
      <c r="F78" s="2220" t="n"/>
      <c r="G78" s="60" t="n"/>
    </row>
    <row r="79" ht="16.5" customHeight="1">
      <c r="A79" s="62" t="inlineStr">
        <is>
          <t>전산관련지출</t>
        </is>
      </c>
      <c r="B79" s="62" t="inlineStr">
        <is>
          <t>Aceville Pte. Ltd.</t>
        </is>
      </c>
      <c r="C79" s="60" t="inlineStr">
        <is>
          <t>텐센트 클라우드</t>
        </is>
      </c>
      <c r="D79" s="62" t="inlineStr">
        <is>
          <t>KRW</t>
        </is>
      </c>
      <c r="E79" s="2220" t="n"/>
      <c r="F79" s="2201" t="n"/>
      <c r="G79" s="60" t="n"/>
      <c r="K79" s="2232" t="n"/>
      <c r="L79" s="2232" t="n"/>
    </row>
    <row r="80" ht="16.5" customHeight="1">
      <c r="A80" s="62" t="inlineStr">
        <is>
          <t>전산관련지출</t>
        </is>
      </c>
      <c r="B80" s="62" t="inlineStr">
        <is>
          <t>(주)모나미이미징솔루션즈</t>
        </is>
      </c>
      <c r="C80" s="60" t="inlineStr">
        <is>
          <t>업무용 하드웨어 구매 (조립 PC (디자인))</t>
        </is>
      </c>
      <c r="D80" s="62" t="inlineStr">
        <is>
          <t>KRW</t>
        </is>
      </c>
      <c r="E80" s="2220" t="n"/>
      <c r="F80" s="2220" t="n"/>
      <c r="G80" s="60" t="n"/>
    </row>
    <row r="81" ht="16.5" customHeight="1">
      <c r="A81" s="62" t="inlineStr">
        <is>
          <t>전산관련지출</t>
        </is>
      </c>
      <c r="B81" s="62" t="inlineStr">
        <is>
          <t>(주)소프트플러스</t>
        </is>
      </c>
      <c r="C81" s="60" t="inlineStr">
        <is>
          <t>업무용 소프트웨어 라이선스 구독 (Adobe Premiere CC (신규 4개월))</t>
        </is>
      </c>
      <c r="D81" s="62" t="inlineStr">
        <is>
          <t>KRW</t>
        </is>
      </c>
      <c r="E81" s="2220" t="n"/>
      <c r="F81" s="2220" t="n"/>
      <c r="G81" s="60" t="n"/>
    </row>
    <row r="82" ht="16.5" customHeight="1">
      <c r="A82" s="62" t="inlineStr">
        <is>
          <t>전산관련지출</t>
        </is>
      </c>
      <c r="B82" s="62" t="inlineStr">
        <is>
          <t>한국소프트웨어서비스</t>
        </is>
      </c>
      <c r="C82" s="60" t="inlineStr">
        <is>
          <t>Parallels Desktop for Mac Business Edition 1EA 구독</t>
        </is>
      </c>
      <c r="D82" s="62" t="inlineStr">
        <is>
          <t>KRW</t>
        </is>
      </c>
      <c r="E82" s="2220" t="n"/>
      <c r="F82" s="2220" t="n"/>
      <c r="G82" s="60" t="n"/>
    </row>
    <row r="83" ht="16.5" customHeight="1">
      <c r="A83" s="62" t="inlineStr">
        <is>
          <t>외상매출금</t>
        </is>
      </c>
      <c r="B83" s="62" t="inlineStr">
        <is>
          <t>컴투스플랫폼</t>
        </is>
      </c>
      <c r="C83" s="60" t="inlineStr">
        <is>
          <t>텐센트클라우드 서비스 이용료 분담</t>
        </is>
      </c>
      <c r="D83" s="344" t="inlineStr">
        <is>
          <t>KRW</t>
        </is>
      </c>
      <c r="E83" s="2231" t="n">
        <v>51810</v>
      </c>
      <c r="G83" s="60" t="n"/>
    </row>
    <row r="84" ht="16.5" customHeight="1">
      <c r="A84" s="62" t="inlineStr">
        <is>
          <t>지급수수료</t>
        </is>
      </c>
      <c r="B84" s="62" t="inlineStr">
        <is>
          <t>하나은행</t>
        </is>
      </c>
      <c r="C84" s="60" t="inlineStr">
        <is>
          <t>잔액증명서 발급수수료</t>
        </is>
      </c>
      <c r="D84" s="344" t="inlineStr">
        <is>
          <t>KRW</t>
        </is>
      </c>
      <c r="E84" s="2220" t="n"/>
      <c r="F84" s="2220" t="n"/>
      <c r="G84" s="60" t="n"/>
    </row>
    <row r="85" ht="16.5" customHeight="1">
      <c r="A85" s="62" t="inlineStr">
        <is>
          <t>지급수수료</t>
        </is>
      </c>
      <c r="B85" s="62" t="inlineStr">
        <is>
          <t>특허법인 위더피플</t>
        </is>
      </c>
      <c r="C85" s="60" t="inlineStr">
        <is>
          <t>메타버스 통합 인증 방법 및 시스템 특허비용 지출의 건</t>
        </is>
      </c>
      <c r="D85" s="344" t="inlineStr">
        <is>
          <t>KRW</t>
        </is>
      </c>
      <c r="E85" s="2220" t="n"/>
      <c r="F85" s="2220" t="n"/>
      <c r="G85" s="60" t="n"/>
    </row>
    <row r="86" ht="16.5" customHeight="1">
      <c r="A86" s="62" t="inlineStr">
        <is>
          <t>기타지출</t>
        </is>
      </c>
      <c r="B86" s="62" t="inlineStr">
        <is>
          <t>㈜위펀</t>
        </is>
      </c>
      <c r="C86" s="60" t="inlineStr">
        <is>
          <t>11월 네이버페이 지급의 건(생일자 선물)</t>
        </is>
      </c>
      <c r="D86" s="62" t="inlineStr">
        <is>
          <t>KRW</t>
        </is>
      </c>
      <c r="E86" s="2220" t="n"/>
      <c r="F86" s="2220" t="n"/>
      <c r="G86" s="60" t="n"/>
    </row>
    <row r="87" ht="16.5" customHeight="1">
      <c r="A87" s="62" t="inlineStr">
        <is>
          <t>전산관련지출</t>
        </is>
      </c>
      <c r="B87" s="62" t="inlineStr">
        <is>
          <t>㈜제니스클라우드</t>
        </is>
      </c>
      <c r="C87" s="60" t="inlineStr">
        <is>
          <t>26년 Microsoft CAL 3년차 비용 지출</t>
        </is>
      </c>
      <c r="D87" s="62" t="inlineStr">
        <is>
          <t>KRW</t>
        </is>
      </c>
      <c r="E87" s="2220" t="n"/>
      <c r="F87" s="2220" t="n"/>
      <c r="G87" s="60" t="n"/>
    </row>
    <row r="88" ht="16.5" customHeight="1">
      <c r="A88" s="62" t="inlineStr">
        <is>
          <t>전산관련지출</t>
        </is>
      </c>
      <c r="B88" s="62" t="inlineStr">
        <is>
          <t>㈜제니스클라우드</t>
        </is>
      </c>
      <c r="C88" s="60" t="inlineStr">
        <is>
          <t>망분리(VDI) 2,3차 구축에 대한 Microsoft 라이선스 구독 3년차 비용 지출</t>
        </is>
      </c>
      <c r="D88" s="62" t="inlineStr">
        <is>
          <t>KRW</t>
        </is>
      </c>
      <c r="E88" s="2220" t="n"/>
      <c r="F88" s="2220" t="n"/>
      <c r="G88" s="60" t="n"/>
    </row>
    <row r="89" ht="16.5" customHeight="1">
      <c r="A89" s="62" t="inlineStr">
        <is>
          <t>지급수수료</t>
        </is>
      </c>
      <c r="B89" s="62" t="inlineStr">
        <is>
          <t>하나은행</t>
        </is>
      </c>
      <c r="C89" s="60" t="inlineStr">
        <is>
          <t>인증서 갱신 수수료</t>
        </is>
      </c>
      <c r="D89" s="62" t="inlineStr">
        <is>
          <t>KRW</t>
        </is>
      </c>
      <c r="E89" s="2220" t="n"/>
      <c r="F89" s="2220" t="n"/>
      <c r="G89" s="60" t="n"/>
    </row>
    <row r="90" ht="16.5" customHeight="1">
      <c r="A90" s="62" t="inlineStr">
        <is>
          <t>기타입금</t>
        </is>
      </c>
      <c r="B90" s="62" t="inlineStr">
        <is>
          <t>㈜비즈마켓</t>
        </is>
      </c>
      <c r="C90" s="60" t="inlineStr">
        <is>
          <t>노후장비 판매</t>
        </is>
      </c>
      <c r="D90" s="62" t="inlineStr">
        <is>
          <t>KRW</t>
        </is>
      </c>
      <c r="E90" s="2220" t="n"/>
      <c r="F90" s="2220" t="n"/>
      <c r="G90" s="60" t="n"/>
    </row>
    <row r="91" ht="16.5" customHeight="1">
      <c r="A91" s="62" t="n"/>
      <c r="B91" s="62" t="n"/>
      <c r="C91" s="60" t="n"/>
      <c r="D91" s="62" t="n"/>
      <c r="E91" s="2220" t="n"/>
      <c r="F91" s="2220" t="n"/>
      <c r="G91" s="60" t="n"/>
    </row>
    <row r="92" ht="16.5" customHeight="1">
      <c r="A92" s="62" t="n"/>
      <c r="B92" s="62" t="n"/>
      <c r="C92" s="60" t="n"/>
      <c r="D92" s="62" t="n"/>
      <c r="E92" s="2220" t="n"/>
      <c r="F92" s="2220" t="n"/>
      <c r="G92" s="60" t="n"/>
    </row>
    <row r="93" ht="16.5" customHeight="1">
      <c r="A93" s="62" t="n"/>
      <c r="B93" s="62" t="n"/>
      <c r="C93" s="60" t="n"/>
      <c r="D93" s="62" t="n"/>
      <c r="E93" s="2220" t="n"/>
      <c r="F93" s="2220" t="n"/>
      <c r="G93" s="60" t="n"/>
    </row>
    <row r="94" ht="16.5" customHeight="1">
      <c r="A94" s="62" t="n"/>
      <c r="B94" s="62" t="n"/>
      <c r="C94" s="60" t="n"/>
      <c r="D94" s="62" t="n"/>
      <c r="E94" s="2220" t="n"/>
      <c r="F94" s="2220" t="n"/>
      <c r="G94" s="60" t="n"/>
    </row>
    <row r="95" ht="16.5" customHeight="1">
      <c r="A95" s="62" t="n"/>
      <c r="B95" s="62" t="n"/>
      <c r="C95" s="60" t="n"/>
      <c r="D95" s="62" t="n"/>
      <c r="E95" s="2220" t="n"/>
      <c r="F95" s="2220" t="n"/>
      <c r="G95" s="60" t="n"/>
    </row>
    <row r="96" ht="16.5" customHeight="1">
      <c r="A96" s="62" t="n"/>
      <c r="B96" s="62" t="n"/>
      <c r="C96" s="60" t="n"/>
      <c r="D96" s="62" t="n"/>
      <c r="E96" s="2220" t="n"/>
      <c r="F96" s="2220" t="n"/>
      <c r="G96" s="60" t="n"/>
    </row>
    <row r="97" ht="16.5" customHeight="1">
      <c r="A97" s="62" t="n"/>
      <c r="B97" s="62" t="n"/>
      <c r="C97" s="60" t="n"/>
      <c r="D97" s="62" t="n"/>
      <c r="E97" s="2220" t="n"/>
      <c r="F97" s="2220" t="n"/>
      <c r="G97" s="60" t="n"/>
    </row>
    <row r="98" ht="16.5" customHeight="1">
      <c r="A98" s="62" t="n"/>
      <c r="B98" s="62" t="n"/>
      <c r="C98" s="60" t="n"/>
      <c r="D98" s="62" t="n"/>
      <c r="E98" s="2220" t="n"/>
      <c r="F98" s="2220" t="n"/>
      <c r="G98" s="60" t="n"/>
    </row>
    <row r="99" ht="16.5" customHeight="1">
      <c r="A99" s="62" t="n"/>
      <c r="B99" s="62" t="n"/>
      <c r="C99" s="60" t="n"/>
      <c r="D99" s="62" t="n"/>
      <c r="E99" s="2220" t="n"/>
      <c r="F99" s="2220" t="n"/>
      <c r="G99" s="60" t="n"/>
    </row>
    <row r="100" ht="16.5" customHeight="1">
      <c r="A100" s="62" t="n"/>
      <c r="B100" s="62" t="n"/>
      <c r="C100" s="60" t="n"/>
      <c r="D100" s="62" t="n"/>
      <c r="E100" s="2220" t="n"/>
      <c r="F100" s="2220" t="n"/>
      <c r="G100" s="60" t="n"/>
    </row>
    <row r="101" ht="16.5" customHeight="1">
      <c r="A101" s="62" t="n"/>
      <c r="B101" s="62" t="n"/>
      <c r="C101" s="60" t="n"/>
      <c r="D101" s="62" t="n"/>
      <c r="E101" s="2220" t="n"/>
      <c r="F101" s="2220" t="n"/>
      <c r="G101" s="60" t="n"/>
    </row>
    <row r="102" ht="16.5" customHeight="1">
      <c r="A102" s="62" t="n"/>
      <c r="B102" s="62" t="n"/>
      <c r="C102" s="60" t="n"/>
      <c r="D102" s="62" t="n"/>
      <c r="E102" s="2220" t="n"/>
      <c r="F102" s="2220" t="n"/>
      <c r="G102" s="60" t="n"/>
    </row>
    <row r="103" ht="16.5" customHeight="1">
      <c r="A103" s="62" t="n"/>
      <c r="B103" s="62" t="n"/>
      <c r="C103" s="60" t="n"/>
      <c r="D103" s="62" t="n"/>
      <c r="E103" s="2220" t="n"/>
      <c r="F103" s="2220" t="n"/>
      <c r="G103" s="60" t="n"/>
    </row>
    <row r="104" ht="16.5" customHeight="1">
      <c r="A104" s="62" t="n"/>
      <c r="B104" s="62" t="n"/>
      <c r="C104" s="60" t="n"/>
      <c r="D104" s="62" t="n"/>
      <c r="E104" s="2220" t="n"/>
      <c r="F104" s="2220" t="n"/>
      <c r="G104" s="60" t="n"/>
    </row>
    <row r="105" ht="16.5" customHeight="1">
      <c r="A105" s="62" t="n"/>
      <c r="B105" s="62" t="n"/>
      <c r="C105" s="60" t="n"/>
      <c r="D105" s="62" t="n"/>
      <c r="E105" s="2220" t="n"/>
      <c r="F105" s="2220" t="n"/>
      <c r="G105" s="60" t="n"/>
    </row>
    <row r="106" ht="16.5" customHeight="1">
      <c r="A106" s="62" t="n"/>
      <c r="B106" s="62" t="n"/>
      <c r="C106" s="60" t="n"/>
      <c r="D106" s="62" t="n"/>
      <c r="E106" s="2220" t="n"/>
      <c r="F106" s="2220" t="n"/>
      <c r="G106" s="60" t="n"/>
    </row>
    <row r="107" ht="16.5" customHeight="1">
      <c r="A107" s="62" t="n"/>
      <c r="B107" s="62" t="n"/>
      <c r="C107" s="60" t="n"/>
      <c r="D107" s="62" t="n"/>
      <c r="E107" s="2220" t="n"/>
      <c r="F107" s="2220" t="n"/>
      <c r="G107" s="60" t="n"/>
    </row>
    <row r="108" ht="16.5" customHeight="1">
      <c r="A108" s="62" t="n"/>
      <c r="B108" s="62" t="n"/>
      <c r="C108" s="60" t="n"/>
      <c r="D108" s="62" t="n"/>
      <c r="E108" s="2220" t="n"/>
      <c r="F108" s="2220" t="n"/>
      <c r="G108" s="60" t="n"/>
    </row>
    <row r="109" ht="16.5" customHeight="1">
      <c r="A109" s="62" t="n"/>
      <c r="B109" s="62" t="n"/>
      <c r="C109" s="60" t="n"/>
      <c r="D109" s="62" t="n"/>
      <c r="E109" s="2220" t="n"/>
      <c r="F109" s="2220" t="n"/>
      <c r="G109" s="60" t="n"/>
    </row>
    <row r="110" ht="16.5" customHeight="1">
      <c r="A110" s="62" t="n"/>
      <c r="B110" s="62" t="n"/>
      <c r="C110" s="60" t="n"/>
      <c r="D110" s="62" t="n"/>
      <c r="E110" s="2220" t="n"/>
      <c r="F110" s="2220" t="n"/>
      <c r="G110" s="60" t="n"/>
    </row>
    <row r="111" ht="16.5" customHeight="1">
      <c r="A111" s="62" t="n"/>
      <c r="B111" s="62" t="n"/>
      <c r="C111" s="60" t="n"/>
      <c r="D111" s="62" t="n"/>
      <c r="E111" s="2220" t="n"/>
      <c r="F111" s="2220" t="n"/>
      <c r="G111" s="60" t="n"/>
    </row>
    <row r="112" ht="16.5" customHeight="1">
      <c r="A112" s="62" t="n"/>
      <c r="B112" s="62" t="n"/>
      <c r="C112" s="60" t="n"/>
      <c r="D112" s="62" t="n"/>
      <c r="E112" s="2220" t="n"/>
      <c r="F112" s="2220" t="n"/>
      <c r="G112" s="60" t="n"/>
    </row>
    <row r="113" ht="16.5" customHeight="1">
      <c r="A113" s="62" t="n"/>
      <c r="B113" s="62" t="n"/>
      <c r="C113" s="60" t="n"/>
      <c r="D113" s="62" t="n"/>
      <c r="E113" s="2220" t="n"/>
      <c r="F113" s="2220" t="n"/>
      <c r="G113" s="60" t="n"/>
    </row>
    <row r="114" ht="16.5" customHeight="1">
      <c r="A114" s="62" t="n"/>
      <c r="B114" s="62" t="n"/>
      <c r="C114" s="60" t="n"/>
      <c r="D114" s="62" t="n"/>
      <c r="E114" s="2220" t="n"/>
      <c r="F114" s="2220" t="n"/>
      <c r="G114" s="60" t="n"/>
    </row>
    <row r="115" ht="16.5" customHeight="1">
      <c r="A115" s="62" t="n"/>
      <c r="B115" s="62" t="n"/>
      <c r="C115" s="60" t="n"/>
      <c r="D115" s="62" t="n"/>
      <c r="E115" s="2220" t="n"/>
      <c r="F115" s="2220" t="n"/>
      <c r="G115" s="60" t="n"/>
    </row>
    <row r="116" ht="16.5" customHeight="1">
      <c r="A116" s="62" t="n"/>
      <c r="B116" s="62" t="n"/>
      <c r="C116" s="60" t="n"/>
      <c r="D116" s="62" t="n"/>
      <c r="E116" s="2220" t="n"/>
      <c r="F116" s="2220" t="n"/>
      <c r="G116" s="60" t="n"/>
    </row>
    <row r="117" ht="16.5" customHeight="1">
      <c r="A117" s="62" t="n"/>
      <c r="B117" s="62" t="n"/>
      <c r="C117" s="60" t="n"/>
      <c r="D117" s="62" t="n"/>
      <c r="E117" s="2220" t="n"/>
      <c r="F117" s="2220" t="n"/>
      <c r="G117" s="60" t="n"/>
    </row>
    <row r="118" ht="16.5" customHeight="1">
      <c r="A118" s="62" t="n"/>
      <c r="B118" s="62" t="n"/>
      <c r="C118" s="60" t="n"/>
      <c r="D118" s="62" t="n"/>
      <c r="E118" s="2220" t="n"/>
      <c r="F118" s="2220" t="n"/>
      <c r="G118" s="60" t="n"/>
    </row>
    <row r="119" ht="16.5" customHeight="1">
      <c r="A119" s="62" t="n"/>
      <c r="B119" s="62" t="n"/>
      <c r="C119" s="60" t="n"/>
      <c r="D119" s="62" t="n"/>
      <c r="E119" s="2220" t="n"/>
      <c r="F119" s="2220" t="n"/>
      <c r="G119" s="60" t="n"/>
    </row>
    <row r="120" ht="16.5" customHeight="1">
      <c r="A120" s="62" t="n"/>
      <c r="B120" s="62" t="n"/>
      <c r="C120" s="60" t="n"/>
      <c r="D120" s="62" t="n"/>
      <c r="E120" s="2220" t="n"/>
      <c r="F120" s="2220" t="n"/>
      <c r="G120" s="60" t="n"/>
    </row>
    <row r="121" ht="16.5" customHeight="1">
      <c r="A121" s="62" t="n"/>
      <c r="B121" s="62" t="n"/>
      <c r="C121" s="60" t="n"/>
      <c r="D121" s="62" t="n"/>
      <c r="E121" s="2220" t="n"/>
      <c r="F121" s="2220" t="n"/>
      <c r="G121" s="60" t="n"/>
    </row>
    <row r="122" ht="16.5" customHeight="1">
      <c r="A122" s="62" t="n"/>
      <c r="B122" s="62" t="n"/>
      <c r="C122" s="60" t="n"/>
      <c r="D122" s="62" t="n"/>
      <c r="E122" s="2220" t="n"/>
      <c r="F122" s="2220" t="n"/>
      <c r="G122" s="60" t="n"/>
    </row>
    <row r="123" ht="16.5" customHeight="1">
      <c r="A123" s="62" t="n"/>
      <c r="B123" s="62" t="n"/>
      <c r="C123" s="60" t="n"/>
      <c r="D123" s="62" t="n"/>
      <c r="E123" s="2220" t="n"/>
      <c r="F123" s="2220" t="n"/>
      <c r="G123" s="60" t="n"/>
    </row>
    <row r="124" ht="16.5" customHeight="1">
      <c r="A124" s="62" t="n"/>
      <c r="B124" s="62" t="n"/>
      <c r="C124" s="60" t="n"/>
      <c r="D124" s="62" t="n"/>
      <c r="E124" s="2220" t="n"/>
      <c r="F124" s="2220" t="n"/>
      <c r="G124" s="60" t="n"/>
    </row>
    <row r="125" ht="16.5" customHeight="1">
      <c r="A125" s="62" t="n"/>
      <c r="B125" s="62" t="n"/>
      <c r="C125" s="60" t="n"/>
      <c r="D125" s="62" t="n"/>
      <c r="E125" s="2220" t="n"/>
      <c r="F125" s="2220" t="n"/>
      <c r="G125" s="60" t="n"/>
    </row>
    <row r="126" ht="16.5" customHeight="1">
      <c r="A126" s="62" t="n"/>
      <c r="B126" s="62" t="n"/>
      <c r="C126" s="60" t="n"/>
      <c r="D126" s="62" t="n"/>
      <c r="E126" s="2220" t="n"/>
      <c r="F126" s="2220" t="n"/>
      <c r="G126" s="60" t="n"/>
    </row>
    <row r="127" ht="16.5" customHeight="1">
      <c r="A127" s="62" t="n"/>
      <c r="B127" s="62" t="n"/>
      <c r="C127" s="60" t="n"/>
      <c r="D127" s="62" t="n"/>
      <c r="E127" s="2220" t="n"/>
      <c r="F127" s="2220" t="n"/>
      <c r="G127" s="60" t="n"/>
    </row>
    <row r="128" ht="16.5" customHeight="1">
      <c r="A128" s="62" t="n"/>
      <c r="B128" s="62" t="n"/>
      <c r="C128" s="60" t="n"/>
      <c r="D128" s="62" t="n"/>
      <c r="E128" s="2220" t="n"/>
      <c r="F128" s="2220" t="n"/>
      <c r="G128" s="60" t="n"/>
    </row>
    <row r="129" ht="16.5" customHeight="1">
      <c r="A129" s="62" t="n"/>
      <c r="B129" s="62" t="n"/>
      <c r="C129" s="60" t="n"/>
      <c r="D129" s="62" t="n"/>
      <c r="E129" s="2220" t="n"/>
      <c r="F129" s="2220" t="n"/>
      <c r="G129" s="60" t="n"/>
    </row>
    <row r="130" ht="16.5" customHeight="1">
      <c r="A130" s="62" t="n"/>
      <c r="B130" s="62" t="n"/>
      <c r="C130" s="60" t="n"/>
      <c r="D130" s="62" t="n"/>
      <c r="E130" s="2220" t="n"/>
      <c r="F130" s="2220" t="n"/>
      <c r="G130" s="60" t="n"/>
    </row>
    <row r="131" ht="16.5" customHeight="1">
      <c r="A131" s="62" t="n"/>
      <c r="B131" s="62" t="n"/>
      <c r="C131" s="60" t="n"/>
      <c r="D131" s="62" t="n"/>
      <c r="E131" s="2220" t="n"/>
      <c r="F131" s="2220" t="n"/>
      <c r="G131" s="60" t="n"/>
    </row>
    <row r="132" ht="16.5" customHeight="1">
      <c r="A132" s="62" t="n"/>
      <c r="B132" s="62" t="n"/>
      <c r="C132" s="60" t="n"/>
      <c r="D132" s="62" t="n"/>
      <c r="E132" s="2220" t="n"/>
      <c r="F132" s="2220" t="n"/>
      <c r="G132" s="60" t="n"/>
    </row>
    <row r="133" ht="16.5" customHeight="1">
      <c r="A133" s="62" t="n"/>
      <c r="B133" s="62" t="n"/>
      <c r="C133" s="60" t="n"/>
      <c r="D133" s="62" t="n"/>
      <c r="E133" s="2220" t="n"/>
      <c r="F133" s="2220" t="n"/>
      <c r="G133" s="60" t="n"/>
    </row>
    <row r="134" ht="16.5" customHeight="1">
      <c r="A134" s="62" t="n"/>
      <c r="B134" s="62" t="n"/>
      <c r="C134" s="60" t="n"/>
      <c r="D134" s="62" t="n"/>
      <c r="E134" s="2220" t="n"/>
      <c r="F134" s="2220" t="n"/>
      <c r="G134" s="60" t="n"/>
    </row>
    <row r="135" ht="16.5" customHeight="1">
      <c r="A135" s="62" t="n"/>
      <c r="B135" s="62" t="n"/>
      <c r="C135" s="60" t="n"/>
      <c r="D135" s="62" t="n"/>
      <c r="E135" s="2220" t="n"/>
      <c r="F135" s="2220" t="n"/>
      <c r="G135" s="60" t="n"/>
    </row>
    <row r="136" ht="16.5" customHeight="1">
      <c r="A136" s="62" t="n"/>
      <c r="B136" s="62" t="n"/>
      <c r="C136" s="60" t="n"/>
      <c r="D136" s="62" t="n"/>
      <c r="E136" s="2220" t="n"/>
      <c r="F136" s="2220" t="n"/>
      <c r="G136" s="60" t="n"/>
    </row>
    <row r="137" ht="16.5" customHeight="1">
      <c r="A137" s="62" t="n"/>
      <c r="B137" s="62" t="n"/>
      <c r="C137" s="60" t="n"/>
      <c r="D137" s="62" t="n"/>
      <c r="E137" s="2220" t="n"/>
      <c r="F137" s="2220" t="n"/>
      <c r="G137" s="60" t="n"/>
    </row>
    <row r="138" ht="16.5" customHeight="1">
      <c r="A138" s="62" t="n"/>
      <c r="B138" s="62" t="n"/>
      <c r="C138" s="60" t="n"/>
      <c r="D138" s="62" t="n"/>
      <c r="E138" s="2220" t="n"/>
      <c r="F138" s="2220" t="n"/>
      <c r="G138" s="60" t="n"/>
    </row>
    <row r="139" ht="16.5" customHeight="1">
      <c r="A139" s="62" t="n"/>
      <c r="B139" s="62" t="n"/>
      <c r="C139" s="60" t="n"/>
      <c r="D139" s="62" t="n"/>
      <c r="E139" s="2220" t="n"/>
      <c r="F139" s="2220" t="n"/>
      <c r="G139" s="60" t="n"/>
    </row>
    <row r="140" ht="16.5" customHeight="1">
      <c r="A140" s="62" t="n"/>
      <c r="B140" s="62" t="n"/>
      <c r="C140" s="60" t="n"/>
      <c r="D140" s="62" t="n"/>
      <c r="E140" s="2220" t="n"/>
      <c r="F140" s="2220" t="n"/>
      <c r="G140" s="60" t="n"/>
    </row>
    <row r="141" ht="16.5" customHeight="1">
      <c r="A141" s="62" t="n"/>
      <c r="B141" s="62" t="n"/>
      <c r="C141" s="60" t="n"/>
      <c r="D141" s="62" t="n"/>
      <c r="E141" s="2220" t="n"/>
      <c r="F141" s="2220" t="n"/>
      <c r="G141" s="60" t="n"/>
    </row>
    <row r="142" ht="16.5" customHeight="1">
      <c r="A142" s="62" t="n"/>
      <c r="B142" s="62" t="n"/>
      <c r="C142" s="60" t="n"/>
      <c r="D142" s="62" t="n"/>
      <c r="E142" s="2220" t="n"/>
      <c r="F142" s="2220" t="n"/>
      <c r="G142" s="60" t="n"/>
    </row>
    <row r="143" ht="16.5" customHeight="1">
      <c r="A143" s="62" t="n"/>
      <c r="B143" s="62" t="n"/>
      <c r="C143" s="60" t="n"/>
      <c r="D143" s="62" t="n"/>
      <c r="E143" s="2220" t="n"/>
      <c r="F143" s="2220" t="n"/>
      <c r="G143" s="60" t="n"/>
    </row>
    <row r="144" ht="16.5" customHeight="1">
      <c r="A144" s="62" t="n"/>
      <c r="B144" s="62" t="n"/>
      <c r="C144" s="60" t="n"/>
      <c r="D144" s="62" t="n"/>
      <c r="E144" s="2220" t="n"/>
      <c r="F144" s="2220" t="n"/>
      <c r="G144" s="60" t="n"/>
    </row>
    <row r="145" ht="16.5" customHeight="1">
      <c r="A145" s="62" t="n"/>
      <c r="B145" s="62" t="n"/>
      <c r="C145" s="60" t="n"/>
      <c r="D145" s="62" t="n"/>
      <c r="E145" s="2220" t="n"/>
      <c r="F145" s="2220" t="n"/>
      <c r="G145" s="60" t="n"/>
    </row>
    <row r="146" ht="16.5" customHeight="1">
      <c r="A146" s="62" t="n"/>
      <c r="B146" s="62" t="n"/>
      <c r="C146" s="60" t="n"/>
      <c r="D146" s="62" t="n"/>
      <c r="E146" s="2220" t="n"/>
      <c r="F146" s="2220" t="n"/>
      <c r="G146" s="60" t="n"/>
    </row>
    <row r="147" ht="16.5" customHeight="1">
      <c r="A147" s="62" t="n"/>
      <c r="B147" s="62" t="n"/>
      <c r="C147" s="60" t="n"/>
      <c r="D147" s="62" t="n"/>
      <c r="E147" s="2220" t="n"/>
      <c r="F147" s="2220" t="n"/>
      <c r="G147" s="60" t="n"/>
    </row>
    <row r="148" ht="16.5" customHeight="1">
      <c r="A148" s="62" t="n"/>
      <c r="B148" s="62" t="n"/>
      <c r="C148" s="60" t="n"/>
      <c r="D148" s="62" t="n"/>
      <c r="E148" s="2220" t="n"/>
      <c r="F148" s="2220" t="n"/>
      <c r="G148" s="60" t="n"/>
    </row>
    <row r="149" ht="16.5" customHeight="1">
      <c r="A149" s="62" t="n"/>
      <c r="B149" s="62" t="n"/>
      <c r="C149" s="60" t="n"/>
      <c r="D149" s="62" t="n"/>
      <c r="E149" s="2220" t="n"/>
      <c r="F149" s="2220" t="n"/>
      <c r="G149" s="60" t="n"/>
    </row>
    <row r="150" ht="16.5" customHeight="1">
      <c r="A150" s="62" t="n"/>
      <c r="B150" s="62" t="n"/>
      <c r="C150" s="60" t="n"/>
      <c r="D150" s="62" t="n"/>
      <c r="E150" s="2220" t="n"/>
      <c r="F150" s="2220" t="n"/>
      <c r="G150" s="60" t="n"/>
    </row>
    <row r="151" ht="16.5" customHeight="1">
      <c r="A151" s="62" t="n"/>
      <c r="B151" s="62" t="n"/>
      <c r="C151" s="60" t="n"/>
      <c r="D151" s="62" t="n"/>
      <c r="E151" s="2220" t="n"/>
      <c r="F151" s="2220" t="n"/>
      <c r="G151" s="60" t="n"/>
    </row>
    <row r="152" ht="16.5" customHeight="1">
      <c r="A152" s="62" t="n"/>
      <c r="B152" s="62" t="n"/>
      <c r="C152" s="60" t="n"/>
      <c r="D152" s="62" t="n"/>
      <c r="E152" s="2220" t="n"/>
      <c r="F152" s="2220" t="n"/>
      <c r="G152" s="60" t="n"/>
    </row>
    <row r="153" ht="16.5" customHeight="1">
      <c r="A153" s="62" t="n"/>
      <c r="B153" s="62" t="n"/>
      <c r="C153" s="60" t="n"/>
      <c r="D153" s="62" t="n"/>
      <c r="E153" s="2220" t="n"/>
      <c r="F153" s="2220" t="n"/>
      <c r="G153" s="60" t="n"/>
    </row>
    <row r="154" ht="16.5" customHeight="1">
      <c r="A154" s="62" t="n"/>
      <c r="B154" s="62" t="n"/>
      <c r="C154" s="60" t="n"/>
      <c r="D154" s="62" t="n"/>
      <c r="E154" s="2220" t="n"/>
      <c r="F154" s="2220" t="n"/>
      <c r="G154" s="60" t="n"/>
    </row>
    <row r="155" ht="16.5" customHeight="1">
      <c r="A155" s="62" t="n"/>
      <c r="B155" s="62" t="n"/>
      <c r="C155" s="60" t="n"/>
      <c r="D155" s="62" t="n"/>
      <c r="E155" s="2220" t="n"/>
      <c r="F155" s="2220" t="n"/>
      <c r="G155" s="60" t="n"/>
    </row>
    <row r="156" ht="16.5" customHeight="1">
      <c r="A156" s="62" t="n"/>
      <c r="B156" s="62" t="n"/>
      <c r="C156" s="60" t="n"/>
      <c r="D156" s="62" t="n"/>
      <c r="E156" s="2220" t="n"/>
      <c r="F156" s="2220" t="n"/>
      <c r="G156" s="60" t="n"/>
    </row>
    <row r="157" ht="16.5" customHeight="1">
      <c r="A157" s="62" t="n"/>
      <c r="B157" s="62" t="n"/>
      <c r="C157" s="60" t="n"/>
      <c r="D157" s="62" t="n"/>
      <c r="E157" s="2220" t="n"/>
      <c r="F157" s="2220" t="n"/>
      <c r="G157" s="60" t="n"/>
    </row>
    <row r="158" ht="16.5" customHeight="1">
      <c r="A158" s="62" t="n"/>
      <c r="B158" s="62" t="n"/>
      <c r="C158" s="60" t="n"/>
      <c r="D158" s="62" t="n"/>
      <c r="E158" s="2220" t="n"/>
      <c r="F158" s="2220" t="n"/>
      <c r="G158" s="60" t="n"/>
    </row>
    <row r="159" ht="16.5" customHeight="1">
      <c r="A159" s="62" t="n"/>
      <c r="B159" s="62" t="n"/>
      <c r="C159" s="60" t="n"/>
      <c r="D159" s="62" t="n"/>
      <c r="E159" s="2220" t="n"/>
      <c r="F159" s="2220" t="n"/>
      <c r="G159" s="60" t="n"/>
    </row>
    <row r="160" ht="16.5" customHeight="1">
      <c r="A160" s="62" t="n"/>
      <c r="B160" s="62" t="n"/>
      <c r="C160" s="60" t="n"/>
      <c r="D160" s="62" t="n"/>
      <c r="E160" s="2220" t="n"/>
      <c r="F160" s="2220" t="n"/>
      <c r="G160" s="60" t="n"/>
    </row>
    <row r="161" ht="16.5" customHeight="1">
      <c r="A161" s="62" t="n"/>
      <c r="B161" s="62" t="n"/>
      <c r="C161" s="60" t="n"/>
      <c r="D161" s="62" t="n"/>
      <c r="E161" s="2220" t="n"/>
      <c r="F161" s="2220" t="n"/>
      <c r="G161" s="60" t="n"/>
    </row>
    <row r="162" ht="16.5" customHeight="1">
      <c r="A162" s="62" t="n"/>
      <c r="B162" s="62" t="n"/>
      <c r="C162" s="60" t="n"/>
      <c r="D162" s="62" t="n"/>
      <c r="E162" s="2220" t="n"/>
      <c r="F162" s="2220" t="n"/>
      <c r="G162" s="60" t="n"/>
    </row>
    <row r="163" ht="16.5" customHeight="1">
      <c r="A163" s="62" t="n"/>
      <c r="B163" s="62" t="n"/>
      <c r="C163" s="60" t="n"/>
      <c r="D163" s="62" t="n"/>
      <c r="E163" s="2220" t="n"/>
      <c r="F163" s="2220" t="n"/>
      <c r="G163" s="60" t="n"/>
    </row>
    <row r="164" ht="16.5" customHeight="1">
      <c r="A164" s="62" t="n"/>
      <c r="B164" s="62" t="n"/>
      <c r="C164" s="60" t="n"/>
      <c r="D164" s="62" t="n"/>
      <c r="E164" s="2220" t="n"/>
      <c r="F164" s="2220" t="n"/>
      <c r="G164" s="60" t="n"/>
    </row>
    <row r="165" ht="16.5" customHeight="1">
      <c r="A165" s="62" t="n"/>
      <c r="B165" s="62" t="n"/>
      <c r="C165" s="60" t="n"/>
      <c r="D165" s="62" t="n"/>
      <c r="E165" s="2220" t="n"/>
      <c r="F165" s="2220" t="n"/>
      <c r="G165" s="60" t="n"/>
    </row>
    <row r="166" ht="16.5" customHeight="1">
      <c r="A166" s="62" t="n"/>
      <c r="B166" s="62" t="n"/>
      <c r="C166" s="60" t="n"/>
      <c r="D166" s="62" t="n"/>
      <c r="E166" s="2220" t="n"/>
      <c r="F166" s="2220" t="n"/>
      <c r="G166" s="60" t="n"/>
    </row>
    <row r="167" ht="16.5" customHeight="1">
      <c r="A167" s="62" t="n"/>
      <c r="B167" s="62" t="n"/>
      <c r="C167" s="60" t="n"/>
      <c r="D167" s="62" t="n"/>
      <c r="E167" s="2220" t="n"/>
      <c r="F167" s="2220" t="n"/>
      <c r="G167" s="60" t="n"/>
    </row>
    <row r="168" ht="16.5" customHeight="1">
      <c r="A168" s="62" t="n"/>
      <c r="B168" s="62" t="n"/>
      <c r="C168" s="60" t="n"/>
      <c r="D168" s="62" t="n"/>
      <c r="E168" s="2220" t="n"/>
      <c r="F168" s="2220" t="n"/>
      <c r="G168" s="60" t="n"/>
    </row>
    <row r="169" ht="16.5" customHeight="1">
      <c r="A169" s="62" t="n"/>
      <c r="B169" s="62" t="n"/>
      <c r="C169" s="60" t="n"/>
      <c r="D169" s="62" t="n"/>
      <c r="E169" s="2220" t="n"/>
      <c r="F169" s="2220" t="n"/>
      <c r="G169" s="60" t="n"/>
    </row>
    <row r="170" ht="16.5" customHeight="1">
      <c r="A170" s="62" t="n"/>
      <c r="B170" s="62" t="n"/>
      <c r="C170" s="60" t="n"/>
      <c r="D170" s="62" t="n"/>
      <c r="E170" s="2220" t="n"/>
      <c r="F170" s="2220" t="n"/>
      <c r="G170" s="60" t="n"/>
    </row>
    <row r="171" ht="16.5" customHeight="1">
      <c r="A171" s="62" t="n"/>
      <c r="B171" s="62" t="n"/>
      <c r="C171" s="60" t="n"/>
      <c r="D171" s="62" t="n"/>
      <c r="E171" s="2220" t="n"/>
      <c r="F171" s="2220" t="n"/>
      <c r="G171" s="60" t="n"/>
    </row>
    <row r="172" ht="16.5" customHeight="1">
      <c r="A172" s="62" t="n"/>
      <c r="B172" s="62" t="n"/>
      <c r="C172" s="60" t="n"/>
      <c r="D172" s="62" t="n"/>
      <c r="E172" s="2220" t="n"/>
      <c r="F172" s="2220" t="n"/>
      <c r="G172" s="60" t="n"/>
    </row>
    <row r="173" ht="16.5" customHeight="1">
      <c r="A173" s="62" t="n"/>
      <c r="B173" s="62" t="n"/>
      <c r="C173" s="60" t="n"/>
      <c r="D173" s="62" t="n"/>
      <c r="E173" s="2220" t="n"/>
      <c r="F173" s="2220" t="n"/>
      <c r="G173" s="60" t="n"/>
    </row>
    <row r="174" ht="16.5" customHeight="1">
      <c r="A174" s="62" t="n"/>
      <c r="B174" s="62" t="n"/>
      <c r="C174" s="60" t="n"/>
      <c r="D174" s="62" t="n"/>
      <c r="E174" s="2220" t="n"/>
      <c r="F174" s="2220" t="n"/>
      <c r="G174" s="60" t="n"/>
    </row>
    <row r="175" ht="16.5" customHeight="1">
      <c r="A175" s="62" t="n"/>
      <c r="B175" s="62" t="n"/>
      <c r="C175" s="60" t="n"/>
      <c r="D175" s="62" t="n"/>
      <c r="E175" s="2220" t="n"/>
      <c r="F175" s="2220" t="n"/>
      <c r="G175" s="60" t="n"/>
    </row>
    <row r="176" ht="16.5" customHeight="1">
      <c r="A176" s="62" t="n"/>
      <c r="B176" s="62" t="n"/>
      <c r="C176" s="60" t="n"/>
      <c r="D176" s="62" t="n"/>
      <c r="E176" s="2220" t="n"/>
      <c r="F176" s="2220" t="n"/>
      <c r="G176" s="60" t="n"/>
    </row>
    <row r="177" ht="16.5" customHeight="1">
      <c r="A177" s="62" t="n"/>
      <c r="B177" s="62" t="n"/>
      <c r="C177" s="60" t="n"/>
      <c r="D177" s="62" t="n"/>
      <c r="E177" s="2220" t="n"/>
      <c r="F177" s="2220" t="n"/>
      <c r="G177" s="60" t="n"/>
    </row>
    <row r="178" ht="16.5" customHeight="1">
      <c r="A178" s="62" t="n"/>
      <c r="B178" s="62" t="n"/>
      <c r="C178" s="60" t="n"/>
      <c r="D178" s="62" t="n"/>
      <c r="E178" s="2220" t="n"/>
      <c r="F178" s="2220" t="n"/>
      <c r="G178" s="60" t="n"/>
    </row>
    <row r="179" ht="16.5" customHeight="1">
      <c r="A179" s="62" t="n"/>
      <c r="B179" s="62" t="n"/>
      <c r="C179" s="60" t="n"/>
      <c r="D179" s="62" t="n"/>
      <c r="E179" s="2220" t="n"/>
      <c r="F179" s="2220" t="n"/>
      <c r="G179" s="60" t="n"/>
    </row>
    <row r="180" ht="16.5" customHeight="1">
      <c r="A180" s="62" t="n"/>
      <c r="B180" s="62" t="n"/>
      <c r="C180" s="60" t="n"/>
      <c r="D180" s="62" t="n"/>
      <c r="E180" s="2220" t="n"/>
      <c r="F180" s="2220" t="n"/>
      <c r="G180" s="60" t="n"/>
    </row>
    <row r="181" ht="16.5" customHeight="1">
      <c r="A181" s="62" t="n"/>
      <c r="B181" s="62" t="n"/>
      <c r="C181" s="60" t="n"/>
      <c r="D181" s="62" t="n"/>
      <c r="E181" s="2220" t="n"/>
      <c r="F181" s="2220" t="n"/>
      <c r="G181" s="60" t="n"/>
    </row>
    <row r="182" ht="16.5" customHeight="1">
      <c r="A182" s="62" t="n"/>
      <c r="B182" s="62" t="n"/>
      <c r="C182" s="60" t="n"/>
      <c r="D182" s="62" t="n"/>
      <c r="E182" s="2220" t="n"/>
      <c r="F182" s="2220" t="n"/>
      <c r="G182" s="60" t="n"/>
    </row>
    <row r="183" ht="16.5" customHeight="1">
      <c r="A183" s="62" t="n"/>
      <c r="B183" s="62" t="n"/>
      <c r="C183" s="60" t="n"/>
      <c r="D183" s="62" t="n"/>
      <c r="E183" s="2220" t="n"/>
      <c r="F183" s="2220" t="n"/>
      <c r="G183" s="60" t="n"/>
    </row>
    <row r="184" ht="16.5" customHeight="1">
      <c r="A184" s="62" t="n"/>
      <c r="B184" s="62" t="n"/>
      <c r="C184" s="60" t="n"/>
      <c r="D184" s="62" t="n"/>
      <c r="E184" s="2220" t="n"/>
      <c r="F184" s="2220" t="n"/>
      <c r="G184" s="60" t="n"/>
    </row>
    <row r="185" ht="16.5" customHeight="1">
      <c r="A185" s="62" t="n"/>
      <c r="B185" s="62" t="n"/>
      <c r="C185" s="60" t="n"/>
      <c r="D185" s="62" t="n"/>
      <c r="E185" s="2220" t="n"/>
      <c r="F185" s="2220" t="n"/>
      <c r="G185" s="60" t="n"/>
    </row>
    <row r="186" ht="16.5" customHeight="1">
      <c r="A186" s="62" t="n"/>
      <c r="B186" s="62" t="n"/>
      <c r="C186" s="60" t="n"/>
      <c r="D186" s="62" t="n"/>
      <c r="E186" s="2220" t="n"/>
      <c r="F186" s="2220" t="n"/>
      <c r="G186" s="60" t="n"/>
    </row>
    <row r="187" ht="16.5" customHeight="1">
      <c r="A187" s="62" t="n"/>
      <c r="B187" s="62" t="n"/>
      <c r="C187" s="60" t="n"/>
      <c r="D187" s="62" t="n"/>
      <c r="E187" s="2220" t="n"/>
      <c r="F187" s="2220" t="n"/>
      <c r="G187" s="60" t="n"/>
    </row>
    <row r="188" ht="16.5" customHeight="1">
      <c r="A188" s="62" t="n"/>
      <c r="B188" s="62" t="n"/>
      <c r="C188" s="60" t="n"/>
      <c r="D188" s="62" t="n"/>
      <c r="E188" s="2220" t="n"/>
      <c r="F188" s="2220" t="n"/>
      <c r="G188" s="60" t="n"/>
    </row>
    <row r="189" ht="16.5" customHeight="1">
      <c r="A189" s="62" t="n"/>
      <c r="B189" s="62" t="n"/>
      <c r="C189" s="60" t="n"/>
      <c r="D189" s="62" t="n"/>
      <c r="E189" s="2220" t="n"/>
      <c r="F189" s="2220" t="n"/>
      <c r="G189" s="60" t="n"/>
    </row>
    <row r="190" ht="16.5" customHeight="1">
      <c r="A190" s="62" t="n"/>
      <c r="B190" s="62" t="n"/>
      <c r="C190" s="60" t="n"/>
      <c r="D190" s="62" t="n"/>
      <c r="E190" s="2220" t="n"/>
      <c r="F190" s="2220" t="n"/>
      <c r="G190" s="60" t="n"/>
    </row>
    <row r="191" ht="16.5" customHeight="1">
      <c r="A191" s="62" t="n"/>
      <c r="B191" s="62" t="n"/>
      <c r="C191" s="60" t="n"/>
      <c r="D191" s="62" t="n"/>
      <c r="E191" s="2220" t="n"/>
      <c r="F191" s="2220" t="n"/>
      <c r="G191" s="60" t="n"/>
    </row>
    <row r="192" ht="16.5" customHeight="1">
      <c r="A192" s="62" t="n"/>
      <c r="B192" s="62" t="n"/>
      <c r="C192" s="60" t="n"/>
      <c r="D192" s="62" t="n"/>
      <c r="E192" s="2220" t="n"/>
      <c r="F192" s="2220" t="n"/>
      <c r="G192" s="60" t="n"/>
    </row>
    <row r="193" ht="16.5" customHeight="1">
      <c r="A193" s="62" t="n"/>
      <c r="B193" s="62" t="n"/>
      <c r="C193" s="60" t="n"/>
      <c r="D193" s="62" t="n"/>
      <c r="E193" s="2220" t="n"/>
      <c r="F193" s="2220" t="n"/>
      <c r="G193" s="60" t="n"/>
    </row>
    <row r="194" ht="16.5" customHeight="1">
      <c r="A194" s="62" t="n"/>
      <c r="B194" s="62" t="n"/>
      <c r="C194" s="60" t="n"/>
      <c r="D194" s="62" t="n"/>
      <c r="E194" s="2220" t="n"/>
      <c r="F194" s="2220" t="n"/>
      <c r="G194" s="60" t="n"/>
    </row>
    <row r="195" ht="16.5" customHeight="1">
      <c r="A195" s="62" t="n"/>
      <c r="B195" s="62" t="n"/>
      <c r="C195" s="60" t="n"/>
      <c r="D195" s="62" t="n"/>
      <c r="E195" s="2220" t="n"/>
      <c r="F195" s="2220" t="n"/>
      <c r="G195" s="60" t="n"/>
    </row>
    <row r="196" ht="16.5" customHeight="1">
      <c r="A196" s="62" t="n"/>
      <c r="B196" s="62" t="n"/>
      <c r="C196" s="60" t="n"/>
      <c r="D196" s="62" t="n"/>
      <c r="E196" s="2220" t="n"/>
      <c r="F196" s="2220" t="n"/>
      <c r="G196" s="60" t="n"/>
    </row>
    <row r="197" ht="16.5" customHeight="1">
      <c r="A197" s="62" t="n"/>
      <c r="B197" s="62" t="n"/>
      <c r="C197" s="60" t="n"/>
      <c r="D197" s="62" t="n"/>
      <c r="E197" s="2220" t="n"/>
      <c r="F197" s="2220" t="n"/>
      <c r="G197" s="60" t="n"/>
    </row>
    <row r="198" ht="16.5" customHeight="1">
      <c r="A198" s="62" t="n"/>
      <c r="B198" s="62" t="n"/>
      <c r="C198" s="60" t="n"/>
      <c r="D198" s="62" t="n"/>
      <c r="E198" s="2220" t="n"/>
      <c r="F198" s="2220" t="n"/>
      <c r="G198" s="60" t="n"/>
    </row>
    <row r="199" ht="16.5" customHeight="1">
      <c r="A199" s="62" t="n"/>
      <c r="B199" s="62" t="n"/>
      <c r="C199" s="60" t="n"/>
      <c r="D199" s="62" t="n"/>
      <c r="E199" s="2220" t="n"/>
      <c r="F199" s="2220" t="n"/>
      <c r="G199" s="60" t="n"/>
    </row>
    <row r="200" ht="16.5" customHeight="1">
      <c r="A200" s="62" t="n"/>
      <c r="B200" s="62" t="n"/>
      <c r="C200" s="60" t="n"/>
      <c r="D200" s="62" t="n"/>
      <c r="E200" s="2220" t="n"/>
      <c r="F200" s="2220" t="n"/>
      <c r="G200" s="60" t="n"/>
    </row>
    <row r="201" ht="16.5" customHeight="1">
      <c r="A201" s="62" t="n"/>
      <c r="B201" s="62" t="n"/>
      <c r="C201" s="60" t="n"/>
      <c r="D201" s="62" t="n"/>
      <c r="E201" s="2220" t="n"/>
      <c r="F201" s="2220" t="n"/>
      <c r="G201" s="60" t="n"/>
    </row>
    <row r="202" ht="16.5" customHeight="1">
      <c r="A202" s="62" t="n"/>
      <c r="B202" s="62" t="n"/>
      <c r="C202" s="60" t="n"/>
      <c r="D202" s="62" t="n"/>
      <c r="E202" s="2220" t="n"/>
      <c r="F202" s="2220" t="n"/>
      <c r="G202" s="60" t="n"/>
    </row>
    <row r="203" ht="16.5" customHeight="1">
      <c r="A203" s="62" t="n"/>
      <c r="B203" s="62" t="n"/>
      <c r="C203" s="60" t="n"/>
      <c r="D203" s="62" t="n"/>
      <c r="E203" s="2220" t="n"/>
      <c r="F203" s="2220" t="n"/>
      <c r="G203" s="60" t="n"/>
    </row>
    <row r="204" ht="16.5" customHeight="1">
      <c r="A204" s="62" t="n"/>
      <c r="B204" s="62" t="n"/>
      <c r="C204" s="60" t="n"/>
      <c r="D204" s="62" t="n"/>
      <c r="E204" s="2220" t="n"/>
      <c r="F204" s="2220" t="n"/>
      <c r="G204" s="60" t="n"/>
    </row>
    <row r="205" ht="16.5" customHeight="1">
      <c r="A205" s="62" t="n"/>
      <c r="B205" s="62" t="n"/>
      <c r="C205" s="60" t="n"/>
      <c r="D205" s="62" t="n"/>
      <c r="E205" s="2220" t="n"/>
      <c r="F205" s="2220" t="n"/>
      <c r="G205" s="60" t="n"/>
    </row>
    <row r="206" ht="16.5" customHeight="1">
      <c r="A206" s="62" t="n"/>
      <c r="B206" s="62" t="n"/>
      <c r="C206" s="60" t="n"/>
      <c r="D206" s="62" t="n"/>
      <c r="E206" s="2220" t="n"/>
      <c r="F206" s="2220" t="n"/>
      <c r="G206" s="60" t="n"/>
    </row>
    <row r="207" ht="16.5" customHeight="1">
      <c r="A207" s="62" t="n"/>
      <c r="B207" s="62" t="n"/>
      <c r="C207" s="60" t="n"/>
      <c r="D207" s="62" t="n"/>
      <c r="E207" s="2220" t="n"/>
      <c r="F207" s="2220" t="n"/>
      <c r="G207" s="60" t="n"/>
    </row>
    <row r="208" ht="16.5" customHeight="1">
      <c r="A208" s="62" t="n"/>
      <c r="B208" s="62" t="n"/>
      <c r="C208" s="60" t="n"/>
      <c r="D208" s="62" t="n"/>
      <c r="E208" s="2220" t="n"/>
      <c r="F208" s="2220" t="n"/>
      <c r="G208" s="60" t="n"/>
    </row>
    <row r="209" ht="16.5" customHeight="1">
      <c r="A209" s="62" t="n"/>
      <c r="B209" s="62" t="n"/>
      <c r="C209" s="60" t="n"/>
      <c r="D209" s="62" t="n"/>
      <c r="E209" s="2220" t="n"/>
      <c r="F209" s="2220" t="n"/>
      <c r="G209" s="60" t="n"/>
    </row>
    <row r="210" ht="16.5" customHeight="1">
      <c r="A210" s="62" t="n"/>
      <c r="B210" s="62" t="n"/>
      <c r="C210" s="60" t="n"/>
      <c r="D210" s="62" t="n"/>
      <c r="E210" s="2220" t="n"/>
      <c r="F210" s="2220" t="n"/>
      <c r="G210" s="60" t="n"/>
    </row>
    <row r="211" ht="16.5" customHeight="1">
      <c r="A211" s="62" t="n"/>
      <c r="B211" s="62" t="n"/>
      <c r="C211" s="60" t="n"/>
      <c r="D211" s="62" t="n"/>
      <c r="E211" s="2220" t="n"/>
      <c r="F211" s="2220" t="n"/>
      <c r="G211" s="60" t="n"/>
    </row>
    <row r="212" ht="16.5" customHeight="1">
      <c r="A212" s="62" t="n"/>
      <c r="B212" s="62" t="n"/>
      <c r="C212" s="60" t="n"/>
      <c r="D212" s="62" t="n"/>
      <c r="E212" s="2220" t="n"/>
      <c r="F212" s="2220" t="n"/>
      <c r="G212" s="60" t="n"/>
    </row>
    <row r="213" ht="16.5" customHeight="1">
      <c r="A213" s="62" t="n"/>
      <c r="B213" s="62" t="n"/>
      <c r="C213" s="60" t="n"/>
      <c r="D213" s="62" t="n"/>
      <c r="E213" s="2220" t="n"/>
      <c r="F213" s="2220" t="n"/>
      <c r="G213" s="60" t="n"/>
    </row>
    <row r="214" ht="16.5" customHeight="1">
      <c r="A214" s="62" t="n"/>
      <c r="B214" s="62" t="n"/>
      <c r="C214" s="60" t="n"/>
      <c r="D214" s="62" t="n"/>
      <c r="E214" s="2220" t="n"/>
      <c r="F214" s="2220" t="n"/>
      <c r="G214" s="60" t="n"/>
    </row>
    <row r="215" ht="16.5" customHeight="1">
      <c r="A215" s="62" t="n"/>
      <c r="B215" s="62" t="n"/>
      <c r="C215" s="60" t="n"/>
      <c r="D215" s="62" t="n"/>
      <c r="E215" s="2220" t="n"/>
      <c r="F215" s="2220" t="n"/>
      <c r="G215" s="60" t="n"/>
    </row>
    <row r="216" ht="16.5" customHeight="1">
      <c r="A216" s="62" t="n"/>
      <c r="B216" s="62" t="n"/>
      <c r="C216" s="60" t="n"/>
      <c r="D216" s="62" t="n"/>
      <c r="E216" s="2220" t="n"/>
      <c r="F216" s="2220" t="n"/>
      <c r="G216" s="60" t="n"/>
    </row>
    <row r="217" ht="16.5" customHeight="1">
      <c r="A217" s="62" t="n"/>
      <c r="B217" s="62" t="n"/>
      <c r="C217" s="60" t="n"/>
      <c r="D217" s="62" t="n"/>
      <c r="E217" s="2220" t="n"/>
      <c r="F217" s="2220" t="n"/>
      <c r="G217" s="60" t="n"/>
    </row>
    <row r="218" ht="16.5" customHeight="1">
      <c r="A218" s="62" t="n"/>
      <c r="B218" s="62" t="n"/>
      <c r="C218" s="60" t="n"/>
      <c r="D218" s="62" t="n"/>
      <c r="E218" s="2220" t="n"/>
      <c r="F218" s="2220" t="n"/>
      <c r="G218" s="60" t="n"/>
    </row>
    <row r="219" ht="16.5" customHeight="1">
      <c r="A219" s="62" t="n"/>
      <c r="B219" s="62" t="n"/>
      <c r="C219" s="60" t="n"/>
      <c r="D219" s="62" t="n"/>
      <c r="E219" s="2220" t="n"/>
      <c r="F219" s="2220" t="n"/>
      <c r="G219" s="60" t="n"/>
    </row>
    <row r="220" ht="16.5" customHeight="1">
      <c r="A220" s="62" t="n"/>
      <c r="B220" s="62" t="n"/>
      <c r="C220" s="60" t="n"/>
      <c r="D220" s="62" t="n"/>
      <c r="E220" s="2220" t="n"/>
      <c r="F220" s="2220" t="n"/>
      <c r="G220" s="60" t="n"/>
    </row>
    <row r="221" ht="16.5" customHeight="1">
      <c r="A221" s="62" t="n"/>
      <c r="B221" s="62" t="n"/>
      <c r="C221" s="60" t="n"/>
      <c r="D221" s="62" t="n"/>
      <c r="E221" s="2220" t="n"/>
      <c r="F221" s="2220" t="n"/>
      <c r="G221" s="60" t="n"/>
    </row>
    <row r="222" ht="16.5" customHeight="1">
      <c r="A222" s="62" t="n"/>
      <c r="B222" s="62" t="n"/>
      <c r="C222" s="60" t="n"/>
      <c r="D222" s="62" t="n"/>
      <c r="E222" s="2220" t="n"/>
      <c r="F222" s="2220" t="n"/>
      <c r="G222" s="60" t="n"/>
    </row>
    <row r="223" ht="16.5" customHeight="1">
      <c r="A223" s="62" t="n"/>
      <c r="B223" s="62" t="n"/>
      <c r="C223" s="60" t="n"/>
      <c r="D223" s="62" t="n"/>
      <c r="E223" s="2220" t="n"/>
      <c r="F223" s="2220" t="n"/>
      <c r="G223" s="60" t="n"/>
    </row>
    <row r="224" ht="16.5" customHeight="1">
      <c r="A224" s="62" t="n"/>
      <c r="B224" s="62" t="n"/>
      <c r="C224" s="60" t="n"/>
      <c r="D224" s="62" t="n"/>
      <c r="E224" s="2220" t="n"/>
      <c r="F224" s="2220" t="n"/>
      <c r="G224" s="60" t="n"/>
    </row>
    <row r="225" ht="16.5" customHeight="1">
      <c r="A225" s="62" t="n"/>
      <c r="B225" s="62" t="n"/>
      <c r="C225" s="60" t="n"/>
      <c r="D225" s="62" t="n"/>
      <c r="E225" s="2220" t="n"/>
      <c r="F225" s="2220" t="n"/>
      <c r="G225" s="60" t="n"/>
    </row>
    <row r="226" ht="16.5" customHeight="1">
      <c r="A226" s="62" t="n"/>
      <c r="B226" s="62" t="n"/>
      <c r="C226" s="60" t="n"/>
      <c r="D226" s="62" t="n"/>
      <c r="E226" s="2220" t="n"/>
      <c r="F226" s="2220" t="n"/>
      <c r="G226" s="60" t="n"/>
    </row>
    <row r="227" ht="16.5" customHeight="1">
      <c r="A227" s="62" t="n"/>
      <c r="B227" s="62" t="n"/>
      <c r="C227" s="60" t="n"/>
      <c r="D227" s="62" t="n"/>
      <c r="E227" s="2220" t="n"/>
      <c r="F227" s="2220" t="n"/>
      <c r="G227" s="60" t="n"/>
    </row>
    <row r="228" ht="16.5" customHeight="1">
      <c r="A228" s="62" t="n"/>
      <c r="B228" s="62" t="n"/>
      <c r="C228" s="60" t="n"/>
      <c r="D228" s="62" t="n"/>
      <c r="E228" s="2220" t="n"/>
      <c r="F228" s="2220" t="n"/>
      <c r="G228" s="60" t="n"/>
    </row>
    <row r="229" ht="16.5" customHeight="1">
      <c r="A229" s="62" t="n"/>
      <c r="B229" s="62" t="n"/>
      <c r="C229" s="60" t="n"/>
      <c r="D229" s="62" t="n"/>
      <c r="E229" s="2220" t="n"/>
      <c r="F229" s="2220" t="n"/>
      <c r="G229" s="60" t="n"/>
    </row>
    <row r="230" ht="16.5" customHeight="1">
      <c r="A230" s="62" t="n"/>
      <c r="B230" s="62" t="n"/>
      <c r="C230" s="60" t="n"/>
      <c r="D230" s="62" t="n"/>
      <c r="E230" s="2220" t="n"/>
      <c r="F230" s="2220" t="n"/>
      <c r="G230" s="60" t="n"/>
    </row>
    <row r="231" ht="16.5" customHeight="1">
      <c r="A231" s="62" t="n"/>
      <c r="B231" s="62" t="n"/>
      <c r="C231" s="60" t="n"/>
      <c r="D231" s="62" t="n"/>
      <c r="E231" s="2220" t="n"/>
      <c r="F231" s="2220" t="n"/>
      <c r="G231" s="60" t="n"/>
    </row>
    <row r="232" ht="16.5" customHeight="1">
      <c r="A232" s="62" t="n"/>
      <c r="B232" s="62" t="n"/>
      <c r="C232" s="60" t="n"/>
      <c r="D232" s="62" t="n"/>
      <c r="E232" s="2220" t="n"/>
      <c r="F232" s="2220" t="n"/>
      <c r="G232" s="60" t="n"/>
    </row>
    <row r="233" ht="16.5" customHeight="1">
      <c r="A233" s="62" t="n"/>
      <c r="B233" s="62" t="n"/>
      <c r="C233" s="60" t="n"/>
      <c r="D233" s="62" t="n"/>
      <c r="E233" s="2220" t="n"/>
      <c r="F233" s="2220" t="n"/>
      <c r="G233" s="60" t="n"/>
    </row>
    <row r="234" ht="16.5" customHeight="1">
      <c r="A234" s="62" t="n"/>
      <c r="B234" s="62" t="n"/>
      <c r="C234" s="60" t="n"/>
      <c r="D234" s="62" t="n"/>
      <c r="E234" s="2220" t="n"/>
      <c r="F234" s="2220" t="n"/>
      <c r="G234" s="60" t="n"/>
    </row>
    <row r="235" ht="16.5" customHeight="1">
      <c r="A235" s="62" t="n"/>
      <c r="B235" s="62" t="n"/>
      <c r="C235" s="60" t="n"/>
      <c r="D235" s="62" t="n"/>
      <c r="E235" s="2220" t="n"/>
      <c r="F235" s="2220" t="n"/>
      <c r="G235" s="60" t="n"/>
    </row>
    <row r="236" ht="16.5" customHeight="1">
      <c r="A236" s="62" t="n"/>
      <c r="B236" s="62" t="n"/>
      <c r="C236" s="60" t="n"/>
      <c r="D236" s="62" t="n"/>
      <c r="E236" s="2220" t="n"/>
      <c r="F236" s="2220" t="n"/>
      <c r="G236" s="60" t="n"/>
    </row>
    <row r="237" ht="16.5" customHeight="1">
      <c r="A237" s="62" t="n"/>
      <c r="B237" s="62" t="n"/>
      <c r="C237" s="60" t="n"/>
      <c r="D237" s="62" t="n"/>
      <c r="E237" s="2220" t="n"/>
      <c r="F237" s="2220" t="n"/>
      <c r="G237" s="60" t="n"/>
    </row>
    <row r="238" ht="16.5" customHeight="1">
      <c r="A238" s="62" t="n"/>
      <c r="B238" s="62" t="n"/>
      <c r="C238" s="60" t="n"/>
      <c r="D238" s="62" t="n"/>
      <c r="E238" s="2220" t="n"/>
      <c r="F238" s="2220" t="n"/>
      <c r="G238" s="60" t="n"/>
    </row>
    <row r="239" ht="16.5" customHeight="1">
      <c r="A239" s="62" t="n"/>
      <c r="B239" s="62" t="n"/>
      <c r="C239" s="60" t="n"/>
      <c r="D239" s="62" t="n"/>
      <c r="E239" s="2220" t="n"/>
      <c r="F239" s="2220" t="n"/>
      <c r="G239" s="60" t="n"/>
    </row>
    <row r="240" ht="16.5" customHeight="1">
      <c r="A240" s="62" t="n"/>
      <c r="B240" s="62" t="n"/>
      <c r="C240" s="60" t="n"/>
      <c r="D240" s="62" t="n"/>
      <c r="E240" s="2220" t="n"/>
      <c r="F240" s="2220" t="n"/>
      <c r="G240" s="60" t="n"/>
    </row>
    <row r="241" ht="16.5" customHeight="1">
      <c r="A241" s="62" t="n"/>
      <c r="B241" s="62" t="n"/>
      <c r="C241" s="60" t="n"/>
      <c r="D241" s="62" t="n"/>
      <c r="E241" s="2220" t="n"/>
      <c r="F241" s="2220" t="n"/>
      <c r="G241" s="60" t="n"/>
    </row>
    <row r="242" ht="16.5" customHeight="1">
      <c r="A242" s="62" t="n"/>
      <c r="B242" s="62" t="n"/>
      <c r="C242" s="60" t="n"/>
      <c r="D242" s="62" t="n"/>
      <c r="E242" s="2220" t="n"/>
      <c r="F242" s="2220" t="n"/>
      <c r="G242" s="60" t="n"/>
    </row>
    <row r="243" ht="16.5" customHeight="1">
      <c r="A243" s="62" t="n"/>
      <c r="B243" s="62" t="n"/>
      <c r="C243" s="60" t="n"/>
      <c r="D243" s="62" t="n"/>
      <c r="E243" s="2220" t="n"/>
      <c r="F243" s="2220" t="n"/>
      <c r="G243" s="60" t="n"/>
    </row>
    <row r="244" ht="16.5" customHeight="1">
      <c r="A244" s="62" t="n"/>
      <c r="B244" s="62" t="n"/>
      <c r="C244" s="60" t="n"/>
      <c r="D244" s="62" t="n"/>
      <c r="E244" s="2220" t="n"/>
      <c r="F244" s="2220" t="n"/>
      <c r="G244" s="60" t="n"/>
    </row>
    <row r="245" ht="16.5" customHeight="1">
      <c r="A245" s="62" t="n"/>
      <c r="B245" s="62" t="n"/>
      <c r="C245" s="60" t="n"/>
      <c r="D245" s="62" t="n"/>
      <c r="E245" s="2220" t="n"/>
      <c r="F245" s="2220" t="n"/>
      <c r="G245" s="60" t="n"/>
    </row>
    <row r="246" ht="16.5" customHeight="1">
      <c r="A246" s="62" t="n"/>
      <c r="B246" s="62" t="n"/>
      <c r="C246" s="60" t="n"/>
      <c r="D246" s="62" t="n"/>
      <c r="E246" s="2220" t="n"/>
      <c r="F246" s="2220" t="n"/>
      <c r="G246" s="60" t="n"/>
    </row>
    <row r="247" ht="16.5" customHeight="1">
      <c r="A247" s="62" t="n"/>
      <c r="B247" s="62" t="n"/>
      <c r="C247" s="60" t="n"/>
      <c r="D247" s="62" t="n"/>
      <c r="E247" s="2220" t="n"/>
      <c r="F247" s="2220" t="n"/>
      <c r="G247" s="60" t="n"/>
    </row>
    <row r="248" ht="16.5" customHeight="1">
      <c r="A248" s="62" t="n"/>
      <c r="B248" s="62" t="n"/>
      <c r="C248" s="60" t="n"/>
      <c r="D248" s="62" t="n"/>
      <c r="E248" s="2220" t="n"/>
      <c r="F248" s="2220" t="n"/>
      <c r="G248" s="60" t="n"/>
    </row>
    <row r="249" ht="16.5" customHeight="1">
      <c r="A249" s="62" t="n"/>
      <c r="B249" s="62" t="n"/>
      <c r="C249" s="60" t="n"/>
      <c r="D249" s="62" t="n"/>
      <c r="E249" s="2220" t="n"/>
      <c r="F249" s="2220" t="n"/>
      <c r="G249" s="60" t="n"/>
    </row>
    <row r="250" ht="16.5" customHeight="1">
      <c r="A250" s="62" t="n"/>
      <c r="B250" s="62" t="n"/>
      <c r="C250" s="60" t="n"/>
      <c r="D250" s="62" t="n"/>
      <c r="E250" s="2220" t="n"/>
      <c r="F250" s="2220" t="n"/>
      <c r="G250" s="60" t="n"/>
    </row>
    <row r="251" ht="16.5" customHeight="1">
      <c r="A251" s="62" t="n"/>
      <c r="B251" s="62" t="n"/>
      <c r="C251" s="60" t="n"/>
      <c r="D251" s="62" t="n"/>
      <c r="E251" s="2220" t="n"/>
      <c r="F251" s="2220" t="n"/>
      <c r="G251" s="60" t="n"/>
    </row>
    <row r="252" ht="16.5" customHeight="1">
      <c r="A252" s="62" t="n"/>
      <c r="B252" s="62" t="n"/>
      <c r="C252" s="60" t="n"/>
      <c r="D252" s="62" t="n"/>
      <c r="E252" s="2220" t="n"/>
      <c r="F252" s="2220" t="n"/>
      <c r="G252" s="60" t="n"/>
    </row>
    <row r="253" ht="16.5" customHeight="1">
      <c r="A253" s="62" t="n"/>
      <c r="B253" s="62" t="n"/>
      <c r="C253" s="60" t="n"/>
      <c r="D253" s="62" t="n"/>
      <c r="E253" s="2220" t="n"/>
      <c r="F253" s="2220" t="n"/>
      <c r="G253" s="60" t="n"/>
    </row>
    <row r="254" ht="16.5" customHeight="1">
      <c r="A254" s="62" t="n"/>
      <c r="B254" s="62" t="n"/>
      <c r="C254" s="60" t="n"/>
      <c r="D254" s="62" t="n"/>
      <c r="E254" s="2220" t="n"/>
      <c r="F254" s="2220" t="n"/>
      <c r="G254" s="60" t="n"/>
    </row>
    <row r="255" ht="16.5" customHeight="1">
      <c r="A255" s="62" t="n"/>
      <c r="B255" s="62" t="n"/>
      <c r="C255" s="60" t="n"/>
      <c r="D255" s="62" t="n"/>
      <c r="E255" s="2220" t="n"/>
      <c r="F255" s="2220" t="n"/>
      <c r="G255" s="60" t="n"/>
    </row>
    <row r="256" ht="16.5" customHeight="1">
      <c r="A256" s="62" t="n"/>
      <c r="B256" s="62" t="n"/>
      <c r="C256" s="60" t="n"/>
      <c r="D256" s="62" t="n"/>
      <c r="E256" s="2220" t="n"/>
      <c r="F256" s="2220" t="n"/>
      <c r="G256" s="60" t="n"/>
    </row>
    <row r="257" ht="16.5" customHeight="1">
      <c r="A257" s="62" t="n"/>
      <c r="B257" s="62" t="n"/>
      <c r="C257" s="60" t="n"/>
      <c r="D257" s="62" t="n"/>
      <c r="E257" s="2220" t="n"/>
      <c r="F257" s="2220" t="n"/>
      <c r="G257" s="60" t="n"/>
    </row>
    <row r="258" ht="16.5" customHeight="1">
      <c r="A258" s="62" t="n"/>
      <c r="B258" s="62" t="n"/>
      <c r="C258" s="60" t="n"/>
      <c r="D258" s="62" t="n"/>
      <c r="E258" s="2220" t="n"/>
      <c r="F258" s="2220" t="n"/>
      <c r="G258" s="60" t="n"/>
    </row>
    <row r="259" ht="16.5" customHeight="1">
      <c r="A259" s="62" t="n"/>
      <c r="B259" s="62" t="n"/>
      <c r="C259" s="60" t="n"/>
      <c r="D259" s="62" t="n"/>
      <c r="E259" s="2220" t="n"/>
      <c r="F259" s="2220" t="n"/>
      <c r="G259" s="60" t="n"/>
    </row>
    <row r="260" ht="16.5" customHeight="1">
      <c r="A260" s="62" t="n"/>
      <c r="B260" s="62" t="n"/>
      <c r="C260" s="60" t="n"/>
      <c r="D260" s="62" t="n"/>
      <c r="E260" s="2220" t="n"/>
      <c r="F260" s="2220" t="n"/>
      <c r="G260" s="60" t="n"/>
    </row>
    <row r="261" ht="16.5" customHeight="1">
      <c r="A261" s="62" t="n"/>
      <c r="B261" s="62" t="n"/>
      <c r="C261" s="60" t="n"/>
      <c r="D261" s="62" t="n"/>
      <c r="E261" s="2220" t="n"/>
      <c r="F261" s="2220" t="n"/>
      <c r="G261" s="60" t="n"/>
    </row>
    <row r="262" ht="16.5" customHeight="1">
      <c r="A262" s="62" t="n"/>
      <c r="B262" s="62" t="n"/>
      <c r="C262" s="60" t="n"/>
      <c r="D262" s="62" t="n"/>
      <c r="E262" s="2220" t="n"/>
      <c r="F262" s="2220" t="n"/>
      <c r="G262" s="60" t="n"/>
    </row>
    <row r="263" ht="16.5" customHeight="1">
      <c r="A263" s="62" t="n"/>
      <c r="B263" s="62" t="n"/>
      <c r="C263" s="60" t="n"/>
      <c r="D263" s="62" t="n"/>
      <c r="E263" s="2220" t="n"/>
      <c r="F263" s="2220" t="n"/>
      <c r="G263" s="60" t="n"/>
    </row>
    <row r="264" ht="16.5" customHeight="1">
      <c r="A264" s="62" t="n"/>
      <c r="B264" s="62" t="n"/>
      <c r="C264" s="60" t="n"/>
      <c r="D264" s="62" t="n"/>
      <c r="E264" s="2220" t="n"/>
      <c r="F264" s="2220" t="n"/>
      <c r="G264" s="60" t="n"/>
    </row>
    <row r="265" ht="16.5" customHeight="1">
      <c r="A265" s="62" t="n"/>
      <c r="B265" s="62" t="n"/>
      <c r="C265" s="60" t="n"/>
      <c r="D265" s="62" t="n"/>
      <c r="E265" s="2220" t="n"/>
      <c r="F265" s="2220" t="n"/>
      <c r="G265" s="60" t="n"/>
    </row>
    <row r="266" ht="16.5" customHeight="1">
      <c r="A266" s="62" t="n"/>
      <c r="B266" s="62" t="n"/>
      <c r="C266" s="60" t="n"/>
      <c r="D266" s="62" t="n"/>
      <c r="E266" s="2220" t="n"/>
      <c r="F266" s="2220" t="n"/>
      <c r="G266" s="60" t="n"/>
    </row>
    <row r="267" ht="16.5" customHeight="1">
      <c r="A267" s="62" t="n"/>
      <c r="B267" s="62" t="n"/>
      <c r="C267" s="60" t="n"/>
      <c r="D267" s="62" t="n"/>
      <c r="E267" s="2220" t="n"/>
      <c r="F267" s="2220" t="n"/>
      <c r="G267" s="60" t="n"/>
    </row>
    <row r="268" ht="16.5" customHeight="1">
      <c r="A268" s="62" t="n"/>
      <c r="B268" s="62" t="n"/>
      <c r="C268" s="60" t="n"/>
      <c r="D268" s="62" t="n"/>
      <c r="E268" s="2220" t="n"/>
      <c r="F268" s="2220" t="n"/>
      <c r="G268" s="60" t="n"/>
    </row>
    <row r="269" ht="16.5" customHeight="1">
      <c r="A269" s="62" t="n"/>
      <c r="B269" s="62" t="n"/>
      <c r="C269" s="60" t="n"/>
      <c r="D269" s="62" t="n"/>
      <c r="E269" s="2220" t="n"/>
      <c r="F269" s="2220" t="n"/>
      <c r="G269" s="60" t="n"/>
    </row>
    <row r="270" ht="16.5" customHeight="1">
      <c r="A270" s="62" t="n"/>
      <c r="B270" s="62" t="n"/>
      <c r="C270" s="60" t="n"/>
      <c r="D270" s="62" t="n"/>
      <c r="E270" s="2220" t="n"/>
      <c r="F270" s="2220" t="n"/>
      <c r="G270" s="60" t="n"/>
    </row>
    <row r="271" ht="16.5" customHeight="1">
      <c r="A271" s="62" t="n"/>
      <c r="B271" s="62" t="n"/>
      <c r="C271" s="60" t="n"/>
      <c r="D271" s="62" t="n"/>
      <c r="E271" s="2220" t="n"/>
      <c r="F271" s="2220" t="n"/>
      <c r="G271" s="60" t="n"/>
    </row>
    <row r="272" ht="16.5" customHeight="1">
      <c r="A272" s="62" t="n"/>
      <c r="B272" s="62" t="n"/>
      <c r="C272" s="60" t="n"/>
      <c r="D272" s="62" t="n"/>
      <c r="E272" s="2220" t="n"/>
      <c r="F272" s="2220" t="n"/>
      <c r="G272" s="60" t="n"/>
    </row>
    <row r="273" ht="16.5" customHeight="1">
      <c r="A273" s="62" t="n"/>
      <c r="B273" s="62" t="n"/>
      <c r="C273" s="60" t="n"/>
      <c r="D273" s="62" t="n"/>
      <c r="E273" s="2220" t="n"/>
      <c r="F273" s="2220" t="n"/>
      <c r="G273" s="60" t="n"/>
    </row>
    <row r="274" ht="16.5" customHeight="1">
      <c r="A274" s="62" t="n"/>
      <c r="B274" s="62" t="n"/>
      <c r="C274" s="60" t="n"/>
      <c r="D274" s="62" t="n"/>
      <c r="E274" s="2220" t="n"/>
      <c r="F274" s="2220" t="n"/>
      <c r="G274" s="60" t="n"/>
    </row>
    <row r="275" ht="16.5" customHeight="1">
      <c r="A275" s="62" t="n"/>
      <c r="B275" s="62" t="n"/>
      <c r="C275" s="60" t="n"/>
      <c r="D275" s="62" t="n"/>
      <c r="E275" s="2220" t="n"/>
      <c r="F275" s="2220" t="n"/>
      <c r="G275" s="60" t="n"/>
    </row>
    <row r="276" ht="16.5" customHeight="1">
      <c r="A276" s="62" t="n"/>
      <c r="B276" s="62" t="n"/>
      <c r="C276" s="60" t="n"/>
      <c r="D276" s="62" t="n"/>
      <c r="E276" s="2220" t="n"/>
      <c r="F276" s="2220" t="n"/>
      <c r="G276" s="60" t="n"/>
    </row>
    <row r="277" ht="16.5" customHeight="1">
      <c r="A277" s="62" t="n"/>
      <c r="B277" s="62" t="n"/>
      <c r="C277" s="60" t="n"/>
      <c r="D277" s="62" t="n"/>
      <c r="E277" s="2220" t="n"/>
      <c r="F277" s="2220" t="n"/>
      <c r="G277" s="60" t="n"/>
    </row>
    <row r="278" ht="16.5" customHeight="1">
      <c r="A278" s="62" t="n"/>
      <c r="B278" s="62" t="n"/>
      <c r="C278" s="60" t="n"/>
      <c r="D278" s="62" t="n"/>
      <c r="E278" s="2220" t="n"/>
      <c r="F278" s="2220" t="n"/>
      <c r="G278" s="60" t="n"/>
    </row>
    <row r="279" ht="16.5" customHeight="1">
      <c r="A279" s="62" t="n"/>
      <c r="B279" s="62" t="n"/>
      <c r="C279" s="60" t="n"/>
      <c r="D279" s="62" t="n"/>
      <c r="E279" s="2220" t="n"/>
      <c r="F279" s="2220" t="n"/>
      <c r="G279" s="60" t="n"/>
    </row>
    <row r="280" ht="16.5" customHeight="1">
      <c r="A280" s="62" t="n"/>
      <c r="B280" s="62" t="n"/>
      <c r="C280" s="60" t="n"/>
      <c r="D280" s="62" t="n"/>
      <c r="E280" s="2220" t="n"/>
      <c r="F280" s="2220" t="n"/>
      <c r="G280" s="60" t="n"/>
    </row>
    <row r="281" ht="16.5" customHeight="1">
      <c r="A281" s="62" t="n"/>
      <c r="B281" s="62" t="n"/>
      <c r="C281" s="60" t="n"/>
      <c r="D281" s="62" t="n"/>
      <c r="E281" s="2220" t="n"/>
      <c r="F281" s="2220" t="n"/>
      <c r="G281" s="60" t="n"/>
    </row>
    <row r="282" ht="16.5" customHeight="1">
      <c r="A282" s="62" t="n"/>
      <c r="B282" s="62" t="n"/>
      <c r="C282" s="60" t="n"/>
      <c r="D282" s="62" t="n"/>
      <c r="E282" s="2220" t="n"/>
      <c r="F282" s="2220" t="n"/>
      <c r="G282" s="60" t="n"/>
    </row>
    <row r="283" ht="16.5" customHeight="1">
      <c r="A283" s="62" t="n"/>
      <c r="B283" s="62" t="n"/>
      <c r="C283" s="60" t="n"/>
      <c r="D283" s="62" t="n"/>
      <c r="E283" s="2220" t="n"/>
      <c r="F283" s="2220" t="n"/>
      <c r="G283" s="60" t="n"/>
    </row>
    <row r="284" ht="16.5" customHeight="1">
      <c r="A284" s="62" t="n"/>
      <c r="B284" s="62" t="n"/>
      <c r="C284" s="60" t="n"/>
      <c r="D284" s="62" t="n"/>
      <c r="E284" s="2220" t="n"/>
      <c r="F284" s="2220" t="n"/>
      <c r="G284" s="60" t="n"/>
    </row>
    <row r="285" ht="16.5" customHeight="1">
      <c r="A285" s="62" t="n"/>
      <c r="B285" s="62" t="n"/>
      <c r="C285" s="60" t="n"/>
      <c r="D285" s="62" t="n"/>
      <c r="E285" s="2220" t="n"/>
      <c r="F285" s="2220" t="n"/>
      <c r="G285" s="60" t="n"/>
    </row>
    <row r="286" ht="16.5" customHeight="1">
      <c r="A286" s="62" t="n"/>
      <c r="B286" s="62" t="n"/>
      <c r="C286" s="60" t="n"/>
      <c r="D286" s="62" t="n"/>
      <c r="E286" s="2220" t="n"/>
      <c r="F286" s="2220" t="n"/>
      <c r="G286" s="60" t="n"/>
    </row>
    <row r="287" ht="16.5" customHeight="1">
      <c r="A287" s="62" t="n"/>
      <c r="B287" s="62" t="n"/>
      <c r="C287" s="60" t="n"/>
      <c r="D287" s="62" t="n"/>
      <c r="E287" s="2220" t="n"/>
      <c r="F287" s="2220" t="n"/>
      <c r="G287" s="60" t="n"/>
    </row>
    <row r="288" ht="16.5" customHeight="1">
      <c r="A288" s="62" t="n"/>
      <c r="B288" s="62" t="n"/>
      <c r="C288" s="60" t="n"/>
      <c r="D288" s="62" t="n"/>
      <c r="E288" s="2220" t="n"/>
      <c r="F288" s="2220" t="n"/>
      <c r="G288" s="60" t="n"/>
    </row>
    <row r="289" ht="16.5" customHeight="1">
      <c r="A289" s="62" t="n"/>
      <c r="B289" s="62" t="n"/>
      <c r="C289" s="60" t="n"/>
      <c r="D289" s="62" t="n"/>
      <c r="E289" s="2220" t="n"/>
      <c r="F289" s="2220" t="n"/>
      <c r="G289" s="60" t="n"/>
    </row>
  </sheetData>
  <autoFilter ref="A3:G278"/>
  <pageMargins left="0.7086614173228347" right="0.7086614173228347" top="0.7480314960629921" bottom="0.7480314960629921" header="0.3149606299212598" footer="0.3149606299212598"/>
  <pageSetup orientation="landscape" paperSize="9" scale="3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1:X42"/>
  <sheetViews>
    <sheetView showGridLines="0" zoomScaleNormal="100" workbookViewId="0">
      <selection activeCell="A1" sqref="A1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4.125" bestFit="1" customWidth="1" style="2243" min="6" max="8"/>
    <col width="5.875" bestFit="1" customWidth="1" style="2243" min="9" max="18"/>
    <col width="6" bestFit="1" customWidth="1" style="2243" min="19" max="19"/>
    <col width="50.875" customWidth="1" style="2243" min="20" max="20"/>
    <col width="7.875" customWidth="1" style="383" min="21" max="21"/>
    <col width="8.875" customWidth="1" style="383" min="22" max="22"/>
    <col width="8.875" bestFit="1" customWidth="1" style="386" min="23" max="23"/>
    <col width="9.375" bestFit="1" customWidth="1" style="386" min="24" max="24"/>
    <col width="8.875" customWidth="1" style="383" min="25" max="16384"/>
  </cols>
  <sheetData>
    <row r="1" ht="19.7" customHeight="1">
      <c r="A1" s="382" t="inlineStr">
        <is>
          <t>2022년 컴투버스 자금수지 실적</t>
        </is>
      </c>
      <c r="T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245" t="n"/>
      <c r="I2" s="2245" t="n"/>
      <c r="J2" s="2245" t="n"/>
      <c r="K2" s="2245" t="n"/>
      <c r="L2" s="2245" t="n"/>
      <c r="M2" s="2245" t="n"/>
      <c r="N2" s="2245" t="n"/>
      <c r="O2" s="2245" t="n"/>
      <c r="P2" s="2245" t="n"/>
      <c r="Q2" s="2245" t="n"/>
      <c r="R2" s="2245" t="n"/>
      <c r="S2" s="2245" t="n"/>
      <c r="T2" s="2245" t="n"/>
    </row>
    <row r="7">
      <c r="B7" s="390" t="inlineStr">
        <is>
          <t>※ 2022년 4월 1일 설립</t>
        </is>
      </c>
      <c r="C7" s="391" t="n"/>
      <c r="D7" s="391" t="n"/>
      <c r="E7" s="391" t="n"/>
      <c r="F7" s="391" t="n"/>
      <c r="G7" s="391" t="n"/>
      <c r="H7" s="391" t="n"/>
      <c r="I7" s="391" t="n"/>
      <c r="J7" s="391" t="n"/>
      <c r="K7" s="391" t="n"/>
      <c r="L7" s="391" t="n"/>
      <c r="M7" s="391" t="n"/>
      <c r="N7" s="391" t="n"/>
      <c r="O7" s="391" t="n"/>
      <c r="P7" s="391" t="n"/>
      <c r="Q7" s="391" t="n"/>
      <c r="R7" s="391" t="n"/>
      <c r="S7" s="391" t="n"/>
      <c r="T7" s="392" t="inlineStr">
        <is>
          <t>(단위 : 억원)</t>
        </is>
      </c>
    </row>
    <row r="8" ht="16.35" customHeight="1">
      <c r="B8" s="2246" t="inlineStr">
        <is>
          <t>구분</t>
        </is>
      </c>
      <c r="C8" s="1941" t="n"/>
      <c r="D8" s="1941" t="n"/>
      <c r="E8" s="1929" t="n"/>
      <c r="F8" s="2247" t="inlineStr">
        <is>
          <t>2022년</t>
        </is>
      </c>
      <c r="G8" s="1941" t="n"/>
      <c r="H8" s="1941" t="n"/>
      <c r="I8" s="1941" t="n"/>
      <c r="J8" s="1941" t="n"/>
      <c r="K8" s="1941" t="n"/>
      <c r="L8" s="1941" t="n"/>
      <c r="M8" s="1941" t="n"/>
      <c r="N8" s="1941" t="n"/>
      <c r="O8" s="1941" t="n"/>
      <c r="P8" s="1941" t="n"/>
      <c r="Q8" s="1941" t="n"/>
      <c r="R8" s="1941" t="n"/>
      <c r="S8" s="1929" t="n"/>
      <c r="T8" s="2248" t="inlineStr">
        <is>
          <t>세부사항</t>
        </is>
      </c>
    </row>
    <row r="9" ht="14.25" customHeight="1" thickBot="1">
      <c r="B9" s="2249" t="n"/>
      <c r="C9" s="2249" t="n"/>
      <c r="D9" s="2249" t="n"/>
      <c r="E9" s="2250" t="n"/>
      <c r="F9" s="393" t="inlineStr">
        <is>
          <t>1월</t>
        </is>
      </c>
      <c r="G9" s="394" t="inlineStr">
        <is>
          <t>2월</t>
        </is>
      </c>
      <c r="H9" s="394" t="inlineStr">
        <is>
          <t>3월</t>
        </is>
      </c>
      <c r="I9" s="395" t="inlineStr">
        <is>
          <t>4월</t>
        </is>
      </c>
      <c r="J9" s="395" t="inlineStr">
        <is>
          <t>5월</t>
        </is>
      </c>
      <c r="K9" s="395" t="inlineStr">
        <is>
          <t>6월</t>
        </is>
      </c>
      <c r="L9" s="395" t="inlineStr">
        <is>
          <t>7월</t>
        </is>
      </c>
      <c r="M9" s="395" t="inlineStr">
        <is>
          <t>8월</t>
        </is>
      </c>
      <c r="N9" s="395" t="inlineStr">
        <is>
          <t>9월</t>
        </is>
      </c>
      <c r="O9" s="395" t="inlineStr">
        <is>
          <t>10월</t>
        </is>
      </c>
      <c r="P9" s="395" t="inlineStr">
        <is>
          <t>11월</t>
        </is>
      </c>
      <c r="Q9" s="396" t="inlineStr">
        <is>
          <t>12월</t>
        </is>
      </c>
      <c r="R9" s="397" t="inlineStr">
        <is>
          <t>합계</t>
        </is>
      </c>
      <c r="S9" s="398" t="inlineStr">
        <is>
          <t>월평균</t>
        </is>
      </c>
      <c r="T9" s="2249" t="n"/>
    </row>
    <row r="10" customFormat="1" s="399">
      <c r="B10" s="2251" t="inlineStr">
        <is>
          <t xml:space="preserve"> A. 기초잔고</t>
        </is>
      </c>
      <c r="C10" s="1866" t="n"/>
      <c r="D10" s="1866" t="n"/>
      <c r="E10" s="1934" t="n"/>
      <c r="F10" s="2252" t="n">
        <v>0</v>
      </c>
      <c r="G10" s="2253">
        <f>F41</f>
        <v/>
      </c>
      <c r="H10" s="2253">
        <f>G41</f>
        <v/>
      </c>
      <c r="I10" s="2254">
        <f>H41</f>
        <v/>
      </c>
      <c r="J10" s="2254">
        <f>I41</f>
        <v/>
      </c>
      <c r="K10" s="2254">
        <f>J41</f>
        <v/>
      </c>
      <c r="L10" s="2254">
        <f>K41</f>
        <v/>
      </c>
      <c r="M10" s="2254">
        <f>L41</f>
        <v/>
      </c>
      <c r="N10" s="2254">
        <f>M41</f>
        <v/>
      </c>
      <c r="O10" s="2254">
        <f>N41</f>
        <v/>
      </c>
      <c r="P10" s="2254">
        <f>O41</f>
        <v/>
      </c>
      <c r="Q10" s="2255">
        <f>P41</f>
        <v/>
      </c>
      <c r="R10" s="2256">
        <f>F10</f>
        <v/>
      </c>
      <c r="S10" s="2257">
        <f>R10/9</f>
        <v/>
      </c>
      <c r="T10" s="406" t="n"/>
      <c r="W10" s="407" t="n"/>
      <c r="X10" s="407" t="n"/>
    </row>
    <row r="11">
      <c r="B11" s="1663" t="inlineStr">
        <is>
          <t xml:space="preserve"> B. 수입</t>
        </is>
      </c>
      <c r="C11" s="1941" t="n"/>
      <c r="D11" s="1941" t="n"/>
      <c r="E11" s="1929" t="n"/>
      <c r="F11" s="2258">
        <f>SUM(F12:F14)</f>
        <v/>
      </c>
      <c r="G11" s="2259">
        <f>SUM(G12:G14)</f>
        <v/>
      </c>
      <c r="H11" s="2259">
        <f>SUM(H12:H14)</f>
        <v/>
      </c>
      <c r="I11" s="2260">
        <f>SUM(I12:I14)</f>
        <v/>
      </c>
      <c r="J11" s="2260">
        <f>SUM(J12:J14)</f>
        <v/>
      </c>
      <c r="K11" s="2260">
        <f>SUM(K12:K14)</f>
        <v/>
      </c>
      <c r="L11" s="2260">
        <f>SUM(L12:L14)</f>
        <v/>
      </c>
      <c r="M11" s="2260">
        <f>SUM(M12:M14)</f>
        <v/>
      </c>
      <c r="N11" s="2260">
        <f>SUM(N12:N14)</f>
        <v/>
      </c>
      <c r="O11" s="2260">
        <f>SUM(O12:O14)</f>
        <v/>
      </c>
      <c r="P11" s="2260">
        <f>SUM(P12:P14)</f>
        <v/>
      </c>
      <c r="Q11" s="2261">
        <f>SUM(Q12:Q14)</f>
        <v/>
      </c>
      <c r="R11" s="2262">
        <f>SUM(R12,R14)</f>
        <v/>
      </c>
      <c r="S11" s="2263">
        <f>R11/9</f>
        <v/>
      </c>
      <c r="T11" s="414" t="n"/>
    </row>
    <row r="12" ht="17.45" customHeight="1">
      <c r="B12" s="415" t="n"/>
      <c r="C12" s="2264" t="inlineStr">
        <is>
          <t>경상</t>
        </is>
      </c>
      <c r="D12" s="2265" t="n"/>
      <c r="E12" s="2266" t="n"/>
      <c r="F12" s="2267" t="n"/>
      <c r="G12" s="2268" t="n"/>
      <c r="H12" s="2268" t="n"/>
      <c r="I12" s="2269" t="n">
        <v>0</v>
      </c>
      <c r="J12" s="2269" t="n">
        <v>0</v>
      </c>
      <c r="K12" s="2269" t="n">
        <v>0.20207258</v>
      </c>
      <c r="L12" s="2269" t="n">
        <v>0</v>
      </c>
      <c r="M12" s="2269" t="n">
        <v>0</v>
      </c>
      <c r="N12" s="2269" t="n">
        <v>0.33293501</v>
      </c>
      <c r="O12" s="2269" t="n">
        <v>0</v>
      </c>
      <c r="P12" s="2269" t="n">
        <v>0</v>
      </c>
      <c r="Q12" s="2270" t="n">
        <v>0.49694445</v>
      </c>
      <c r="R12" s="2271" t="n">
        <v>1.03195204</v>
      </c>
      <c r="S12" s="2272" t="n">
        <v>0.1146613377777778</v>
      </c>
      <c r="T12" s="422" t="inlineStr">
        <is>
          <t xml:space="preserve"> ○ 이자수익</t>
        </is>
      </c>
    </row>
    <row r="13">
      <c r="B13" s="415" t="n"/>
      <c r="C13" s="423" t="n"/>
      <c r="D13" s="415" t="n"/>
      <c r="E13" s="415" t="n"/>
      <c r="F13" s="2273" t="n"/>
      <c r="G13" s="2274" t="n"/>
      <c r="H13" s="2274" t="n"/>
      <c r="I13" s="2275" t="n"/>
      <c r="J13" s="2275" t="n"/>
      <c r="K13" s="2275" t="n"/>
      <c r="L13" s="2275" t="n"/>
      <c r="M13" s="2275" t="n"/>
      <c r="N13" s="2275" t="n"/>
      <c r="O13" s="2275" t="n"/>
      <c r="P13" s="2275" t="n"/>
      <c r="Q13" s="2276" t="n"/>
      <c r="R13" s="2277" t="n"/>
      <c r="S13" s="2278" t="n"/>
      <c r="T13" s="430" t="n"/>
    </row>
    <row r="14" ht="17.45" customHeight="1">
      <c r="B14" s="415" t="n"/>
      <c r="C14" s="2279" t="inlineStr">
        <is>
          <t>비경상</t>
        </is>
      </c>
      <c r="D14" s="2265" t="n"/>
      <c r="E14" s="2266" t="n"/>
      <c r="F14" s="2267" t="n">
        <v>0</v>
      </c>
      <c r="G14" s="2268" t="n">
        <v>0</v>
      </c>
      <c r="H14" s="2268" t="n">
        <v>0</v>
      </c>
      <c r="I14" s="2280" t="n">
        <v>0</v>
      </c>
      <c r="J14" s="2280" t="n">
        <v>0</v>
      </c>
      <c r="K14" s="2280" t="n">
        <v>0</v>
      </c>
      <c r="L14" s="2280" t="n">
        <v>0.22</v>
      </c>
      <c r="M14" s="2280" t="n">
        <v>1.6513174</v>
      </c>
      <c r="N14" s="2280" t="n">
        <v>0.001035</v>
      </c>
      <c r="O14" s="2280" t="n">
        <v>0</v>
      </c>
      <c r="P14" s="2280" t="n">
        <v>0</v>
      </c>
      <c r="Q14" s="2281" t="n">
        <v>0.27696396</v>
      </c>
      <c r="R14" s="2282" t="n">
        <v>2.149316359999999</v>
      </c>
      <c r="S14" s="2283" t="n">
        <v>0.2388129288888888</v>
      </c>
      <c r="T14" s="422" t="inlineStr">
        <is>
          <t xml:space="preserve"> ○ 8월 : 부가가치세 환급 1.7억</t>
        </is>
      </c>
    </row>
    <row r="15" ht="18.6" customHeight="1">
      <c r="B15" s="415" t="n"/>
      <c r="C15" s="435" t="n"/>
      <c r="D15" s="436" t="n"/>
      <c r="E15" s="436" t="n"/>
      <c r="F15" s="2284" t="n"/>
      <c r="G15" s="2285" t="n"/>
      <c r="H15" s="2285" t="n"/>
      <c r="I15" s="2286" t="n"/>
      <c r="J15" s="2286" t="n"/>
      <c r="K15" s="2286" t="n"/>
      <c r="L15" s="2286" t="n"/>
      <c r="M15" s="2286" t="n"/>
      <c r="N15" s="2286" t="n"/>
      <c r="O15" s="2286" t="n"/>
      <c r="P15" s="2286" t="n"/>
      <c r="Q15" s="2287" t="n"/>
      <c r="R15" s="2288" t="n"/>
      <c r="S15" s="2289" t="n"/>
      <c r="T15" s="443" t="n"/>
      <c r="W15" s="444" t="n"/>
    </row>
    <row r="16">
      <c r="B16" s="1663" t="inlineStr">
        <is>
          <t xml:space="preserve"> C. 지출</t>
        </is>
      </c>
      <c r="C16" s="1941" t="n"/>
      <c r="D16" s="1941" t="n"/>
      <c r="E16" s="1929" t="n"/>
      <c r="F16" s="2290">
        <f>SUM(F17,F30)</f>
        <v/>
      </c>
      <c r="G16" s="2291">
        <f>SUM(G17,G30)</f>
        <v/>
      </c>
      <c r="H16" s="2291">
        <f>SUM(H17,H30)</f>
        <v/>
      </c>
      <c r="I16" s="2292" t="n">
        <v>4.08</v>
      </c>
      <c r="J16" s="2292" t="n">
        <v>5.316024680000001</v>
      </c>
      <c r="K16" s="2292" t="n">
        <v>8.39941599</v>
      </c>
      <c r="L16" s="2292" t="n">
        <v>20.70694909</v>
      </c>
      <c r="M16" s="2292" t="n">
        <v>12.29321143</v>
      </c>
      <c r="N16" s="2292" t="n">
        <v>11.85937327</v>
      </c>
      <c r="O16" s="2292" t="n">
        <v>13.52843932</v>
      </c>
      <c r="P16" s="2292" t="n">
        <v>12.09283527</v>
      </c>
      <c r="Q16" s="2293" t="n">
        <v>12.92409701</v>
      </c>
      <c r="R16" s="2294">
        <f>SUM(R17,R30)</f>
        <v/>
      </c>
      <c r="S16" s="2295">
        <f>R16/9</f>
        <v/>
      </c>
      <c r="T16" s="451" t="n"/>
    </row>
    <row r="17" ht="17.45" customHeight="1">
      <c r="B17" s="415" t="n"/>
      <c r="C17" s="2264" t="inlineStr">
        <is>
          <t>경상</t>
        </is>
      </c>
      <c r="D17" s="2265" t="n"/>
      <c r="E17" s="2266" t="n"/>
      <c r="F17" s="2267" t="n"/>
      <c r="G17" s="2268" t="n"/>
      <c r="H17" s="2268" t="n"/>
      <c r="I17" s="2269">
        <f>I16-I30</f>
        <v/>
      </c>
      <c r="J17" s="2269">
        <f>J16-J30</f>
        <v/>
      </c>
      <c r="K17" s="2269">
        <f>K16-K30</f>
        <v/>
      </c>
      <c r="L17" s="2269">
        <f>L16-L30</f>
        <v/>
      </c>
      <c r="M17" s="2269">
        <f>M16-M30</f>
        <v/>
      </c>
      <c r="N17" s="2269">
        <f>N16-N30</f>
        <v/>
      </c>
      <c r="O17" s="2269">
        <f>O16-O30</f>
        <v/>
      </c>
      <c r="P17" s="2269">
        <f>P16-P30</f>
        <v/>
      </c>
      <c r="Q17" s="2270">
        <f>Q16-Q30</f>
        <v/>
      </c>
      <c r="R17" s="2271">
        <f>SUM(F17:Q17)</f>
        <v/>
      </c>
      <c r="S17" s="2272">
        <f>R17/9</f>
        <v/>
      </c>
      <c r="T17" s="422" t="n"/>
      <c r="W17" s="2296" t="n"/>
    </row>
    <row r="18">
      <c r="B18" s="415" t="n"/>
      <c r="C18" s="423" t="n"/>
      <c r="D18" s="1666" t="inlineStr">
        <is>
          <t>인건비</t>
        </is>
      </c>
      <c r="E18" s="1667" t="n"/>
      <c r="F18" s="2267" t="n"/>
      <c r="G18" s="2268" t="n"/>
      <c r="H18" s="2268" t="n"/>
      <c r="I18" s="2280" t="n">
        <v>2.33</v>
      </c>
      <c r="J18" s="2280" t="n">
        <v>3.5830717</v>
      </c>
      <c r="K18" s="2280" t="n">
        <v>3.9665967</v>
      </c>
      <c r="L18" s="2280" t="n">
        <v>4.637561199999999</v>
      </c>
      <c r="M18" s="2280" t="n">
        <v>5.2415973</v>
      </c>
      <c r="N18" s="2280" t="n">
        <v>6.201701799999999</v>
      </c>
      <c r="O18" s="2280" t="n">
        <v>6.40867336</v>
      </c>
      <c r="P18" s="2280" t="n">
        <v>7.7378274</v>
      </c>
      <c r="Q18" s="2281" t="n">
        <v>8.4500645</v>
      </c>
      <c r="R18" s="2282" t="n">
        <v>48.55709396</v>
      </c>
      <c r="S18" s="2283" t="n">
        <v>5.395232662222223</v>
      </c>
      <c r="T18" s="422" t="n"/>
    </row>
    <row r="19">
      <c r="B19" s="415" t="n"/>
      <c r="C19" s="423" t="n"/>
      <c r="D19" s="423" t="inlineStr">
        <is>
          <t>S/W, H/W 매입</t>
        </is>
      </c>
      <c r="E19" s="415" t="n"/>
      <c r="F19" s="2273" t="n"/>
      <c r="G19" s="2274" t="n"/>
      <c r="H19" s="2274" t="n"/>
      <c r="I19" s="2275" t="n">
        <v>0</v>
      </c>
      <c r="J19" s="2275" t="n">
        <v>0.07000000000000001</v>
      </c>
      <c r="K19" s="2275" t="n">
        <v>0.49</v>
      </c>
      <c r="L19" s="2275" t="n">
        <v>0.64</v>
      </c>
      <c r="M19" s="2275" t="n">
        <v>4.3</v>
      </c>
      <c r="N19" s="2275" t="n">
        <v>1.33</v>
      </c>
      <c r="O19" s="2275" t="n">
        <v>0.8</v>
      </c>
      <c r="P19" s="2275" t="n">
        <v>1.49</v>
      </c>
      <c r="Q19" s="2276" t="n">
        <v>1.36</v>
      </c>
      <c r="R19" s="2277" t="n">
        <v>10.48</v>
      </c>
      <c r="S19" s="2278" t="n">
        <v>1.164444444444444</v>
      </c>
      <c r="T19" s="430" t="n"/>
    </row>
    <row r="20">
      <c r="B20" s="415" t="n"/>
      <c r="C20" s="423" t="n"/>
      <c r="D20" s="423" t="inlineStr">
        <is>
          <t>기타</t>
        </is>
      </c>
      <c r="E20" s="456" t="n"/>
      <c r="F20" s="2297" t="n"/>
      <c r="G20" s="2298" t="n"/>
      <c r="H20" s="2298" t="n"/>
      <c r="I20" s="2299">
        <f>I17-SUM(I18:I19)</f>
        <v/>
      </c>
      <c r="J20" s="2299">
        <f>J17-SUM(J18:J19)</f>
        <v/>
      </c>
      <c r="K20" s="2299">
        <f>K17-SUM(K18:K19)</f>
        <v/>
      </c>
      <c r="L20" s="2299">
        <f>L17-SUM(L18:L19)</f>
        <v/>
      </c>
      <c r="M20" s="2299">
        <f>M17-SUM(M18:M19)</f>
        <v/>
      </c>
      <c r="N20" s="2299">
        <f>N17-SUM(N18:N19)</f>
        <v/>
      </c>
      <c r="O20" s="2299">
        <f>O17-SUM(O18:O19)</f>
        <v/>
      </c>
      <c r="P20" s="2299">
        <f>P17-SUM(P18:P19)</f>
        <v/>
      </c>
      <c r="Q20" s="2299">
        <f>Q17-SUM(Q18:Q19)</f>
        <v/>
      </c>
      <c r="R20" s="2300">
        <f>SUM(I20:Q20)</f>
        <v/>
      </c>
      <c r="S20" s="2301">
        <f>R20/9</f>
        <v/>
      </c>
      <c r="T20" s="462" t="n"/>
    </row>
    <row r="21">
      <c r="B21" s="415" t="n"/>
      <c r="C21" s="423" t="n"/>
      <c r="D21" s="539" t="n"/>
      <c r="E21" s="1666" t="inlineStr">
        <is>
          <t>제세공과금</t>
        </is>
      </c>
      <c r="F21" s="2267" t="n"/>
      <c r="G21" s="2268" t="n"/>
      <c r="H21" s="2268" t="n"/>
      <c r="I21" s="2280" t="n">
        <v>0.72</v>
      </c>
      <c r="J21" s="2280" t="n">
        <v>0.36</v>
      </c>
      <c r="K21" s="2280" t="n">
        <v>0.49</v>
      </c>
      <c r="L21" s="2280" t="n">
        <v>0.45</v>
      </c>
      <c r="M21" s="2280" t="n">
        <v>0.51</v>
      </c>
      <c r="N21" s="2280" t="n">
        <v>0.53</v>
      </c>
      <c r="O21" s="2280" t="n">
        <v>0.68</v>
      </c>
      <c r="P21" s="2280" t="n">
        <v>0.72</v>
      </c>
      <c r="Q21" s="2281" t="n">
        <v>0.88</v>
      </c>
      <c r="R21" s="2282">
        <f>SUM(I21:Q21)</f>
        <v/>
      </c>
      <c r="S21" s="2283">
        <f>R21/9</f>
        <v/>
      </c>
      <c r="T21" s="422" t="inlineStr">
        <is>
          <t xml:space="preserve"> ○ 4월 : 법인등기 영리법인 설립 등록면허세(컴투스 대납분)</t>
        </is>
      </c>
    </row>
    <row r="22">
      <c r="B22" s="415" t="n"/>
      <c r="C22" s="423" t="n"/>
      <c r="D22" s="539" t="n"/>
      <c r="E22" s="541" t="inlineStr">
        <is>
          <t>전산관련지출</t>
        </is>
      </c>
      <c r="F22" s="2273" t="n"/>
      <c r="G22" s="2274" t="n"/>
      <c r="H22" s="2274" t="n"/>
      <c r="I22" s="2275" t="n"/>
      <c r="J22" s="2275" t="n"/>
      <c r="K22" s="2275" t="n">
        <v>0.03</v>
      </c>
      <c r="L22" s="2275" t="n">
        <v>0.03</v>
      </c>
      <c r="M22" s="2275" t="n">
        <v>0.06</v>
      </c>
      <c r="N22" s="2275" t="n">
        <v>0.16</v>
      </c>
      <c r="O22" s="2275" t="n">
        <v>0.19</v>
      </c>
      <c r="P22" s="2275" t="n">
        <v>0.31</v>
      </c>
      <c r="Q22" s="2276" t="n">
        <v>0.4</v>
      </c>
      <c r="R22" s="2277">
        <f>SUM(I22:Q22)</f>
        <v/>
      </c>
      <c r="S22" s="2278">
        <f>R22/9</f>
        <v/>
      </c>
      <c r="T22" s="430" t="n"/>
    </row>
    <row r="23">
      <c r="B23" s="415" t="n"/>
      <c r="C23" s="423" t="n"/>
      <c r="D23" s="539" t="n"/>
      <c r="E23" s="541" t="inlineStr">
        <is>
          <t>경영, 업무지원, 운영용역비</t>
        </is>
      </c>
      <c r="F23" s="2273" t="n"/>
      <c r="G23" s="2274" t="n"/>
      <c r="H23" s="2274" t="n"/>
      <c r="I23" s="2275" t="n"/>
      <c r="J23" s="2275" t="n"/>
      <c r="K23" s="2275" t="n"/>
      <c r="L23" s="2275" t="n">
        <v>0.29</v>
      </c>
      <c r="M23" s="2275" t="n">
        <v>0.5</v>
      </c>
      <c r="N23" s="2275" t="n">
        <v>2.05</v>
      </c>
      <c r="O23" s="2275" t="n">
        <v>1.15</v>
      </c>
      <c r="P23" s="2275" t="n">
        <v>0.6</v>
      </c>
      <c r="Q23" s="2276" t="n">
        <v>0.25</v>
      </c>
      <c r="R23" s="2277">
        <f>SUM(I23:Q23)</f>
        <v/>
      </c>
      <c r="S23" s="2278">
        <f>R23/9</f>
        <v/>
      </c>
      <c r="T23" s="430" t="n"/>
    </row>
    <row r="24">
      <c r="B24" s="415" t="n"/>
      <c r="C24" s="423" t="n"/>
      <c r="D24" s="539" t="n"/>
      <c r="E24" s="541" t="inlineStr">
        <is>
          <t>복리후생비</t>
        </is>
      </c>
      <c r="F24" s="2273" t="n"/>
      <c r="G24" s="2274" t="n"/>
      <c r="H24" s="2274" t="n"/>
      <c r="I24" s="2275" t="n"/>
      <c r="J24" s="2275" t="n">
        <v>0.06</v>
      </c>
      <c r="K24" s="2275" t="n">
        <v>0.08500000000000001</v>
      </c>
      <c r="L24" s="2275" t="n">
        <v>0.099</v>
      </c>
      <c r="M24" s="2275" t="n">
        <v>0.154</v>
      </c>
      <c r="N24" s="2275" t="n">
        <v>0.21</v>
      </c>
      <c r="O24" s="2275" t="n">
        <v>0.183</v>
      </c>
      <c r="P24" s="2275" t="n">
        <v>0.118</v>
      </c>
      <c r="Q24" s="2276" t="n">
        <v>0.264</v>
      </c>
      <c r="R24" s="2277">
        <f>SUM(I24:Q24)</f>
        <v/>
      </c>
      <c r="S24" s="2278">
        <f>R24/9</f>
        <v/>
      </c>
      <c r="T24" s="430" t="inlineStr">
        <is>
          <t>○ 동호회비, 건강검진비용, 명절 선물대금 등</t>
        </is>
      </c>
    </row>
    <row r="25">
      <c r="B25" s="415" t="n"/>
      <c r="C25" s="423" t="n"/>
      <c r="D25" s="539" t="n"/>
      <c r="E25" s="541" t="inlineStr">
        <is>
          <t>식당, 카페, 매점 등 운영비</t>
        </is>
      </c>
      <c r="F25" s="2273" t="n"/>
      <c r="G25" s="2274" t="n"/>
      <c r="H25" s="2274" t="n"/>
      <c r="I25" s="2275" t="n"/>
      <c r="J25" s="2275" t="n">
        <v>0.06</v>
      </c>
      <c r="K25" s="2275" t="n">
        <v>0.08500000000000001</v>
      </c>
      <c r="L25" s="2275" t="n">
        <v>0.099</v>
      </c>
      <c r="M25" s="2275" t="n">
        <v>0.154</v>
      </c>
      <c r="N25" s="2275" t="n">
        <v>0.21</v>
      </c>
      <c r="O25" s="2275" t="n">
        <v>0.183</v>
      </c>
      <c r="P25" s="2275" t="n">
        <v>0.178</v>
      </c>
      <c r="Q25" s="2276" t="n">
        <v>0.264</v>
      </c>
      <c r="R25" s="2277">
        <f>SUM(I25:Q25)</f>
        <v/>
      </c>
      <c r="S25" s="2278">
        <f>R25/9</f>
        <v/>
      </c>
      <c r="T25" s="430" t="n"/>
    </row>
    <row r="26">
      <c r="B26" s="415" t="n"/>
      <c r="C26" s="423" t="n"/>
      <c r="D26" s="539" t="n"/>
      <c r="E26" s="423" t="inlineStr">
        <is>
          <t>직원비용, 복지포인트 사용비</t>
        </is>
      </c>
      <c r="F26" s="2273" t="n"/>
      <c r="G26" s="2274" t="n"/>
      <c r="H26" s="2274" t="n"/>
      <c r="I26" s="2275" t="n"/>
      <c r="J26" s="2275" t="n">
        <v>0.07000000000000001</v>
      </c>
      <c r="K26" s="2275" t="n">
        <v>0.25</v>
      </c>
      <c r="L26" s="2275" t="n">
        <v>0.34</v>
      </c>
      <c r="M26" s="2275" t="n">
        <v>0.37</v>
      </c>
      <c r="N26" s="2275" t="n">
        <v>0.268</v>
      </c>
      <c r="O26" s="2275" t="n">
        <v>0.32</v>
      </c>
      <c r="P26" s="2275" t="n">
        <v>0.38</v>
      </c>
      <c r="Q26" s="2276" t="n">
        <v>0.428</v>
      </c>
      <c r="R26" s="2277">
        <f>SUM(I26:Q26)</f>
        <v/>
      </c>
      <c r="S26" s="2278">
        <f>R26/9</f>
        <v/>
      </c>
      <c r="T26" s="430" t="n"/>
    </row>
    <row r="27">
      <c r="B27" s="415" t="n"/>
      <c r="C27" s="423" t="n"/>
      <c r="D27" s="539" t="n"/>
      <c r="E27" s="423" t="inlineStr">
        <is>
          <t>임차료, 관리비</t>
        </is>
      </c>
      <c r="F27" s="2273" t="n"/>
      <c r="G27" s="2274" t="n"/>
      <c r="H27" s="2274" t="n"/>
      <c r="I27" s="2275" t="n">
        <v>0.04</v>
      </c>
      <c r="J27" s="2275" t="n">
        <v>0.046</v>
      </c>
      <c r="K27" s="2275" t="n">
        <v>0.144</v>
      </c>
      <c r="L27" s="2275" t="n">
        <v>0.145</v>
      </c>
      <c r="M27" s="2275" t="n">
        <v>0.146</v>
      </c>
      <c r="N27" s="2275" t="n">
        <v>0.147</v>
      </c>
      <c r="O27" s="2275" t="n">
        <v>0.149</v>
      </c>
      <c r="P27" s="2275" t="n">
        <v>0.15</v>
      </c>
      <c r="Q27" s="2276" t="n">
        <v>0.16</v>
      </c>
      <c r="R27" s="2277">
        <f>SUM(I27:Q27)</f>
        <v/>
      </c>
      <c r="S27" s="2278">
        <f>R27/9</f>
        <v/>
      </c>
      <c r="T27" s="430" t="n"/>
    </row>
    <row r="28">
      <c r="B28" s="415" t="n"/>
      <c r="C28" s="423" t="n"/>
      <c r="D28" s="539" t="n"/>
      <c r="E28" s="423" t="inlineStr">
        <is>
          <t>지급수수료</t>
        </is>
      </c>
      <c r="F28" s="2273" t="n"/>
      <c r="G28" s="2274" t="n"/>
      <c r="H28" s="2274" t="n"/>
      <c r="I28" s="2275" t="n"/>
      <c r="J28" s="2275" t="n"/>
      <c r="K28" s="2275" t="n">
        <v>0.5</v>
      </c>
      <c r="L28" s="2275" t="n">
        <v>0.99</v>
      </c>
      <c r="M28" s="2275" t="n"/>
      <c r="N28" s="2275" t="n">
        <v>0.06</v>
      </c>
      <c r="O28" s="2275" t="n"/>
      <c r="P28" s="2275" t="n"/>
      <c r="Q28" s="2276" t="n"/>
      <c r="R28" s="2277">
        <f>SUM(I28:Q28)</f>
        <v/>
      </c>
      <c r="S28" s="2278">
        <f>R28/9</f>
        <v/>
      </c>
      <c r="T28" s="430" t="inlineStr">
        <is>
          <t xml:space="preserve"> ○ 7월: 메타버스 정보보호 컨설팅수수료 0.99백만</t>
        </is>
      </c>
    </row>
    <row r="29">
      <c r="B29" s="415" t="n"/>
      <c r="C29" s="423" t="n"/>
      <c r="D29" s="540" t="n"/>
      <c r="E29" s="455" t="inlineStr">
        <is>
          <t>통신비등</t>
        </is>
      </c>
      <c r="F29" s="2297" t="n"/>
      <c r="G29" s="2298" t="n"/>
      <c r="H29" s="2298" t="n"/>
      <c r="I29" s="2299">
        <f>I20-SUM(I21:I28)</f>
        <v/>
      </c>
      <c r="J29" s="2299">
        <f>J20-SUM(J21:J28)</f>
        <v/>
      </c>
      <c r="K29" s="2299">
        <f>K20-SUM(K21:K28)</f>
        <v/>
      </c>
      <c r="L29" s="2299">
        <f>L20-SUM(L21:L28)</f>
        <v/>
      </c>
      <c r="M29" s="2299">
        <f>M20-SUM(M21:M28)</f>
        <v/>
      </c>
      <c r="N29" s="2299">
        <f>N20-SUM(N21:N28)</f>
        <v/>
      </c>
      <c r="O29" s="2299">
        <f>O20-SUM(O21:O28)</f>
        <v/>
      </c>
      <c r="P29" s="2299">
        <f>P20-SUM(P21:P28)</f>
        <v/>
      </c>
      <c r="Q29" s="2299">
        <f>Q20-SUM(Q21:Q28)</f>
        <v/>
      </c>
      <c r="R29" s="2300">
        <f>SUM(I29:Q29)</f>
        <v/>
      </c>
      <c r="S29" s="2301">
        <f>R29/9</f>
        <v/>
      </c>
      <c r="T29" s="542" t="inlineStr">
        <is>
          <t xml:space="preserve"> ○ 8월, 10월 : 컴투버스 미디어데이 외주용역비, C동 사무가구비</t>
        </is>
      </c>
    </row>
    <row r="30" ht="17.45" customHeight="1">
      <c r="B30" s="415" t="n"/>
      <c r="C30" s="2279" t="inlineStr">
        <is>
          <t>비경상</t>
        </is>
      </c>
      <c r="D30" s="2265" t="n"/>
      <c r="E30" s="2266" t="n"/>
      <c r="F30" s="2267">
        <f>SUM(F31:F34)</f>
        <v/>
      </c>
      <c r="G30" s="2268">
        <f>SUM(G31:G34)</f>
        <v/>
      </c>
      <c r="H30" s="2268">
        <f>SUM(H31:H34)</f>
        <v/>
      </c>
      <c r="I30" s="2280">
        <f>SUM(I31:I34)</f>
        <v/>
      </c>
      <c r="J30" s="2280">
        <f>SUM(J31:J34)</f>
        <v/>
      </c>
      <c r="K30" s="2280">
        <f>SUM(K31:K34)</f>
        <v/>
      </c>
      <c r="L30" s="2280">
        <f>SUM(L31:L34)</f>
        <v/>
      </c>
      <c r="M30" s="2280">
        <f>SUM(M31:M34)</f>
        <v/>
      </c>
      <c r="N30" s="2280">
        <f>SUM(N31:N34)</f>
        <v/>
      </c>
      <c r="O30" s="2280">
        <f>SUM(O31:O34)</f>
        <v/>
      </c>
      <c r="P30" s="2280">
        <f>SUM(P31:P34)</f>
        <v/>
      </c>
      <c r="Q30" s="2281">
        <f>SUM(Q31:Q34)</f>
        <v/>
      </c>
      <c r="R30" s="2282">
        <f>SUM(F30:Q30)</f>
        <v/>
      </c>
      <c r="S30" s="2283">
        <f>R30/9</f>
        <v/>
      </c>
      <c r="T30" s="422" t="n"/>
    </row>
    <row r="31" ht="17.45" customHeight="1">
      <c r="B31" s="415" t="n"/>
      <c r="C31" s="423" t="n"/>
      <c r="D31" s="1666" t="inlineStr">
        <is>
          <t>지식재산권 양수</t>
        </is>
      </c>
      <c r="E31" s="463" t="n"/>
      <c r="F31" s="2267" t="n"/>
      <c r="G31" s="2268" t="n"/>
      <c r="H31" s="2268" t="n"/>
      <c r="I31" s="2280" t="n"/>
      <c r="J31" s="2280" t="n"/>
      <c r="K31" s="2280" t="n"/>
      <c r="L31" s="2280" t="n">
        <v>12.52</v>
      </c>
      <c r="M31" s="2280" t="n"/>
      <c r="N31" s="2280" t="n"/>
      <c r="O31" s="2280" t="n"/>
      <c r="P31" s="2280" t="n"/>
      <c r="Q31" s="2281" t="n"/>
      <c r="R31" s="2282" t="n">
        <v>12.52</v>
      </c>
      <c r="S31" s="2283" t="n">
        <v>1.391111111111111</v>
      </c>
      <c r="T31" s="422" t="inlineStr">
        <is>
          <t xml:space="preserve"> ○ 양도인 : 컴투스</t>
        </is>
      </c>
    </row>
    <row r="32" ht="17.45" customHeight="1">
      <c r="B32" s="415" t="n"/>
      <c r="C32" s="423" t="n"/>
      <c r="D32" s="423" t="inlineStr">
        <is>
          <t>임대보증금</t>
        </is>
      </c>
      <c r="E32" s="464" t="n"/>
      <c r="F32" s="2273" t="n"/>
      <c r="G32" s="2274" t="n"/>
      <c r="H32" s="2274" t="n"/>
      <c r="I32" s="2275" t="n">
        <v>0.93</v>
      </c>
      <c r="J32" s="2275" t="n">
        <v>0</v>
      </c>
      <c r="K32" s="2275" t="n">
        <v>2.02</v>
      </c>
      <c r="L32" s="2275" t="n">
        <v>0</v>
      </c>
      <c r="M32" s="2275" t="n">
        <v>0</v>
      </c>
      <c r="N32" s="2275" t="n">
        <v>0.46</v>
      </c>
      <c r="O32" s="2275" t="n">
        <v>0</v>
      </c>
      <c r="P32" s="2275" t="n">
        <v>0</v>
      </c>
      <c r="Q32" s="2276" t="n">
        <v>0.44</v>
      </c>
      <c r="R32" s="2277" t="n">
        <v>2.92</v>
      </c>
      <c r="S32" s="2278" t="n">
        <v>0.3244444444444444</v>
      </c>
      <c r="T32" s="430" t="n"/>
    </row>
    <row r="33" ht="17.45" customHeight="1">
      <c r="B33" s="415" t="n"/>
      <c r="C33" s="423" t="n"/>
      <c r="D33" s="423" t="inlineStr">
        <is>
          <t>시설장치</t>
        </is>
      </c>
      <c r="E33" s="464" t="n"/>
      <c r="F33" s="2273" t="n"/>
      <c r="G33" s="2274" t="n"/>
      <c r="H33" s="2274" t="n"/>
      <c r="I33" s="2275" t="n"/>
      <c r="J33" s="2275" t="n">
        <v>1.02</v>
      </c>
      <c r="K33" s="2275" t="n">
        <v>0.17</v>
      </c>
      <c r="L33" s="2275" t="n"/>
      <c r="M33" s="2275" t="n"/>
      <c r="N33" s="2275" t="n"/>
      <c r="O33" s="2275" t="n">
        <v>1.97</v>
      </c>
      <c r="P33" s="2275" t="n"/>
      <c r="Q33" s="2276" t="n"/>
      <c r="R33" s="2277" t="n">
        <v>1.19</v>
      </c>
      <c r="S33" s="2278" t="n">
        <v>0.1322222222222222</v>
      </c>
      <c r="T33" s="430" t="n"/>
    </row>
    <row r="34" ht="17.45" customHeight="1">
      <c r="B34" s="415" t="n"/>
      <c r="C34" s="423" t="n"/>
      <c r="D34" s="423" t="inlineStr">
        <is>
          <t>기타</t>
        </is>
      </c>
      <c r="E34" s="465" t="n"/>
      <c r="F34" s="2273" t="n"/>
      <c r="G34" s="2274" t="n"/>
      <c r="H34" s="2274" t="n"/>
      <c r="I34" s="2275" t="n"/>
      <c r="J34" s="2275" t="n"/>
      <c r="K34" s="2275" t="n"/>
      <c r="L34" s="2275" t="n"/>
      <c r="M34" s="2275" t="n"/>
      <c r="N34" s="2275" t="n"/>
      <c r="O34" s="2275" t="n"/>
      <c r="P34" s="2275" t="n"/>
      <c r="Q34" s="2276" t="n"/>
      <c r="R34" s="2277" t="n">
        <v>0</v>
      </c>
      <c r="S34" s="2278" t="n">
        <v>0</v>
      </c>
      <c r="T34" s="430" t="n"/>
    </row>
    <row r="35">
      <c r="B35" s="1663" t="inlineStr">
        <is>
          <t xml:space="preserve"> D. 자금수지차 (=B-C)</t>
        </is>
      </c>
      <c r="C35" s="1941" t="n"/>
      <c r="D35" s="1941" t="n"/>
      <c r="E35" s="1929" t="n"/>
      <c r="F35" s="2290">
        <f>F11-F16</f>
        <v/>
      </c>
      <c r="G35" s="2291">
        <f>G11-G16</f>
        <v/>
      </c>
      <c r="H35" s="2291">
        <f>H11-H16</f>
        <v/>
      </c>
      <c r="I35" s="2292">
        <f>I11-I16</f>
        <v/>
      </c>
      <c r="J35" s="2292">
        <f>J11-J16</f>
        <v/>
      </c>
      <c r="K35" s="2292">
        <f>K11-K16</f>
        <v/>
      </c>
      <c r="L35" s="2292">
        <f>L11-L16</f>
        <v/>
      </c>
      <c r="M35" s="2292">
        <f>M11-M16</f>
        <v/>
      </c>
      <c r="N35" s="2292">
        <f>N11-N16</f>
        <v/>
      </c>
      <c r="O35" s="2292">
        <f>O11-O16</f>
        <v/>
      </c>
      <c r="P35" s="2292">
        <f>P11-P16</f>
        <v/>
      </c>
      <c r="Q35" s="2293">
        <f>Q11-Q16</f>
        <v/>
      </c>
      <c r="R35" s="2294">
        <f>R11-R16</f>
        <v/>
      </c>
      <c r="S35" s="2295">
        <f>R35/9</f>
        <v/>
      </c>
      <c r="T35" s="466" t="n"/>
    </row>
    <row r="36">
      <c r="B36" s="467" t="n"/>
      <c r="C36" s="468" t="inlineStr">
        <is>
          <t xml:space="preserve"> D-1. 경상수지차</t>
        </is>
      </c>
      <c r="D36" s="468" t="n"/>
      <c r="E36" s="469" t="n"/>
      <c r="F36" s="2302">
        <f>F12-F17</f>
        <v/>
      </c>
      <c r="G36" s="2285">
        <f>G12-G17</f>
        <v/>
      </c>
      <c r="H36" s="2285">
        <f>H12-H17</f>
        <v/>
      </c>
      <c r="I36" s="2303">
        <f>I12-I17</f>
        <v/>
      </c>
      <c r="J36" s="2303">
        <f>J12-J17</f>
        <v/>
      </c>
      <c r="K36" s="2303">
        <f>K12-K17</f>
        <v/>
      </c>
      <c r="L36" s="2303">
        <f>L12-L17</f>
        <v/>
      </c>
      <c r="M36" s="2303">
        <f>M12-M17</f>
        <v/>
      </c>
      <c r="N36" s="2303">
        <f>N12-N17</f>
        <v/>
      </c>
      <c r="O36" s="2303">
        <f>O12-O17</f>
        <v/>
      </c>
      <c r="P36" s="2303">
        <f>P12-P17</f>
        <v/>
      </c>
      <c r="Q36" s="2304">
        <f>Q12-Q17</f>
        <v/>
      </c>
      <c r="R36" s="2305">
        <f>R12-R17</f>
        <v/>
      </c>
      <c r="S36" s="2306">
        <f>R36/9</f>
        <v/>
      </c>
      <c r="T36" s="475" t="n"/>
    </row>
    <row r="37" ht="15.6" customHeight="1">
      <c r="B37" s="1669" t="inlineStr">
        <is>
          <t xml:space="preserve"> E. 자금조달(증자)</t>
        </is>
      </c>
      <c r="C37" s="1941" t="n"/>
      <c r="D37" s="1941" t="n"/>
      <c r="E37" s="2307" t="n"/>
      <c r="F37" s="2308" t="n"/>
      <c r="G37" s="2291" t="n"/>
      <c r="H37" s="2291" t="n"/>
      <c r="I37" s="2292" t="n">
        <v>150</v>
      </c>
      <c r="J37" s="2292" t="n"/>
      <c r="K37" s="2292" t="n"/>
      <c r="L37" s="2292" t="n"/>
      <c r="M37" s="2292" t="n"/>
      <c r="N37" s="2292" t="n">
        <v>40</v>
      </c>
      <c r="O37" s="2292" t="n"/>
      <c r="P37" s="2292" t="n">
        <v>40</v>
      </c>
      <c r="Q37" s="2293" t="n">
        <v>80</v>
      </c>
      <c r="R37" s="2309">
        <f>SUM(F37:Q37)</f>
        <v/>
      </c>
      <c r="S37" s="2295">
        <f>R37/9</f>
        <v/>
      </c>
      <c r="T37" s="478" t="inlineStr">
        <is>
          <t xml:space="preserve"> ○ 4월 : 컴투스 105억, 위지윅스튜디오 37.5억, 엔피 7.5억 출자</t>
        </is>
      </c>
    </row>
    <row r="38">
      <c r="B38" s="415" t="n"/>
      <c r="C38" s="415" t="n"/>
      <c r="D38" s="415" t="n"/>
      <c r="E38" s="479" t="n"/>
      <c r="F38" s="2310" t="n"/>
      <c r="G38" s="2274" t="n"/>
      <c r="H38" s="2274" t="n"/>
      <c r="I38" s="2275" t="n"/>
      <c r="J38" s="2275" t="n"/>
      <c r="K38" s="2275" t="n"/>
      <c r="L38" s="2275" t="n"/>
      <c r="M38" s="2275" t="n"/>
      <c r="N38" s="2275" t="n"/>
      <c r="O38" s="2275" t="n"/>
      <c r="P38" s="2275" t="n"/>
      <c r="Q38" s="2276" t="n"/>
      <c r="R38" s="2277" t="n"/>
      <c r="S38" s="2278" t="n"/>
      <c r="T38" s="481" t="inlineStr">
        <is>
          <t xml:space="preserve"> ○ 9월 : SK네트웍스 40억 출자</t>
        </is>
      </c>
    </row>
    <row r="39">
      <c r="B39" s="415" t="n"/>
      <c r="C39" s="415" t="n"/>
      <c r="D39" s="415" t="n"/>
      <c r="E39" s="479" t="n"/>
      <c r="F39" s="2310" t="n"/>
      <c r="G39" s="2274" t="n"/>
      <c r="H39" s="2274" t="n"/>
      <c r="I39" s="2275" t="n"/>
      <c r="J39" s="2275" t="n"/>
      <c r="K39" s="2275" t="n"/>
      <c r="L39" s="2275" t="n"/>
      <c r="M39" s="2275" t="n"/>
      <c r="N39" s="2275" t="n"/>
      <c r="O39" s="2275" t="n"/>
      <c r="P39" s="2275" t="n"/>
      <c r="Q39" s="2276" t="n"/>
      <c r="R39" s="2277" t="n"/>
      <c r="S39" s="2278" t="n"/>
      <c r="T39" s="481" t="inlineStr">
        <is>
          <t xml:space="preserve"> ○ 11월 : 하나비욘드 파이낸스 40억 출자</t>
        </is>
      </c>
    </row>
    <row r="40">
      <c r="B40" s="436" t="n"/>
      <c r="C40" s="436" t="n"/>
      <c r="D40" s="436" t="n"/>
      <c r="E40" s="482" t="n"/>
      <c r="F40" s="2302" t="n"/>
      <c r="G40" s="2285" t="n"/>
      <c r="H40" s="2285" t="n"/>
      <c r="I40" s="2286" t="n"/>
      <c r="J40" s="2286" t="n"/>
      <c r="K40" s="2286" t="n"/>
      <c r="L40" s="2286" t="n"/>
      <c r="M40" s="2286" t="n"/>
      <c r="N40" s="2286" t="n"/>
      <c r="O40" s="2286" t="n"/>
      <c r="P40" s="2286" t="n"/>
      <c r="Q40" s="2287" t="n"/>
      <c r="R40" s="2288" t="n"/>
      <c r="S40" s="2289" t="n"/>
      <c r="T40" s="483" t="inlineStr">
        <is>
          <t xml:space="preserve"> ○ 12월 : 교원넥스트 40억, 교보문고 40억 출자</t>
        </is>
      </c>
    </row>
    <row r="41" customFormat="1" s="399">
      <c r="B41" s="1665" t="inlineStr">
        <is>
          <t xml:space="preserve"> F. 기말잔고(=A+D+E)</t>
        </is>
      </c>
      <c r="C41" s="1864" t="n"/>
      <c r="D41" s="1864" t="n"/>
      <c r="E41" s="2311" t="n"/>
      <c r="F41" s="2312">
        <f>F10+F35+F37</f>
        <v/>
      </c>
      <c r="G41" s="2313">
        <f>G10+G35+G37</f>
        <v/>
      </c>
      <c r="H41" s="2313">
        <f>H10+H35+H37</f>
        <v/>
      </c>
      <c r="I41" s="2314">
        <f>I10+I35+I37</f>
        <v/>
      </c>
      <c r="J41" s="2314">
        <f>J10+J35+J37</f>
        <v/>
      </c>
      <c r="K41" s="2314">
        <f>K10+K35+K37</f>
        <v/>
      </c>
      <c r="L41" s="2314">
        <f>L10+L35+L37</f>
        <v/>
      </c>
      <c r="M41" s="2314">
        <f>M10+M35+M37</f>
        <v/>
      </c>
      <c r="N41" s="2314">
        <f>N10+N35+N37</f>
        <v/>
      </c>
      <c r="O41" s="2314">
        <f>O10+O35+O37</f>
        <v/>
      </c>
      <c r="P41" s="2314">
        <f>P10+P35+P37</f>
        <v/>
      </c>
      <c r="Q41" s="2315">
        <f>Q10+Q35+Q37</f>
        <v/>
      </c>
      <c r="R41" s="2316">
        <f>R10+R35+R37</f>
        <v/>
      </c>
      <c r="S41" s="2317">
        <f>R41/9</f>
        <v/>
      </c>
      <c r="T41" s="490" t="n"/>
      <c r="W41" s="407" t="n"/>
      <c r="X41" s="407" t="n"/>
    </row>
    <row r="42">
      <c r="F42" s="2318" t="n"/>
      <c r="G42" s="2318" t="n"/>
      <c r="H42" s="2318" t="n"/>
      <c r="I42" s="2318" t="n"/>
      <c r="J42" s="2318" t="n"/>
      <c r="K42" s="2318" t="n"/>
      <c r="L42" s="2318" t="n"/>
      <c r="M42" s="2318" t="n"/>
      <c r="N42" s="2318" t="n"/>
      <c r="O42" s="2318" t="n"/>
      <c r="P42" s="2318" t="n"/>
      <c r="Q42" s="2318" t="n"/>
      <c r="R42" s="2318" t="n"/>
    </row>
  </sheetData>
  <mergeCells count="13">
    <mergeCell ref="F8:S8"/>
    <mergeCell ref="B41:E41"/>
    <mergeCell ref="C14:E14"/>
    <mergeCell ref="B35:E35"/>
    <mergeCell ref="B16:E16"/>
    <mergeCell ref="B8:E9"/>
    <mergeCell ref="C17:E17"/>
    <mergeCell ref="B11:E11"/>
    <mergeCell ref="T8:T9"/>
    <mergeCell ref="B37:E37"/>
    <mergeCell ref="C30:E30"/>
    <mergeCell ref="B10:E10"/>
    <mergeCell ref="C12:E12"/>
  </mergeCells>
  <conditionalFormatting sqref="C1:T6">
    <cfRule type="cellIs" priority="4" operator="equal" dxfId="5">
      <formula>0</formula>
    </cfRule>
  </conditionalFormatting>
  <conditionalFormatting sqref="C42:T1048576">
    <cfRule type="cellIs" priority="6" operator="equal" dxfId="5">
      <formula>0</formula>
    </cfRule>
  </conditionalFormatting>
  <conditionalFormatting sqref="F37:Q41">
    <cfRule type="cellIs" priority="5" operator="equal" dxfId="0">
      <formula>0</formula>
    </cfRule>
  </conditionalFormatting>
  <conditionalFormatting sqref="F10:S28 F29:Q35 F36:H36 R29:S41">
    <cfRule type="cellIs" priority="2" operator="equal" dxfId="0">
      <formula>0</formula>
    </cfRule>
  </conditionalFormatting>
  <conditionalFormatting sqref="F10:S41">
    <cfRule type="cellIs" priority="1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14"/>
</worksheet>
</file>

<file path=xl/worksheets/sheet10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1:Y45"/>
  <sheetViews>
    <sheetView showGridLines="0" topLeftCell="A4" zoomScale="130" zoomScaleNormal="130" workbookViewId="0">
      <selection activeCell="M11" sqref="M11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8.125" customWidth="1" style="2243" min="6" max="7"/>
    <col width="7.125" bestFit="1" customWidth="1" style="2319" min="8" max="10"/>
    <col width="7.125" customWidth="1" style="2319" min="11" max="11"/>
    <col width="7.125" bestFit="1" customWidth="1" style="2319" min="12" max="12"/>
    <col width="7.375" customWidth="1" style="2319" min="13" max="13"/>
    <col width="7.125" bestFit="1" customWidth="1" style="2319" min="14" max="21"/>
    <col width="50.875" customWidth="1" style="2243" min="22" max="22"/>
    <col width="7.875" customWidth="1" style="383" min="23" max="23"/>
    <col width="8.875" customWidth="1" style="383" min="24" max="24"/>
    <col width="9.375" bestFit="1" customWidth="1" style="386" min="25" max="25"/>
    <col width="8.875" customWidth="1" style="383" min="26" max="16384"/>
  </cols>
  <sheetData>
    <row r="1" ht="19.7" customHeight="1">
      <c r="A1" s="382" t="inlineStr">
        <is>
          <t>2025년 카탈리스터 자금수지 계획</t>
        </is>
      </c>
      <c r="V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320" t="n"/>
      <c r="I2" s="2320" t="n"/>
      <c r="J2" s="2320" t="n"/>
      <c r="K2" s="2320" t="n"/>
      <c r="L2" s="2320" t="n"/>
      <c r="M2" s="2320" t="n"/>
      <c r="N2" s="2320" t="n"/>
      <c r="O2" s="2320" t="n"/>
      <c r="P2" s="2320" t="n"/>
      <c r="Q2" s="2320" t="n"/>
      <c r="R2" s="2320" t="n"/>
      <c r="S2" s="2320" t="n"/>
      <c r="T2" s="2320" t="n"/>
      <c r="U2" s="2320" t="n"/>
      <c r="V2" s="2245" t="n"/>
    </row>
    <row r="7">
      <c r="B7" s="390" t="n"/>
      <c r="C7" s="391" t="n"/>
      <c r="D7" s="391" t="n"/>
      <c r="E7" s="391" t="n"/>
      <c r="F7" s="391" t="n"/>
      <c r="G7" s="391" t="n"/>
      <c r="H7" s="1860" t="n"/>
      <c r="I7" s="1860" t="n"/>
      <c r="J7" s="1860" t="n"/>
      <c r="K7" s="1860" t="n"/>
      <c r="L7" s="1860" t="n"/>
      <c r="M7" s="1860" t="n"/>
      <c r="N7" s="1860" t="n"/>
      <c r="O7" s="1860" t="n"/>
      <c r="P7" s="1860" t="n"/>
      <c r="Q7" s="1860" t="n"/>
      <c r="R7" s="1860" t="n"/>
      <c r="S7" s="1860" t="n"/>
      <c r="T7" s="1860" t="n"/>
      <c r="U7" s="1860" t="n"/>
      <c r="V7" s="392" t="inlineStr">
        <is>
          <t>(단위 : 백만원)</t>
        </is>
      </c>
    </row>
    <row r="8" ht="16.35" customHeight="1">
      <c r="B8" s="2321" t="inlineStr">
        <is>
          <t>구분</t>
        </is>
      </c>
      <c r="C8" s="1941" t="n"/>
      <c r="D8" s="1941" t="n"/>
      <c r="E8" s="1941" t="n"/>
      <c r="F8" s="2322" t="inlineStr">
        <is>
          <t>2024년</t>
        </is>
      </c>
      <c r="G8" s="2323" t="n"/>
      <c r="H8" s="2324" t="inlineStr">
        <is>
          <t>2025년</t>
        </is>
      </c>
      <c r="I8" s="1864" t="n"/>
      <c r="J8" s="1864" t="n"/>
      <c r="K8" s="1864" t="n"/>
      <c r="L8" s="1864" t="n"/>
      <c r="M8" s="1864" t="n"/>
      <c r="N8" s="1864" t="n"/>
      <c r="O8" s="1864" t="n"/>
      <c r="P8" s="1864" t="n"/>
      <c r="Q8" s="1864" t="n"/>
      <c r="R8" s="1864" t="n"/>
      <c r="S8" s="1864" t="n"/>
      <c r="T8" s="2325" t="n"/>
      <c r="U8" s="2326" t="n"/>
      <c r="V8" s="2321" t="inlineStr">
        <is>
          <t>세부사항</t>
        </is>
      </c>
      <c r="X8" s="383" t="n">
        <v>12</v>
      </c>
    </row>
    <row r="9" ht="16.35" customHeight="1">
      <c r="F9" s="2327" t="n"/>
      <c r="G9" s="1846" t="n"/>
      <c r="H9" s="2328" t="inlineStr">
        <is>
          <t>실적</t>
        </is>
      </c>
      <c r="I9" s="1864" t="n"/>
      <c r="J9" s="1864" t="n"/>
      <c r="K9" s="1864" t="n"/>
      <c r="L9" s="1864" t="n"/>
      <c r="M9" s="1864" t="n"/>
      <c r="N9" s="1864" t="n"/>
      <c r="O9" s="1864" t="n"/>
      <c r="P9" s="1864" t="n"/>
      <c r="Q9" s="1864" t="n"/>
      <c r="R9" s="1864" t="n"/>
      <c r="S9" s="1865" t="n"/>
      <c r="T9" s="2329" t="n"/>
      <c r="U9" s="2330" t="n"/>
    </row>
    <row r="10">
      <c r="B10" s="1866" t="n"/>
      <c r="C10" s="1866" t="n"/>
      <c r="D10" s="1866" t="n"/>
      <c r="E10" s="1866" t="n"/>
      <c r="F10" s="2331" t="inlineStr">
        <is>
          <t>합계</t>
        </is>
      </c>
      <c r="G10" s="2332" t="inlineStr">
        <is>
          <t>월평균</t>
        </is>
      </c>
      <c r="H10" s="2333" t="inlineStr">
        <is>
          <t>1월(A)</t>
        </is>
      </c>
      <c r="I10" s="2334" t="inlineStr">
        <is>
          <t>2월(A)</t>
        </is>
      </c>
      <c r="J10" s="2335" t="inlineStr">
        <is>
          <t>3월(A)</t>
        </is>
      </c>
      <c r="K10" s="2334" t="inlineStr">
        <is>
          <t>4월(A)</t>
        </is>
      </c>
      <c r="L10" s="2336" t="inlineStr">
        <is>
          <t>5월(A)</t>
        </is>
      </c>
      <c r="M10" s="2337" t="inlineStr">
        <is>
          <t>6월(A)</t>
        </is>
      </c>
      <c r="N10" s="2334" t="inlineStr">
        <is>
          <t>7월(A)</t>
        </is>
      </c>
      <c r="O10" s="2336" t="inlineStr">
        <is>
          <t>8월(A)</t>
        </is>
      </c>
      <c r="P10" s="2337" t="inlineStr">
        <is>
          <t>9월(A)</t>
        </is>
      </c>
      <c r="Q10" s="2334" t="inlineStr">
        <is>
          <t>10월(A)</t>
        </is>
      </c>
      <c r="R10" s="2334" t="inlineStr">
        <is>
          <t>11월(A)</t>
        </is>
      </c>
      <c r="S10" s="2338" t="inlineStr">
        <is>
          <t>12월(A)</t>
        </is>
      </c>
      <c r="T10" s="2339" t="inlineStr">
        <is>
          <t>합계</t>
        </is>
      </c>
      <c r="U10" s="2340" t="inlineStr">
        <is>
          <t>월평균</t>
        </is>
      </c>
      <c r="V10" s="1866" t="n"/>
    </row>
    <row r="11" customFormat="1" s="399">
      <c r="B11" s="2341" t="inlineStr">
        <is>
          <t xml:space="preserve"> A. 기초잔고</t>
        </is>
      </c>
      <c r="C11" s="1866" t="n"/>
      <c r="D11" s="1866" t="n"/>
      <c r="E11" s="1866" t="n"/>
      <c r="F11" s="2342" t="n">
        <v>6331.621966</v>
      </c>
      <c r="G11" s="2343" t="n"/>
      <c r="H11" s="2344" t="n">
        <v>4099.998134</v>
      </c>
      <c r="I11" s="2345">
        <f>H40</f>
        <v/>
      </c>
      <c r="J11" s="2346">
        <f>I40</f>
        <v/>
      </c>
      <c r="K11" s="2345">
        <f>J40</f>
        <v/>
      </c>
      <c r="L11" s="2347">
        <f>K40</f>
        <v/>
      </c>
      <c r="M11" s="2348">
        <f>L40</f>
        <v/>
      </c>
      <c r="N11" s="2349">
        <f>M40</f>
        <v/>
      </c>
      <c r="O11" s="2347">
        <f>N40</f>
        <v/>
      </c>
      <c r="P11" s="2348">
        <f>O40</f>
        <v/>
      </c>
      <c r="Q11" s="2349">
        <f>P40</f>
        <v/>
      </c>
      <c r="R11" s="2349">
        <f>Q40</f>
        <v/>
      </c>
      <c r="S11" s="2350">
        <f>R40</f>
        <v/>
      </c>
      <c r="T11" s="2348">
        <f>H11</f>
        <v/>
      </c>
      <c r="U11" s="2351" t="n"/>
      <c r="V11" s="406" t="n"/>
      <c r="Y11" s="407" t="n"/>
    </row>
    <row r="12">
      <c r="B12" s="1662" t="inlineStr">
        <is>
          <t xml:space="preserve"> B. 수입</t>
        </is>
      </c>
      <c r="C12" s="1941" t="n"/>
      <c r="D12" s="1941" t="n"/>
      <c r="E12" s="1941" t="n"/>
      <c r="F12" s="2352" t="n">
        <v>792.85789</v>
      </c>
      <c r="G12" s="2353">
        <f>F12/12</f>
        <v/>
      </c>
      <c r="H12" s="2354">
        <f>SUM(H13:H14)</f>
        <v/>
      </c>
      <c r="I12" s="2355">
        <f>SUM(I13:I14)</f>
        <v/>
      </c>
      <c r="J12" s="2356">
        <f>SUM(J13:J14)</f>
        <v/>
      </c>
      <c r="K12" s="2355">
        <f>SUM(K13:K14)</f>
        <v/>
      </c>
      <c r="L12" s="2357">
        <f>SUM(L13:L14)</f>
        <v/>
      </c>
      <c r="M12" s="2358">
        <f>SUM(M13:M14)</f>
        <v/>
      </c>
      <c r="N12" s="2359">
        <f>SUM(N13:N14)</f>
        <v/>
      </c>
      <c r="O12" s="2357">
        <f>SUM(O13:O14)</f>
        <v/>
      </c>
      <c r="P12" s="2358">
        <f>SUM(P13:P14)</f>
        <v/>
      </c>
      <c r="Q12" s="2359">
        <f>SUM(Q13:Q14)</f>
        <v/>
      </c>
      <c r="R12" s="2359">
        <f>SUM(R13:R14)</f>
        <v/>
      </c>
      <c r="S12" s="2360">
        <f>SUM(S13:S14)</f>
        <v/>
      </c>
      <c r="T12" s="2358">
        <f>SUM(T13,T14)</f>
        <v/>
      </c>
      <c r="U12" s="2353">
        <f>T12/$X$8</f>
        <v/>
      </c>
      <c r="V12" s="414" t="n"/>
    </row>
    <row r="13" ht="17.1" customHeight="1">
      <c r="B13" s="415" t="n"/>
      <c r="C13" s="1650" t="inlineStr">
        <is>
          <t>경상</t>
        </is>
      </c>
      <c r="D13" s="2265" t="n"/>
      <c r="E13" s="2265" t="n"/>
      <c r="F13" s="2361" t="n">
        <v>100.150471</v>
      </c>
      <c r="G13" s="2362">
        <f>F13/12</f>
        <v/>
      </c>
      <c r="H13" s="2363" t="n">
        <v>0.983342</v>
      </c>
      <c r="I13" s="2364" t="n">
        <v>1.124748</v>
      </c>
      <c r="J13" s="2365" t="n">
        <v>5.522713</v>
      </c>
      <c r="K13" s="2365" t="n">
        <v>22.72041299999943</v>
      </c>
      <c r="L13" s="2364" t="n">
        <v>6.749239</v>
      </c>
      <c r="M13" s="2366" t="n">
        <v>9.592220000000001</v>
      </c>
      <c r="N13" s="2367" t="n">
        <v>0.393609</v>
      </c>
      <c r="O13" s="2368" t="n">
        <v>2.65228</v>
      </c>
      <c r="P13" s="2366" t="n">
        <v>3.950388</v>
      </c>
      <c r="Q13" s="2367" t="n">
        <v>2.582751</v>
      </c>
      <c r="R13" s="2369" t="n">
        <v>1.446859</v>
      </c>
      <c r="S13" s="2370" t="n">
        <v>0.556989</v>
      </c>
      <c r="T13" s="2371">
        <f>SUM(H13:S13)</f>
        <v/>
      </c>
      <c r="U13" s="2362">
        <f>T13/$X$8</f>
        <v/>
      </c>
      <c r="V13" s="430" t="inlineStr">
        <is>
          <t>○ 이자수익, 세금환급(부가세, 법인세) 등</t>
        </is>
      </c>
    </row>
    <row r="14" ht="17.45" customHeight="1">
      <c r="B14" s="415" t="n"/>
      <c r="C14" s="1666" t="inlineStr">
        <is>
          <t>비경상</t>
        </is>
      </c>
      <c r="D14" s="2265" t="n"/>
      <c r="E14" s="2265" t="n"/>
      <c r="F14" s="2372" t="n">
        <v>692.707419</v>
      </c>
      <c r="G14" s="2373">
        <f>F14/12</f>
        <v/>
      </c>
      <c r="H14" s="2374" t="n">
        <v>0</v>
      </c>
      <c r="I14" s="2375" t="n">
        <v>0</v>
      </c>
      <c r="J14" s="2376" t="n">
        <v>0</v>
      </c>
      <c r="K14" s="2375" t="n">
        <v>0</v>
      </c>
      <c r="L14" s="2377" t="n">
        <v>0</v>
      </c>
      <c r="M14" s="2378" t="n">
        <v>0</v>
      </c>
      <c r="N14" s="2379" t="n">
        <v>0</v>
      </c>
      <c r="O14" s="2377" t="n">
        <v>0</v>
      </c>
      <c r="P14" s="2378" t="n">
        <v>0</v>
      </c>
      <c r="Q14" s="2379" t="n">
        <v>0</v>
      </c>
      <c r="R14" s="2379" t="n">
        <v>0</v>
      </c>
      <c r="S14" s="2380" t="n">
        <v>0</v>
      </c>
      <c r="T14" s="2378">
        <f>SUM(H14:S14)</f>
        <v/>
      </c>
      <c r="U14" s="2373">
        <f>T14/$X$8</f>
        <v/>
      </c>
      <c r="V14" s="422" t="inlineStr">
        <is>
          <t>○ 자산양수도 대금, 재고장비 판매대금, 임차보증금 등</t>
        </is>
      </c>
    </row>
    <row r="15">
      <c r="B15" s="1662" t="inlineStr">
        <is>
          <t xml:space="preserve"> C. 지출</t>
        </is>
      </c>
      <c r="C15" s="1941" t="n"/>
      <c r="D15" s="1941" t="n"/>
      <c r="E15" s="1941" t="n"/>
      <c r="F15" s="2381" t="n">
        <v>3024.481722</v>
      </c>
      <c r="G15" s="2382">
        <f>F15/12</f>
        <v/>
      </c>
      <c r="H15" s="2383" t="n">
        <v>62.327915</v>
      </c>
      <c r="I15" s="2384" t="n">
        <v>44.40696600000001</v>
      </c>
      <c r="J15" s="2385" t="n">
        <v>41.671187</v>
      </c>
      <c r="K15" s="2384" t="n">
        <v>46.98983</v>
      </c>
      <c r="L15" s="2386" t="n">
        <v>37.849956</v>
      </c>
      <c r="M15" s="2387" t="n">
        <v>47.23631100000024</v>
      </c>
      <c r="N15" s="2388">
        <f>N16+N29</f>
        <v/>
      </c>
      <c r="O15" s="2386">
        <f>O16+O29</f>
        <v/>
      </c>
      <c r="P15" s="2387">
        <f>P16+P29</f>
        <v/>
      </c>
      <c r="Q15" s="2388">
        <f>Q16+Q29</f>
        <v/>
      </c>
      <c r="R15" s="2388">
        <f>R16+R29</f>
        <v/>
      </c>
      <c r="S15" s="2389">
        <f>S16+S29</f>
        <v/>
      </c>
      <c r="T15" s="2387">
        <f>SUM(T16,T29)</f>
        <v/>
      </c>
      <c r="U15" s="2382">
        <f>T15/$X$8</f>
        <v/>
      </c>
      <c r="V15" s="451" t="n"/>
    </row>
    <row r="16" ht="17.45" customHeight="1">
      <c r="B16" s="415" t="n"/>
      <c r="C16" s="1650" t="inlineStr">
        <is>
          <t>경상</t>
        </is>
      </c>
      <c r="D16" s="2265" t="n"/>
      <c r="E16" s="2265" t="n"/>
      <c r="F16" s="2361" t="n">
        <v>3024.481722</v>
      </c>
      <c r="G16" s="2362">
        <f>F16/12</f>
        <v/>
      </c>
      <c r="H16" s="2390">
        <f>H15-H29</f>
        <v/>
      </c>
      <c r="I16" s="2391">
        <f>I15-I29</f>
        <v/>
      </c>
      <c r="J16" s="2392">
        <f>J15-J29</f>
        <v/>
      </c>
      <c r="K16" s="2391">
        <f>K15-K29</f>
        <v/>
      </c>
      <c r="L16" s="2368">
        <f>L15-L29</f>
        <v/>
      </c>
      <c r="M16" s="2371">
        <f>SUM(M17:M19)</f>
        <v/>
      </c>
      <c r="N16" s="2369">
        <f>SUM(N17:N19)</f>
        <v/>
      </c>
      <c r="O16" s="2368">
        <f>SUM(O17:O19)</f>
        <v/>
      </c>
      <c r="P16" s="2371">
        <f>SUM(P17:P19)</f>
        <v/>
      </c>
      <c r="Q16" s="2369">
        <f>SUM(Q17:Q19)</f>
        <v/>
      </c>
      <c r="R16" s="2369">
        <f>SUM(R17:R19)</f>
        <v/>
      </c>
      <c r="S16" s="2393">
        <f>SUM(S17:S19)</f>
        <v/>
      </c>
      <c r="T16" s="2371">
        <f>SUM(H16:S16)</f>
        <v/>
      </c>
      <c r="U16" s="2362">
        <f>T16/$X$8</f>
        <v/>
      </c>
      <c r="V16" s="422" t="n"/>
    </row>
    <row r="17">
      <c r="B17" s="415" t="n"/>
      <c r="C17" s="423" t="n"/>
      <c r="D17" s="1666" t="inlineStr">
        <is>
          <t>인건비</t>
        </is>
      </c>
      <c r="E17" s="1667" t="n"/>
      <c r="F17" s="2372" t="n">
        <v>2133.857181</v>
      </c>
      <c r="G17" s="2373">
        <f>F17/12</f>
        <v/>
      </c>
      <c r="H17" s="2374" t="n">
        <v>24.85729</v>
      </c>
      <c r="I17" s="2375" t="n">
        <v>34.28999</v>
      </c>
      <c r="J17" s="2376" t="n">
        <v>28.59095</v>
      </c>
      <c r="K17" s="2375" t="n">
        <v>29.25174</v>
      </c>
      <c r="L17" s="2377" t="n">
        <v>28.11826</v>
      </c>
      <c r="M17" s="2378" t="n">
        <v>28.11826</v>
      </c>
      <c r="N17" s="2379" t="n">
        <v>28.09324</v>
      </c>
      <c r="O17" s="2377" t="n">
        <v>28.12428</v>
      </c>
      <c r="P17" s="2378" t="n">
        <v>28.13378</v>
      </c>
      <c r="Q17" s="2379" t="n">
        <v>28.13578</v>
      </c>
      <c r="R17" s="2379" t="n">
        <v>28.42702</v>
      </c>
      <c r="S17" s="2380" t="n">
        <v>30.85293</v>
      </c>
      <c r="T17" s="2378">
        <f>SUM(H17:S17)</f>
        <v/>
      </c>
      <c r="U17" s="2373">
        <f>T17/$X$8</f>
        <v/>
      </c>
      <c r="V17" s="422" t="n"/>
    </row>
    <row r="18">
      <c r="B18" s="415" t="n"/>
      <c r="C18" s="423" t="n"/>
      <c r="D18" s="423" t="inlineStr">
        <is>
          <t>S/W, H/W 매입</t>
        </is>
      </c>
      <c r="E18" s="383" t="n"/>
      <c r="F18" s="2352" t="n">
        <v>160.543166</v>
      </c>
      <c r="G18" s="2394">
        <f>F18/12</f>
        <v/>
      </c>
      <c r="H18" s="2395" t="n">
        <v>0</v>
      </c>
      <c r="I18" s="2396" t="n">
        <v>1.1418</v>
      </c>
      <c r="J18" s="2397" t="n">
        <v>0</v>
      </c>
      <c r="K18" s="2396" t="n">
        <v>0</v>
      </c>
      <c r="L18" s="2398" t="n">
        <v>0</v>
      </c>
      <c r="M18" s="2399" t="n">
        <v>0</v>
      </c>
      <c r="N18" s="2400" t="n">
        <v>0</v>
      </c>
      <c r="O18" s="2398" t="n">
        <v>0</v>
      </c>
      <c r="P18" s="2399" t="n">
        <v>0</v>
      </c>
      <c r="Q18" s="2400" t="n">
        <v>0</v>
      </c>
      <c r="R18" s="2400" t="n">
        <v>0</v>
      </c>
      <c r="S18" s="2401" t="n">
        <v>0</v>
      </c>
      <c r="T18" s="2399">
        <f>SUM(H18:S18)</f>
        <v/>
      </c>
      <c r="U18" s="2394">
        <f>T18/$X$8</f>
        <v/>
      </c>
      <c r="V18" s="430" t="n"/>
    </row>
    <row r="19">
      <c r="B19" s="415" t="n"/>
      <c r="C19" s="423" t="n"/>
      <c r="D19" s="423" t="inlineStr">
        <is>
          <t>기타</t>
        </is>
      </c>
      <c r="E19" s="415" t="n"/>
      <c r="F19" s="2402" t="n">
        <v>730.081375</v>
      </c>
      <c r="G19" s="2403">
        <f>F19/12</f>
        <v/>
      </c>
      <c r="H19" s="2404">
        <f>H16-SUM(H17:H18)</f>
        <v/>
      </c>
      <c r="I19" s="2405">
        <f>I16-SUM(I17:I18)</f>
        <v/>
      </c>
      <c r="J19" s="2406">
        <f>J16-SUM(J17:J18)</f>
        <v/>
      </c>
      <c r="K19" s="2405">
        <f>K16-SUM(K17:K18)</f>
        <v/>
      </c>
      <c r="L19" s="2407">
        <f>L16-SUM(L17:L18)</f>
        <v/>
      </c>
      <c r="M19" s="2408">
        <f>SUM(M20:M28)</f>
        <v/>
      </c>
      <c r="N19" s="2409">
        <f>SUM(N20:N28)</f>
        <v/>
      </c>
      <c r="O19" s="2407">
        <f>SUM(O20:O28)</f>
        <v/>
      </c>
      <c r="P19" s="2408">
        <f>SUM(P20:P28)</f>
        <v/>
      </c>
      <c r="Q19" s="2409">
        <f>SUM(Q20:Q28)</f>
        <v/>
      </c>
      <c r="R19" s="2409">
        <f>SUM(R20:R28)</f>
        <v/>
      </c>
      <c r="S19" s="2410">
        <f>SUM(S20:S28)</f>
        <v/>
      </c>
      <c r="T19" s="2408">
        <f>SUM(H19:S19)</f>
        <v/>
      </c>
      <c r="U19" s="2403">
        <f>T19/$X$8</f>
        <v/>
      </c>
      <c r="V19" s="462" t="n"/>
    </row>
    <row r="20">
      <c r="B20" s="415" t="n"/>
      <c r="C20" s="423" t="n"/>
      <c r="D20" s="539" t="n"/>
      <c r="E20" s="1666" t="inlineStr">
        <is>
          <t>제세공과금</t>
        </is>
      </c>
      <c r="F20" s="2352" t="n">
        <v>138.07748</v>
      </c>
      <c r="G20" s="2411">
        <f>F20/12</f>
        <v/>
      </c>
      <c r="H20" s="2412" t="n">
        <v>9.98006</v>
      </c>
      <c r="I20" s="2413" t="n">
        <v>0</v>
      </c>
      <c r="J20" s="2414" t="n">
        <v>0</v>
      </c>
      <c r="K20" s="2413" t="n">
        <v>0</v>
      </c>
      <c r="L20" s="2415" t="n">
        <v>1.5739</v>
      </c>
      <c r="M20" s="2416" t="n">
        <v>5.09157</v>
      </c>
      <c r="N20" s="2413" t="n">
        <v>4.93922</v>
      </c>
      <c r="O20" s="2415" t="n">
        <v>5.18922</v>
      </c>
      <c r="P20" s="2416" t="n">
        <v>4.93922</v>
      </c>
      <c r="Q20" s="2413" t="n">
        <v>4.93922</v>
      </c>
      <c r="R20" s="2413" t="n">
        <v>4.93922</v>
      </c>
      <c r="S20" s="2417" t="n">
        <v>4.93922</v>
      </c>
      <c r="T20" s="2418">
        <f>SUM(H20:S20)</f>
        <v/>
      </c>
      <c r="U20" s="2411">
        <f>T20/$X$8</f>
        <v/>
      </c>
      <c r="V20" s="422" t="inlineStr">
        <is>
          <t>○ 원천세 등</t>
        </is>
      </c>
    </row>
    <row r="21">
      <c r="B21" s="415" t="n"/>
      <c r="C21" s="423" t="n"/>
      <c r="D21" s="539" t="n"/>
      <c r="E21" s="541" t="inlineStr">
        <is>
          <t>전산관련지출</t>
        </is>
      </c>
      <c r="F21" s="2419" t="n">
        <v>166.545125</v>
      </c>
      <c r="G21" s="2420">
        <f>F21/12</f>
        <v/>
      </c>
      <c r="H21" s="2412" t="n">
        <v>13.106855</v>
      </c>
      <c r="I21" s="2413" t="n">
        <v>5.412448</v>
      </c>
      <c r="J21" s="2414" t="n">
        <v>5.818429</v>
      </c>
      <c r="K21" s="2413" t="n">
        <v>3.235641</v>
      </c>
      <c r="L21" s="2415" t="n">
        <v>3.6179</v>
      </c>
      <c r="M21" s="2416" t="n">
        <v>4.773561</v>
      </c>
      <c r="N21" s="2413" t="n">
        <v>1.519217</v>
      </c>
      <c r="O21" s="2415" t="n">
        <v>1.265235</v>
      </c>
      <c r="P21" s="2416" t="n">
        <v>1.472461</v>
      </c>
      <c r="Q21" s="2413" t="n">
        <v>1.446166</v>
      </c>
      <c r="R21" s="2413" t="n">
        <v>1.50262</v>
      </c>
      <c r="S21" s="2417" t="n">
        <v>4.006679</v>
      </c>
      <c r="T21" s="2421">
        <f>SUM(H21:S21)</f>
        <v/>
      </c>
      <c r="U21" s="2420">
        <f>T21/$X$8</f>
        <v/>
      </c>
      <c r="V21" s="430" t="n"/>
    </row>
    <row r="22">
      <c r="B22" s="415" t="n"/>
      <c r="C22" s="423" t="n"/>
      <c r="D22" s="539" t="n"/>
      <c r="E22" s="541" t="inlineStr">
        <is>
          <t>경영, 업무지원, 운영용역비</t>
        </is>
      </c>
      <c r="F22" s="2419" t="n">
        <v>104.176384</v>
      </c>
      <c r="G22" s="2420">
        <f>F22/12</f>
        <v/>
      </c>
      <c r="H22" s="2412" t="n">
        <v>3.529234</v>
      </c>
      <c r="I22" s="2413" t="n">
        <v>0.058245</v>
      </c>
      <c r="J22" s="2414" t="n">
        <v>0.056719</v>
      </c>
      <c r="K22" s="2413" t="n">
        <v>3.535715</v>
      </c>
      <c r="L22" s="2415" t="n">
        <v>0.062677</v>
      </c>
      <c r="M22" s="2416" t="n">
        <v>0.061947</v>
      </c>
      <c r="N22" s="2413" t="n">
        <v>3.485957</v>
      </c>
      <c r="O22" s="2415" t="n">
        <v>0.058311</v>
      </c>
      <c r="P22" s="2416" t="n">
        <v>0.057776</v>
      </c>
      <c r="Q22" s="2413" t="n">
        <v>3.501225</v>
      </c>
      <c r="R22" s="2413" t="n">
        <v>0.059862</v>
      </c>
      <c r="S22" s="2417" t="n">
        <v>0.060569</v>
      </c>
      <c r="T22" s="2421">
        <f>SUM(H22:S22)</f>
        <v/>
      </c>
      <c r="U22" s="2420">
        <f>T22/$X$8</f>
        <v/>
      </c>
      <c r="V22" s="430" t="inlineStr">
        <is>
          <t>○ 분기별 그룹사 공용비용 등</t>
        </is>
      </c>
    </row>
    <row r="23">
      <c r="B23" s="415" t="n"/>
      <c r="C23" s="423" t="n"/>
      <c r="D23" s="539" t="n"/>
      <c r="E23" s="541" t="inlineStr">
        <is>
          <t>복리후생비</t>
        </is>
      </c>
      <c r="F23" s="2419" t="n">
        <v>51.951745</v>
      </c>
      <c r="G23" s="2420">
        <f>F23/12</f>
        <v/>
      </c>
      <c r="H23" s="2412" t="n">
        <v>0.926196</v>
      </c>
      <c r="I23" s="2413" t="n">
        <v>0.183763</v>
      </c>
      <c r="J23" s="2414" t="n">
        <v>1.099541</v>
      </c>
      <c r="K23" s="2413" t="n">
        <v>1.635446</v>
      </c>
      <c r="L23" s="2415" t="n">
        <v>0.289322</v>
      </c>
      <c r="M23" s="2416" t="n">
        <v>0.178322</v>
      </c>
      <c r="N23" s="2413" t="n">
        <v>2.5242</v>
      </c>
      <c r="O23" s="2415" t="n">
        <v>0.171571</v>
      </c>
      <c r="P23" s="2416" t="n">
        <v>0.173516</v>
      </c>
      <c r="Q23" s="2413" t="n">
        <v>0.660489</v>
      </c>
      <c r="R23" s="2413" t="n">
        <v>1.061733</v>
      </c>
      <c r="S23" s="2417" t="n">
        <v>0.664783</v>
      </c>
      <c r="T23" s="2421">
        <f>SUM(H23:S23)</f>
        <v/>
      </c>
      <c r="U23" s="2420">
        <f>T23/$X$8</f>
        <v/>
      </c>
      <c r="V23" s="430" t="inlineStr">
        <is>
          <t>○ 동호회비, 건강검진비용, 명절 선물대금 등</t>
        </is>
      </c>
    </row>
    <row r="24">
      <c r="B24" s="415" t="n"/>
      <c r="C24" s="423" t="n"/>
      <c r="D24" s="539" t="n"/>
      <c r="E24" s="541" t="inlineStr">
        <is>
          <t>식당, 카페, 매점 등 운영비</t>
        </is>
      </c>
      <c r="F24" s="2419" t="n">
        <v>32.3141</v>
      </c>
      <c r="G24" s="2420">
        <f>F24/12</f>
        <v/>
      </c>
      <c r="H24" s="2412" t="n">
        <v>0.3571</v>
      </c>
      <c r="I24" s="2413" t="n">
        <v>0.2537</v>
      </c>
      <c r="J24" s="2414" t="n">
        <v>0.3952</v>
      </c>
      <c r="K24" s="2413" t="n">
        <v>0.401</v>
      </c>
      <c r="L24" s="2415" t="n">
        <v>0.3900006</v>
      </c>
      <c r="M24" s="2416" t="n">
        <v>0.32</v>
      </c>
      <c r="N24" s="2413" t="n">
        <v>0.3255</v>
      </c>
      <c r="O24" s="2415" t="n">
        <v>0.429</v>
      </c>
      <c r="P24" s="2416" t="n">
        <v>0.2719</v>
      </c>
      <c r="Q24" s="2413" t="n">
        <v>0.343</v>
      </c>
      <c r="R24" s="2413" t="n">
        <v>0.3</v>
      </c>
      <c r="S24" s="2417" t="n">
        <v>0.2905</v>
      </c>
      <c r="T24" s="2421">
        <f>SUM(H24:S24)</f>
        <v/>
      </c>
      <c r="U24" s="2420">
        <f>T24/$X$8</f>
        <v/>
      </c>
      <c r="V24" s="430" t="n"/>
    </row>
    <row r="25">
      <c r="B25" s="415" t="n"/>
      <c r="C25" s="423" t="n"/>
      <c r="D25" s="539" t="n"/>
      <c r="E25" s="423" t="inlineStr">
        <is>
          <t>직원비용, 복지포인트 사용비</t>
        </is>
      </c>
      <c r="F25" s="2352" t="n">
        <v>10.5994034</v>
      </c>
      <c r="G25" s="2420">
        <f>F25/12</f>
        <v/>
      </c>
      <c r="H25" s="2412" t="n">
        <v>5.823092</v>
      </c>
      <c r="I25" s="2413" t="n">
        <v>1.927858</v>
      </c>
      <c r="J25" s="2414" t="n">
        <v>3.07398</v>
      </c>
      <c r="K25" s="2413" t="n">
        <v>2.44847</v>
      </c>
      <c r="L25" s="2415" t="n">
        <v>2.939861</v>
      </c>
      <c r="M25" s="2416" t="n">
        <v>5.130312</v>
      </c>
      <c r="N25" s="2413" t="n">
        <v>4.746188</v>
      </c>
      <c r="O25" s="2415" t="n">
        <v>3.273832</v>
      </c>
      <c r="P25" s="2416" t="n">
        <v>5.555783</v>
      </c>
      <c r="Q25" s="2413" t="n">
        <v>5.34612</v>
      </c>
      <c r="R25" s="2413" t="n">
        <v>6.072156</v>
      </c>
      <c r="S25" s="2417" t="n">
        <v>4.737039</v>
      </c>
      <c r="T25" s="2421">
        <f>SUM(H25:S25)</f>
        <v/>
      </c>
      <c r="U25" s="2420">
        <f>T25/$X$8</f>
        <v/>
      </c>
      <c r="V25" s="430" t="n"/>
    </row>
    <row r="26">
      <c r="B26" s="415" t="n"/>
      <c r="C26" s="423" t="n"/>
      <c r="D26" s="539" t="n"/>
      <c r="E26" s="423" t="inlineStr">
        <is>
          <t>임차료, 관리비</t>
        </is>
      </c>
      <c r="F26" s="2352" t="n">
        <v>95.56923999999999</v>
      </c>
      <c r="G26" s="2420">
        <f>F26/12</f>
        <v/>
      </c>
      <c r="H26" s="2412" t="n">
        <v>0.919248</v>
      </c>
      <c r="I26" s="2413" t="n">
        <v>0.919248</v>
      </c>
      <c r="J26" s="2414" t="n">
        <v>0.919248</v>
      </c>
      <c r="K26" s="2413" t="n">
        <v>0.919248</v>
      </c>
      <c r="L26" s="2415" t="n">
        <v>0.919248</v>
      </c>
      <c r="M26" s="2416" t="n">
        <v>0.919248</v>
      </c>
      <c r="N26" s="2413" t="n">
        <v>0.919248</v>
      </c>
      <c r="O26" s="2415" t="n">
        <v>0.919248</v>
      </c>
      <c r="P26" s="2416" t="n">
        <v>0.919248</v>
      </c>
      <c r="Q26" s="2413" t="n">
        <v>0.919248</v>
      </c>
      <c r="R26" s="2413" t="n">
        <v>0.919248</v>
      </c>
      <c r="S26" s="2417" t="n">
        <v>0.919248</v>
      </c>
      <c r="T26" s="2421">
        <f>SUM(H26:S26)</f>
        <v/>
      </c>
      <c r="U26" s="2420">
        <f>T26/$X$8</f>
        <v/>
      </c>
      <c r="V26" s="430" t="n"/>
    </row>
    <row r="27">
      <c r="B27" s="415" t="n"/>
      <c r="C27" s="423" t="n"/>
      <c r="D27" s="539" t="n"/>
      <c r="E27" s="423" t="inlineStr">
        <is>
          <t>지급수수료</t>
        </is>
      </c>
      <c r="F27" s="2352" t="n">
        <v>15.357349</v>
      </c>
      <c r="G27" s="2420">
        <f>F27/12</f>
        <v/>
      </c>
      <c r="H27" s="2412" t="n">
        <v>0.001</v>
      </c>
      <c r="I27" s="2413" t="n">
        <v>0</v>
      </c>
      <c r="J27" s="2414" t="n">
        <v>1.56096</v>
      </c>
      <c r="K27" s="2413" t="n">
        <v>4.95426</v>
      </c>
      <c r="L27" s="2415" t="n">
        <v>0</v>
      </c>
      <c r="M27" s="2416" t="n">
        <v>0</v>
      </c>
      <c r="N27" s="2413" t="n">
        <v>6.695256</v>
      </c>
      <c r="O27" s="2415" t="n">
        <v>0.453506</v>
      </c>
      <c r="P27" s="2416" t="n">
        <v>0</v>
      </c>
      <c r="Q27" s="2413" t="n">
        <v>0.001</v>
      </c>
      <c r="R27" s="2413" t="n">
        <v>0</v>
      </c>
      <c r="S27" s="2417" t="n">
        <v>0</v>
      </c>
      <c r="T27" s="2421">
        <f>SUM(H27:S27)</f>
        <v/>
      </c>
      <c r="U27" s="2420">
        <f>T27/$X$8</f>
        <v/>
      </c>
      <c r="V27" s="430" t="inlineStr">
        <is>
          <t>○ 등기비용, 퇴직연금관리수수료 등</t>
        </is>
      </c>
    </row>
    <row r="28">
      <c r="B28" s="415" t="n"/>
      <c r="C28" s="423" t="n"/>
      <c r="D28" s="540" t="n"/>
      <c r="E28" s="455" t="inlineStr">
        <is>
          <t>통신비등</t>
        </is>
      </c>
      <c r="F28" s="2352" t="n">
        <v>70.298818</v>
      </c>
      <c r="G28" s="2422">
        <f>F28/12</f>
        <v/>
      </c>
      <c r="H28" s="2412" t="n">
        <v>2.82784</v>
      </c>
      <c r="I28" s="2413" t="n">
        <v>0.2199140000000002</v>
      </c>
      <c r="J28" s="2414" t="n">
        <v>0.1561600000000016</v>
      </c>
      <c r="K28" s="2413" t="n">
        <v>0.23691</v>
      </c>
      <c r="L28" s="2415" t="n">
        <v>0.5076469999999995</v>
      </c>
      <c r="M28" s="2416" t="n">
        <v>2.64309100000024</v>
      </c>
      <c r="N28" s="2413" t="n">
        <v>0.2125600000000016</v>
      </c>
      <c r="O28" s="2415" t="n">
        <v>0.1397000000000004</v>
      </c>
      <c r="P28" s="2416" t="n">
        <v>0.3630400000000007</v>
      </c>
      <c r="Q28" s="2413" t="n">
        <v>0.2419599999999997</v>
      </c>
      <c r="R28" s="2413" t="n">
        <v>0.1396999999999995</v>
      </c>
      <c r="S28" s="2417" t="n">
        <v>0.1462200000000005</v>
      </c>
      <c r="T28" s="2423">
        <f>SUM(H28:S28)</f>
        <v/>
      </c>
      <c r="U28" s="2422">
        <f>T28/$X$8</f>
        <v/>
      </c>
      <c r="V28" s="2424" t="n"/>
    </row>
    <row r="29" ht="17.45" customHeight="1">
      <c r="B29" s="415" t="n"/>
      <c r="C29" s="1666" t="inlineStr">
        <is>
          <t>비경상</t>
        </is>
      </c>
      <c r="D29" s="2265" t="n"/>
      <c r="E29" s="2265" t="n"/>
      <c r="F29" s="2372" t="n">
        <v>0</v>
      </c>
      <c r="G29" s="2411">
        <f>F29/12</f>
        <v/>
      </c>
      <c r="H29" s="2374">
        <f>SUM(H30:H33)</f>
        <v/>
      </c>
      <c r="I29" s="2375">
        <f>SUM(I30:I33)</f>
        <v/>
      </c>
      <c r="J29" s="2376">
        <f>SUM(J30:J33)</f>
        <v/>
      </c>
      <c r="K29" s="2375">
        <f>SUM(K30:K33)</f>
        <v/>
      </c>
      <c r="L29" s="2425">
        <f>SUM(L30:L33)</f>
        <v/>
      </c>
      <c r="M29" s="2426">
        <f>SUM(M30:M33)</f>
        <v/>
      </c>
      <c r="N29" s="2375">
        <f>SUM(N30:N33)</f>
        <v/>
      </c>
      <c r="O29" s="2425">
        <f>SUM(O30:O33)</f>
        <v/>
      </c>
      <c r="P29" s="2426">
        <f>SUM(P30:P33)</f>
        <v/>
      </c>
      <c r="Q29" s="2375">
        <f>SUM(Q30:Q33)</f>
        <v/>
      </c>
      <c r="R29" s="2375">
        <f>SUM(R30:R33)</f>
        <v/>
      </c>
      <c r="S29" s="2427">
        <f>SUM(S30:S33)</f>
        <v/>
      </c>
      <c r="T29" s="2426">
        <f>SUM(H29:S29)</f>
        <v/>
      </c>
      <c r="U29" s="2411">
        <f>T29/$X$8</f>
        <v/>
      </c>
      <c r="V29" s="422" t="n"/>
    </row>
    <row r="30" ht="17.45" customHeight="1">
      <c r="B30" s="415" t="n"/>
      <c r="C30" s="423" t="n"/>
      <c r="D30" s="1666" t="inlineStr">
        <is>
          <t>지식재산권 양수</t>
        </is>
      </c>
      <c r="E30" s="500" t="n"/>
      <c r="F30" s="2428" t="n">
        <v>0</v>
      </c>
      <c r="G30" s="2411">
        <f>F30/12</f>
        <v/>
      </c>
      <c r="H30" s="2374" t="n"/>
      <c r="I30" s="2375" t="n"/>
      <c r="J30" s="2376" t="n"/>
      <c r="K30" s="2375" t="n"/>
      <c r="L30" s="2425" t="n"/>
      <c r="M30" s="2426" t="n"/>
      <c r="N30" s="2375" t="n"/>
      <c r="O30" s="2425" t="n"/>
      <c r="P30" s="2426" t="n"/>
      <c r="Q30" s="2375" t="n"/>
      <c r="R30" s="2375" t="n"/>
      <c r="S30" s="2427" t="n"/>
      <c r="T30" s="2426">
        <f>SUM(H30:S30)</f>
        <v/>
      </c>
      <c r="U30" s="2411">
        <f>T30/$X$8</f>
        <v/>
      </c>
      <c r="V30" s="422" t="n"/>
    </row>
    <row r="31" ht="17.45" customHeight="1">
      <c r="B31" s="415" t="n"/>
      <c r="C31" s="423" t="n"/>
      <c r="D31" s="423" t="inlineStr">
        <is>
          <t>임대보증금</t>
        </is>
      </c>
      <c r="E31" s="501" t="n"/>
      <c r="F31" s="2429" t="n">
        <v>0</v>
      </c>
      <c r="G31" s="2420">
        <f>F31/12</f>
        <v/>
      </c>
      <c r="H31" s="2395" t="n"/>
      <c r="I31" s="2396" t="n"/>
      <c r="J31" s="2397" t="n"/>
      <c r="K31" s="2396" t="n"/>
      <c r="L31" s="2430" t="n"/>
      <c r="M31" s="2431" t="n"/>
      <c r="N31" s="2396" t="n"/>
      <c r="O31" s="2430" t="n"/>
      <c r="P31" s="2431" t="n"/>
      <c r="Q31" s="2396" t="n"/>
      <c r="R31" s="2396" t="n"/>
      <c r="S31" s="2432" t="n"/>
      <c r="T31" s="2431">
        <f>SUM(H31:S31)</f>
        <v/>
      </c>
      <c r="U31" s="2420">
        <f>T31/$X$8</f>
        <v/>
      </c>
      <c r="V31" s="430" t="n"/>
    </row>
    <row r="32" ht="17.45" customHeight="1">
      <c r="B32" s="415" t="n"/>
      <c r="C32" s="423" t="n"/>
      <c r="D32" s="423" t="inlineStr">
        <is>
          <t>시설장치</t>
        </is>
      </c>
      <c r="E32" s="501" t="n"/>
      <c r="F32" s="2429" t="n">
        <v>0</v>
      </c>
      <c r="G32" s="2420">
        <f>F32/12</f>
        <v/>
      </c>
      <c r="H32" s="2395" t="n"/>
      <c r="I32" s="2396" t="n"/>
      <c r="J32" s="2397" t="n"/>
      <c r="K32" s="2396" t="n"/>
      <c r="L32" s="2430" t="n"/>
      <c r="M32" s="2431" t="n"/>
      <c r="N32" s="2396" t="n"/>
      <c r="O32" s="2430" t="n"/>
      <c r="P32" s="2431" t="n"/>
      <c r="Q32" s="2396" t="n"/>
      <c r="R32" s="2396" t="n"/>
      <c r="S32" s="2432" t="n"/>
      <c r="T32" s="2431">
        <f>SUM(H32:S32)</f>
        <v/>
      </c>
      <c r="U32" s="2420">
        <f>T32/$X$8</f>
        <v/>
      </c>
      <c r="V32" s="430" t="n"/>
    </row>
    <row r="33" ht="17.45" customHeight="1">
      <c r="B33" s="415" t="n"/>
      <c r="C33" s="423" t="n"/>
      <c r="D33" s="423" t="inlineStr">
        <is>
          <t>기타</t>
        </is>
      </c>
      <c r="E33" s="415" t="n"/>
      <c r="F33" s="2352" t="n">
        <v>0</v>
      </c>
      <c r="G33" s="2420">
        <f>F33/12</f>
        <v/>
      </c>
      <c r="H33" s="2395" t="n"/>
      <c r="I33" s="2396" t="n"/>
      <c r="J33" s="2397" t="n"/>
      <c r="K33" s="2396" t="n"/>
      <c r="L33" s="2430" t="n"/>
      <c r="M33" s="2431" t="n"/>
      <c r="N33" s="2396" t="n"/>
      <c r="O33" s="2430" t="n"/>
      <c r="P33" s="2431" t="n"/>
      <c r="Q33" s="2396" t="n"/>
      <c r="R33" s="2396" t="n"/>
      <c r="S33" s="2432" t="n"/>
      <c r="T33" s="2431">
        <f>SUM(H33:S33)</f>
        <v/>
      </c>
      <c r="U33" s="2420">
        <f>T33/$X$8</f>
        <v/>
      </c>
      <c r="V33" s="430" t="n"/>
    </row>
    <row r="34">
      <c r="B34" s="1662" t="inlineStr">
        <is>
          <t xml:space="preserve"> D. 자금수지차 (=B-C)</t>
        </is>
      </c>
      <c r="C34" s="1941" t="n"/>
      <c r="D34" s="1941" t="n"/>
      <c r="E34" s="1941" t="n"/>
      <c r="F34" s="2433">
        <f>F12-F15</f>
        <v/>
      </c>
      <c r="G34" s="2434">
        <f>F34/12</f>
        <v/>
      </c>
      <c r="H34" s="2435">
        <f>H12-H15</f>
        <v/>
      </c>
      <c r="I34" s="2436">
        <f>I12-I15</f>
        <v/>
      </c>
      <c r="J34" s="2437">
        <f>J12-J15</f>
        <v/>
      </c>
      <c r="K34" s="2436">
        <f>K12-K15</f>
        <v/>
      </c>
      <c r="L34" s="2438">
        <f>L12-L15</f>
        <v/>
      </c>
      <c r="M34" s="2439">
        <f>M12-M15</f>
        <v/>
      </c>
      <c r="N34" s="2436">
        <f>N12-N15</f>
        <v/>
      </c>
      <c r="O34" s="2438">
        <f>O12-O15</f>
        <v/>
      </c>
      <c r="P34" s="2439">
        <f>P12-P15</f>
        <v/>
      </c>
      <c r="Q34" s="2436">
        <f>Q12-Q15</f>
        <v/>
      </c>
      <c r="R34" s="2436">
        <f>R12-R15</f>
        <v/>
      </c>
      <c r="S34" s="2440">
        <f>S12-S15</f>
        <v/>
      </c>
      <c r="T34" s="2439">
        <f>T12-T15</f>
        <v/>
      </c>
      <c r="U34" s="2434">
        <f>T34/$X$8</f>
        <v/>
      </c>
      <c r="V34" s="466" t="n"/>
    </row>
    <row r="35">
      <c r="B35" s="467" t="n"/>
      <c r="C35" s="468" t="inlineStr">
        <is>
          <t xml:space="preserve"> D-1. 경상수지차</t>
        </is>
      </c>
      <c r="D35" s="468" t="n"/>
      <c r="E35" s="468" t="n"/>
      <c r="F35" s="2441">
        <f>F13-F16</f>
        <v/>
      </c>
      <c r="G35" s="2442">
        <f>F35/12</f>
        <v/>
      </c>
      <c r="H35" s="2443">
        <f>H13-H16</f>
        <v/>
      </c>
      <c r="I35" s="2444">
        <f>I13-I16</f>
        <v/>
      </c>
      <c r="J35" s="2445">
        <f>J13-J16</f>
        <v/>
      </c>
      <c r="K35" s="2444">
        <f>K13-K16</f>
        <v/>
      </c>
      <c r="L35" s="2446">
        <f>L13-L16</f>
        <v/>
      </c>
      <c r="M35" s="2447">
        <f>M13-M16</f>
        <v/>
      </c>
      <c r="N35" s="2444">
        <f>N13-N16</f>
        <v/>
      </c>
      <c r="O35" s="2446">
        <f>O13-O16</f>
        <v/>
      </c>
      <c r="P35" s="2447">
        <f>P13-P16</f>
        <v/>
      </c>
      <c r="Q35" s="2444">
        <f>Q13-Q16</f>
        <v/>
      </c>
      <c r="R35" s="2444">
        <f>R13-R16</f>
        <v/>
      </c>
      <c r="S35" s="2448">
        <f>S13-S16</f>
        <v/>
      </c>
      <c r="T35" s="2447">
        <f>T13-T16</f>
        <v/>
      </c>
      <c r="U35" s="2442">
        <f>T35/$X$8</f>
        <v/>
      </c>
      <c r="V35" s="475" t="n"/>
    </row>
    <row r="36" ht="15.6" customHeight="1">
      <c r="B36" s="1662" t="inlineStr">
        <is>
          <t xml:space="preserve"> E. 자금조달(증자)</t>
        </is>
      </c>
      <c r="C36" s="1941" t="n"/>
      <c r="D36" s="1941" t="n"/>
      <c r="E36" s="1941" t="n"/>
      <c r="F36" s="2381" t="n">
        <v>0</v>
      </c>
      <c r="G36" s="2449">
        <f>F36/12</f>
        <v/>
      </c>
      <c r="H36" s="2383" t="n"/>
      <c r="I36" s="2384" t="n"/>
      <c r="J36" s="2385" t="n"/>
      <c r="K36" s="2384" t="n"/>
      <c r="L36" s="2450" t="n"/>
      <c r="M36" s="2451" t="n"/>
      <c r="N36" s="2384" t="n"/>
      <c r="O36" s="2450" t="n"/>
      <c r="P36" s="2451" t="n"/>
      <c r="Q36" s="2384" t="n"/>
      <c r="R36" s="2384" t="n"/>
      <c r="S36" s="2452" t="n"/>
      <c r="T36" s="2453">
        <f>SUM(H36:S36)</f>
        <v/>
      </c>
      <c r="U36" s="2449">
        <f>T36/$X$8</f>
        <v/>
      </c>
      <c r="V36" s="478" t="n"/>
    </row>
    <row r="37" hidden="1">
      <c r="B37" s="415" t="n"/>
      <c r="C37" s="415" t="n"/>
      <c r="D37" s="415" t="n"/>
      <c r="E37" s="415" t="n"/>
      <c r="F37" s="2352" t="n"/>
      <c r="G37" s="2420" t="n"/>
      <c r="H37" s="2395" t="n"/>
      <c r="I37" s="2396" t="n"/>
      <c r="J37" s="2397" t="n"/>
      <c r="K37" s="2396" t="n"/>
      <c r="L37" s="2430" t="n"/>
      <c r="M37" s="2431" t="n"/>
      <c r="N37" s="2396" t="n"/>
      <c r="O37" s="2430" t="n"/>
      <c r="P37" s="2431" t="n"/>
      <c r="Q37" s="2396" t="n"/>
      <c r="R37" s="2396" t="n"/>
      <c r="S37" s="2432" t="n"/>
      <c r="T37" s="2431" t="n"/>
      <c r="U37" s="2420" t="n"/>
      <c r="V37" s="481" t="n"/>
    </row>
    <row r="38" hidden="1">
      <c r="B38" s="415" t="n"/>
      <c r="C38" s="415" t="n"/>
      <c r="D38" s="415" t="n"/>
      <c r="E38" s="415" t="n"/>
      <c r="F38" s="2352" t="n"/>
      <c r="G38" s="2420" t="n"/>
      <c r="H38" s="2395" t="n"/>
      <c r="I38" s="2396" t="n"/>
      <c r="J38" s="2397" t="n"/>
      <c r="K38" s="2396" t="n"/>
      <c r="L38" s="2430" t="n"/>
      <c r="M38" s="2431" t="n"/>
      <c r="N38" s="2396" t="n"/>
      <c r="O38" s="2430" t="n"/>
      <c r="P38" s="2431" t="n"/>
      <c r="Q38" s="2396" t="n"/>
      <c r="R38" s="2396" t="n"/>
      <c r="S38" s="2432" t="n"/>
      <c r="T38" s="2431" t="n"/>
      <c r="U38" s="2420" t="n"/>
      <c r="V38" s="481" t="n"/>
    </row>
    <row r="39" hidden="1">
      <c r="B39" s="436" t="n"/>
      <c r="C39" s="436" t="n"/>
      <c r="D39" s="436" t="n"/>
      <c r="E39" s="436" t="n"/>
      <c r="F39" s="2454" t="n"/>
      <c r="G39" s="2455" t="n"/>
      <c r="H39" s="2456" t="n"/>
      <c r="I39" s="2457" t="n"/>
      <c r="J39" s="2458" t="n"/>
      <c r="K39" s="2457" t="n"/>
      <c r="L39" s="2459" t="n"/>
      <c r="M39" s="2460" t="n"/>
      <c r="N39" s="2457" t="n"/>
      <c r="O39" s="2459" t="n"/>
      <c r="P39" s="2460" t="n"/>
      <c r="Q39" s="2457" t="n"/>
      <c r="R39" s="2457" t="n"/>
      <c r="S39" s="2461" t="n"/>
      <c r="T39" s="2460" t="n"/>
      <c r="U39" s="2455" t="n"/>
      <c r="V39" s="483" t="n"/>
    </row>
    <row r="40" customFormat="1" s="399">
      <c r="B40" s="1664" t="inlineStr">
        <is>
          <t xml:space="preserve"> F. 기말잔고(=A+D+E)</t>
        </is>
      </c>
      <c r="C40" s="1864" t="n"/>
      <c r="D40" s="1864" t="n"/>
      <c r="E40" s="1864" t="n"/>
      <c r="F40" s="2462">
        <f>F11+F34+F36</f>
        <v/>
      </c>
      <c r="G40" s="2463" t="n"/>
      <c r="H40" s="2464">
        <f>H11+H34+H36</f>
        <v/>
      </c>
      <c r="I40" s="2465">
        <f>I11+I34+I36</f>
        <v/>
      </c>
      <c r="J40" s="2466">
        <f>J11+J34+J36</f>
        <v/>
      </c>
      <c r="K40" s="2465">
        <f>K11+K34+K36</f>
        <v/>
      </c>
      <c r="L40" s="2467">
        <f>L11+L34+L36</f>
        <v/>
      </c>
      <c r="M40" s="2468">
        <f>M11+M34+M36</f>
        <v/>
      </c>
      <c r="N40" s="2465">
        <f>N11+N34+N36</f>
        <v/>
      </c>
      <c r="O40" s="2467">
        <f>O11+O34+O36</f>
        <v/>
      </c>
      <c r="P40" s="2468">
        <f>P11+P34+P36</f>
        <v/>
      </c>
      <c r="Q40" s="2465">
        <f>Q11+Q34+Q36</f>
        <v/>
      </c>
      <c r="R40" s="2465">
        <f>R11+R34+R36</f>
        <v/>
      </c>
      <c r="S40" s="2469">
        <f>S11+S34+S36</f>
        <v/>
      </c>
      <c r="T40" s="2468">
        <f>T11+T34+T36</f>
        <v/>
      </c>
      <c r="U40" s="2470" t="n"/>
      <c r="V40" s="490" t="n"/>
      <c r="Y40" s="407" t="n"/>
    </row>
    <row r="41">
      <c r="T41" s="2471" t="n"/>
      <c r="U41" s="2471" t="n"/>
    </row>
    <row r="42">
      <c r="T42" s="2471" t="n"/>
      <c r="U42" s="2471" t="n"/>
    </row>
    <row r="43">
      <c r="E43" s="2472" t="n"/>
      <c r="F43" s="2472" t="n"/>
      <c r="G43" s="2472" t="n"/>
      <c r="T43" s="2471" t="n"/>
      <c r="U43" s="2471" t="n"/>
    </row>
    <row r="44">
      <c r="E44" s="2472" t="n"/>
      <c r="F44" s="2472" t="n"/>
      <c r="G44" s="2472" t="n"/>
      <c r="T44" s="2471" t="n"/>
      <c r="U44" s="2471" t="n"/>
    </row>
    <row r="45">
      <c r="E45" s="2472" t="n"/>
      <c r="F45" s="2472" t="n"/>
      <c r="G45" s="2472" t="n"/>
    </row>
  </sheetData>
  <mergeCells count="15">
    <mergeCell ref="C16:E16"/>
    <mergeCell ref="B40:E40"/>
    <mergeCell ref="F8:G9"/>
    <mergeCell ref="C14:E14"/>
    <mergeCell ref="C13:E13"/>
    <mergeCell ref="V8:V10"/>
    <mergeCell ref="B12:E12"/>
    <mergeCell ref="B15:E15"/>
    <mergeCell ref="B8:E10"/>
    <mergeCell ref="B11:E11"/>
    <mergeCell ref="H8:S8"/>
    <mergeCell ref="C29:E29"/>
    <mergeCell ref="H9:S9"/>
    <mergeCell ref="B36:E36"/>
    <mergeCell ref="B34:E34"/>
  </mergeCells>
  <conditionalFormatting sqref="C1:V6">
    <cfRule type="cellIs" priority="5" operator="equal" dxfId="5">
      <formula>0</formula>
    </cfRule>
  </conditionalFormatting>
  <conditionalFormatting sqref="C41:V1048576">
    <cfRule type="cellIs" priority="6" operator="equal" dxfId="5">
      <formula>0</formula>
    </cfRule>
  </conditionalFormatting>
  <conditionalFormatting sqref="G12 G14:U15 G17:U34 G36:G39">
    <cfRule type="cellIs" priority="1" operator="equal" dxfId="0">
      <formula>0</formula>
    </cfRule>
    <cfRule type="cellIs" priority="2" operator="equal" dxfId="2">
      <formula>0</formula>
    </cfRule>
  </conditionalFormatting>
  <conditionalFormatting sqref="H11:U12 H36:U40">
    <cfRule type="cellIs" priority="3" operator="equal" dxfId="0">
      <formula>0</formula>
    </cfRule>
    <cfRule type="cellIs" priority="4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60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1:X49"/>
  <sheetViews>
    <sheetView showGridLines="0" zoomScale="110" zoomScaleNormal="110" workbookViewId="0">
      <selection activeCell="A1" sqref="A1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5.875" customWidth="1" style="2243" min="6" max="19"/>
    <col width="50.875" customWidth="1" style="2243" min="20" max="20"/>
    <col width="7.875" customWidth="1" style="383" min="21" max="21"/>
    <col width="8.875" customWidth="1" style="383" min="22" max="22"/>
    <col width="8.875" bestFit="1" customWidth="1" style="386" min="23" max="23"/>
    <col width="9.375" bestFit="1" customWidth="1" style="386" min="24" max="24"/>
    <col width="8.875" customWidth="1" style="383" min="25" max="16384"/>
  </cols>
  <sheetData>
    <row r="1" ht="19.7" customHeight="1">
      <c r="A1" s="382" t="inlineStr">
        <is>
          <t>2024년 카탈리스터 자금수지 계획</t>
        </is>
      </c>
      <c r="T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245" t="n"/>
      <c r="I2" s="2245" t="n"/>
      <c r="J2" s="2245" t="n"/>
      <c r="K2" s="2245" t="n"/>
      <c r="L2" s="2245" t="n"/>
      <c r="M2" s="2245" t="n"/>
      <c r="N2" s="2245" t="n"/>
      <c r="O2" s="2245" t="n"/>
      <c r="P2" s="2245" t="n"/>
      <c r="Q2" s="2245" t="n"/>
      <c r="R2" s="2245" t="n"/>
      <c r="S2" s="2245" t="n"/>
      <c r="T2" s="2245" t="n"/>
    </row>
    <row r="7">
      <c r="B7" s="390" t="n"/>
      <c r="C7" s="391" t="n"/>
      <c r="D7" s="391" t="n"/>
      <c r="E7" s="391" t="n"/>
      <c r="F7" s="391" t="n"/>
      <c r="G7" s="391" t="n"/>
      <c r="H7" s="391" t="n"/>
      <c r="I7" s="391" t="n"/>
      <c r="J7" s="391" t="n"/>
      <c r="K7" s="391" t="n"/>
      <c r="L7" s="391" t="n"/>
      <c r="M7" s="391" t="n"/>
      <c r="N7" s="391" t="n"/>
      <c r="O7" s="391" t="n"/>
      <c r="P7" s="391" t="n"/>
      <c r="Q7" s="391" t="n"/>
      <c r="R7" s="391" t="n"/>
      <c r="S7" s="391" t="n"/>
      <c r="T7" s="392" t="inlineStr">
        <is>
          <t>(단위 : 억원)</t>
        </is>
      </c>
    </row>
    <row r="8" ht="16.35" customHeight="1">
      <c r="B8" s="2321" t="inlineStr">
        <is>
          <t>구분</t>
        </is>
      </c>
      <c r="C8" s="1941" t="n"/>
      <c r="D8" s="1941" t="n"/>
      <c r="E8" s="1941" t="n"/>
      <c r="F8" s="2247" t="inlineStr">
        <is>
          <t>2024년</t>
        </is>
      </c>
      <c r="G8" s="1941" t="n"/>
      <c r="H8" s="1941" t="n"/>
      <c r="I8" s="1941" t="n"/>
      <c r="J8" s="1941" t="n"/>
      <c r="K8" s="1941" t="n"/>
      <c r="L8" s="1941" t="n"/>
      <c r="M8" s="1941" t="n"/>
      <c r="N8" s="1941" t="n"/>
      <c r="O8" s="1941" t="n"/>
      <c r="P8" s="1941" t="n"/>
      <c r="Q8" s="1941" t="n"/>
      <c r="R8" s="1941" t="n"/>
      <c r="S8" s="1929" t="n"/>
      <c r="T8" s="2321" t="inlineStr">
        <is>
          <t>세부사항</t>
        </is>
      </c>
      <c r="V8" s="383" t="n">
        <v>12</v>
      </c>
    </row>
    <row r="9" ht="16.35" customHeight="1">
      <c r="F9" s="567" t="inlineStr">
        <is>
          <t>실적</t>
        </is>
      </c>
      <c r="G9" s="1864" t="n"/>
      <c r="H9" s="1864" t="n"/>
      <c r="I9" s="1864" t="n"/>
      <c r="J9" s="1864" t="n"/>
      <c r="K9" s="1864" t="n"/>
      <c r="L9" s="1864" t="n"/>
      <c r="M9" s="1864" t="n"/>
      <c r="N9" s="1864" t="n"/>
      <c r="O9" s="1864" t="n"/>
      <c r="P9" s="1864" t="n"/>
      <c r="Q9" s="1865" t="n"/>
      <c r="R9" s="543" t="n"/>
      <c r="S9" s="544" t="n"/>
    </row>
    <row r="10">
      <c r="B10" s="1866" t="n"/>
      <c r="C10" s="1866" t="n"/>
      <c r="D10" s="1866" t="n"/>
      <c r="E10" s="1866" t="n"/>
      <c r="F10" s="528" t="inlineStr">
        <is>
          <t>1월</t>
        </is>
      </c>
      <c r="G10" s="529" t="inlineStr">
        <is>
          <t>2월</t>
        </is>
      </c>
      <c r="H10" s="1680" t="inlineStr">
        <is>
          <t>3월</t>
        </is>
      </c>
      <c r="I10" s="625" t="inlineStr">
        <is>
          <t>4월</t>
        </is>
      </c>
      <c r="J10" s="625" t="inlineStr">
        <is>
          <t>5월</t>
        </is>
      </c>
      <c r="K10" s="625" t="inlineStr">
        <is>
          <t>6월</t>
        </is>
      </c>
      <c r="L10" s="637" t="inlineStr">
        <is>
          <t>7월</t>
        </is>
      </c>
      <c r="M10" s="1680" t="inlineStr">
        <is>
          <t>8월</t>
        </is>
      </c>
      <c r="N10" s="625" t="inlineStr">
        <is>
          <t>9월</t>
        </is>
      </c>
      <c r="O10" s="625" t="inlineStr">
        <is>
          <t>10월</t>
        </is>
      </c>
      <c r="P10" s="637" t="inlineStr">
        <is>
          <t>11월</t>
        </is>
      </c>
      <c r="Q10" s="1681" t="inlineStr">
        <is>
          <t>12월</t>
        </is>
      </c>
      <c r="R10" s="555" t="inlineStr">
        <is>
          <t>합계</t>
        </is>
      </c>
      <c r="S10" s="530" t="inlineStr">
        <is>
          <t>월평균</t>
        </is>
      </c>
      <c r="T10" s="1866" t="n"/>
    </row>
    <row r="11" customFormat="1" s="399">
      <c r="B11" s="2341" t="inlineStr">
        <is>
          <t xml:space="preserve"> A. 기초잔고</t>
        </is>
      </c>
      <c r="C11" s="1866" t="n"/>
      <c r="D11" s="1866" t="n"/>
      <c r="E11" s="1866" t="n"/>
      <c r="F11" s="2473" t="n">
        <v>63.31621966</v>
      </c>
      <c r="G11" s="2254">
        <f>F42</f>
        <v/>
      </c>
      <c r="H11" s="2474">
        <f>G42</f>
        <v/>
      </c>
      <c r="I11" s="2475">
        <f>H42</f>
        <v/>
      </c>
      <c r="J11" s="2475">
        <f>I42</f>
        <v/>
      </c>
      <c r="K11" s="2475">
        <f>J42</f>
        <v/>
      </c>
      <c r="L11" s="2476">
        <f>K42</f>
        <v/>
      </c>
      <c r="M11" s="2474">
        <f>L42</f>
        <v/>
      </c>
      <c r="N11" s="2475">
        <f>M42</f>
        <v/>
      </c>
      <c r="O11" s="2475">
        <f>N42</f>
        <v/>
      </c>
      <c r="P11" s="2476">
        <f>O42</f>
        <v/>
      </c>
      <c r="Q11" s="2477">
        <f>P42</f>
        <v/>
      </c>
      <c r="R11" s="2474">
        <f>F11</f>
        <v/>
      </c>
      <c r="S11" s="2257">
        <f>R11/$V$8</f>
        <v/>
      </c>
      <c r="T11" s="406" t="n"/>
      <c r="W11" s="407" t="n"/>
      <c r="X11" s="407" t="n"/>
    </row>
    <row r="12">
      <c r="B12" s="1662" t="inlineStr">
        <is>
          <t xml:space="preserve"> B. 수입</t>
        </is>
      </c>
      <c r="C12" s="1941" t="n"/>
      <c r="D12" s="1941" t="n"/>
      <c r="E12" s="1941" t="n"/>
      <c r="F12" s="2478">
        <f>SUM(F13:F15)</f>
        <v/>
      </c>
      <c r="G12" s="2260">
        <f>SUM(G13:G15)</f>
        <v/>
      </c>
      <c r="H12" s="2479">
        <f>SUM(H13:H15)</f>
        <v/>
      </c>
      <c r="I12" s="2480">
        <f>SUM(I13:I15)</f>
        <v/>
      </c>
      <c r="J12" s="2480">
        <f>SUM(J13:J15)</f>
        <v/>
      </c>
      <c r="K12" s="2480">
        <f>SUM(K13:K15)</f>
        <v/>
      </c>
      <c r="L12" s="2481">
        <f>SUM(L13:L15)</f>
        <v/>
      </c>
      <c r="M12" s="2479">
        <f>SUM(M13:M15)</f>
        <v/>
      </c>
      <c r="N12" s="2480">
        <f>SUM(N13:N15)</f>
        <v/>
      </c>
      <c r="O12" s="2480">
        <f>SUM(O13:O15)</f>
        <v/>
      </c>
      <c r="P12" s="2481">
        <f>SUM(P13:P15)</f>
        <v/>
      </c>
      <c r="Q12" s="2482">
        <f>SUM(Q13:Q15)</f>
        <v/>
      </c>
      <c r="R12" s="2479">
        <f>SUM(R13,R15)</f>
        <v/>
      </c>
      <c r="S12" s="2263">
        <f>R12/$V$8</f>
        <v/>
      </c>
      <c r="T12" s="414" t="n"/>
    </row>
    <row r="13" ht="17.45" customHeight="1">
      <c r="B13" s="415" t="n"/>
      <c r="C13" s="1650" t="inlineStr">
        <is>
          <t>경상</t>
        </is>
      </c>
      <c r="D13" s="2265" t="n"/>
      <c r="E13" s="2265" t="n"/>
      <c r="F13" s="2483" t="n">
        <v>0</v>
      </c>
      <c r="G13" s="2484" t="n">
        <v>0</v>
      </c>
      <c r="H13" s="2485" t="n">
        <v>0.08497903</v>
      </c>
      <c r="I13" s="2486" t="n">
        <v>0</v>
      </c>
      <c r="J13" s="2486" t="n">
        <v>0.52593978</v>
      </c>
      <c r="K13" s="2486" t="n">
        <v>0.07834542999999999</v>
      </c>
      <c r="L13" s="2487" t="n">
        <v>0</v>
      </c>
      <c r="M13" s="2485" t="n">
        <v>0.24609934</v>
      </c>
      <c r="N13" s="2486" t="n">
        <v>0.05110594</v>
      </c>
      <c r="O13" s="2486" t="n">
        <v>0</v>
      </c>
      <c r="P13" s="2487" t="n">
        <v>0.0131553</v>
      </c>
      <c r="Q13" s="2488" t="n">
        <v>0.00187989</v>
      </c>
      <c r="R13" s="2485">
        <f>SUM(F13:Q13)</f>
        <v/>
      </c>
      <c r="S13" s="2272">
        <f>R13/$V$8</f>
        <v/>
      </c>
      <c r="T13" s="430" t="inlineStr">
        <is>
          <t>○ 이자수익 등</t>
        </is>
      </c>
    </row>
    <row r="14">
      <c r="B14" s="415" t="n"/>
      <c r="C14" s="423" t="n"/>
      <c r="D14" s="415" t="n"/>
      <c r="E14" s="415" t="n"/>
      <c r="F14" s="2489" t="n"/>
      <c r="G14" s="2275" t="n"/>
      <c r="H14" s="2490" t="n"/>
      <c r="I14" s="2491" t="n"/>
      <c r="J14" s="2491" t="n"/>
      <c r="K14" s="2491" t="n"/>
      <c r="L14" s="2492" t="n"/>
      <c r="M14" s="2490" t="n"/>
      <c r="N14" s="2491" t="n"/>
      <c r="O14" s="2491" t="n"/>
      <c r="P14" s="2492" t="n"/>
      <c r="Q14" s="2493" t="n"/>
      <c r="R14" s="2490" t="n"/>
      <c r="S14" s="2278" t="n"/>
      <c r="T14" s="430" t="n"/>
    </row>
    <row r="15" ht="17.45" customHeight="1">
      <c r="B15" s="415" t="n"/>
      <c r="C15" s="1666" t="inlineStr">
        <is>
          <t>비경상</t>
        </is>
      </c>
      <c r="D15" s="2265" t="n"/>
      <c r="E15" s="2265" t="n"/>
      <c r="F15" s="2494" t="n">
        <v>1.12919316</v>
      </c>
      <c r="G15" s="2280" t="n">
        <v>1.08266972</v>
      </c>
      <c r="H15" s="2495" t="n">
        <v>0.002</v>
      </c>
      <c r="I15" s="2496" t="n">
        <v>0.4934403</v>
      </c>
      <c r="J15" s="2496" t="n">
        <v>0.1737629</v>
      </c>
      <c r="K15" s="2496" t="n">
        <v>0</v>
      </c>
      <c r="L15" s="2497" t="n">
        <v>0.26324811</v>
      </c>
      <c r="M15" s="2495" t="n">
        <v>0.48390459</v>
      </c>
      <c r="N15" s="2496" t="n">
        <v>0</v>
      </c>
      <c r="O15" s="2496" t="n">
        <v>3.27380764</v>
      </c>
      <c r="P15" s="2497" t="n">
        <v>0.0073011</v>
      </c>
      <c r="Q15" s="2498" t="n">
        <v>0.01774667</v>
      </c>
      <c r="R15" s="2495">
        <f>SUM(F15:Q15)</f>
        <v/>
      </c>
      <c r="S15" s="2283">
        <f>R15/$V$8</f>
        <v/>
      </c>
      <c r="T15" s="422" t="inlineStr">
        <is>
          <t>○ 세금 환급, 자산양수도 대금, 재고장비 판매대금, 임차보증금 등</t>
        </is>
      </c>
    </row>
    <row r="16" ht="18.6" customHeight="1">
      <c r="B16" s="415" t="n"/>
      <c r="C16" s="435" t="n"/>
      <c r="D16" s="436" t="n"/>
      <c r="E16" s="436" t="n"/>
      <c r="F16" s="2499" t="n"/>
      <c r="G16" s="2286" t="n"/>
      <c r="H16" s="2500" t="n"/>
      <c r="I16" s="2501" t="n"/>
      <c r="J16" s="2501" t="n"/>
      <c r="K16" s="2501" t="n"/>
      <c r="L16" s="2502" t="n"/>
      <c r="M16" s="2500" t="n"/>
      <c r="N16" s="2501" t="n"/>
      <c r="O16" s="2501" t="n"/>
      <c r="P16" s="2502" t="n"/>
      <c r="Q16" s="2503" t="n"/>
      <c r="R16" s="2500" t="n"/>
      <c r="S16" s="2289" t="n"/>
      <c r="T16" s="443" t="n"/>
      <c r="W16" s="444" t="n"/>
    </row>
    <row r="17">
      <c r="B17" s="1662" t="inlineStr">
        <is>
          <t xml:space="preserve"> C. 지출</t>
        </is>
      </c>
      <c r="C17" s="1941" t="n"/>
      <c r="D17" s="1941" t="n"/>
      <c r="E17" s="1941" t="n"/>
      <c r="F17" s="2504" t="n">
        <v>4.87315111</v>
      </c>
      <c r="G17" s="2292" t="n">
        <v>5.02231671</v>
      </c>
      <c r="H17" s="2505" t="n">
        <v>3.69420491</v>
      </c>
      <c r="I17" s="2506" t="n">
        <v>2.64987905</v>
      </c>
      <c r="J17" s="2506" t="n">
        <v>3.08147986</v>
      </c>
      <c r="K17" s="2506" t="n">
        <v>2.71598432</v>
      </c>
      <c r="L17" s="2507" t="n">
        <v>2.42139157</v>
      </c>
      <c r="M17" s="2505" t="n">
        <v>3.20511655</v>
      </c>
      <c r="N17" s="2506" t="n">
        <v>0.93079052</v>
      </c>
      <c r="O17" s="2506" t="n">
        <v>0.70239321</v>
      </c>
      <c r="P17" s="2507" t="n">
        <v>0.45374505</v>
      </c>
      <c r="Q17" s="2508" t="n">
        <v>0.49436436</v>
      </c>
      <c r="R17" s="2505">
        <f>SUM(R18,R31)</f>
        <v/>
      </c>
      <c r="S17" s="2295">
        <f>R17/$V$8</f>
        <v/>
      </c>
      <c r="T17" s="451" t="n"/>
    </row>
    <row r="18" ht="17.45" customHeight="1">
      <c r="B18" s="415" t="n"/>
      <c r="C18" s="1650" t="inlineStr">
        <is>
          <t>경상</t>
        </is>
      </c>
      <c r="D18" s="2265" t="n"/>
      <c r="E18" s="2265" t="n"/>
      <c r="F18" s="2509">
        <f>F17-F31</f>
        <v/>
      </c>
      <c r="G18" s="2269">
        <f>G17-G31</f>
        <v/>
      </c>
      <c r="H18" s="2485">
        <f>H17-H31</f>
        <v/>
      </c>
      <c r="I18" s="2486">
        <f>I17-I31</f>
        <v/>
      </c>
      <c r="J18" s="2486">
        <f>J17-J31</f>
        <v/>
      </c>
      <c r="K18" s="2486">
        <f>K17-K31</f>
        <v/>
      </c>
      <c r="L18" s="2487">
        <f>L17-L31</f>
        <v/>
      </c>
      <c r="M18" s="2485">
        <f>M17-M31</f>
        <v/>
      </c>
      <c r="N18" s="2486">
        <f>N17-N31</f>
        <v/>
      </c>
      <c r="O18" s="2486">
        <f>O17-O31</f>
        <v/>
      </c>
      <c r="P18" s="2487">
        <f>P17-P31</f>
        <v/>
      </c>
      <c r="Q18" s="2510">
        <f>Q17-Q31</f>
        <v/>
      </c>
      <c r="R18" s="2485">
        <f>SUM(F18:Q18)</f>
        <v/>
      </c>
      <c r="S18" s="2272">
        <f>R18/$V$8</f>
        <v/>
      </c>
      <c r="T18" s="422" t="n"/>
      <c r="W18" s="2296" t="n"/>
    </row>
    <row r="19">
      <c r="B19" s="415" t="n"/>
      <c r="C19" s="423" t="n"/>
      <c r="D19" s="1666" t="inlineStr">
        <is>
          <t>인건비</t>
        </is>
      </c>
      <c r="E19" s="1667" t="n"/>
      <c r="F19" s="2494" t="n">
        <v>3.2662569</v>
      </c>
      <c r="G19" s="2280" t="n">
        <v>2.9470563</v>
      </c>
      <c r="H19" s="2495" t="n">
        <v>2.6210456</v>
      </c>
      <c r="I19" s="2496" t="n">
        <v>2.0646701</v>
      </c>
      <c r="J19" s="2496" t="n">
        <v>2.2587869</v>
      </c>
      <c r="K19" s="2496" t="n">
        <v>2.0073859</v>
      </c>
      <c r="L19" s="2497" t="n">
        <v>1.64811411</v>
      </c>
      <c r="M19" s="2495" t="n">
        <v>2.7222458</v>
      </c>
      <c r="N19" s="2496" t="n">
        <v>0.6940003</v>
      </c>
      <c r="O19" s="2496" t="n">
        <v>0.5215873</v>
      </c>
      <c r="P19" s="2497" t="n">
        <v>0.2787159</v>
      </c>
      <c r="Q19" s="2498" t="n">
        <v>0.3087067</v>
      </c>
      <c r="R19" s="2495">
        <f>SUM(F19:Q19)</f>
        <v/>
      </c>
      <c r="S19" s="2283">
        <f>R19/$V$8</f>
        <v/>
      </c>
      <c r="T19" s="422" t="n"/>
    </row>
    <row r="20">
      <c r="B20" s="415" t="n"/>
      <c r="C20" s="423" t="n"/>
      <c r="D20" s="423" t="inlineStr">
        <is>
          <t>S/W, H/W 매입</t>
        </is>
      </c>
      <c r="E20" s="415" t="n"/>
      <c r="F20" s="2489" t="n">
        <v>0.55781</v>
      </c>
      <c r="G20" s="2275" t="n">
        <v>0.73816122</v>
      </c>
      <c r="H20" s="2490" t="n">
        <v>0.26271666</v>
      </c>
      <c r="I20" s="2491" t="n">
        <v>0.01422668</v>
      </c>
      <c r="J20" s="2491" t="n">
        <v>0.032362</v>
      </c>
      <c r="K20" s="2491" t="n">
        <v>0.0001551</v>
      </c>
      <c r="L20" s="2492" t="n">
        <v>0</v>
      </c>
      <c r="M20" s="2490" t="n">
        <v>0</v>
      </c>
      <c r="N20" s="2491" t="n">
        <v>0</v>
      </c>
      <c r="O20" s="2491" t="n">
        <v>0</v>
      </c>
      <c r="P20" s="2492" t="n">
        <v>0</v>
      </c>
      <c r="Q20" s="2493" t="n">
        <v>0</v>
      </c>
      <c r="R20" s="2490">
        <f>SUM(F20:Q20)</f>
        <v/>
      </c>
      <c r="S20" s="2278">
        <f>R20/$V$8</f>
        <v/>
      </c>
      <c r="T20" s="430" t="n"/>
    </row>
    <row r="21">
      <c r="B21" s="415" t="n"/>
      <c r="C21" s="423" t="n"/>
      <c r="D21" s="423" t="inlineStr">
        <is>
          <t>기타</t>
        </is>
      </c>
      <c r="E21" s="456" t="n"/>
      <c r="F21" s="2511">
        <f>F18-SUM(F19:F20)</f>
        <v/>
      </c>
      <c r="G21" s="2299">
        <f>G18-SUM(G19:G20)</f>
        <v/>
      </c>
      <c r="H21" s="2512">
        <f>H18-SUM(H19:H20)</f>
        <v/>
      </c>
      <c r="I21" s="2513">
        <f>I18-SUM(I19:I20)</f>
        <v/>
      </c>
      <c r="J21" s="2513">
        <f>J18-SUM(J19:J20)</f>
        <v/>
      </c>
      <c r="K21" s="2513">
        <f>K18-SUM(K19:K20)</f>
        <v/>
      </c>
      <c r="L21" s="2514">
        <f>L18-SUM(L19:L20)</f>
        <v/>
      </c>
      <c r="M21" s="2512">
        <f>M18-SUM(M19:M20)</f>
        <v/>
      </c>
      <c r="N21" s="2513">
        <f>N18-SUM(N19:N20)</f>
        <v/>
      </c>
      <c r="O21" s="2513">
        <f>O18-SUM(O19:O20)</f>
        <v/>
      </c>
      <c r="P21" s="2514">
        <f>P18-SUM(P19:P20)</f>
        <v/>
      </c>
      <c r="Q21" s="2515">
        <f>Q18-SUM(Q19:Q20)</f>
        <v/>
      </c>
      <c r="R21" s="2512">
        <f>SUM(F21:Q21)</f>
        <v/>
      </c>
      <c r="S21" s="2301">
        <f>R21/$V$8</f>
        <v/>
      </c>
      <c r="T21" s="462" t="n"/>
    </row>
    <row r="22">
      <c r="B22" s="415" t="n"/>
      <c r="C22" s="423" t="n"/>
      <c r="D22" s="539" t="n"/>
      <c r="E22" s="1666" t="inlineStr">
        <is>
          <t>제세공과금</t>
        </is>
      </c>
      <c r="F22" s="2489" t="n">
        <v>0.3239828</v>
      </c>
      <c r="G22" s="2275" t="n">
        <v>0.2826054</v>
      </c>
      <c r="H22" s="2490" t="n">
        <v>0.0114448</v>
      </c>
      <c r="I22" s="2491" t="n">
        <v>0.0104401</v>
      </c>
      <c r="J22" s="2491" t="n">
        <v>0.1974511</v>
      </c>
      <c r="K22" s="2491" t="n">
        <v>0.2127493</v>
      </c>
      <c r="L22" s="2492" t="n">
        <v>0.2223208</v>
      </c>
      <c r="M22" s="2490" t="n">
        <v>0.1101874</v>
      </c>
      <c r="N22" s="2491" t="n">
        <v>0.0044286</v>
      </c>
      <c r="O22" s="2491" t="n">
        <v>0.00204</v>
      </c>
      <c r="P22" s="2492" t="n">
        <v>0.0017268</v>
      </c>
      <c r="Q22" s="2493" t="n">
        <v>0.0013977</v>
      </c>
      <c r="R22" s="2516">
        <f>SUM(F22:Q22)</f>
        <v/>
      </c>
      <c r="S22" s="2283">
        <f>R22/$V$8</f>
        <v/>
      </c>
      <c r="T22" s="422" t="n"/>
    </row>
    <row r="23">
      <c r="B23" s="415" t="n"/>
      <c r="C23" s="423" t="n"/>
      <c r="D23" s="539" t="n"/>
      <c r="E23" s="541" t="inlineStr">
        <is>
          <t>전산관련지출</t>
        </is>
      </c>
      <c r="F23" s="2489" t="n">
        <v>0.30743842</v>
      </c>
      <c r="G23" s="2275" t="n">
        <v>0.29540939</v>
      </c>
      <c r="H23" s="2490" t="n">
        <v>0.36853421</v>
      </c>
      <c r="I23" s="2491" t="n">
        <v>0.10734752</v>
      </c>
      <c r="J23" s="2491" t="n">
        <v>0.13489253</v>
      </c>
      <c r="K23" s="2491" t="n">
        <v>0.06032762</v>
      </c>
      <c r="L23" s="2492" t="n">
        <v>0.06725353000000001</v>
      </c>
      <c r="M23" s="2490" t="n">
        <v>0.07186749000000001</v>
      </c>
      <c r="N23" s="2491" t="n">
        <v>0.06827706</v>
      </c>
      <c r="O23" s="2491" t="n">
        <v>0.05888823</v>
      </c>
      <c r="P23" s="2492" t="n">
        <v>0.05647285</v>
      </c>
      <c r="Q23" s="2493" t="n">
        <v>0.0687424</v>
      </c>
      <c r="R23" s="2517">
        <f>SUM(F23:Q23)</f>
        <v/>
      </c>
      <c r="S23" s="2278">
        <f>R23/$V$8</f>
        <v/>
      </c>
      <c r="T23" s="430" t="n"/>
    </row>
    <row r="24">
      <c r="B24" s="415" t="n"/>
      <c r="C24" s="423" t="n"/>
      <c r="D24" s="539" t="n"/>
      <c r="E24" s="541" t="inlineStr">
        <is>
          <t>경영, 업무지원, 운영용역비</t>
        </is>
      </c>
      <c r="F24" s="2489" t="n">
        <v>0.40809485</v>
      </c>
      <c r="G24" s="2275" t="n">
        <v>0.05773747</v>
      </c>
      <c r="H24" s="2490" t="n">
        <v>0.05702264</v>
      </c>
      <c r="I24" s="2491" t="n">
        <v>0.17600409</v>
      </c>
      <c r="J24" s="2491" t="n">
        <v>0.00588655</v>
      </c>
      <c r="K24" s="2491" t="n">
        <v>0.06805248</v>
      </c>
      <c r="L24" s="2492" t="n">
        <v>0.19709225</v>
      </c>
      <c r="M24" s="2490" t="n">
        <v>0.0156084</v>
      </c>
      <c r="N24" s="2491" t="n">
        <v>0.00600901</v>
      </c>
      <c r="O24" s="2491" t="n">
        <v>0.04873292</v>
      </c>
      <c r="P24" s="2492" t="n">
        <v>0.00076205</v>
      </c>
      <c r="Q24" s="2493" t="n">
        <v>0.0007611300000000001</v>
      </c>
      <c r="R24" s="2517">
        <f>SUM(F24:Q24)</f>
        <v/>
      </c>
      <c r="S24" s="2278">
        <f>R24/$V$8</f>
        <v/>
      </c>
      <c r="T24" s="430" t="n"/>
    </row>
    <row r="25">
      <c r="B25" s="415" t="n"/>
      <c r="C25" s="423" t="n"/>
      <c r="D25" s="539" t="n"/>
      <c r="E25" s="541" t="inlineStr">
        <is>
          <t>복리후생비</t>
        </is>
      </c>
      <c r="F25" s="2489" t="n">
        <v>0.261749</v>
      </c>
      <c r="G25" s="2275" t="n">
        <v>0.0113224</v>
      </c>
      <c r="H25" s="2490" t="n">
        <v>0.017128</v>
      </c>
      <c r="I25" s="2491" t="n">
        <v>0.07274775</v>
      </c>
      <c r="J25" s="2491" t="n">
        <v>0.06010185</v>
      </c>
      <c r="K25" s="2491" t="n">
        <v>0.016314</v>
      </c>
      <c r="L25" s="2492" t="n">
        <v>0.037646</v>
      </c>
      <c r="M25" s="2490" t="n">
        <v>0.03347845</v>
      </c>
      <c r="N25" s="2491" t="n">
        <v>0.00446</v>
      </c>
      <c r="O25" s="2491" t="n">
        <v>0.00229</v>
      </c>
      <c r="P25" s="2492" t="n">
        <v>0.00129</v>
      </c>
      <c r="Q25" s="2493" t="n">
        <v>0.00099</v>
      </c>
      <c r="R25" s="2517">
        <f>SUM(F25:Q25)</f>
        <v/>
      </c>
      <c r="S25" s="2278">
        <f>R25/$V$8</f>
        <v/>
      </c>
      <c r="T25" s="430" t="inlineStr">
        <is>
          <t>○ 동호회비, 건강검진비용, 명절 선물대금 등</t>
        </is>
      </c>
    </row>
    <row r="26">
      <c r="B26" s="415" t="n"/>
      <c r="C26" s="423" t="n"/>
      <c r="D26" s="539" t="n"/>
      <c r="E26" s="541" t="inlineStr">
        <is>
          <t>식당, 카페, 매점 등 운영비</t>
        </is>
      </c>
      <c r="F26" s="2489" t="n">
        <v>0.047211</v>
      </c>
      <c r="G26" s="2275" t="n">
        <v>0.054689</v>
      </c>
      <c r="H26" s="2490" t="n">
        <v>0.03933</v>
      </c>
      <c r="I26" s="2491" t="n">
        <v>0.044322</v>
      </c>
      <c r="J26" s="2491" t="n">
        <v>0.045241</v>
      </c>
      <c r="K26" s="2491" t="n">
        <v>0.039889</v>
      </c>
      <c r="L26" s="2492" t="n">
        <v>0.033059</v>
      </c>
      <c r="M26" s="2490" t="n">
        <v>0</v>
      </c>
      <c r="N26" s="2491" t="n">
        <v>0.005937</v>
      </c>
      <c r="O26" s="2491" t="n">
        <v>0.004441</v>
      </c>
      <c r="P26" s="2492" t="n">
        <v>0.004417</v>
      </c>
      <c r="Q26" s="2493" t="n">
        <v>0.004605</v>
      </c>
      <c r="R26" s="2517">
        <f>SUM(F26:Q26)</f>
        <v/>
      </c>
      <c r="S26" s="2278">
        <f>R26/$V$8</f>
        <v/>
      </c>
      <c r="T26" s="430" t="n"/>
    </row>
    <row r="27">
      <c r="B27" s="415" t="n"/>
      <c r="C27" s="423" t="n"/>
      <c r="D27" s="539" t="n"/>
      <c r="E27" s="423" t="inlineStr">
        <is>
          <t>직원비용, 복지포인트 사용비</t>
        </is>
      </c>
      <c r="F27" s="2489" t="n">
        <v>0</v>
      </c>
      <c r="G27" s="2275" t="n">
        <v>0.27628256</v>
      </c>
      <c r="H27" s="2490" t="n">
        <v>0.173889</v>
      </c>
      <c r="I27" s="2491" t="n">
        <v>0.04803999</v>
      </c>
      <c r="J27" s="2491" t="n">
        <v>0.12702957</v>
      </c>
      <c r="K27" s="2491" t="n">
        <v>0.11159577</v>
      </c>
      <c r="L27" s="2492" t="n">
        <v>0.09555930999999999</v>
      </c>
      <c r="M27" s="2490" t="n">
        <v>0.0295134</v>
      </c>
      <c r="N27" s="2491" t="n">
        <v>0.04305699</v>
      </c>
      <c r="O27" s="2491" t="n">
        <v>0.03472965</v>
      </c>
      <c r="P27" s="2492" t="n">
        <v>0.02624045</v>
      </c>
      <c r="Q27" s="2493" t="n">
        <v>0.09400364999999999</v>
      </c>
      <c r="R27" s="2517">
        <f>SUM(F27:Q27)</f>
        <v/>
      </c>
      <c r="S27" s="2278">
        <f>R27/$V$8</f>
        <v/>
      </c>
      <c r="T27" s="430" t="n"/>
    </row>
    <row r="28">
      <c r="B28" s="415" t="n"/>
      <c r="C28" s="423" t="n"/>
      <c r="D28" s="539" t="n"/>
      <c r="E28" s="423" t="inlineStr">
        <is>
          <t>임차료, 관리비</t>
        </is>
      </c>
      <c r="F28" s="2489" t="n">
        <v>0.09980094</v>
      </c>
      <c r="G28" s="2275" t="n">
        <v>0.10236967</v>
      </c>
      <c r="H28" s="2490" t="n">
        <v>0.10485375</v>
      </c>
      <c r="I28" s="2491" t="n">
        <v>0.10024982</v>
      </c>
      <c r="J28" s="2491" t="n">
        <v>0.09864662</v>
      </c>
      <c r="K28" s="2491" t="n">
        <v>0.09738090000000001</v>
      </c>
      <c r="L28" s="2492" t="n">
        <v>0.09883438</v>
      </c>
      <c r="M28" s="2490" t="n">
        <v>0.10226751</v>
      </c>
      <c r="N28" s="2491" t="n">
        <v>0.10074936</v>
      </c>
      <c r="O28" s="2491" t="n">
        <v>0.02314601</v>
      </c>
      <c r="P28" s="2492" t="n">
        <v>0.01820096</v>
      </c>
      <c r="Q28" s="2493" t="n">
        <v>0.009192479999999999</v>
      </c>
      <c r="R28" s="2517">
        <f>SUM(F28:Q28)</f>
        <v/>
      </c>
      <c r="S28" s="2278">
        <f>R28/$V$8</f>
        <v/>
      </c>
      <c r="T28" s="430" t="n"/>
    </row>
    <row r="29">
      <c r="B29" s="415" t="n"/>
      <c r="C29" s="423" t="n"/>
      <c r="D29" s="539" t="n"/>
      <c r="E29" s="423" t="inlineStr">
        <is>
          <t>지급수수료</t>
        </is>
      </c>
      <c r="F29" s="2489" t="n">
        <v>0.0148761</v>
      </c>
      <c r="G29" s="2275" t="n">
        <v>0</v>
      </c>
      <c r="H29" s="2490" t="n">
        <v>0.0313</v>
      </c>
      <c r="I29" s="2491" t="n">
        <v>0.0059084</v>
      </c>
      <c r="J29" s="2491" t="n">
        <v>0.0853148</v>
      </c>
      <c r="K29" s="2491" t="n">
        <v>0.00385</v>
      </c>
      <c r="L29" s="2492" t="n">
        <v>0.008914190000000001</v>
      </c>
      <c r="M29" s="2490" t="n">
        <v>0</v>
      </c>
      <c r="N29" s="2491" t="n">
        <v>0</v>
      </c>
      <c r="O29" s="2491" t="n">
        <v>0.00341</v>
      </c>
      <c r="P29" s="2492" t="n">
        <v>0</v>
      </c>
      <c r="Q29" s="2493" t="n">
        <v>0</v>
      </c>
      <c r="R29" s="2517">
        <f>SUM(F29:Q29)</f>
        <v/>
      </c>
      <c r="S29" s="2278">
        <f>R29/$V$8</f>
        <v/>
      </c>
      <c r="T29" s="430" t="n"/>
    </row>
    <row r="30">
      <c r="B30" s="415" t="n"/>
      <c r="C30" s="423" t="n"/>
      <c r="D30" s="540" t="n"/>
      <c r="E30" s="455" t="inlineStr">
        <is>
          <t>통신비등</t>
        </is>
      </c>
      <c r="F30" s="2489" t="n">
        <v>0.0879601</v>
      </c>
      <c r="G30" s="2275">
        <f>G21-SUM(G22:G29)</f>
        <v/>
      </c>
      <c r="H30" s="2490">
        <f>H21-SUM(H22:H29)</f>
        <v/>
      </c>
      <c r="I30" s="2491">
        <f>I21-SUM(I22:I29)</f>
        <v/>
      </c>
      <c r="J30" s="2491">
        <f>J21-SUM(J22:J29)</f>
        <v/>
      </c>
      <c r="K30" s="2491">
        <f>K21-SUM(K22:K29)</f>
        <v/>
      </c>
      <c r="L30" s="2492">
        <f>L21-SUM(L22:L29)</f>
        <v/>
      </c>
      <c r="M30" s="2490">
        <f>M21-SUM(M22:M29)</f>
        <v/>
      </c>
      <c r="N30" s="2491">
        <f>N21-SUM(N22:N29)</f>
        <v/>
      </c>
      <c r="O30" s="2491">
        <f>O21-SUM(O22:O29)</f>
        <v/>
      </c>
      <c r="P30" s="2492" t="n">
        <v>0.06591904</v>
      </c>
      <c r="Q30" s="2493" t="n">
        <v>0.0059653</v>
      </c>
      <c r="R30" s="2518">
        <f>SUM(F30:Q30)</f>
        <v/>
      </c>
      <c r="S30" s="2301">
        <f>R30/$V$8</f>
        <v/>
      </c>
      <c r="T30" s="2424" t="n"/>
    </row>
    <row r="31" ht="17.45" customHeight="1">
      <c r="B31" s="415" t="n"/>
      <c r="C31" s="1666" t="inlineStr">
        <is>
          <t>비경상</t>
        </is>
      </c>
      <c r="D31" s="2265" t="n"/>
      <c r="E31" s="2265" t="n"/>
      <c r="F31" s="2494">
        <f>SUM(F32:F35)</f>
        <v/>
      </c>
      <c r="G31" s="2280">
        <f>SUM(G32:G35)</f>
        <v/>
      </c>
      <c r="H31" s="2495">
        <f>SUM(H32:H35)</f>
        <v/>
      </c>
      <c r="I31" s="2496">
        <f>SUM(I32:I35)</f>
        <v/>
      </c>
      <c r="J31" s="2496">
        <f>SUM(J32:J35)</f>
        <v/>
      </c>
      <c r="K31" s="2496">
        <f>SUM(K32:K35)</f>
        <v/>
      </c>
      <c r="L31" s="2497">
        <f>SUM(L32:L35)</f>
        <v/>
      </c>
      <c r="M31" s="2495">
        <f>SUM(M32:M35)</f>
        <v/>
      </c>
      <c r="N31" s="2496">
        <f>SUM(N32:N35)</f>
        <v/>
      </c>
      <c r="O31" s="2496">
        <f>SUM(O32:O35)</f>
        <v/>
      </c>
      <c r="P31" s="2497">
        <f>SUM(P32:P35)</f>
        <v/>
      </c>
      <c r="Q31" s="2498">
        <f>SUM(Q32:Q35)</f>
        <v/>
      </c>
      <c r="R31" s="2495">
        <f>SUM(F31:Q31)</f>
        <v/>
      </c>
      <c r="S31" s="2283">
        <f>R31/$V$8</f>
        <v/>
      </c>
      <c r="T31" s="422" t="n"/>
    </row>
    <row r="32" ht="17.45" customHeight="1">
      <c r="B32" s="415" t="n"/>
      <c r="C32" s="423" t="n"/>
      <c r="D32" s="1666" t="inlineStr">
        <is>
          <t>지식재산권 양수</t>
        </is>
      </c>
      <c r="E32" s="500" t="n"/>
      <c r="F32" s="2494" t="n"/>
      <c r="G32" s="2280" t="n"/>
      <c r="H32" s="2495" t="n"/>
      <c r="I32" s="2496" t="n"/>
      <c r="J32" s="2496" t="n"/>
      <c r="K32" s="2496" t="n"/>
      <c r="L32" s="2497" t="n"/>
      <c r="M32" s="2495" t="n"/>
      <c r="N32" s="2496" t="n"/>
      <c r="O32" s="2496" t="n"/>
      <c r="P32" s="2497" t="n"/>
      <c r="Q32" s="2498" t="n"/>
      <c r="R32" s="2495">
        <f>SUM(F32:Q32)</f>
        <v/>
      </c>
      <c r="S32" s="2283">
        <f>R32/$V$8</f>
        <v/>
      </c>
      <c r="T32" s="422" t="n"/>
    </row>
    <row r="33" ht="17.45" customHeight="1">
      <c r="B33" s="415" t="n"/>
      <c r="C33" s="423" t="n"/>
      <c r="D33" s="423" t="inlineStr">
        <is>
          <t>임대보증금</t>
        </is>
      </c>
      <c r="E33" s="501" t="n"/>
      <c r="F33" s="2489" t="n"/>
      <c r="G33" s="2275" t="n"/>
      <c r="H33" s="2490" t="n"/>
      <c r="I33" s="2491" t="n"/>
      <c r="J33" s="2491" t="n"/>
      <c r="K33" s="2491" t="n"/>
      <c r="L33" s="2492" t="n"/>
      <c r="M33" s="2490" t="n"/>
      <c r="N33" s="2491" t="n"/>
      <c r="O33" s="2491" t="n"/>
      <c r="P33" s="2492" t="n"/>
      <c r="Q33" s="2493" t="n"/>
      <c r="R33" s="2490">
        <f>SUM(F33:Q33)</f>
        <v/>
      </c>
      <c r="S33" s="2278">
        <f>R33/$V$8</f>
        <v/>
      </c>
      <c r="T33" s="430" t="n"/>
    </row>
    <row r="34" ht="17.45" customHeight="1">
      <c r="B34" s="415" t="n"/>
      <c r="C34" s="423" t="n"/>
      <c r="D34" s="423" t="inlineStr">
        <is>
          <t>시설장치</t>
        </is>
      </c>
      <c r="E34" s="501" t="n"/>
      <c r="F34" s="2489" t="n"/>
      <c r="G34" s="2275" t="n"/>
      <c r="H34" s="2490" t="n"/>
      <c r="I34" s="2491" t="n"/>
      <c r="J34" s="2491" t="n"/>
      <c r="K34" s="2491" t="n"/>
      <c r="L34" s="2492" t="n"/>
      <c r="M34" s="2490" t="n"/>
      <c r="N34" s="2491" t="n"/>
      <c r="O34" s="2491" t="n"/>
      <c r="P34" s="2492" t="n"/>
      <c r="Q34" s="2493" t="n"/>
      <c r="R34" s="2490">
        <f>SUM(F34:Q34)</f>
        <v/>
      </c>
      <c r="S34" s="2278">
        <f>R34/$V$8</f>
        <v/>
      </c>
      <c r="T34" s="430" t="n"/>
    </row>
    <row r="35" ht="17.45" customHeight="1">
      <c r="B35" s="415" t="n"/>
      <c r="C35" s="423" t="n"/>
      <c r="D35" s="423" t="inlineStr">
        <is>
          <t>기타</t>
        </is>
      </c>
      <c r="E35" s="415" t="n"/>
      <c r="F35" s="2489" t="n"/>
      <c r="G35" s="2275" t="n"/>
      <c r="H35" s="2490" t="n"/>
      <c r="I35" s="2491" t="n"/>
      <c r="J35" s="2491" t="n"/>
      <c r="K35" s="2491" t="n"/>
      <c r="L35" s="2492" t="n"/>
      <c r="M35" s="2490" t="n"/>
      <c r="N35" s="2491" t="n"/>
      <c r="O35" s="2491" t="n"/>
      <c r="P35" s="2492" t="n"/>
      <c r="Q35" s="2493" t="n"/>
      <c r="R35" s="2490">
        <f>SUM(F35:Q35)</f>
        <v/>
      </c>
      <c r="S35" s="2278">
        <f>R35/$V$8</f>
        <v/>
      </c>
      <c r="T35" s="430" t="n"/>
    </row>
    <row r="36">
      <c r="B36" s="1662" t="inlineStr">
        <is>
          <t xml:space="preserve"> D. 자금수지차 (=B-C)</t>
        </is>
      </c>
      <c r="C36" s="1941" t="n"/>
      <c r="D36" s="1941" t="n"/>
      <c r="E36" s="1941" t="n"/>
      <c r="F36" s="2504">
        <f>F12-F17</f>
        <v/>
      </c>
      <c r="G36" s="2292">
        <f>G12-G17</f>
        <v/>
      </c>
      <c r="H36" s="2505">
        <f>H12-H17</f>
        <v/>
      </c>
      <c r="I36" s="2506">
        <f>I12-I17</f>
        <v/>
      </c>
      <c r="J36" s="2506">
        <f>J12-J17</f>
        <v/>
      </c>
      <c r="K36" s="2506">
        <f>K12-K17</f>
        <v/>
      </c>
      <c r="L36" s="2507">
        <f>L12-L17</f>
        <v/>
      </c>
      <c r="M36" s="2505">
        <f>M12-M17</f>
        <v/>
      </c>
      <c r="N36" s="2506">
        <f>N12-N17</f>
        <v/>
      </c>
      <c r="O36" s="2506">
        <f>O12-O17</f>
        <v/>
      </c>
      <c r="P36" s="2507">
        <f>P12-P17</f>
        <v/>
      </c>
      <c r="Q36" s="2508">
        <f>Q12-Q17</f>
        <v/>
      </c>
      <c r="R36" s="2505">
        <f>R12-R17</f>
        <v/>
      </c>
      <c r="S36" s="2295">
        <f>R36/$V$8</f>
        <v/>
      </c>
      <c r="T36" s="466" t="n"/>
    </row>
    <row r="37">
      <c r="B37" s="467" t="n"/>
      <c r="C37" s="468" t="inlineStr">
        <is>
          <t xml:space="preserve"> D-1. 경상수지차</t>
        </is>
      </c>
      <c r="D37" s="468" t="n"/>
      <c r="E37" s="468" t="n"/>
      <c r="F37" s="2519">
        <f>F13-F18</f>
        <v/>
      </c>
      <c r="G37" s="2303">
        <f>G13-G18</f>
        <v/>
      </c>
      <c r="H37" s="2520">
        <f>H13-H18</f>
        <v/>
      </c>
      <c r="I37" s="2521">
        <f>I13-I18</f>
        <v/>
      </c>
      <c r="J37" s="2521">
        <f>J13-J18</f>
        <v/>
      </c>
      <c r="K37" s="2521">
        <f>K13-K18</f>
        <v/>
      </c>
      <c r="L37" s="2522">
        <f>L13-L18</f>
        <v/>
      </c>
      <c r="M37" s="2520">
        <f>M13-M18</f>
        <v/>
      </c>
      <c r="N37" s="2521">
        <f>N13-N18</f>
        <v/>
      </c>
      <c r="O37" s="2521">
        <f>O13-O18</f>
        <v/>
      </c>
      <c r="P37" s="2522">
        <f>P13-P18</f>
        <v/>
      </c>
      <c r="Q37" s="2523">
        <f>Q13-Q18</f>
        <v/>
      </c>
      <c r="R37" s="2520">
        <f>R13-R18</f>
        <v/>
      </c>
      <c r="S37" s="2306">
        <f>R37/$V$8</f>
        <v/>
      </c>
      <c r="T37" s="475" t="n"/>
    </row>
    <row r="38" ht="15.6" customHeight="1">
      <c r="B38" s="1662" t="inlineStr">
        <is>
          <t xml:space="preserve"> E. 자금조달(증자)</t>
        </is>
      </c>
      <c r="C38" s="1941" t="n"/>
      <c r="D38" s="1941" t="n"/>
      <c r="E38" s="1941" t="n"/>
      <c r="F38" s="2504" t="n"/>
      <c r="G38" s="2292" t="n"/>
      <c r="H38" s="2505" t="n"/>
      <c r="I38" s="2506" t="n"/>
      <c r="J38" s="2506" t="n"/>
      <c r="K38" s="2506" t="n"/>
      <c r="L38" s="2507" t="n"/>
      <c r="M38" s="2505" t="n"/>
      <c r="N38" s="2506" t="n"/>
      <c r="O38" s="2506" t="n"/>
      <c r="P38" s="2507" t="n"/>
      <c r="Q38" s="2508" t="n"/>
      <c r="R38" s="2524">
        <f>SUM(F38:Q38)</f>
        <v/>
      </c>
      <c r="S38" s="2295">
        <f>R38/$V$8</f>
        <v/>
      </c>
      <c r="T38" s="478" t="n"/>
    </row>
    <row r="39" hidden="1">
      <c r="B39" s="415" t="n"/>
      <c r="C39" s="415" t="n"/>
      <c r="D39" s="415" t="n"/>
      <c r="E39" s="415" t="n"/>
      <c r="F39" s="2489" t="n"/>
      <c r="G39" s="2275" t="n"/>
      <c r="H39" s="2490" t="n"/>
      <c r="I39" s="2491" t="n"/>
      <c r="J39" s="2491" t="n"/>
      <c r="K39" s="2491" t="n"/>
      <c r="L39" s="2492" t="n"/>
      <c r="M39" s="2490" t="n"/>
      <c r="N39" s="2491" t="n"/>
      <c r="O39" s="2491" t="n"/>
      <c r="P39" s="2492" t="n"/>
      <c r="Q39" s="2493" t="n"/>
      <c r="R39" s="2490" t="n"/>
      <c r="S39" s="2278" t="n"/>
      <c r="T39" s="481" t="n"/>
    </row>
    <row r="40" hidden="1">
      <c r="B40" s="415" t="n"/>
      <c r="C40" s="415" t="n"/>
      <c r="D40" s="415" t="n"/>
      <c r="E40" s="415" t="n"/>
      <c r="F40" s="2489" t="n"/>
      <c r="G40" s="2275" t="n"/>
      <c r="H40" s="2490" t="n"/>
      <c r="I40" s="2491" t="n"/>
      <c r="J40" s="2491" t="n"/>
      <c r="K40" s="2491" t="n"/>
      <c r="L40" s="2492" t="n"/>
      <c r="M40" s="2490" t="n"/>
      <c r="N40" s="2491" t="n"/>
      <c r="O40" s="2491" t="n"/>
      <c r="P40" s="2492" t="n"/>
      <c r="Q40" s="2493" t="n"/>
      <c r="R40" s="2490" t="n"/>
      <c r="S40" s="2278" t="n"/>
      <c r="T40" s="481" t="n"/>
    </row>
    <row r="41" hidden="1">
      <c r="B41" s="436" t="n"/>
      <c r="C41" s="436" t="n"/>
      <c r="D41" s="436" t="n"/>
      <c r="E41" s="436" t="n"/>
      <c r="F41" s="2499" t="n"/>
      <c r="G41" s="2286" t="n"/>
      <c r="H41" s="2500" t="n"/>
      <c r="I41" s="2501" t="n"/>
      <c r="J41" s="2501" t="n"/>
      <c r="K41" s="2501" t="n"/>
      <c r="L41" s="2502" t="n"/>
      <c r="M41" s="2500" t="n"/>
      <c r="N41" s="2501" t="n"/>
      <c r="O41" s="2501" t="n"/>
      <c r="P41" s="2502" t="n"/>
      <c r="Q41" s="2503" t="n"/>
      <c r="R41" s="2500" t="n"/>
      <c r="S41" s="2289" t="n"/>
      <c r="T41" s="483" t="n"/>
    </row>
    <row r="42" customFormat="1" s="399">
      <c r="B42" s="1664" t="inlineStr">
        <is>
          <t xml:space="preserve"> F. 기말잔고(=A+D+E)</t>
        </is>
      </c>
      <c r="C42" s="1864" t="n"/>
      <c r="D42" s="1864" t="n"/>
      <c r="E42" s="1864" t="n"/>
      <c r="F42" s="2525">
        <f>F11+F36+F38</f>
        <v/>
      </c>
      <c r="G42" s="2314">
        <f>G11+G36+G38</f>
        <v/>
      </c>
      <c r="H42" s="2526">
        <f>H11+H36+H38</f>
        <v/>
      </c>
      <c r="I42" s="2527">
        <f>I11+I36+I38</f>
        <v/>
      </c>
      <c r="J42" s="2527">
        <f>J11+J36+J38</f>
        <v/>
      </c>
      <c r="K42" s="2527">
        <f>K11+K36+K38</f>
        <v/>
      </c>
      <c r="L42" s="2528">
        <f>L11+L36+L38</f>
        <v/>
      </c>
      <c r="M42" s="2526">
        <f>M11+M36+M38</f>
        <v/>
      </c>
      <c r="N42" s="2527">
        <f>N11+N36+N38</f>
        <v/>
      </c>
      <c r="O42" s="2527">
        <f>O11+O36+O38</f>
        <v/>
      </c>
      <c r="P42" s="2528">
        <f>P11+P36+P38</f>
        <v/>
      </c>
      <c r="Q42" s="2529">
        <f>Q11+Q36+Q38</f>
        <v/>
      </c>
      <c r="R42" s="2526">
        <f>R11+R36+R38</f>
        <v/>
      </c>
      <c r="S42" s="2317">
        <f>R42/$V$8</f>
        <v/>
      </c>
      <c r="T42" s="490" t="n"/>
      <c r="W42" s="407" t="n"/>
      <c r="X42" s="407" t="n"/>
    </row>
    <row r="43">
      <c r="F43" s="2318" t="n"/>
      <c r="G43" s="2318" t="n"/>
      <c r="H43" s="2318" t="n"/>
      <c r="I43" s="2318" t="n"/>
      <c r="J43" s="2318" t="n"/>
      <c r="K43" s="2318" t="n"/>
      <c r="L43" s="2318" t="n"/>
      <c r="M43" s="2318" t="n"/>
      <c r="N43" s="2318" t="n"/>
      <c r="O43" s="2318" t="n"/>
      <c r="P43" s="2318" t="n"/>
      <c r="Q43" s="2318" t="n"/>
      <c r="R43" s="2318" t="n"/>
    </row>
    <row r="45">
      <c r="E45" s="2472" t="n"/>
    </row>
    <row r="46">
      <c r="E46" s="2472" t="n"/>
      <c r="L46" s="2530" t="n"/>
    </row>
    <row r="47">
      <c r="E47" s="2472" t="n"/>
      <c r="J47" s="2319" t="n"/>
    </row>
    <row r="49">
      <c r="F49" s="2530" t="n"/>
    </row>
  </sheetData>
  <mergeCells count="14">
    <mergeCell ref="F8:S8"/>
    <mergeCell ref="B17:E17"/>
    <mergeCell ref="C13:E13"/>
    <mergeCell ref="B12:E12"/>
    <mergeCell ref="C31:E31"/>
    <mergeCell ref="B38:E38"/>
    <mergeCell ref="C15:E15"/>
    <mergeCell ref="C18:E18"/>
    <mergeCell ref="B8:E10"/>
    <mergeCell ref="B11:E11"/>
    <mergeCell ref="T8:T10"/>
    <mergeCell ref="B42:E42"/>
    <mergeCell ref="F9:Q9"/>
    <mergeCell ref="B36:E36"/>
  </mergeCells>
  <conditionalFormatting sqref="C1:T6">
    <cfRule type="cellIs" priority="3" operator="equal" dxfId="5">
      <formula>0</formula>
    </cfRule>
  </conditionalFormatting>
  <conditionalFormatting sqref="C43:T1048576">
    <cfRule type="cellIs" priority="5" operator="equal" dxfId="5">
      <formula>0</formula>
    </cfRule>
  </conditionalFormatting>
  <conditionalFormatting sqref="F11:S12 F14:S17 F19:S36 F38:S42">
    <cfRule type="cellIs" priority="1" operator="equal" dxfId="0">
      <formula>0</formula>
    </cfRule>
    <cfRule type="cellIs" priority="2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10"/>
</worksheet>
</file>

<file path=xl/worksheets/sheet12.xml><?xml version="1.0" encoding="utf-8"?>
<worksheet xmlns="http://schemas.openxmlformats.org/spreadsheetml/2006/main">
  <sheetPr>
    <tabColor rgb="FF92D050"/>
    <outlinePr summaryBelow="1" summaryRight="1"/>
    <pageSetUpPr fitToPage="1"/>
  </sheetPr>
  <dimension ref="A1:Y46"/>
  <sheetViews>
    <sheetView showGridLines="0" zoomScale="115" zoomScaleNormal="115" workbookViewId="0">
      <selection activeCell="R30" sqref="R30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8.125" customWidth="1" style="2243" min="6" max="7"/>
    <col width="7.125" bestFit="1" customWidth="1" style="2319" min="8" max="10"/>
    <col width="7.125" customWidth="1" style="2319" min="11" max="11"/>
    <col width="7.125" bestFit="1" customWidth="1" style="2319" min="12" max="12"/>
    <col width="7.375" customWidth="1" style="2319" min="13" max="13"/>
    <col width="7.125" bestFit="1" customWidth="1" style="2319" min="14" max="21"/>
    <col width="50.875" customWidth="1" style="2243" min="22" max="22"/>
    <col width="7.875" customWidth="1" style="383" min="23" max="23"/>
    <col width="8.875" customWidth="1" style="383" min="24" max="24"/>
    <col width="9.375" bestFit="1" customWidth="1" style="386" min="25" max="25"/>
    <col width="8.875" customWidth="1" style="383" min="26" max="16384"/>
  </cols>
  <sheetData>
    <row r="1" ht="19.7" customHeight="1">
      <c r="A1" s="382" t="inlineStr">
        <is>
          <t>2026년 카탈리스터 자금수지 계획</t>
        </is>
      </c>
      <c r="V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320" t="n"/>
      <c r="I2" s="2320" t="n"/>
      <c r="J2" s="2320" t="n"/>
      <c r="K2" s="2320" t="n"/>
      <c r="L2" s="2320" t="n"/>
      <c r="M2" s="2320" t="n"/>
      <c r="N2" s="2320" t="n"/>
      <c r="O2" s="2320" t="n"/>
      <c r="P2" s="2320" t="n"/>
      <c r="Q2" s="2320" t="n"/>
      <c r="R2" s="2320" t="n"/>
      <c r="S2" s="2320" t="n"/>
      <c r="T2" s="2320" t="n"/>
      <c r="U2" s="2320" t="n"/>
      <c r="V2" s="2245" t="n"/>
    </row>
    <row r="7">
      <c r="B7" s="390" t="n"/>
      <c r="C7" s="391" t="n"/>
      <c r="D7" s="391" t="n"/>
      <c r="E7" s="391" t="n"/>
      <c r="F7" s="391" t="n"/>
      <c r="G7" s="391" t="n"/>
      <c r="H7" s="1860" t="n"/>
      <c r="I7" s="1860" t="n"/>
      <c r="J7" s="1860" t="n"/>
      <c r="K7" s="1860" t="n"/>
      <c r="L7" s="1860" t="n"/>
      <c r="M7" s="1860" t="n"/>
      <c r="N7" s="1860" t="n"/>
      <c r="O7" s="1860" t="n"/>
      <c r="P7" s="1860" t="n"/>
      <c r="Q7" s="1860" t="n"/>
      <c r="R7" s="1860" t="n"/>
      <c r="S7" s="1860" t="n"/>
      <c r="T7" s="1860" t="n"/>
      <c r="U7" s="1860" t="n"/>
      <c r="V7" s="392" t="inlineStr">
        <is>
          <t>(단위 : 백만원)</t>
        </is>
      </c>
    </row>
    <row r="8" ht="16.35" customHeight="1">
      <c r="B8" s="2321" t="inlineStr">
        <is>
          <t>구분</t>
        </is>
      </c>
      <c r="C8" s="1941" t="n"/>
      <c r="D8" s="1941" t="n"/>
      <c r="E8" s="1941" t="n"/>
      <c r="F8" s="2322" t="inlineStr">
        <is>
          <t>2025년</t>
        </is>
      </c>
      <c r="G8" s="2323" t="n"/>
      <c r="H8" s="2324" t="inlineStr">
        <is>
          <t>2026년</t>
        </is>
      </c>
      <c r="I8" s="1864" t="n"/>
      <c r="J8" s="1864" t="n"/>
      <c r="K8" s="1864" t="n"/>
      <c r="L8" s="1864" t="n"/>
      <c r="M8" s="1864" t="n"/>
      <c r="N8" s="1864" t="n"/>
      <c r="O8" s="1864" t="n"/>
      <c r="P8" s="1864" t="n"/>
      <c r="Q8" s="1864" t="n"/>
      <c r="R8" s="1864" t="n"/>
      <c r="S8" s="1864" t="n"/>
      <c r="T8" s="2531" t="n"/>
      <c r="U8" s="2532" t="n"/>
      <c r="V8" s="2533" t="inlineStr">
        <is>
          <t>세부사항</t>
        </is>
      </c>
      <c r="X8" s="383" t="n">
        <v>12</v>
      </c>
    </row>
    <row r="9" ht="16.35" customHeight="1">
      <c r="F9" s="2327" t="n"/>
      <c r="G9" s="1846" t="n"/>
      <c r="H9" s="2534" t="inlineStr">
        <is>
          <t>실적</t>
        </is>
      </c>
      <c r="I9" s="1864" t="n"/>
      <c r="J9" s="1864" t="n"/>
      <c r="K9" s="1864" t="n"/>
      <c r="L9" s="1864" t="n"/>
      <c r="M9" s="2311" t="n"/>
      <c r="N9" s="2535" t="inlineStr">
        <is>
          <t>계획</t>
        </is>
      </c>
      <c r="O9" s="1864" t="n"/>
      <c r="P9" s="1864" t="n"/>
      <c r="Q9" s="1864" t="n"/>
      <c r="R9" s="1864" t="n"/>
      <c r="S9" s="1865" t="n"/>
      <c r="T9" s="2536" t="n"/>
      <c r="U9" s="2537" t="n"/>
    </row>
    <row r="10">
      <c r="B10" s="1866" t="n"/>
      <c r="C10" s="1866" t="n"/>
      <c r="D10" s="1866" t="n"/>
      <c r="E10" s="1866" t="n"/>
      <c r="F10" s="2538" t="inlineStr">
        <is>
          <t>합계</t>
        </is>
      </c>
      <c r="G10" s="2539" t="inlineStr">
        <is>
          <t>월평균</t>
        </is>
      </c>
      <c r="H10" s="2540" t="inlineStr">
        <is>
          <t>1월(A)</t>
        </is>
      </c>
      <c r="I10" s="2541" t="inlineStr">
        <is>
          <t>2월(A)</t>
        </is>
      </c>
      <c r="J10" s="2541" t="inlineStr">
        <is>
          <t>3월(A)</t>
        </is>
      </c>
      <c r="K10" s="2541" t="inlineStr">
        <is>
          <t>4월(A)</t>
        </is>
      </c>
      <c r="L10" s="2542" t="inlineStr">
        <is>
          <t>5월(A)</t>
        </is>
      </c>
      <c r="M10" s="2543" t="inlineStr">
        <is>
          <t>6월(A)</t>
        </is>
      </c>
      <c r="N10" s="2544" t="inlineStr">
        <is>
          <t>7월</t>
        </is>
      </c>
      <c r="O10" s="2542" t="inlineStr">
        <is>
          <t>8월</t>
        </is>
      </c>
      <c r="P10" s="2544" t="inlineStr">
        <is>
          <t>9월</t>
        </is>
      </c>
      <c r="Q10" s="2541" t="inlineStr">
        <is>
          <t>10월</t>
        </is>
      </c>
      <c r="R10" s="2545" t="inlineStr">
        <is>
          <t>11월</t>
        </is>
      </c>
      <c r="S10" s="2546" t="inlineStr">
        <is>
          <t>12월</t>
        </is>
      </c>
      <c r="T10" s="2547" t="inlineStr">
        <is>
          <t>합계</t>
        </is>
      </c>
      <c r="U10" s="2548" t="inlineStr">
        <is>
          <t>월평균</t>
        </is>
      </c>
      <c r="V10" s="1866" t="n"/>
    </row>
    <row r="11" customFormat="1" s="399">
      <c r="B11" s="2341" t="inlineStr">
        <is>
          <t xml:space="preserve"> A. 기초잔고</t>
        </is>
      </c>
      <c r="C11" s="1866" t="n"/>
      <c r="D11" s="1866" t="n"/>
      <c r="E11" s="1866" t="n"/>
      <c r="F11" s="2342" t="n">
        <v>4099.998134</v>
      </c>
      <c r="G11" s="2343" t="n"/>
      <c r="H11" s="2344">
        <f>F41</f>
        <v/>
      </c>
      <c r="I11" s="2345">
        <f>H41</f>
        <v/>
      </c>
      <c r="J11" s="2345">
        <f>I41</f>
        <v/>
      </c>
      <c r="K11" s="2345">
        <f>J41</f>
        <v/>
      </c>
      <c r="L11" s="2347">
        <f>K41</f>
        <v/>
      </c>
      <c r="M11" s="2549">
        <f>L41</f>
        <v/>
      </c>
      <c r="N11" s="2348">
        <f>M41</f>
        <v/>
      </c>
      <c r="O11" s="2347">
        <f>N41</f>
        <v/>
      </c>
      <c r="P11" s="2348">
        <f>O41</f>
        <v/>
      </c>
      <c r="Q11" s="2349">
        <f>P41</f>
        <v/>
      </c>
      <c r="R11" s="2550">
        <f>Q41</f>
        <v/>
      </c>
      <c r="S11" s="2551">
        <f>R41</f>
        <v/>
      </c>
      <c r="T11" s="2348">
        <f>H11</f>
        <v/>
      </c>
      <c r="U11" s="2351" t="n"/>
      <c r="V11" s="406" t="n"/>
      <c r="Y11" s="407" t="n"/>
    </row>
    <row r="12">
      <c r="B12" s="1662" t="inlineStr">
        <is>
          <t xml:space="preserve"> B. 수입</t>
        </is>
      </c>
      <c r="C12" s="1941" t="n"/>
      <c r="D12" s="1941" t="n"/>
      <c r="E12" s="1941" t="n"/>
      <c r="F12" s="2352">
        <f>'2025년 자금실적'!T12</f>
        <v/>
      </c>
      <c r="G12" s="2353">
        <f>'2025년 자금실적'!U12</f>
        <v/>
      </c>
      <c r="H12" s="2354">
        <f>SUM(H13:H14)</f>
        <v/>
      </c>
      <c r="I12" s="2355">
        <f>SUM(I13:I14)</f>
        <v/>
      </c>
      <c r="J12" s="2355">
        <f>SUM(J13:J14)</f>
        <v/>
      </c>
      <c r="K12" s="2355">
        <f>SUM(K13:K14)</f>
        <v/>
      </c>
      <c r="L12" s="2357">
        <f>SUM(L13:L14)</f>
        <v/>
      </c>
      <c r="M12" s="2552">
        <f>SUM(M13:M14)</f>
        <v/>
      </c>
      <c r="N12" s="2358">
        <f>SUM(N13:N14)</f>
        <v/>
      </c>
      <c r="O12" s="2357">
        <f>SUM(O13:O14)</f>
        <v/>
      </c>
      <c r="P12" s="2358">
        <f>SUM(P13:P14)</f>
        <v/>
      </c>
      <c r="Q12" s="2359">
        <f>SUM(Q13:Q14)</f>
        <v/>
      </c>
      <c r="R12" s="2553">
        <f>SUM(R13:R14)</f>
        <v/>
      </c>
      <c r="S12" s="2554">
        <f>SUM(S13:S14)</f>
        <v/>
      </c>
      <c r="T12" s="2358">
        <f>SUM(T13,T14)</f>
        <v/>
      </c>
      <c r="U12" s="2353">
        <f>T12/$X$8</f>
        <v/>
      </c>
      <c r="V12" s="414" t="n"/>
    </row>
    <row r="13" ht="17.1" customHeight="1">
      <c r="B13" s="415" t="n"/>
      <c r="C13" s="1650" t="inlineStr">
        <is>
          <t>경상</t>
        </is>
      </c>
      <c r="D13" s="2265" t="n"/>
      <c r="E13" s="2265" t="n"/>
      <c r="F13" s="2361">
        <f>'2025년 자금실적'!T13</f>
        <v/>
      </c>
      <c r="G13" s="2362">
        <f>'2025년 자금실적'!U13</f>
        <v/>
      </c>
      <c r="H13" s="2363" t="n">
        <v>16.726369</v>
      </c>
      <c r="I13" s="2367" t="n">
        <v>1.412739</v>
      </c>
      <c r="J13" s="2391" t="n">
        <v>0.6327120000000001</v>
      </c>
      <c r="K13" s="2391" t="n">
        <v>15.121058</v>
      </c>
      <c r="L13" s="2364" t="n">
        <v>1.49789</v>
      </c>
      <c r="M13" s="2555" t="n">
        <v>6.535533</v>
      </c>
      <c r="N13" s="2366" t="n">
        <v>0.12983</v>
      </c>
      <c r="O13" s="2368" t="n">
        <v>2.485</v>
      </c>
      <c r="P13" s="2366" t="n">
        <v>0.385</v>
      </c>
      <c r="Q13" s="2367" t="n">
        <v>0.385</v>
      </c>
      <c r="R13" s="2368" t="n">
        <v>0.385</v>
      </c>
      <c r="S13" s="2370" t="n">
        <v>0.385</v>
      </c>
      <c r="T13" s="2371">
        <f>SUM(H13:S13)</f>
        <v/>
      </c>
      <c r="U13" s="2362">
        <f>T13/$X$8</f>
        <v/>
      </c>
      <c r="V13" s="430" t="inlineStr">
        <is>
          <t>○ 이자수익, 세금환급(부가세, 법인세) 등</t>
        </is>
      </c>
    </row>
    <row r="14" ht="17.45" customHeight="1">
      <c r="B14" s="415" t="n"/>
      <c r="C14" s="1666" t="inlineStr">
        <is>
          <t>비경상</t>
        </is>
      </c>
      <c r="D14" s="2265" t="n"/>
      <c r="E14" s="2265" t="n"/>
      <c r="F14" s="2372">
        <f>'2025년 자금실적'!T14</f>
        <v/>
      </c>
      <c r="G14" s="2373">
        <f>'2025년 자금실적'!U14</f>
        <v/>
      </c>
      <c r="H14" s="2374" t="n">
        <v>0</v>
      </c>
      <c r="I14" s="2375" t="n">
        <v>0</v>
      </c>
      <c r="J14" s="2375" t="n">
        <v>0</v>
      </c>
      <c r="K14" s="2556" t="n">
        <v>15.367</v>
      </c>
      <c r="L14" s="2557" t="n">
        <v>51.185792</v>
      </c>
      <c r="M14" s="2558" t="n">
        <v>0</v>
      </c>
      <c r="N14" s="2378" t="n">
        <v>0</v>
      </c>
      <c r="O14" s="2377" t="n">
        <v>0</v>
      </c>
      <c r="P14" s="2378" t="n">
        <v>0</v>
      </c>
      <c r="Q14" s="2379" t="n">
        <v>0</v>
      </c>
      <c r="R14" s="2559" t="n">
        <v>0</v>
      </c>
      <c r="S14" s="2560" t="n">
        <v>0</v>
      </c>
      <c r="T14" s="2378">
        <f>SUM(H14:S14)</f>
        <v/>
      </c>
      <c r="U14" s="2373">
        <f>T14/$X$8</f>
        <v/>
      </c>
      <c r="V14" s="422" t="inlineStr">
        <is>
          <t>○ 자산양수도 대금 등</t>
        </is>
      </c>
    </row>
    <row r="15">
      <c r="B15" s="1662" t="inlineStr">
        <is>
          <t xml:space="preserve"> C. 지출</t>
        </is>
      </c>
      <c r="C15" s="1941" t="n"/>
      <c r="D15" s="1941" t="n"/>
      <c r="E15" s="1941" t="n"/>
      <c r="F15" s="2381">
        <f>'2025년 자금실적'!T15</f>
        <v/>
      </c>
      <c r="G15" s="2382">
        <f>'2025년 자금실적'!U15</f>
        <v/>
      </c>
      <c r="H15" s="2383">
        <f>H16+H29</f>
        <v/>
      </c>
      <c r="I15" s="2384">
        <f>I16+I29</f>
        <v/>
      </c>
      <c r="J15" s="2384">
        <f>J16+J29</f>
        <v/>
      </c>
      <c r="K15" s="2384">
        <f>K16+K29</f>
        <v/>
      </c>
      <c r="L15" s="2386">
        <f>L16+L29</f>
        <v/>
      </c>
      <c r="M15" s="2561">
        <f>M16+M29</f>
        <v/>
      </c>
      <c r="N15" s="2387">
        <f>N16+N29</f>
        <v/>
      </c>
      <c r="O15" s="2386">
        <f>O16+O29</f>
        <v/>
      </c>
      <c r="P15" s="2387">
        <f>P16+P29</f>
        <v/>
      </c>
      <c r="Q15" s="2388">
        <f>Q16+Q29</f>
        <v/>
      </c>
      <c r="R15" s="2562">
        <f>R16+R29</f>
        <v/>
      </c>
      <c r="S15" s="2563">
        <f>S16+S29</f>
        <v/>
      </c>
      <c r="T15" s="2387">
        <f>SUM(T16,T29)</f>
        <v/>
      </c>
      <c r="U15" s="2382">
        <f>T15/$X$8</f>
        <v/>
      </c>
      <c r="V15" s="451" t="n"/>
    </row>
    <row r="16" ht="17.45" customHeight="1">
      <c r="B16" s="415" t="n"/>
      <c r="C16" s="1650" t="inlineStr">
        <is>
          <t>경상</t>
        </is>
      </c>
      <c r="D16" s="2265" t="n"/>
      <c r="E16" s="2265" t="n"/>
      <c r="F16" s="2361">
        <f>'2025년 자금실적'!T16</f>
        <v/>
      </c>
      <c r="G16" s="2362">
        <f>'2025년 자금실적'!U16</f>
        <v/>
      </c>
      <c r="H16" s="2390">
        <f>SUM(H17:H19)</f>
        <v/>
      </c>
      <c r="I16" s="2391">
        <f>SUM(I17:I19)</f>
        <v/>
      </c>
      <c r="J16" s="2391">
        <f>SUM(J17:J19)</f>
        <v/>
      </c>
      <c r="K16" s="2391">
        <f>SUM(K17:K19)</f>
        <v/>
      </c>
      <c r="L16" s="2368">
        <f>SUM(L17:L19)</f>
        <v/>
      </c>
      <c r="M16" s="2564">
        <f>SUM(M17:M19)</f>
        <v/>
      </c>
      <c r="N16" s="2371">
        <f>SUM(N17:N19)</f>
        <v/>
      </c>
      <c r="O16" s="2368">
        <f>SUM(O17:O19)</f>
        <v/>
      </c>
      <c r="P16" s="2371">
        <f>SUM(P17:P19)</f>
        <v/>
      </c>
      <c r="Q16" s="2369">
        <f>SUM(Q17:Q19)</f>
        <v/>
      </c>
      <c r="R16" s="2565">
        <f>SUM(R17:R19)</f>
        <v/>
      </c>
      <c r="S16" s="2566">
        <f>SUM(S17:S19)</f>
        <v/>
      </c>
      <c r="T16" s="2371">
        <f>SUM(H16:S16)</f>
        <v/>
      </c>
      <c r="U16" s="2362">
        <f>T16/$X$8</f>
        <v/>
      </c>
      <c r="V16" s="422" t="n"/>
    </row>
    <row r="17">
      <c r="B17" s="415" t="n"/>
      <c r="C17" s="423" t="n"/>
      <c r="D17" s="1666" t="inlineStr">
        <is>
          <t>인건비</t>
        </is>
      </c>
      <c r="E17" s="1667" t="n"/>
      <c r="F17" s="2372">
        <f>'2025년 자금실적'!T17</f>
        <v/>
      </c>
      <c r="G17" s="2373">
        <f>'2025년 자금실적'!U17</f>
        <v/>
      </c>
      <c r="H17" s="2374" t="n">
        <v>43.63493</v>
      </c>
      <c r="I17" s="2375" t="n">
        <v>38.99243</v>
      </c>
      <c r="J17" s="2375" t="n">
        <v>20.246437</v>
      </c>
      <c r="K17" s="2375" t="n">
        <v>20.133707</v>
      </c>
      <c r="L17" s="2377" t="n">
        <v>18.989177</v>
      </c>
      <c r="M17" s="2558" t="n">
        <v>19.808037</v>
      </c>
      <c r="N17" s="2378" t="n">
        <v>19.85365</v>
      </c>
      <c r="O17" s="2377" t="n">
        <v>21.34895</v>
      </c>
      <c r="P17" s="2378" t="n">
        <v>21.34895</v>
      </c>
      <c r="Q17" s="2379" t="n">
        <v>21.34895</v>
      </c>
      <c r="R17" s="2559" t="n">
        <v>21.34895</v>
      </c>
      <c r="S17" s="2560" t="n">
        <v>21.34895</v>
      </c>
      <c r="T17" s="2378">
        <f>SUM(H17:S17)</f>
        <v/>
      </c>
      <c r="U17" s="2373">
        <f>T17/$X$8</f>
        <v/>
      </c>
      <c r="V17" s="422" t="inlineStr">
        <is>
          <t>○ 급여, 4대보험, 퇴직연금 등</t>
        </is>
      </c>
    </row>
    <row r="18">
      <c r="B18" s="415" t="n"/>
      <c r="C18" s="423" t="n"/>
      <c r="D18" s="423" t="inlineStr">
        <is>
          <t>S/W, H/W 매입</t>
        </is>
      </c>
      <c r="E18" s="383" t="n"/>
      <c r="F18" s="2352">
        <f>'2025년 자금실적'!T18</f>
        <v/>
      </c>
      <c r="G18" s="2394">
        <f>'2025년 자금실적'!U18</f>
        <v/>
      </c>
      <c r="H18" s="2395" t="n">
        <v>0</v>
      </c>
      <c r="I18" s="2396" t="n">
        <v>0</v>
      </c>
      <c r="J18" s="2396" t="n">
        <v>0</v>
      </c>
      <c r="K18" s="2396" t="n">
        <v>0</v>
      </c>
      <c r="L18" s="2398" t="n">
        <v>0</v>
      </c>
      <c r="M18" s="2567" t="n">
        <v>0</v>
      </c>
      <c r="N18" s="2399" t="n">
        <v>0</v>
      </c>
      <c r="O18" s="2398" t="n">
        <v>0</v>
      </c>
      <c r="P18" s="2399" t="n">
        <v>0</v>
      </c>
      <c r="Q18" s="2400" t="n">
        <v>0</v>
      </c>
      <c r="R18" s="2568" t="n">
        <v>0</v>
      </c>
      <c r="S18" s="2569" t="n">
        <v>0</v>
      </c>
      <c r="T18" s="2399">
        <f>SUM(H18:S18)</f>
        <v/>
      </c>
      <c r="U18" s="2394">
        <f>T18/$X$8</f>
        <v/>
      </c>
      <c r="V18" s="1547" t="n"/>
    </row>
    <row r="19">
      <c r="B19" s="415" t="n"/>
      <c r="C19" s="423" t="n"/>
      <c r="D19" s="423" t="inlineStr">
        <is>
          <t>기타</t>
        </is>
      </c>
      <c r="E19" s="415" t="n"/>
      <c r="F19" s="2402">
        <f>'2025년 자금실적'!T19</f>
        <v/>
      </c>
      <c r="G19" s="2403">
        <f>'2025년 자금실적'!U19</f>
        <v/>
      </c>
      <c r="H19" s="2404">
        <f>SUM(H20:H28)</f>
        <v/>
      </c>
      <c r="I19" s="2405">
        <f>SUM(I20:I28)</f>
        <v/>
      </c>
      <c r="J19" s="2405">
        <f>SUM(J20:J28)</f>
        <v/>
      </c>
      <c r="K19" s="2405">
        <f>SUM(K20:K28)</f>
        <v/>
      </c>
      <c r="L19" s="2407">
        <f>SUM(L20:L28)</f>
        <v/>
      </c>
      <c r="M19" s="2570">
        <f>SUM(M20:M28)</f>
        <v/>
      </c>
      <c r="N19" s="2408">
        <f>SUM(N20:N28)</f>
        <v/>
      </c>
      <c r="O19" s="2407">
        <f>SUM(O20:O28)</f>
        <v/>
      </c>
      <c r="P19" s="2408">
        <f>SUM(P20:P28)</f>
        <v/>
      </c>
      <c r="Q19" s="2409">
        <f>SUM(Q20:Q28)</f>
        <v/>
      </c>
      <c r="R19" s="2571">
        <f>SUM(R20:R28)</f>
        <v/>
      </c>
      <c r="S19" s="2572">
        <f>SUM(S20:S28)</f>
        <v/>
      </c>
      <c r="T19" s="2408">
        <f>SUM(H19:S19)</f>
        <v/>
      </c>
      <c r="U19" s="2403">
        <f>T19/$X$8</f>
        <v/>
      </c>
      <c r="V19" s="462" t="n"/>
    </row>
    <row r="20">
      <c r="B20" s="415" t="n"/>
      <c r="C20" s="423" t="n"/>
      <c r="D20" s="539" t="n"/>
      <c r="E20" s="1666" t="inlineStr">
        <is>
          <t>제세공과금</t>
        </is>
      </c>
      <c r="F20" s="2352">
        <f>'2025년 자금실적'!T20</f>
        <v/>
      </c>
      <c r="G20" s="2411">
        <f>'2025년 자금실적'!U20</f>
        <v/>
      </c>
      <c r="H20" s="2412" t="n">
        <v>4.93922</v>
      </c>
      <c r="I20" s="2413" t="n">
        <v>5.2613</v>
      </c>
      <c r="J20" s="2413" t="n">
        <v>0</v>
      </c>
      <c r="K20" s="2413" t="n">
        <v>0</v>
      </c>
      <c r="L20" s="2415" t="n">
        <v>0</v>
      </c>
      <c r="M20" s="2573" t="n">
        <v>1.75016</v>
      </c>
      <c r="N20" s="2416" t="n">
        <v>9.274219</v>
      </c>
      <c r="O20" s="2415" t="n">
        <v>5</v>
      </c>
      <c r="P20" s="2416" t="n">
        <v>5</v>
      </c>
      <c r="Q20" s="2413" t="n">
        <v>5</v>
      </c>
      <c r="R20" s="2574" t="n">
        <v>5</v>
      </c>
      <c r="S20" s="2575" t="n">
        <v>5</v>
      </c>
      <c r="T20" s="2418">
        <f>SUM(H20:S20)</f>
        <v/>
      </c>
      <c r="U20" s="2411">
        <f>T20/$X$8</f>
        <v/>
      </c>
      <c r="V20" s="422" t="inlineStr">
        <is>
          <t>○ 원천세 등</t>
        </is>
      </c>
    </row>
    <row r="21">
      <c r="B21" s="415" t="n"/>
      <c r="C21" s="423" t="n"/>
      <c r="D21" s="539" t="n"/>
      <c r="E21" s="541" t="inlineStr">
        <is>
          <t>전산관련지출</t>
        </is>
      </c>
      <c r="F21" s="2419">
        <f>'2025년 자금실적'!T21</f>
        <v/>
      </c>
      <c r="G21" s="2420">
        <f>'2025년 자금실적'!U21</f>
        <v/>
      </c>
      <c r="H21" s="2412" t="n">
        <v>0.78595</v>
      </c>
      <c r="I21" s="2413" t="n">
        <v>2.840809</v>
      </c>
      <c r="J21" s="2413" t="n">
        <v>0.9103059999999999</v>
      </c>
      <c r="K21" s="2413" t="n">
        <v>0.7082039999999999</v>
      </c>
      <c r="L21" s="2415" t="n">
        <v>0.826483</v>
      </c>
      <c r="M21" s="2573" t="n">
        <v>1.41149</v>
      </c>
      <c r="N21" s="2416" t="n">
        <v>0.826925</v>
      </c>
      <c r="O21" s="2415" t="n">
        <v>1.501225</v>
      </c>
      <c r="P21" s="2416" t="n">
        <v>1.501225</v>
      </c>
      <c r="Q21" s="2413" t="n">
        <v>1.501225</v>
      </c>
      <c r="R21" s="2574" t="n">
        <v>1.501225</v>
      </c>
      <c r="S21" s="2575" t="n">
        <v>1.501225</v>
      </c>
      <c r="T21" s="2421">
        <f>SUM(H21:S21)</f>
        <v/>
      </c>
      <c r="U21" s="2420">
        <f>T21/$X$8</f>
        <v/>
      </c>
      <c r="V21" s="430" t="n"/>
    </row>
    <row r="22">
      <c r="B22" s="415" t="n"/>
      <c r="C22" s="423" t="n"/>
      <c r="D22" s="539" t="n"/>
      <c r="E22" s="541" t="inlineStr">
        <is>
          <t>경영, 업무지원, 운영용역비</t>
        </is>
      </c>
      <c r="F22" s="2419">
        <f>'2025년 자금실적'!T22</f>
        <v/>
      </c>
      <c r="G22" s="2420">
        <f>'2025년 자금실적'!U22</f>
        <v/>
      </c>
      <c r="H22" s="2412" t="n">
        <v>3.557324</v>
      </c>
      <c r="I22" s="2413" t="n">
        <v>0.061712</v>
      </c>
      <c r="J22" s="2413" t="n">
        <v>0.04229</v>
      </c>
      <c r="K22" s="2413" t="n">
        <v>3.349059</v>
      </c>
      <c r="L22" s="2415" t="n">
        <v>0.044597</v>
      </c>
      <c r="M22" s="2573" t="n">
        <v>0.044976</v>
      </c>
      <c r="N22" s="2416" t="n">
        <v>3.365196</v>
      </c>
      <c r="O22" s="2415" t="n">
        <v>0.058311</v>
      </c>
      <c r="P22" s="2416" t="n">
        <v>0.057776</v>
      </c>
      <c r="Q22" s="2413" t="n">
        <v>3.501225</v>
      </c>
      <c r="R22" s="2574" t="n">
        <v>0.0605</v>
      </c>
      <c r="S22" s="2575" t="n">
        <v>0.061947</v>
      </c>
      <c r="T22" s="2421">
        <f>SUM(H22:S22)</f>
        <v/>
      </c>
      <c r="U22" s="2420">
        <f>T22/$X$8</f>
        <v/>
      </c>
      <c r="V22" s="430" t="inlineStr">
        <is>
          <t>○ 분기별 그룹사 공용비용 등</t>
        </is>
      </c>
    </row>
    <row r="23">
      <c r="B23" s="415" t="n"/>
      <c r="C23" s="423" t="n"/>
      <c r="D23" s="539" t="n"/>
      <c r="E23" s="541" t="inlineStr">
        <is>
          <t>복리후생비</t>
        </is>
      </c>
      <c r="F23" s="2419">
        <f>'2025년 자금실적'!T23</f>
        <v/>
      </c>
      <c r="G23" s="2420">
        <f>'2025년 자금실적'!U23</f>
        <v/>
      </c>
      <c r="H23" s="2412" t="n">
        <v>1.678515</v>
      </c>
      <c r="I23" s="2413" t="n">
        <v>0.6600819999999999</v>
      </c>
      <c r="J23" s="2413" t="n">
        <v>1.26286</v>
      </c>
      <c r="K23" s="2413" t="n">
        <v>0</v>
      </c>
      <c r="L23" s="2415" t="n">
        <v>1.681931</v>
      </c>
      <c r="M23" s="2573" t="n">
        <v>1.778205</v>
      </c>
      <c r="N23" s="2416" t="n">
        <v>0.169247</v>
      </c>
      <c r="O23" s="2415" t="n">
        <v>0.8</v>
      </c>
      <c r="P23" s="2416" t="n">
        <v>1.4</v>
      </c>
      <c r="Q23" s="2413" t="n">
        <v>0.8</v>
      </c>
      <c r="R23" s="2574" t="n">
        <v>0.8</v>
      </c>
      <c r="S23" s="2575" t="n">
        <v>0.8</v>
      </c>
      <c r="T23" s="2421">
        <f>SUM(H23:S23)</f>
        <v/>
      </c>
      <c r="U23" s="2420">
        <f>T23/$X$8</f>
        <v/>
      </c>
      <c r="V23" s="430" t="inlineStr">
        <is>
          <t>○ 동호회비, 건강검진비용, 명절선물 등</t>
        </is>
      </c>
    </row>
    <row r="24">
      <c r="B24" s="415" t="n"/>
      <c r="C24" s="423" t="n"/>
      <c r="D24" s="539" t="n"/>
      <c r="E24" s="541" t="inlineStr">
        <is>
          <t>식당, 카페, 매점 등 운영비</t>
        </is>
      </c>
      <c r="F24" s="2419">
        <f>'2025년 자금실적'!T24</f>
        <v/>
      </c>
      <c r="G24" s="2420">
        <f>'2025년 자금실적'!U24</f>
        <v/>
      </c>
      <c r="H24" s="2412" t="n">
        <v>0.311</v>
      </c>
      <c r="I24" s="2413" t="n">
        <v>0.165</v>
      </c>
      <c r="J24" s="2413" t="n">
        <v>0.1392</v>
      </c>
      <c r="K24" s="2413" t="n">
        <v>0.165</v>
      </c>
      <c r="L24" s="2415" t="n">
        <v>0.145</v>
      </c>
      <c r="M24" s="2573" t="n">
        <v>0.08400000000000001</v>
      </c>
      <c r="N24" s="2416" t="n">
        <v>0.09700019999999999</v>
      </c>
      <c r="O24" s="2415" t="n">
        <v>0.309</v>
      </c>
      <c r="P24" s="2416" t="n">
        <v>0.309</v>
      </c>
      <c r="Q24" s="2413" t="n">
        <v>0.309</v>
      </c>
      <c r="R24" s="2574" t="n">
        <v>0.309</v>
      </c>
      <c r="S24" s="2575" t="n">
        <v>0.309</v>
      </c>
      <c r="T24" s="2421">
        <f>SUM(H24:S24)</f>
        <v/>
      </c>
      <c r="U24" s="2420">
        <f>T24/$X$8</f>
        <v/>
      </c>
      <c r="V24" s="430" t="n"/>
    </row>
    <row r="25">
      <c r="B25" s="415" t="n"/>
      <c r="C25" s="423" t="n"/>
      <c r="D25" s="539" t="n"/>
      <c r="E25" s="423" t="inlineStr">
        <is>
          <t>직원비용, 복지포인트 사용비</t>
        </is>
      </c>
      <c r="F25" s="2352">
        <f>'2025년 자금실적'!T25</f>
        <v/>
      </c>
      <c r="G25" s="2420">
        <f>'2025년 자금실적'!U25</f>
        <v/>
      </c>
      <c r="H25" s="2412" t="n">
        <v>5.325892</v>
      </c>
      <c r="I25" s="2413" t="n">
        <v>5.21776</v>
      </c>
      <c r="J25" s="2413" t="n">
        <v>2.364157</v>
      </c>
      <c r="K25" s="2413" t="n">
        <v>5.869168</v>
      </c>
      <c r="L25" s="2415" t="n">
        <v>9.481778</v>
      </c>
      <c r="M25" s="2573" t="n">
        <v>4.467447</v>
      </c>
      <c r="N25" s="2416" t="n">
        <v>8.786530000000001</v>
      </c>
      <c r="O25" s="2415" t="n">
        <v>5</v>
      </c>
      <c r="P25" s="2416" t="n">
        <v>5</v>
      </c>
      <c r="Q25" s="2413" t="n">
        <v>5</v>
      </c>
      <c r="R25" s="2574" t="n">
        <v>5</v>
      </c>
      <c r="S25" s="2575" t="n">
        <v>5</v>
      </c>
      <c r="T25" s="2421">
        <f>SUM(H25:S25)</f>
        <v/>
      </c>
      <c r="U25" s="2420">
        <f>T25/$X$8</f>
        <v/>
      </c>
      <c r="V25" s="430" t="n"/>
    </row>
    <row r="26">
      <c r="B26" s="415" t="n"/>
      <c r="C26" s="423" t="n"/>
      <c r="D26" s="539" t="n"/>
      <c r="E26" s="423" t="inlineStr">
        <is>
          <t>임차료, 관리비</t>
        </is>
      </c>
      <c r="F26" s="2352">
        <f>'2025년 자금실적'!T26</f>
        <v/>
      </c>
      <c r="G26" s="2420">
        <f>'2025년 자금실적'!U26</f>
        <v/>
      </c>
      <c r="H26" s="2412" t="n">
        <v>0.919248</v>
      </c>
      <c r="I26" s="2413" t="n">
        <v>0.919248</v>
      </c>
      <c r="J26" s="2413" t="n">
        <v>0.919248</v>
      </c>
      <c r="K26" s="2413" t="n">
        <v>0.919248</v>
      </c>
      <c r="L26" s="2415" t="n">
        <v>0.919248</v>
      </c>
      <c r="M26" s="2573" t="n">
        <v>0.919248</v>
      </c>
      <c r="N26" s="2416" t="n">
        <v>0.919248</v>
      </c>
      <c r="O26" s="2415" t="n">
        <v>0.919248</v>
      </c>
      <c r="P26" s="2416" t="n">
        <v>0.919248</v>
      </c>
      <c r="Q26" s="2413" t="n">
        <v>0.919248</v>
      </c>
      <c r="R26" s="2574" t="n">
        <v>0.919248</v>
      </c>
      <c r="S26" s="2575" t="n">
        <v>0.919248</v>
      </c>
      <c r="T26" s="2421">
        <f>SUM(H26:S26)</f>
        <v/>
      </c>
      <c r="U26" s="2420">
        <f>T26/$X$8</f>
        <v/>
      </c>
      <c r="V26" s="430" t="n"/>
    </row>
    <row r="27">
      <c r="B27" s="415" t="n"/>
      <c r="C27" s="423" t="n"/>
      <c r="D27" s="539" t="n"/>
      <c r="E27" s="423" t="inlineStr">
        <is>
          <t>지급수수료</t>
        </is>
      </c>
      <c r="F27" s="2352">
        <f>'2025년 자금실적'!T27</f>
        <v/>
      </c>
      <c r="G27" s="2420">
        <f>'2025년 자금실적'!U27</f>
        <v/>
      </c>
      <c r="H27" s="2412" t="n">
        <v>0.001</v>
      </c>
      <c r="I27" s="2413" t="n">
        <v>0</v>
      </c>
      <c r="J27" s="2413" t="n">
        <v>0.636795</v>
      </c>
      <c r="K27" s="2413" t="n">
        <v>0</v>
      </c>
      <c r="L27" s="2415" t="n">
        <v>1.701073</v>
      </c>
      <c r="M27" s="2573" t="n">
        <v>2.298395</v>
      </c>
      <c r="N27" s="2416" t="n">
        <v>0</v>
      </c>
      <c r="O27" s="2415" t="n">
        <v>0.3</v>
      </c>
      <c r="P27" s="2416" t="n">
        <v>0.3</v>
      </c>
      <c r="Q27" s="2413" t="n">
        <v>0.3</v>
      </c>
      <c r="R27" s="2574" t="n">
        <v>0.3</v>
      </c>
      <c r="S27" s="2575" t="n">
        <v>0.3</v>
      </c>
      <c r="T27" s="2421">
        <f>SUM(H27:S27)</f>
        <v/>
      </c>
      <c r="U27" s="2420">
        <f>T27/$X$8</f>
        <v/>
      </c>
      <c r="V27" s="430" t="n"/>
    </row>
    <row r="28">
      <c r="B28" s="415" t="n"/>
      <c r="C28" s="423" t="n"/>
      <c r="D28" s="540" t="n"/>
      <c r="E28" s="455" t="inlineStr">
        <is>
          <t>통신비등</t>
        </is>
      </c>
      <c r="F28" s="2352">
        <f>'2025년 자금실적'!T28</f>
        <v/>
      </c>
      <c r="G28" s="2422">
        <f>'2025년 자금실적'!U28</f>
        <v/>
      </c>
      <c r="H28" s="2412" t="n">
        <v>1.58793</v>
      </c>
      <c r="I28" s="2413" t="n">
        <v>3.755018</v>
      </c>
      <c r="J28" s="2413" t="n">
        <v>0.23522</v>
      </c>
      <c r="K28" s="2413" t="n">
        <v>0.3999100000000002</v>
      </c>
      <c r="L28" s="2415" t="n">
        <v>0.4451109999999989</v>
      </c>
      <c r="M28" s="2573" t="n">
        <v>0.2350200000000005</v>
      </c>
      <c r="N28" s="2416" t="n">
        <v>0.4721139999999995</v>
      </c>
      <c r="O28" s="2415" t="n">
        <v>0.4</v>
      </c>
      <c r="P28" s="2416" t="n">
        <v>0.4</v>
      </c>
      <c r="Q28" s="2413" t="n">
        <v>0.4</v>
      </c>
      <c r="R28" s="2574" t="n">
        <v>0.4</v>
      </c>
      <c r="S28" s="2575" t="n">
        <v>0.4</v>
      </c>
      <c r="T28" s="2423">
        <f>SUM(H28:S28)</f>
        <v/>
      </c>
      <c r="U28" s="2422">
        <f>T28/$X$8</f>
        <v/>
      </c>
      <c r="V28" s="2424" t="n"/>
    </row>
    <row r="29" ht="17.45" customHeight="1">
      <c r="B29" s="415" t="n"/>
      <c r="C29" s="1666" t="inlineStr">
        <is>
          <t>비경상</t>
        </is>
      </c>
      <c r="D29" s="2265" t="n"/>
      <c r="E29" s="2265" t="n"/>
      <c r="F29" s="2372">
        <f>'2025년 자금실적'!T29</f>
        <v/>
      </c>
      <c r="G29" s="2411">
        <f>'2025년 자금실적'!U29</f>
        <v/>
      </c>
      <c r="H29" s="2576">
        <f>SUM(H30:H34)</f>
        <v/>
      </c>
      <c r="I29" s="2375">
        <f>SUM(I30:I34)</f>
        <v/>
      </c>
      <c r="J29" s="2375">
        <f>SUM(J30:J34)</f>
        <v/>
      </c>
      <c r="K29" s="2375">
        <f>SUM(K30:K34)</f>
        <v/>
      </c>
      <c r="L29" s="2425">
        <f>SUM(L30:L34)</f>
        <v/>
      </c>
      <c r="M29" s="2577">
        <f>SUM(M30:M34)</f>
        <v/>
      </c>
      <c r="N29" s="2426">
        <f>SUM(N30:N34)</f>
        <v/>
      </c>
      <c r="O29" s="2425">
        <f>SUM(O30:O34)</f>
        <v/>
      </c>
      <c r="P29" s="2426">
        <f>SUM(P30:P34)</f>
        <v/>
      </c>
      <c r="Q29" s="2375">
        <f>SUM(Q30:Q34)</f>
        <v/>
      </c>
      <c r="R29" s="2578">
        <f>SUM(R30:R34)</f>
        <v/>
      </c>
      <c r="S29" s="2579">
        <f>SUM(S30:S34)</f>
        <v/>
      </c>
      <c r="T29" s="2426">
        <f>SUM(H29:S29)</f>
        <v/>
      </c>
      <c r="U29" s="2411">
        <f>T29/$X$8</f>
        <v/>
      </c>
      <c r="V29" s="422" t="n"/>
    </row>
    <row r="30" ht="17.45" customHeight="1">
      <c r="B30" s="415" t="n"/>
      <c r="C30" s="423" t="n"/>
      <c r="D30" s="1666" t="inlineStr">
        <is>
          <t>지식재산권 양수</t>
        </is>
      </c>
      <c r="E30" s="500" t="n"/>
      <c r="F30" s="2428">
        <f>'2025년 자금실적'!T30</f>
        <v/>
      </c>
      <c r="G30" s="2411">
        <f>'2025년 자금실적'!U30</f>
        <v/>
      </c>
      <c r="H30" s="2374" t="n"/>
      <c r="I30" s="2375" t="n"/>
      <c r="J30" s="2375" t="n"/>
      <c r="K30" s="2375" t="n"/>
      <c r="L30" s="2425" t="n"/>
      <c r="M30" s="2577" t="n"/>
      <c r="N30" s="2426" t="n"/>
      <c r="O30" s="2425" t="n"/>
      <c r="P30" s="2426" t="n"/>
      <c r="Q30" s="2375" t="n"/>
      <c r="R30" s="2578" t="n"/>
      <c r="S30" s="2579" t="n"/>
      <c r="T30" s="2426">
        <f>SUM(H30:S30)</f>
        <v/>
      </c>
      <c r="U30" s="2411">
        <f>T30/$X$8</f>
        <v/>
      </c>
      <c r="V30" s="422" t="n"/>
    </row>
    <row r="31" ht="17.45" customHeight="1">
      <c r="B31" s="415" t="n"/>
      <c r="C31" s="423" t="n"/>
      <c r="D31" s="423" t="inlineStr">
        <is>
          <t>임대보증금</t>
        </is>
      </c>
      <c r="E31" s="501" t="n"/>
      <c r="F31" s="2429">
        <f>'2025년 자금실적'!T31</f>
        <v/>
      </c>
      <c r="G31" s="2420">
        <f>'2025년 자금실적'!U31</f>
        <v/>
      </c>
      <c r="H31" s="2395" t="n"/>
      <c r="I31" s="2396" t="n"/>
      <c r="J31" s="2396" t="n"/>
      <c r="K31" s="2396" t="n"/>
      <c r="L31" s="2430" t="n"/>
      <c r="M31" s="2580" t="n"/>
      <c r="N31" s="2431" t="n"/>
      <c r="O31" s="2430" t="n"/>
      <c r="P31" s="2431" t="n"/>
      <c r="Q31" s="2396" t="n"/>
      <c r="R31" s="2581" t="n"/>
      <c r="S31" s="2582" t="n"/>
      <c r="T31" s="2431">
        <f>SUM(H31:S31)</f>
        <v/>
      </c>
      <c r="U31" s="2420">
        <f>T31/$X$8</f>
        <v/>
      </c>
      <c r="V31" s="430" t="n"/>
    </row>
    <row r="32" ht="17.45" customHeight="1">
      <c r="B32" s="415" t="n"/>
      <c r="C32" s="423" t="n"/>
      <c r="D32" s="423" t="inlineStr">
        <is>
          <t>시설장치</t>
        </is>
      </c>
      <c r="E32" s="501" t="n"/>
      <c r="F32" s="2429">
        <f>'2025년 자금실적'!T32</f>
        <v/>
      </c>
      <c r="G32" s="2420">
        <f>'2025년 자금실적'!U32</f>
        <v/>
      </c>
      <c r="H32" s="2395" t="n"/>
      <c r="I32" s="2396" t="n"/>
      <c r="J32" s="2396" t="n"/>
      <c r="K32" s="2396" t="n"/>
      <c r="L32" s="2430" t="n"/>
      <c r="M32" s="2580" t="n"/>
      <c r="N32" s="2431" t="n"/>
      <c r="O32" s="2430" t="n"/>
      <c r="P32" s="2431" t="n"/>
      <c r="Q32" s="2396" t="n"/>
      <c r="R32" s="2581" t="n"/>
      <c r="S32" s="2582" t="n"/>
      <c r="T32" s="2431">
        <f>SUM(H32:S32)</f>
        <v/>
      </c>
      <c r="U32" s="2420">
        <f>T32/$X$8</f>
        <v/>
      </c>
      <c r="V32" s="430" t="n"/>
    </row>
    <row r="33" ht="17.45" customHeight="1">
      <c r="B33" s="415" t="n"/>
      <c r="C33" s="423" t="n"/>
      <c r="D33" s="423" t="inlineStr">
        <is>
          <t>투자금</t>
        </is>
      </c>
      <c r="E33" s="501" t="n"/>
      <c r="F33" s="2429" t="n">
        <v>0</v>
      </c>
      <c r="G33" s="2420" t="n">
        <v>0</v>
      </c>
      <c r="H33" s="2395" t="n"/>
      <c r="I33" s="2583" t="n">
        <v>7.13645</v>
      </c>
      <c r="J33" s="2583" t="n">
        <v>999.999</v>
      </c>
      <c r="K33" s="2396" t="n"/>
      <c r="L33" s="2430" t="n"/>
      <c r="M33" s="2580" t="n"/>
      <c r="N33" s="2431" t="n"/>
      <c r="O33" s="2430" t="n"/>
      <c r="P33" s="2431" t="n"/>
      <c r="Q33" s="2396" t="n"/>
      <c r="R33" s="2581" t="n"/>
      <c r="S33" s="2582" t="n"/>
      <c r="T33" s="2431">
        <f>SUM(H33:S33)</f>
        <v/>
      </c>
      <c r="U33" s="2420">
        <f>T33/$X$8</f>
        <v/>
      </c>
      <c r="V33" s="430" t="inlineStr">
        <is>
          <t>○ 미국법인 출자금, ATOP UNIVERSE 신주인수대금</t>
        </is>
      </c>
    </row>
    <row r="34" ht="17.45" customHeight="1">
      <c r="B34" s="415" t="n"/>
      <c r="C34" s="423" t="n"/>
      <c r="D34" s="423" t="inlineStr">
        <is>
          <t>기타</t>
        </is>
      </c>
      <c r="E34" s="415" t="n"/>
      <c r="F34" s="2352">
        <f>'2025년 자금실적'!T33</f>
        <v/>
      </c>
      <c r="G34" s="2420">
        <f>'2025년 자금실적'!U33</f>
        <v/>
      </c>
      <c r="H34" s="2395" t="n"/>
      <c r="I34" s="2396" t="n"/>
      <c r="J34" s="2396" t="n"/>
      <c r="K34" s="2396" t="n"/>
      <c r="L34" s="2430" t="n"/>
      <c r="M34" s="2580" t="n"/>
      <c r="N34" s="2431" t="n"/>
      <c r="O34" s="2430" t="n"/>
      <c r="P34" s="2431" t="n"/>
      <c r="Q34" s="2396" t="n"/>
      <c r="R34" s="2581" t="n"/>
      <c r="S34" s="2582" t="n"/>
      <c r="T34" s="2431">
        <f>SUM(H34:S34)</f>
        <v/>
      </c>
      <c r="U34" s="2420">
        <f>T34/$X$8</f>
        <v/>
      </c>
      <c r="V34" s="430" t="n"/>
    </row>
    <row r="35">
      <c r="B35" s="1662" t="inlineStr">
        <is>
          <t xml:space="preserve"> D. 자금수지차 (=B-C)</t>
        </is>
      </c>
      <c r="C35" s="1941" t="n"/>
      <c r="D35" s="1941" t="n"/>
      <c r="E35" s="1941" t="n"/>
      <c r="F35" s="2433">
        <f>'2025년 자금실적'!T34</f>
        <v/>
      </c>
      <c r="G35" s="2434">
        <f>'2025년 자금실적'!U34</f>
        <v/>
      </c>
      <c r="H35" s="2435">
        <f>H12-H15</f>
        <v/>
      </c>
      <c r="I35" s="2436">
        <f>I12-I15</f>
        <v/>
      </c>
      <c r="J35" s="2436">
        <f>J12-J15</f>
        <v/>
      </c>
      <c r="K35" s="2436">
        <f>K12-K15</f>
        <v/>
      </c>
      <c r="L35" s="2438">
        <f>L12-L15</f>
        <v/>
      </c>
      <c r="M35" s="2584">
        <f>M12-M15</f>
        <v/>
      </c>
      <c r="N35" s="2439">
        <f>N12-N15</f>
        <v/>
      </c>
      <c r="O35" s="2438">
        <f>O12-O15</f>
        <v/>
      </c>
      <c r="P35" s="2439">
        <f>P12-P15</f>
        <v/>
      </c>
      <c r="Q35" s="2436">
        <f>Q12-Q15</f>
        <v/>
      </c>
      <c r="R35" s="2585">
        <f>R12-R15</f>
        <v/>
      </c>
      <c r="S35" s="2586">
        <f>S12-S15</f>
        <v/>
      </c>
      <c r="T35" s="2439">
        <f>T12-T15</f>
        <v/>
      </c>
      <c r="U35" s="2434">
        <f>T35/$X$8</f>
        <v/>
      </c>
      <c r="V35" s="466" t="n"/>
    </row>
    <row r="36">
      <c r="B36" s="467" t="n"/>
      <c r="C36" s="468" t="inlineStr">
        <is>
          <t xml:space="preserve"> D-1. 경상수지차</t>
        </is>
      </c>
      <c r="D36" s="468" t="n"/>
      <c r="E36" s="468" t="n"/>
      <c r="F36" s="2441">
        <f>'2025년 자금실적'!T35</f>
        <v/>
      </c>
      <c r="G36" s="2442">
        <f>'2025년 자금실적'!U35</f>
        <v/>
      </c>
      <c r="H36" s="2443">
        <f>H13-H16</f>
        <v/>
      </c>
      <c r="I36" s="2444">
        <f>I13-I16</f>
        <v/>
      </c>
      <c r="J36" s="2444">
        <f>J13-J16</f>
        <v/>
      </c>
      <c r="K36" s="2444">
        <f>K13-K16</f>
        <v/>
      </c>
      <c r="L36" s="2446">
        <f>L13-L16</f>
        <v/>
      </c>
      <c r="M36" s="2587">
        <f>M13-M16</f>
        <v/>
      </c>
      <c r="N36" s="2447">
        <f>N13-N16</f>
        <v/>
      </c>
      <c r="O36" s="2446">
        <f>O13-O16</f>
        <v/>
      </c>
      <c r="P36" s="2447">
        <f>P13-P16</f>
        <v/>
      </c>
      <c r="Q36" s="2444">
        <f>Q13-Q16</f>
        <v/>
      </c>
      <c r="R36" s="2588">
        <f>R13-R16</f>
        <v/>
      </c>
      <c r="S36" s="2589">
        <f>S13-S16</f>
        <v/>
      </c>
      <c r="T36" s="2447">
        <f>T13-T16</f>
        <v/>
      </c>
      <c r="U36" s="2442">
        <f>T36/$X$8</f>
        <v/>
      </c>
      <c r="V36" s="475" t="n"/>
    </row>
    <row r="37" ht="15.6" customHeight="1">
      <c r="B37" s="1662" t="inlineStr">
        <is>
          <t xml:space="preserve"> E. 자금조달(증자)</t>
        </is>
      </c>
      <c r="C37" s="1941" t="n"/>
      <c r="D37" s="1941" t="n"/>
      <c r="E37" s="1941" t="n"/>
      <c r="F37" s="2381">
        <f>'2025년 자금실적'!T36</f>
        <v/>
      </c>
      <c r="G37" s="2449">
        <f>'2025년 자금실적'!U36</f>
        <v/>
      </c>
      <c r="H37" s="2383" t="n"/>
      <c r="I37" s="2384" t="n"/>
      <c r="J37" s="2384" t="n"/>
      <c r="K37" s="2384" t="n"/>
      <c r="L37" s="2450" t="n"/>
      <c r="M37" s="2590" t="n"/>
      <c r="N37" s="2451" t="n"/>
      <c r="O37" s="2450" t="n"/>
      <c r="P37" s="2451" t="n"/>
      <c r="Q37" s="2384" t="n"/>
      <c r="R37" s="2591" t="n"/>
      <c r="S37" s="2592" t="n"/>
      <c r="T37" s="2453">
        <f>SUM(H37:S37)</f>
        <v/>
      </c>
      <c r="U37" s="2449">
        <f>T37/$X$8</f>
        <v/>
      </c>
      <c r="V37" s="478" t="n"/>
    </row>
    <row r="38" hidden="1">
      <c r="B38" s="415" t="n"/>
      <c r="C38" s="415" t="n"/>
      <c r="D38" s="415" t="n"/>
      <c r="E38" s="415" t="n"/>
      <c r="F38" s="2352">
        <f>'2025년 자금실적'!T37</f>
        <v/>
      </c>
      <c r="G38" s="2420">
        <f>'2025년 자금실적'!U37</f>
        <v/>
      </c>
      <c r="H38" s="2395" t="n"/>
      <c r="I38" s="2396" t="n"/>
      <c r="J38" s="2396" t="n"/>
      <c r="K38" s="2396" t="n"/>
      <c r="L38" s="2430" t="n"/>
      <c r="M38" s="2580" t="n"/>
      <c r="N38" s="2431" t="n"/>
      <c r="O38" s="2430" t="n"/>
      <c r="P38" s="2431" t="n"/>
      <c r="Q38" s="2396" t="n"/>
      <c r="R38" s="2581" t="n"/>
      <c r="S38" s="2582" t="n"/>
      <c r="T38" s="2431" t="n"/>
      <c r="U38" s="2420" t="n"/>
      <c r="V38" s="481" t="n"/>
    </row>
    <row r="39" hidden="1">
      <c r="B39" s="415" t="n"/>
      <c r="C39" s="415" t="n"/>
      <c r="D39" s="415" t="n"/>
      <c r="E39" s="415" t="n"/>
      <c r="F39" s="2352">
        <f>'2025년 자금실적'!T38</f>
        <v/>
      </c>
      <c r="G39" s="2420">
        <f>'2025년 자금실적'!U38</f>
        <v/>
      </c>
      <c r="H39" s="2395" t="n"/>
      <c r="I39" s="2396" t="n"/>
      <c r="J39" s="2396" t="n"/>
      <c r="K39" s="2396" t="n"/>
      <c r="L39" s="2430" t="n"/>
      <c r="M39" s="2580" t="n"/>
      <c r="N39" s="2431" t="n"/>
      <c r="O39" s="2430" t="n"/>
      <c r="P39" s="2431" t="n"/>
      <c r="Q39" s="2396" t="n"/>
      <c r="R39" s="2581" t="n"/>
      <c r="S39" s="2582" t="n"/>
      <c r="T39" s="2431" t="n"/>
      <c r="U39" s="2420" t="n"/>
      <c r="V39" s="481" t="n"/>
    </row>
    <row r="40" hidden="1">
      <c r="B40" s="436" t="n"/>
      <c r="C40" s="436" t="n"/>
      <c r="D40" s="436" t="n"/>
      <c r="E40" s="436" t="n"/>
      <c r="F40" s="2454">
        <f>'2025년 자금실적'!T39</f>
        <v/>
      </c>
      <c r="G40" s="2455">
        <f>'2025년 자금실적'!U39</f>
        <v/>
      </c>
      <c r="H40" s="2456" t="n"/>
      <c r="I40" s="2457" t="n"/>
      <c r="J40" s="2457" t="n"/>
      <c r="K40" s="2457" t="n"/>
      <c r="L40" s="2459" t="n"/>
      <c r="M40" s="2593" t="n"/>
      <c r="N40" s="2460" t="n"/>
      <c r="O40" s="2459" t="n"/>
      <c r="P40" s="2460" t="n"/>
      <c r="Q40" s="2457" t="n"/>
      <c r="R40" s="2594" t="n"/>
      <c r="S40" s="2595" t="n"/>
      <c r="T40" s="2460" t="n"/>
      <c r="U40" s="2455" t="n"/>
      <c r="V40" s="483" t="n"/>
    </row>
    <row r="41" customFormat="1" s="399">
      <c r="B41" s="1664" t="inlineStr">
        <is>
          <t xml:space="preserve"> F. 기말잔고(=A+D+E)</t>
        </is>
      </c>
      <c r="C41" s="1864" t="n"/>
      <c r="D41" s="1864" t="n"/>
      <c r="E41" s="1864" t="n"/>
      <c r="F41" s="2462" t="n">
        <v>3607.089792</v>
      </c>
      <c r="G41" s="2463" t="n"/>
      <c r="H41" s="2464">
        <f>H11+H35+H37</f>
        <v/>
      </c>
      <c r="I41" s="2465">
        <f>I11+I35+I37</f>
        <v/>
      </c>
      <c r="J41" s="2465">
        <f>J11+J35+J37</f>
        <v/>
      </c>
      <c r="K41" s="2465">
        <f>K11+K35+K37</f>
        <v/>
      </c>
      <c r="L41" s="2467">
        <f>L11+L35+L37</f>
        <v/>
      </c>
      <c r="M41" s="2596">
        <f>M11+M35+M37</f>
        <v/>
      </c>
      <c r="N41" s="2468">
        <f>N11+N35+N37</f>
        <v/>
      </c>
      <c r="O41" s="2467">
        <f>O11+O35+O37</f>
        <v/>
      </c>
      <c r="P41" s="2468">
        <f>P11+P35+P37</f>
        <v/>
      </c>
      <c r="Q41" s="2465">
        <f>Q11+Q35+Q37</f>
        <v/>
      </c>
      <c r="R41" s="2597">
        <f>R11+R35+R37</f>
        <v/>
      </c>
      <c r="S41" s="2598">
        <f>S11+S35+S37</f>
        <v/>
      </c>
      <c r="T41" s="2468">
        <f>T11+T35+T37</f>
        <v/>
      </c>
      <c r="U41" s="2470" t="n"/>
      <c r="V41" s="490" t="n"/>
      <c r="Y41" s="407" t="n"/>
    </row>
    <row r="44">
      <c r="E44" s="2472" t="n"/>
      <c r="F44" s="2472" t="n"/>
      <c r="G44" s="2472" t="n"/>
      <c r="M44" s="2599" t="n"/>
    </row>
    <row r="45">
      <c r="E45" s="2472" t="n"/>
      <c r="F45" s="2472" t="n"/>
      <c r="G45" s="2472" t="n"/>
    </row>
    <row r="46">
      <c r="E46" s="2472" t="n"/>
      <c r="F46" s="2472" t="n"/>
      <c r="G46" s="2472" t="n"/>
    </row>
  </sheetData>
  <mergeCells count="16">
    <mergeCell ref="C16:E16"/>
    <mergeCell ref="N9:S9"/>
    <mergeCell ref="F8:G9"/>
    <mergeCell ref="B41:E41"/>
    <mergeCell ref="C14:E14"/>
    <mergeCell ref="B35:E35"/>
    <mergeCell ref="C13:E13"/>
    <mergeCell ref="V8:V10"/>
    <mergeCell ref="B12:E12"/>
    <mergeCell ref="B37:E37"/>
    <mergeCell ref="B15:E15"/>
    <mergeCell ref="B8:E10"/>
    <mergeCell ref="B11:E11"/>
    <mergeCell ref="H9:M9"/>
    <mergeCell ref="H8:S8"/>
    <mergeCell ref="C29:E29"/>
  </mergeCells>
  <conditionalFormatting sqref="C1:V6">
    <cfRule type="cellIs" priority="5" operator="equal" dxfId="5">
      <formula>0</formula>
    </cfRule>
  </conditionalFormatting>
  <conditionalFormatting sqref="C42:V1048576">
    <cfRule type="cellIs" priority="6" operator="equal" dxfId="5">
      <formula>0</formula>
    </cfRule>
  </conditionalFormatting>
  <conditionalFormatting sqref="G12 G14:U15 G17:U35 G37:G40">
    <cfRule type="cellIs" priority="1" operator="equal" dxfId="0">
      <formula>0</formula>
    </cfRule>
    <cfRule type="cellIs" priority="2" operator="equal" dxfId="2">
      <formula>0</formula>
    </cfRule>
  </conditionalFormatting>
  <conditionalFormatting sqref="H11:U12 H37:U41">
    <cfRule type="cellIs" priority="3" operator="equal" dxfId="0">
      <formula>0</formula>
    </cfRule>
    <cfRule type="cellIs" priority="4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6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>
    <tabColor theme="2" tint="-0.09997863704336681"/>
    <outlinePr summaryBelow="1" summaryRight="1"/>
    <pageSetUpPr/>
  </sheetPr>
  <dimension ref="B2:P71"/>
  <sheetViews>
    <sheetView zoomScaleNormal="100" workbookViewId="0">
      <selection activeCell="L28" sqref="L28"/>
    </sheetView>
  </sheetViews>
  <sheetFormatPr baseColWidth="8" defaultRowHeight="16.5"/>
  <cols>
    <col width="2.375" customWidth="1" min="1" max="1"/>
    <col width="15.125" bestFit="1" customWidth="1" min="2" max="2"/>
    <col width="40.375" bestFit="1" customWidth="1" style="2600" min="3" max="3"/>
    <col width="12.625" bestFit="1" customWidth="1" style="2600" min="4" max="4"/>
    <col width="13" bestFit="1" customWidth="1" style="2600" min="5" max="5"/>
    <col width="13" customWidth="1" style="2600" min="6" max="6"/>
    <col width="10.875" bestFit="1" customWidth="1" style="2600" min="7" max="7"/>
    <col width="31.125" bestFit="1" customWidth="1" style="2600" min="8" max="8"/>
    <col width="10.875" bestFit="1" customWidth="1" style="2600" min="9" max="9"/>
    <col width="13" bestFit="1" customWidth="1" style="2600" min="10" max="10"/>
    <col outlineLevel="1" width="14.375" customWidth="1" min="12" max="12"/>
    <col outlineLevel="1" width="8.625" customWidth="1" min="13" max="13"/>
    <col outlineLevel="1" width="11.625" customWidth="1" style="2600" min="14" max="14"/>
    <col outlineLevel="1" width="47.375" customWidth="1" min="15" max="15"/>
  </cols>
  <sheetData>
    <row r="2" ht="20.25" customFormat="1" customHeight="1" s="1003">
      <c r="B2" s="1001" t="inlineStr">
        <is>
          <t>1-1. 유동실적</t>
        </is>
      </c>
      <c r="C2" s="2601" t="n"/>
      <c r="D2" s="2601" t="n"/>
      <c r="E2" s="2601" t="n"/>
      <c r="F2" s="2601" t="n"/>
      <c r="G2" s="1001" t="n"/>
      <c r="H2" s="2601" t="n"/>
      <c r="I2" s="2601" t="n"/>
      <c r="J2" s="2601" t="n"/>
      <c r="N2" s="2601" t="n"/>
    </row>
    <row r="3" customFormat="1" s="1028">
      <c r="B3" s="1028" t="inlineStr">
        <is>
          <t>(1) 지출내역</t>
        </is>
      </c>
      <c r="C3" s="2602" t="n"/>
      <c r="D3" s="2602" t="n"/>
      <c r="E3" s="2602" t="n"/>
      <c r="F3" s="2602" t="n"/>
      <c r="G3" s="1028" t="inlineStr">
        <is>
          <t>(2) 수입내역</t>
        </is>
      </c>
      <c r="H3" s="2602" t="n"/>
      <c r="I3" s="2602" t="n"/>
      <c r="J3" s="2602" t="n"/>
      <c r="N3" s="2602" t="n"/>
    </row>
    <row r="4" customFormat="1" s="999">
      <c r="B4" s="1029" t="inlineStr">
        <is>
          <t>구분</t>
        </is>
      </c>
      <c r="C4" s="2603" t="inlineStr">
        <is>
          <t>환종</t>
        </is>
      </c>
      <c r="D4" s="2603" t="inlineStr">
        <is>
          <t>금액</t>
        </is>
      </c>
      <c r="E4" s="2604" t="n"/>
      <c r="F4" s="2604" t="n"/>
      <c r="G4" s="1029" t="inlineStr">
        <is>
          <t>구분</t>
        </is>
      </c>
      <c r="H4" s="2603" t="inlineStr">
        <is>
          <t>환종</t>
        </is>
      </c>
      <c r="I4" s="2603" t="inlineStr">
        <is>
          <t>금액</t>
        </is>
      </c>
      <c r="J4" s="2605" t="n"/>
      <c r="L4" s="1060" t="inlineStr">
        <is>
          <t>계정과목</t>
        </is>
      </c>
      <c r="M4" s="1060" t="inlineStr">
        <is>
          <t>환종</t>
        </is>
      </c>
      <c r="N4" s="2606" t="inlineStr">
        <is>
          <t>금액</t>
        </is>
      </c>
      <c r="O4" s="1060" t="inlineStr">
        <is>
          <t>*계정과목별 최대 입/지출항목</t>
        </is>
      </c>
    </row>
    <row r="5">
      <c r="B5">
        <f t="array" ref="B5:D16">계정과목별합계('6월데이터'!A4:A94,'6월데이터'!D4:D94,'6월데이터'!F4:F94)</f>
        <v/>
      </c>
      <c r="C5" s="2600" t="inlineStr">
        <is>
          <t>KRW</t>
        </is>
      </c>
      <c r="D5" s="2600" t="n">
        <v>14855137</v>
      </c>
      <c r="G5" s="2600">
        <f t="array" ref="G5:I6">계정과목별합계('6월데이터'!A4:A94,'6월데이터'!D4:D94,'6월데이터'!E4:E94)</f>
        <v/>
      </c>
      <c r="H5" s="2600" t="inlineStr">
        <is>
          <t>KRW</t>
        </is>
      </c>
      <c r="I5" s="2600" t="n">
        <v>6483723</v>
      </c>
      <c r="L5" s="1052">
        <f t="array" ref="L5:O16">_xlfn.LET(
  _xlpm.항목범위, '6월데이터'!A4:A493,
  _xlpm.환종범위, '6월데이터'!D4:D493,
  _xlpm.원값범위, '6월데이터'!F4:F493,
  _xlpm.적요범위, '6월데이터'!C4:C493,
  _xlpm.값, IFERROR(VALUE(_xlpm.원값범위), 0),
  _xlpm.제외조건, (_xlpm.항목범위="금융상품")+(_xlpm.항목범위="보통예금")+(_xlpm.항목범위="구분"),
  _xlpm.필터행, _xlfn._xlws.FILTER(_xlfn.HSTACK(_xlpm.항목범위, _xlpm.환종범위, _xlpm.값, _xlpm.적요범위), (_xlpm.값&lt;&gt;0)*(NOT(_xlpm.제외조건))),
  _xlpm.항목열, INDEX(_xlpm.필터행,,1),
  _xlpm.환종열, INDEX(_xlpm.필터행,,2),
  _xlpm.숫자열, INDEX(_xlpm.필터행,,3),
  _xlpm.적요열, INDEX(_xlpm.필터행,,4),
  _xlpm.그룹, _xlfn.HSTACK(_xlpm.항목열, _xlpm.환종열),
  _xlpm.고유그룹, IFERROR(_xlfn.UNIQUE(_xlpm.그룹), {"",""}),
  _xlpm.항목1, INDEX(_xlpm.고유그룹,,1),
  _xlpm.환종1, INDEX(_xlpm.고유그룹,,2),
  _xlpm.합계값, _xlfn.MAP(_xlpm.항목1, _xlpm.환종1, _xlfn.LAMBDA(_xlpm.a,_xlpm.b,
    _xlfn.LET(
      _xlpm.해당값들, _xlfn._xlws.FILTER(_xlpm.숫자열, (_xlpm.항목열=_xlpm.a)*(_xlpm.환종열=_xlpm.b)),
      IFERROR(SUM(_xlpm.해당값들), 0)
    )
  )),
  _xlpm.대표적요, _xlfn.MAP(_xlpm.항목1, _xlpm.환종1, _xlfn.LAMBDA(_xlpm.a,_xlpm.b,
    _xlfn.LET(
      _xlpm.해당값들, _xlfn._xlws.FILTER(_xlpm.숫자열, (_xlpm.항목열=_xlpm.a)*(_xlpm.환종열=_xlpm.b)),
      _xlpm.해당적요, _xlfn._xlws.FILTER(_xlpm.적요열, (_xlpm.항목열=_xlpm.a)*(_xlpm.환종열=_xlpm.b)),
      _xlpm.최대값, IFERROR(MAX(_xlpm.해당값들), 0),
      IFERROR(INDEX(_xlpm.해당적요, _xlfn.XMATCH(_xlpm.최대값, _xlpm.해당값들)), "")
    )
  )),
  _xlpm.결과, _xlfn.HSTACK(_xlpm.항목1, _xlpm.환종1, _xlpm.합계값, _xlpm.대표적요),
  _xlfn._xlws.SORT(_xlpm.결과, 3, -1)
)</f>
        <v/>
      </c>
      <c r="M5" s="1052" t="inlineStr">
        <is>
          <t>KRW</t>
        </is>
      </c>
      <c r="N5" s="2607" t="n">
        <v>14855137</v>
      </c>
      <c r="O5" s="1052" t="inlineStr">
        <is>
          <t>임직원 6월 급여(6/25)</t>
        </is>
      </c>
    </row>
    <row r="6">
      <c r="B6" t="inlineStr">
        <is>
          <t>직원비용</t>
        </is>
      </c>
      <c r="C6" s="2600" t="inlineStr">
        <is>
          <t>KRW</t>
        </is>
      </c>
      <c r="D6" s="2600" t="n">
        <v>4467447</v>
      </c>
      <c r="G6" s="2600" t="inlineStr">
        <is>
          <t>외상매출금</t>
        </is>
      </c>
      <c r="H6" s="2600" t="inlineStr">
        <is>
          <t>KRW</t>
        </is>
      </c>
      <c r="I6" s="2600" t="n">
        <v>51810</v>
      </c>
      <c r="L6" s="1052" t="inlineStr">
        <is>
          <t>직원비용</t>
        </is>
      </c>
      <c r="M6" s="1052" t="inlineStr">
        <is>
          <t>KRW</t>
        </is>
      </c>
      <c r="N6" s="2607" t="n">
        <v>4467447</v>
      </c>
      <c r="O6" s="1052" t="inlineStr">
        <is>
          <t>260618직원비용-카탈리스터(6/18)</t>
        </is>
      </c>
    </row>
    <row r="7">
      <c r="B7" t="inlineStr">
        <is>
          <t>4대보험</t>
        </is>
      </c>
      <c r="C7" s="2600" t="inlineStr">
        <is>
          <t>KRW</t>
        </is>
      </c>
      <c r="D7" s="2600" t="n">
        <v>3024420</v>
      </c>
      <c r="L7" s="1052" t="inlineStr">
        <is>
          <t>4대보험</t>
        </is>
      </c>
      <c r="M7" s="1052" t="inlineStr">
        <is>
          <t>KRW</t>
        </is>
      </c>
      <c r="N7" s="2607" t="n">
        <v>3024420</v>
      </c>
      <c r="O7" s="1052" t="inlineStr">
        <is>
          <t>건강보험료</t>
        </is>
      </c>
    </row>
    <row r="8">
      <c r="B8" t="inlineStr">
        <is>
          <t>지급수수료</t>
        </is>
      </c>
      <c r="C8" s="2600" t="inlineStr">
        <is>
          <t>KRW</t>
        </is>
      </c>
      <c r="D8" s="2600" t="n">
        <v>2298395</v>
      </c>
      <c r="L8" s="1052" t="inlineStr">
        <is>
          <t>지급수수료</t>
        </is>
      </c>
      <c r="M8" s="1052" t="inlineStr">
        <is>
          <t>KRW</t>
        </is>
      </c>
      <c r="N8" s="2607" t="n">
        <v>2298395</v>
      </c>
      <c r="O8" s="1052" t="inlineStr">
        <is>
          <t>카탈리스터 전산자산 매각에 따른 위탁매매 수수료</t>
        </is>
      </c>
    </row>
    <row r="9">
      <c r="B9" t="inlineStr">
        <is>
          <t>퇴직연금</t>
        </is>
      </c>
      <c r="C9" s="2600" t="inlineStr">
        <is>
          <t>KRW</t>
        </is>
      </c>
      <c r="D9" s="2600" t="n">
        <v>1928480</v>
      </c>
      <c r="L9" s="1052" t="inlineStr">
        <is>
          <t>퇴직연금</t>
        </is>
      </c>
      <c r="M9" s="1052" t="inlineStr">
        <is>
          <t>KRW</t>
        </is>
      </c>
      <c r="N9" s="2607" t="n">
        <v>1928480</v>
      </c>
      <c r="O9" s="1052" t="inlineStr">
        <is>
          <t>임직원 퇴직연금_기업은행</t>
        </is>
      </c>
    </row>
    <row r="10">
      <c r="B10" t="inlineStr">
        <is>
          <t>복리후생비</t>
        </is>
      </c>
      <c r="C10" s="2600" t="inlineStr">
        <is>
          <t>KRW</t>
        </is>
      </c>
      <c r="D10" s="2600" t="n">
        <v>1778205</v>
      </c>
      <c r="L10" s="1052" t="inlineStr">
        <is>
          <t>복리후생비</t>
        </is>
      </c>
      <c r="M10" s="1052" t="inlineStr">
        <is>
          <t>KRW</t>
        </is>
      </c>
      <c r="N10" s="2607" t="n">
        <v>1778205</v>
      </c>
      <c r="O10" s="1052" t="inlineStr">
        <is>
          <t>2026년 단체상해보험료 지급의 건 (2026.07.01 ~ 2027.07.01)_DB손해보험</t>
        </is>
      </c>
    </row>
    <row r="11">
      <c r="B11" t="inlineStr">
        <is>
          <t>원천세</t>
        </is>
      </c>
      <c r="C11" s="2600" t="inlineStr">
        <is>
          <t>KRW</t>
        </is>
      </c>
      <c r="D11" s="2600" t="n">
        <v>1750160</v>
      </c>
      <c r="L11" s="1052" t="inlineStr">
        <is>
          <t>원천세</t>
        </is>
      </c>
      <c r="M11" s="1052" t="inlineStr">
        <is>
          <t>KRW</t>
        </is>
      </c>
      <c r="N11" s="2607" t="n">
        <v>1750160</v>
      </c>
      <c r="O11" s="1052" t="inlineStr">
        <is>
          <t>2026년 5월 근로소득세 원천징수</t>
        </is>
      </c>
    </row>
    <row r="12">
      <c r="B12" t="inlineStr">
        <is>
          <t>전산유지비</t>
        </is>
      </c>
      <c r="C12" s="2600" t="inlineStr">
        <is>
          <t>KRW</t>
        </is>
      </c>
      <c r="D12" s="2600" t="n">
        <v>1411490</v>
      </c>
      <c r="L12" s="1052" t="inlineStr">
        <is>
          <t>전산유지비</t>
        </is>
      </c>
      <c r="M12" s="1052" t="inlineStr">
        <is>
          <t>KRW</t>
        </is>
      </c>
      <c r="N12" s="2607" t="n">
        <v>1411490</v>
      </c>
      <c r="O12" s="1052" t="inlineStr">
        <is>
          <t>[확정] 구글 클라우드 플랫폼 EDP 이용료</t>
        </is>
      </c>
    </row>
    <row r="13">
      <c r="B13" t="inlineStr">
        <is>
          <t>지급임차료</t>
        </is>
      </c>
      <c r="C13" s="2600" t="inlineStr">
        <is>
          <t>KRW</t>
        </is>
      </c>
      <c r="D13" s="2600" t="n">
        <v>919248</v>
      </c>
      <c r="L13" s="1052" t="inlineStr">
        <is>
          <t>지급임차료</t>
        </is>
      </c>
      <c r="M13" s="1052" t="inlineStr">
        <is>
          <t>KRW</t>
        </is>
      </c>
      <c r="N13" s="2607" t="n">
        <v>919248</v>
      </c>
      <c r="O13" s="1052" t="inlineStr">
        <is>
          <t>BYC 하이시티 B동 24층 월정임차료</t>
        </is>
      </c>
    </row>
    <row r="14">
      <c r="B14" t="inlineStr">
        <is>
          <t>기타지출</t>
        </is>
      </c>
      <c r="C14" s="2600" t="inlineStr">
        <is>
          <t>KRW</t>
        </is>
      </c>
      <c r="D14" s="2600" t="n">
        <v>235020</v>
      </c>
      <c r="L14" s="1052" t="inlineStr">
        <is>
          <t>기타지출</t>
        </is>
      </c>
      <c r="M14" s="1052" t="inlineStr">
        <is>
          <t>KRW</t>
        </is>
      </c>
      <c r="N14" s="2607" t="n">
        <v>235020</v>
      </c>
      <c r="O14" s="1052" t="inlineStr">
        <is>
          <t>법인카드데이타 연동서비스</t>
        </is>
      </c>
    </row>
    <row r="15">
      <c r="B15" t="inlineStr">
        <is>
          <t>식당운영비</t>
        </is>
      </c>
      <c r="C15" s="2600" t="inlineStr">
        <is>
          <t>KRW</t>
        </is>
      </c>
      <c r="D15" s="2600" t="n">
        <v>84000</v>
      </c>
      <c r="L15" s="1052" t="inlineStr">
        <is>
          <t>식당운영비</t>
        </is>
      </c>
      <c r="M15" s="1052" t="inlineStr">
        <is>
          <t>KRW</t>
        </is>
      </c>
      <c r="N15" s="2607" t="n">
        <v>84000</v>
      </c>
      <c r="O15" s="1052" t="inlineStr">
        <is>
          <t>사내식당 임직원 식대</t>
        </is>
      </c>
    </row>
    <row r="16">
      <c r="B16" t="inlineStr">
        <is>
          <t>경영지원용역비</t>
        </is>
      </c>
      <c r="C16" s="2600" t="inlineStr">
        <is>
          <t>KRW</t>
        </is>
      </c>
      <c r="D16" s="2600" t="n">
        <v>44976</v>
      </c>
      <c r="L16" s="1052" t="inlineStr">
        <is>
          <t>경영지원용역비</t>
        </is>
      </c>
      <c r="M16" s="1052" t="inlineStr">
        <is>
          <t>KRW</t>
        </is>
      </c>
      <c r="N16" s="2607" t="n">
        <v>44976</v>
      </c>
      <c r="O16" s="1052" t="inlineStr">
        <is>
          <t>인사 용역료 지급</t>
        </is>
      </c>
    </row>
    <row r="17">
      <c r="L17" s="1052" t="n"/>
      <c r="M17" s="1052" t="n"/>
      <c r="N17" s="2607" t="n"/>
      <c r="O17" s="1052" t="n"/>
    </row>
    <row r="18">
      <c r="L18" s="1052" t="n"/>
      <c r="M18" s="1052" t="n"/>
      <c r="N18" s="2607" t="n"/>
      <c r="O18" s="1052" t="n"/>
    </row>
    <row r="19" ht="20.25" customFormat="1" customHeight="1" s="1003">
      <c r="B19" s="1001" t="inlineStr">
        <is>
          <t>1-2. 운용실적</t>
        </is>
      </c>
      <c r="C19" s="2601" t="n"/>
      <c r="D19" s="2601" t="n"/>
      <c r="E19" s="2601" t="n"/>
      <c r="F19" s="2601" t="n"/>
      <c r="G19" s="2608" t="n"/>
      <c r="H19" s="2601" t="n"/>
      <c r="I19" s="2601" t="n"/>
      <c r="J19" s="2601" t="n"/>
      <c r="L19" s="1054" t="n"/>
      <c r="M19" s="1054" t="n"/>
      <c r="N19" s="2609" t="n"/>
      <c r="O19" s="1054" t="n"/>
    </row>
    <row r="20" customFormat="1" s="1028">
      <c r="B20" s="1028" t="inlineStr">
        <is>
          <t>(1)지출내역</t>
        </is>
      </c>
      <c r="C20" s="2602" t="n"/>
      <c r="D20" s="2602" t="n"/>
      <c r="E20" s="2602" t="n"/>
      <c r="F20" s="2602" t="n"/>
      <c r="G20" s="2602" t="inlineStr">
        <is>
          <t>(2)수입내역</t>
        </is>
      </c>
      <c r="H20" s="2602" t="n"/>
      <c r="I20" s="2602" t="n"/>
      <c r="J20" s="2602" t="n"/>
      <c r="L20" s="1056" t="n"/>
      <c r="M20" s="1056" t="n"/>
      <c r="N20" s="1056" t="n"/>
      <c r="O20" s="1056" t="n"/>
    </row>
    <row r="21" customFormat="1" s="1028">
      <c r="B21" s="1029" t="inlineStr">
        <is>
          <t>구분</t>
        </is>
      </c>
      <c r="C21" s="2610" t="inlineStr">
        <is>
          <t>적요</t>
        </is>
      </c>
      <c r="D21" s="2610" t="inlineStr">
        <is>
          <t>환종</t>
        </is>
      </c>
      <c r="E21" s="2610" t="inlineStr">
        <is>
          <t>금액</t>
        </is>
      </c>
      <c r="F21" s="2604" t="n"/>
      <c r="G21" s="1029" t="inlineStr">
        <is>
          <t>구분</t>
        </is>
      </c>
      <c r="H21" s="2610" t="inlineStr">
        <is>
          <t>적요</t>
        </is>
      </c>
      <c r="I21" s="2610" t="inlineStr">
        <is>
          <t>환종</t>
        </is>
      </c>
      <c r="J21" s="2611" t="inlineStr">
        <is>
          <t>금액</t>
        </is>
      </c>
      <c r="L21" s="1056" t="n"/>
      <c r="M21" s="1056" t="n"/>
      <c r="N21" s="1056" t="n"/>
      <c r="O21" s="1056" t="n"/>
    </row>
    <row r="22">
      <c r="B22">
        <f t="array" ref="B22">IFERROR(_xlfn.LET(
  _xlpm.항목범위, '6월데이터'!A4:A489,
  _xlpm.적요범위, '6월데이터'!C4:C489,
  _xlpm.환종범위, '6월데이터'!D4:D489,
  _xlpm.원값범위, '6월데이터'!F4:F489,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),"항목없음")</f>
        <v/>
      </c>
      <c r="G22" s="2600">
        <f t="array" ref="G22:J22">IFERROR(_xlfn.LET(
  _xlpm.항목범위, '6월데이터'!A4:A489,
  _xlpm.적요범위, '6월데이터'!C4:C489,
  _xlpm.환종범위, '6월데이터'!D4:D489,
  _xlpm.원값범위, '6월데이터'!E4:E489,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),"항목없음")</f>
        <v/>
      </c>
      <c r="H22" s="2600" t="inlineStr">
        <is>
          <t>정기예금 3억원 만기해지 입금-원금(6/29)</t>
        </is>
      </c>
      <c r="I22" s="2600" t="inlineStr">
        <is>
          <t>KRW</t>
        </is>
      </c>
      <c r="J22" s="2600" t="n">
        <v>300000000</v>
      </c>
      <c r="L22" s="1052" t="n"/>
      <c r="M22" s="1052" t="n"/>
      <c r="N22" s="2607" t="n"/>
      <c r="O22" s="1052" t="n"/>
    </row>
    <row r="23">
      <c r="L23" s="1052" t="n"/>
      <c r="M23" s="1052" t="n"/>
      <c r="N23" s="2607" t="n"/>
      <c r="O23" s="1052" t="n"/>
    </row>
    <row r="24">
      <c r="L24" s="1052" t="n"/>
      <c r="M24" s="1052" t="n"/>
      <c r="N24" s="2607" t="n"/>
      <c r="O24" s="1052" t="n"/>
    </row>
    <row r="25">
      <c r="L25" s="1052" t="n"/>
      <c r="M25" s="1052" t="n"/>
      <c r="N25" s="2607" t="n"/>
      <c r="O25" s="1052" t="n"/>
    </row>
    <row r="26" ht="20.25" customHeight="1">
      <c r="B26" s="1001" t="inlineStr">
        <is>
          <t>2-1. 유동계획</t>
        </is>
      </c>
      <c r="C26" s="2601" t="n"/>
      <c r="D26" s="2601" t="n"/>
      <c r="E26" s="2601" t="n"/>
      <c r="F26" s="2601" t="n"/>
      <c r="G26" s="1001" t="n"/>
      <c r="L26" s="1052" t="n"/>
      <c r="M26" s="1052" t="n"/>
      <c r="N26" s="2607" t="n"/>
      <c r="O26" s="1052" t="n"/>
    </row>
    <row r="27" customFormat="1" s="1028">
      <c r="B27" s="1028" t="inlineStr">
        <is>
          <t>(1)지출내역</t>
        </is>
      </c>
      <c r="C27" s="2602" t="n"/>
      <c r="D27" s="2602" t="n"/>
      <c r="E27" s="2602" t="n"/>
      <c r="F27" s="2602" t="n"/>
      <c r="G27" s="2602" t="inlineStr">
        <is>
          <t>(2)수입내역</t>
        </is>
      </c>
      <c r="H27" s="2602" t="n"/>
      <c r="I27" s="2602" t="n"/>
      <c r="J27" s="2602" t="n"/>
      <c r="L27" s="1060" t="inlineStr">
        <is>
          <t>계정과목</t>
        </is>
      </c>
      <c r="M27" s="1060" t="inlineStr">
        <is>
          <t>환종</t>
        </is>
      </c>
      <c r="N27" s="2606" t="inlineStr">
        <is>
          <t>금액</t>
        </is>
      </c>
      <c r="O27" s="1060" t="inlineStr">
        <is>
          <t>*계정과목별 최대 입/지출항목</t>
        </is>
      </c>
    </row>
    <row r="28" customFormat="1" s="997">
      <c r="B28" s="1029" t="inlineStr">
        <is>
          <t>구분</t>
        </is>
      </c>
      <c r="C28" s="2610" t="inlineStr">
        <is>
          <t>환종</t>
        </is>
      </c>
      <c r="D28" s="2610" t="inlineStr">
        <is>
          <t>금액</t>
        </is>
      </c>
      <c r="E28" s="2604" t="n"/>
      <c r="F28" s="2604" t="n"/>
      <c r="G28" s="2610" t="inlineStr">
        <is>
          <t>구분</t>
        </is>
      </c>
      <c r="H28" s="2610" t="inlineStr">
        <is>
          <t>환종</t>
        </is>
      </c>
      <c r="I28" s="2610" t="inlineStr">
        <is>
          <t>금액</t>
        </is>
      </c>
      <c r="J28" s="2604" t="n"/>
      <c r="L28" s="1057">
        <f t="array" ref="L28:O39">_xlfn.LET(
  _xlpm.항목범위, '7월데이터'!A4:A500,
  _xlpm.환종범위, '7월데이터'!D4:D500,
  _xlpm.원값범위, '7월데이터'!F4:F500,
  _xlpm.적요범위, '7월데이터'!C4:C500,
  _xlpm.값, IFERROR(VALUE(_xlpm.원값범위), 0),
  _xlpm.제외조건, (_xlpm.항목범위="금융상품")+(_xlpm.항목범위="보통예금")+(_xlpm.항목범위="구분"),
  _xlpm.필터행, _xlfn._xlws.FILTER(_xlfn.HSTACK(_xlpm.항목범위, _xlpm.환종범위, _xlpm.값, _xlpm.적요범위), (_xlpm.값&lt;&gt;0)*(NOT(_xlpm.제외조건))),
  _xlpm.항목열, INDEX(_xlpm.필터행,,1),
  _xlpm.환종열, INDEX(_xlpm.필터행,,2),
  _xlpm.숫자열, INDEX(_xlpm.필터행,,3),
  _xlpm.적요열, INDEX(_xlpm.필터행,,4),
  _xlpm.그룹, _xlfn.HSTACK(_xlpm.항목열, _xlpm.환종열),
  _xlpm.고유그룹, IFERROR(_xlfn.UNIQUE(_xlpm.그룹), {"",""}),
  _xlpm.항목1, INDEX(_xlpm.고유그룹,,1),
  _xlpm.환종1, INDEX(_xlpm.고유그룹,,2),
  _xlpm.합계값, _xlfn.MAP(_xlpm.항목1, _xlpm.환종1, _xlfn.LAMBDA(_xlpm.a,_xlpm.b,
    _xlfn.LET(
      _xlpm.해당값들, _xlfn._xlws.FILTER(_xlpm.숫자열, (_xlpm.항목열=_xlpm.a)*(_xlpm.환종열=_xlpm.b)),
      IFERROR(SUM(_xlpm.해당값들), 0)
    )
  )),
  _xlpm.대표적요, _xlfn.MAP(_xlpm.항목1, _xlpm.환종1, _xlfn.LAMBDA(_xlpm.a,_xlpm.b,
    _xlfn.LET(
      _xlpm.해당값들, _xlfn._xlws.FILTER(_xlpm.숫자열, (_xlpm.항목열=_xlpm.a)*(_xlpm.환종열=_xlpm.b)),
      _xlpm.해당적요, _xlfn._xlws.FILTER(_xlpm.적요열, (_xlpm.항목열=_xlpm.a)*(_xlpm.환종열=_xlpm.b)),
      _xlpm.최대값, IFERROR(MAX(_xlpm.해당값들), 0),
      IFERROR(INDEX(_xlpm.해당적요, _xlfn.XMATCH(_xlpm.최대값, _xlpm.해당값들)), "")
    )
  )),
  _xlpm.결과, _xlfn.HSTACK(_xlpm.항목1, _xlpm.환종1, _xlpm.합계값, _xlpm.대표적요),
  _xlfn._xlws.SORT(_xlpm.결과, 3, -1)
)</f>
        <v/>
      </c>
      <c r="M28" s="1057" t="inlineStr">
        <is>
          <t>KRW</t>
        </is>
      </c>
      <c r="N28" s="2612" t="n">
        <v>15000000</v>
      </c>
      <c r="O28" s="1057" t="inlineStr">
        <is>
          <t>급여/2025년 잔여연차수당/연말정산세액/퇴직위로금</t>
        </is>
      </c>
    </row>
    <row r="29">
      <c r="B29">
        <f t="array" ref="B29:D40">계정과목별합계('7월데이터'!A4:A114,'7월데이터'!D4:D114,'7월데이터'!F4:F114)</f>
        <v/>
      </c>
      <c r="C29" s="2600" t="inlineStr">
        <is>
          <t>KRW</t>
        </is>
      </c>
      <c r="D29" s="2600" t="n">
        <v>15000000</v>
      </c>
      <c r="G29" s="2600">
        <f t="array" ref="G29:I30">계정과목별합계('7월데이터'!A4:A114,'7월데이터'!D4:D114,'7월데이터'!E4:E114)</f>
        <v/>
      </c>
      <c r="H29" s="2600" t="inlineStr">
        <is>
          <t>KRW</t>
        </is>
      </c>
      <c r="I29" s="2600" t="n">
        <v>78020</v>
      </c>
      <c r="L29" s="1057" t="inlineStr">
        <is>
          <t>직원비용</t>
        </is>
      </c>
      <c r="M29" s="1057" t="inlineStr">
        <is>
          <t>KRW</t>
        </is>
      </c>
      <c r="N29" s="2612" t="n">
        <v>8786530</v>
      </c>
      <c r="O29" s="1057" t="inlineStr">
        <is>
          <t>직원경비 및 삼성카드 대금</t>
        </is>
      </c>
    </row>
    <row r="30">
      <c r="B30" t="inlineStr">
        <is>
          <t>직원비용</t>
        </is>
      </c>
      <c r="C30" s="2600" t="inlineStr">
        <is>
          <t>KRW</t>
        </is>
      </c>
      <c r="D30" s="2600" t="n">
        <v>8786530</v>
      </c>
      <c r="G30" s="2600" t="inlineStr">
        <is>
          <t>외상매출금</t>
        </is>
      </c>
      <c r="H30" s="2600" t="inlineStr">
        <is>
          <t>KRW</t>
        </is>
      </c>
      <c r="I30" s="2600" t="n">
        <v>51810</v>
      </c>
      <c r="L30" s="1057" t="inlineStr">
        <is>
          <t>부가가치세</t>
        </is>
      </c>
      <c r="M30" s="1057" t="inlineStr">
        <is>
          <t>KRW</t>
        </is>
      </c>
      <c r="N30" s="2612" t="n">
        <v>5274219</v>
      </c>
      <c r="O30" s="1057" t="inlineStr">
        <is>
          <t>1기 확정 부가가치세 납부</t>
        </is>
      </c>
    </row>
    <row r="31">
      <c r="B31" t="inlineStr">
        <is>
          <t>부가가치세</t>
        </is>
      </c>
      <c r="C31" s="2600" t="inlineStr">
        <is>
          <t>KRW</t>
        </is>
      </c>
      <c r="D31" s="2600" t="n">
        <v>5274219</v>
      </c>
      <c r="L31" s="1057" t="inlineStr">
        <is>
          <t>원천세</t>
        </is>
      </c>
      <c r="M31" s="1057" t="inlineStr">
        <is>
          <t>KRW</t>
        </is>
      </c>
      <c r="N31" s="2612" t="n">
        <v>4000000</v>
      </c>
      <c r="O31" s="1057" t="inlineStr">
        <is>
          <t>근로소득세/지방소득세/종업원할사업소세</t>
        </is>
      </c>
    </row>
    <row r="32">
      <c r="B32" t="inlineStr">
        <is>
          <t>원천세</t>
        </is>
      </c>
      <c r="C32" s="2600" t="inlineStr">
        <is>
          <t>KRW</t>
        </is>
      </c>
      <c r="D32" s="2600" t="n">
        <v>4000000</v>
      </c>
      <c r="L32" s="1057" t="inlineStr">
        <is>
          <t>경영지원용역비</t>
        </is>
      </c>
      <c r="M32" s="1057" t="inlineStr">
        <is>
          <t>KRW</t>
        </is>
      </c>
      <c r="N32" s="2612" t="n">
        <v>3365196</v>
      </c>
      <c r="O32" s="1057" t="inlineStr">
        <is>
          <t>분기별 경영부문 용역료</t>
        </is>
      </c>
    </row>
    <row r="33">
      <c r="B33" t="inlineStr">
        <is>
          <t>경영지원용역비</t>
        </is>
      </c>
      <c r="C33" s="2600" t="inlineStr">
        <is>
          <t>KRW</t>
        </is>
      </c>
      <c r="D33" s="2600" t="n">
        <v>3365196</v>
      </c>
      <c r="L33" s="1057" t="inlineStr">
        <is>
          <t>4대보험</t>
        </is>
      </c>
      <c r="M33" s="1057" t="inlineStr">
        <is>
          <t>KRW</t>
        </is>
      </c>
      <c r="N33" s="2612" t="n">
        <v>2925170</v>
      </c>
      <c r="O33" s="1057" t="inlineStr">
        <is>
          <t>건강보험료</t>
        </is>
      </c>
    </row>
    <row r="34">
      <c r="B34" t="inlineStr">
        <is>
          <t>4대보험</t>
        </is>
      </c>
      <c r="C34" s="2600" t="inlineStr">
        <is>
          <t>KRW</t>
        </is>
      </c>
      <c r="D34" s="2600" t="n">
        <v>2925170</v>
      </c>
      <c r="L34" s="1057" t="inlineStr">
        <is>
          <t>퇴직연금</t>
        </is>
      </c>
      <c r="M34" s="1057" t="inlineStr">
        <is>
          <t>KRW</t>
        </is>
      </c>
      <c r="N34" s="2612" t="n">
        <v>1928480</v>
      </c>
      <c r="O34" s="1057" t="inlineStr">
        <is>
          <t>퇴직연금</t>
        </is>
      </c>
    </row>
    <row r="35">
      <c r="B35" t="inlineStr">
        <is>
          <t>퇴직연금</t>
        </is>
      </c>
      <c r="C35" s="2600" t="inlineStr">
        <is>
          <t>KRW</t>
        </is>
      </c>
      <c r="D35" s="2600" t="n">
        <v>1928480</v>
      </c>
      <c r="L35" s="1057" t="inlineStr">
        <is>
          <t>지급임차료</t>
        </is>
      </c>
      <c r="M35" s="1057" t="inlineStr">
        <is>
          <t>KRW</t>
        </is>
      </c>
      <c r="N35" s="2612" t="n">
        <v>919248</v>
      </c>
      <c r="O35" s="1057" t="inlineStr">
        <is>
          <t>월정임차료 및 관리비</t>
        </is>
      </c>
    </row>
    <row r="36">
      <c r="B36" t="inlineStr">
        <is>
          <t>지급임차료</t>
        </is>
      </c>
      <c r="C36" s="2600" t="inlineStr">
        <is>
          <t>KRW</t>
        </is>
      </c>
      <c r="D36" s="2600" t="n">
        <v>919248</v>
      </c>
      <c r="L36" s="1057" t="inlineStr">
        <is>
          <t>전산관련지출</t>
        </is>
      </c>
      <c r="M36" s="1057" t="inlineStr">
        <is>
          <t>KRW</t>
        </is>
      </c>
      <c r="N36" s="2612" t="n">
        <v>826925</v>
      </c>
      <c r="O36" s="1057" t="inlineStr">
        <is>
          <t>구글 클라우드 플랫폼 EDP 계약</t>
        </is>
      </c>
    </row>
    <row r="37">
      <c r="B37" t="inlineStr">
        <is>
          <t>전산관련지출</t>
        </is>
      </c>
      <c r="C37" s="2600" t="inlineStr">
        <is>
          <t>KRW</t>
        </is>
      </c>
      <c r="D37" s="2600" t="n">
        <v>826925</v>
      </c>
      <c r="L37" s="1057" t="inlineStr">
        <is>
          <t>기타지출</t>
        </is>
      </c>
      <c r="M37" s="1057" t="inlineStr">
        <is>
          <t>KRW</t>
        </is>
      </c>
      <c r="N37" s="2612" t="n">
        <v>472114</v>
      </c>
      <c r="O37" s="1057" t="inlineStr">
        <is>
          <t>경조업체</t>
        </is>
      </c>
    </row>
    <row r="38">
      <c r="B38" t="inlineStr">
        <is>
          <t>기타지출</t>
        </is>
      </c>
      <c r="C38" s="2600" t="inlineStr">
        <is>
          <t>KRW</t>
        </is>
      </c>
      <c r="D38" s="2600" t="n">
        <v>472114</v>
      </c>
      <c r="L38" s="1057" t="inlineStr">
        <is>
          <t>복리후생비</t>
        </is>
      </c>
      <c r="M38" s="1057" t="inlineStr">
        <is>
          <t>KRW</t>
        </is>
      </c>
      <c r="N38" s="2612" t="n">
        <v>169247</v>
      </c>
      <c r="O38" s="1057" t="inlineStr">
        <is>
          <t>임원 세차</t>
        </is>
      </c>
    </row>
    <row r="39">
      <c r="B39" t="inlineStr">
        <is>
          <t>복리후생비</t>
        </is>
      </c>
      <c r="C39" s="2600" t="inlineStr">
        <is>
          <t>KRW</t>
        </is>
      </c>
      <c r="D39" s="2600" t="n">
        <v>169247</v>
      </c>
      <c r="L39" s="1057" t="inlineStr">
        <is>
          <t>식당운영비</t>
        </is>
      </c>
      <c r="M39" s="1057" t="inlineStr">
        <is>
          <t>KRW</t>
        </is>
      </c>
      <c r="N39" s="2612" t="n">
        <v>97000.2</v>
      </c>
      <c r="O39" s="1057" t="inlineStr">
        <is>
          <t>사내식당 이용 금액</t>
        </is>
      </c>
    </row>
    <row r="40">
      <c r="B40" t="inlineStr">
        <is>
          <t>식당운영비</t>
        </is>
      </c>
      <c r="C40" s="2600" t="inlineStr">
        <is>
          <t>KRW</t>
        </is>
      </c>
      <c r="D40" s="2600" t="n">
        <v>97000.2</v>
      </c>
      <c r="L40" s="1052" t="n"/>
      <c r="M40" s="1052" t="n"/>
      <c r="N40" s="2607" t="n"/>
      <c r="O40" s="1052" t="n"/>
    </row>
    <row r="41">
      <c r="L41" s="1052" t="n"/>
      <c r="M41" s="1052" t="n"/>
      <c r="N41" s="2607" t="n"/>
      <c r="O41" s="1052" t="n"/>
    </row>
    <row r="42" ht="20.25" customHeight="1">
      <c r="B42" s="1001" t="inlineStr">
        <is>
          <t>2-2. 운용계획</t>
        </is>
      </c>
      <c r="C42" s="2601" t="n"/>
      <c r="D42" s="2601" t="n"/>
      <c r="E42" s="2601" t="n"/>
      <c r="F42" s="2601" t="n"/>
      <c r="G42" s="1001" t="n"/>
      <c r="L42" s="1052" t="n"/>
      <c r="M42" s="1052" t="n"/>
      <c r="N42" s="2607" t="n"/>
      <c r="O42" s="1052" t="n"/>
    </row>
    <row r="43" customFormat="1" s="1028">
      <c r="B43" s="1028" t="inlineStr">
        <is>
          <t>(1)지출내역</t>
        </is>
      </c>
      <c r="C43" s="2602" t="n"/>
      <c r="D43" s="2602" t="n"/>
      <c r="E43" s="2602" t="n"/>
      <c r="F43" s="2602" t="n"/>
      <c r="G43" s="2602" t="inlineStr">
        <is>
          <t>(2)수입내역</t>
        </is>
      </c>
      <c r="H43" s="2602" t="n"/>
      <c r="I43" s="2602" t="n"/>
      <c r="J43" s="2602" t="n"/>
      <c r="L43" s="1056" t="n"/>
      <c r="M43" s="1056" t="n"/>
      <c r="N43" s="2613" t="n"/>
      <c r="O43" s="1056" t="n"/>
    </row>
    <row r="44">
      <c r="B44" s="1029" t="inlineStr">
        <is>
          <t>구분</t>
        </is>
      </c>
      <c r="C44" s="2610" t="inlineStr">
        <is>
          <t>적요</t>
        </is>
      </c>
      <c r="D44" s="2610" t="inlineStr">
        <is>
          <t>환종</t>
        </is>
      </c>
      <c r="E44" s="2610" t="inlineStr">
        <is>
          <t>금액</t>
        </is>
      </c>
      <c r="F44" s="2604" t="n"/>
      <c r="G44" s="1029" t="inlineStr">
        <is>
          <t>구분</t>
        </is>
      </c>
      <c r="H44" s="2610" t="inlineStr">
        <is>
          <t>적요</t>
        </is>
      </c>
      <c r="I44" s="2610" t="inlineStr">
        <is>
          <t>환종</t>
        </is>
      </c>
      <c r="J44" s="2611" t="inlineStr">
        <is>
          <t>금액</t>
        </is>
      </c>
      <c r="K44" s="1028" t="n"/>
      <c r="L44" s="1056" t="n"/>
      <c r="M44" s="1056" t="n"/>
      <c r="N44" s="2613" t="n"/>
      <c r="O44" s="1056" t="n"/>
      <c r="P44" s="1028" t="n"/>
    </row>
    <row r="45">
      <c r="B45">
        <f t="array" ref="B45">IFERROR(_xlfn.LET(
  _xlpm.항목범위, '7월데이터'!A4:A532,
  _xlpm.적요범위, '7월데이터'!C4:C532,
  _xlpm.환종범위, '7월데이터'!D4:D532,
  _xlpm.원값범위, '7월데이터'!F4:F532,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 없음")</f>
        <v/>
      </c>
      <c r="G45" s="2600">
        <f t="array" ref="G45">IFERROR(_xlfn.LET(
  _xlpm.항목범위, '7월데이터'!A4:A532,
  _xlpm.적요범위, '7월데이터'!C4:C532,
  _xlpm.환종범위, '7월데이터'!D4:D532,
  _xlpm.원값범위, '7월데이터'!E4:E532,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 없음")</f>
        <v/>
      </c>
      <c r="L45" s="1052" t="n"/>
      <c r="M45" s="1052" t="n"/>
      <c r="N45" s="2607" t="n"/>
      <c r="O45" s="1052" t="n"/>
    </row>
    <row r="46">
      <c r="L46" s="1052" t="n"/>
      <c r="M46" s="1052" t="n"/>
      <c r="N46" s="2607" t="n"/>
      <c r="O46" s="1052" t="n"/>
    </row>
    <row r="47">
      <c r="L47" s="1052" t="n"/>
      <c r="M47" s="1052" t="n"/>
      <c r="N47" s="2607" t="n"/>
      <c r="O47" s="1052" t="n"/>
    </row>
    <row r="48">
      <c r="L48" s="1052" t="n"/>
      <c r="M48" s="1052" t="n"/>
      <c r="N48" s="2607" t="n"/>
      <c r="O48" s="1052" t="n"/>
    </row>
    <row r="49">
      <c r="L49" s="1052" t="n"/>
      <c r="M49" s="1052" t="n"/>
      <c r="N49" s="2607" t="n"/>
      <c r="O49" s="1052" t="n"/>
    </row>
    <row r="50">
      <c r="L50" s="1052" t="n"/>
      <c r="M50" s="1052" t="n"/>
      <c r="N50" s="2607" t="n"/>
      <c r="O50" s="1052" t="n"/>
    </row>
    <row r="51">
      <c r="L51" s="1052" t="n"/>
      <c r="M51" s="1052" t="n"/>
      <c r="N51" s="2607" t="n"/>
      <c r="O51" s="1052" t="n"/>
    </row>
    <row r="52">
      <c r="L52" s="1052" t="n"/>
      <c r="M52" s="1052" t="n"/>
      <c r="N52" s="2607" t="n"/>
      <c r="O52" s="1052" t="n"/>
    </row>
    <row r="53">
      <c r="L53" s="1052" t="n"/>
      <c r="M53" s="1052" t="n"/>
      <c r="N53" s="2607" t="n"/>
      <c r="O53" s="1052" t="n"/>
    </row>
    <row r="54">
      <c r="L54" s="1052" t="n"/>
      <c r="M54" s="1052" t="n"/>
      <c r="N54" s="2607" t="n"/>
      <c r="O54" s="1052" t="n"/>
    </row>
    <row r="55">
      <c r="L55" s="1052" t="n"/>
      <c r="M55" s="1052" t="n"/>
      <c r="N55" s="2607" t="n"/>
      <c r="O55" s="1052" t="n"/>
    </row>
    <row r="56">
      <c r="L56" s="1052" t="n"/>
      <c r="M56" s="1052" t="n"/>
      <c r="N56" s="2607" t="n"/>
      <c r="O56" s="1052" t="n"/>
    </row>
    <row r="57">
      <c r="L57" s="1052" t="n"/>
      <c r="M57" s="1052" t="n"/>
      <c r="N57" s="2607" t="n"/>
      <c r="O57" s="1052" t="n"/>
    </row>
    <row r="58">
      <c r="L58" s="1052" t="n"/>
      <c r="M58" s="1052" t="n"/>
      <c r="N58" s="2607" t="n"/>
      <c r="O58" s="1052" t="n"/>
    </row>
    <row r="59">
      <c r="L59" s="1052" t="n"/>
      <c r="M59" s="1052" t="n"/>
      <c r="N59" s="2607" t="n"/>
      <c r="O59" s="1052" t="n"/>
    </row>
    <row r="60">
      <c r="L60" s="1052" t="n"/>
      <c r="M60" s="1052" t="n"/>
      <c r="N60" s="2607" t="n"/>
      <c r="O60" s="1052" t="n"/>
    </row>
    <row r="61">
      <c r="L61" s="1052" t="n"/>
      <c r="M61" s="1052" t="n"/>
      <c r="N61" s="2607" t="n"/>
      <c r="O61" s="1052" t="n"/>
    </row>
    <row r="62">
      <c r="L62" s="1052" t="n"/>
      <c r="M62" s="1052" t="n"/>
      <c r="N62" s="2607" t="n"/>
      <c r="O62" s="1052" t="n"/>
    </row>
    <row r="63">
      <c r="L63" s="1052" t="n"/>
      <c r="M63" s="1052" t="n"/>
      <c r="N63" s="2607" t="n"/>
      <c r="O63" s="1052" t="n"/>
    </row>
    <row r="64">
      <c r="L64" s="1052" t="n"/>
      <c r="M64" s="1052" t="n"/>
      <c r="N64" s="2607" t="n"/>
      <c r="O64" s="1052" t="n"/>
    </row>
    <row r="65">
      <c r="L65" s="1052" t="n"/>
      <c r="M65" s="1052" t="n"/>
      <c r="N65" s="2607" t="n"/>
      <c r="O65" s="1052" t="n"/>
    </row>
    <row r="66">
      <c r="L66" s="1052" t="n"/>
      <c r="M66" s="1052" t="n"/>
      <c r="N66" s="2607" t="n"/>
      <c r="O66" s="1052" t="n"/>
    </row>
    <row r="67">
      <c r="L67" s="1052" t="n"/>
      <c r="M67" s="1052" t="n"/>
      <c r="N67" s="2607" t="n"/>
      <c r="O67" s="1052" t="n"/>
    </row>
    <row r="68">
      <c r="L68" s="1052" t="n"/>
      <c r="M68" s="1052" t="n"/>
      <c r="N68" s="2607" t="n"/>
      <c r="O68" s="1052" t="n"/>
    </row>
    <row r="69">
      <c r="L69" s="1052" t="n"/>
      <c r="M69" s="1052" t="n"/>
      <c r="N69" s="2607" t="n"/>
      <c r="O69" s="1052" t="n"/>
    </row>
    <row r="70">
      <c r="L70" s="1052" t="n"/>
      <c r="M70" s="1052" t="n"/>
      <c r="N70" s="2607" t="n"/>
      <c r="O70" s="1052" t="n"/>
    </row>
    <row r="71">
      <c r="L71" s="1052" t="n"/>
      <c r="M71" s="1052" t="n"/>
      <c r="N71" s="2607" t="n"/>
      <c r="O71" s="1052" t="n"/>
    </row>
  </sheetData>
  <pageMargins left="0.7" right="0.7" top="0.75" bottom="0.75" header="0.3" footer="0.3"/>
  <pageSetup orientation="portrait" paperSize="9" scale="94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U354"/>
  <sheetViews>
    <sheetView showGridLines="0" zoomScale="130" zoomScaleNormal="130" workbookViewId="0">
      <pane xSplit="15" ySplit="4" topLeftCell="BD5" activePane="bottomRight" state="frozen"/>
      <selection pane="topRight" activeCell="A1" sqref="A1"/>
      <selection pane="bottomLeft" activeCell="A1" sqref="A1"/>
      <selection pane="bottomRight" activeCell="BI12" sqref="BI12"/>
    </sheetView>
  </sheetViews>
  <sheetFormatPr baseColWidth="8" defaultColWidth="0" defaultRowHeight="16.5" outlineLevelRow="1"/>
  <cols>
    <col width="2.125" customWidth="1" style="1440" min="1" max="1"/>
    <col width="32.625" customWidth="1" style="1440" min="2" max="2"/>
    <col width="18" customWidth="1" style="1440" min="3" max="3"/>
    <col hidden="1" outlineLevel="1" width="11" customWidth="1" style="1440" min="4" max="15"/>
    <col collapsed="1" width="11" customWidth="1" style="1440" min="16" max="16"/>
    <col hidden="1" outlineLevel="1" width="12.625" customWidth="1" style="1440" min="17" max="17"/>
    <col hidden="1" outlineLevel="1" width="8.125" customWidth="1" style="1440" min="18" max="18"/>
    <col hidden="1" outlineLevel="1" width="11" customWidth="1" style="1440" min="19" max="30"/>
    <col collapsed="1" width="11" customWidth="1" style="1440" min="31" max="31"/>
    <col hidden="1" outlineLevel="1" width="12.625" customWidth="1" style="1440" min="32" max="32"/>
    <col hidden="1" outlineLevel="1" width="11" customWidth="1" style="1440" min="33" max="42"/>
    <col hidden="1" outlineLevel="1" width="10.625" customWidth="1" style="1440" min="43" max="44"/>
    <col collapsed="1" width="11" customWidth="1" style="1440" min="45" max="45"/>
    <col outlineLevel="1" width="13.75" bestFit="1" customWidth="1" style="1440" min="46" max="46"/>
    <col outlineLevel="1" width="10.625" customWidth="1" style="1440" min="47" max="58"/>
    <col width="11" customWidth="1" style="1440" min="59" max="59"/>
    <col width="12.75" bestFit="1" customWidth="1" style="1440" min="60" max="60"/>
    <col outlineLevel="1" width="10.625" customWidth="1" style="1440" min="61" max="72"/>
    <col width="11" customWidth="1" style="1440" min="73" max="73"/>
    <col width="8.125" customWidth="1" style="1440" min="74" max="620"/>
    <col hidden="1" style="1440" min="621" max="16384"/>
  </cols>
  <sheetData>
    <row r="1" ht="15.75" customHeight="1">
      <c r="A1" s="1436" t="n"/>
      <c r="B1" s="1436" t="n"/>
      <c r="C1" s="1436" t="n"/>
      <c r="D1" s="2614" t="n"/>
      <c r="E1" s="2615" t="inlineStr">
        <is>
          <t>인원실적/계획</t>
        </is>
      </c>
      <c r="F1" s="2615" t="n">
        <v>43</v>
      </c>
      <c r="G1" s="2616" t="n">
        <v>52</v>
      </c>
      <c r="H1" s="2614" t="n">
        <v>61</v>
      </c>
      <c r="I1" s="2614" t="n">
        <v>72</v>
      </c>
      <c r="J1" s="2614" t="n">
        <v>78</v>
      </c>
      <c r="K1" s="2614" t="n">
        <v>95</v>
      </c>
      <c r="L1" s="2614" t="n">
        <v>105</v>
      </c>
      <c r="M1" s="2614" t="n">
        <v>129</v>
      </c>
      <c r="N1" s="2614" t="n">
        <v>133</v>
      </c>
      <c r="O1" s="2614" t="n">
        <v>135</v>
      </c>
      <c r="P1" s="2614" t="n"/>
      <c r="Q1" s="1436" t="n"/>
      <c r="R1" s="1436" t="n"/>
      <c r="S1" s="2614" t="n">
        <v>142</v>
      </c>
      <c r="T1" s="2614" t="n">
        <v>150</v>
      </c>
      <c r="U1" s="2614" t="n">
        <v>150</v>
      </c>
      <c r="V1" s="2614" t="n">
        <v>150</v>
      </c>
      <c r="W1" s="2614" t="n"/>
      <c r="X1" s="2614" t="n"/>
      <c r="Y1" s="2614" t="n"/>
      <c r="Z1" s="2614" t="n"/>
      <c r="AA1" s="2614" t="n"/>
      <c r="AB1" s="2614" t="n"/>
      <c r="AC1" s="2614" t="n"/>
      <c r="AD1" s="2614" t="n"/>
      <c r="AE1" s="2614" t="n"/>
      <c r="AF1" s="1436" t="n"/>
      <c r="AG1" s="2614" t="n"/>
      <c r="AH1" s="2614" t="n"/>
      <c r="AI1" s="2614" t="n"/>
      <c r="AJ1" s="2614" t="n"/>
      <c r="AK1" s="2614" t="n"/>
      <c r="AL1" s="2614" t="n"/>
      <c r="AM1" s="2614" t="n"/>
      <c r="AN1" s="2614" t="n"/>
      <c r="AO1" s="2614" t="n"/>
      <c r="AP1" s="2614" t="n"/>
      <c r="AS1" s="2614" t="n"/>
      <c r="BG1" s="2614" t="n"/>
      <c r="BU1" s="2614" t="n"/>
    </row>
    <row r="2">
      <c r="A2" s="1436" t="n"/>
      <c r="B2" s="1441" t="inlineStr">
        <is>
          <t>■ 카탈리스터 PL (2022/04)</t>
        </is>
      </c>
      <c r="C2" s="1441" t="n"/>
      <c r="E2" s="1436" t="n"/>
      <c r="F2" s="1442" t="n">
        <v>33</v>
      </c>
      <c r="G2" s="2614">
        <f>G1-F1</f>
        <v/>
      </c>
      <c r="H2" s="2614">
        <f>H1-G1</f>
        <v/>
      </c>
      <c r="I2" s="2614">
        <f>I1-H1</f>
        <v/>
      </c>
      <c r="J2" s="2614">
        <f>J1-I1</f>
        <v/>
      </c>
      <c r="K2" s="2614">
        <f>K1-J1</f>
        <v/>
      </c>
      <c r="L2" s="2614">
        <f>L1-K1</f>
        <v/>
      </c>
      <c r="M2" s="2614">
        <f>M1-L1</f>
        <v/>
      </c>
      <c r="N2" s="2614">
        <f>N1-M1</f>
        <v/>
      </c>
      <c r="O2" s="2614">
        <f>O1-N1</f>
        <v/>
      </c>
      <c r="P2" s="2614" t="n"/>
      <c r="Q2" s="1436" t="n"/>
      <c r="R2" s="1436" t="n"/>
      <c r="S2" s="2614">
        <f>S1-O1</f>
        <v/>
      </c>
      <c r="T2" s="2614">
        <f>T1-S1</f>
        <v/>
      </c>
      <c r="U2" s="2614" t="n"/>
      <c r="V2" s="2614" t="n"/>
      <c r="W2" s="2614" t="n"/>
      <c r="X2" s="2614" t="n"/>
      <c r="Y2" s="2614" t="n"/>
      <c r="Z2" s="2614" t="n"/>
      <c r="AA2" s="2614" t="n"/>
      <c r="AB2" s="2614" t="n"/>
      <c r="AC2" s="2614" t="n"/>
      <c r="AD2" s="2614" t="n"/>
      <c r="AE2" s="2614" t="n"/>
      <c r="AF2" s="1436" t="n"/>
      <c r="AG2" s="2614">
        <f>SUM(AG5:AI5)</f>
        <v/>
      </c>
      <c r="AH2" s="2614" t="n"/>
      <c r="AI2" s="2614" t="n"/>
      <c r="AJ2" s="2614">
        <f>SUM(AJ5:AL5)</f>
        <v/>
      </c>
      <c r="AK2" s="2614" t="n"/>
      <c r="AL2" s="2614" t="n"/>
      <c r="AM2" s="2614">
        <f>SUM(AM5:AO5)</f>
        <v/>
      </c>
      <c r="AN2" s="2614" t="n"/>
      <c r="AO2" s="2614" t="n"/>
      <c r="AP2" s="2614">
        <f>SUM(AP5:AR5)</f>
        <v/>
      </c>
      <c r="AS2" s="2614" t="n"/>
      <c r="BG2" s="2614" t="n"/>
      <c r="BU2" s="2614" t="n"/>
    </row>
    <row r="3">
      <c r="A3" s="1436" t="n"/>
      <c r="B3" s="1436" t="n"/>
      <c r="C3" s="1436" t="n"/>
      <c r="D3" s="1443" t="inlineStr">
        <is>
          <t>[추정]&gt;&gt;</t>
        </is>
      </c>
      <c r="E3" s="1444" t="n"/>
      <c r="F3" s="1444" t="n"/>
      <c r="G3" s="1444" t="n"/>
      <c r="H3" s="1444" t="n"/>
      <c r="I3" s="1444" t="n"/>
      <c r="J3" s="1444" t="n"/>
      <c r="K3" s="1444" t="n"/>
      <c r="L3" s="1444" t="n"/>
      <c r="M3" s="1444" t="n"/>
      <c r="N3" s="1444" t="n"/>
      <c r="O3" s="1444" t="n"/>
      <c r="P3" s="1444" t="n"/>
      <c r="Q3" s="1436" t="n"/>
      <c r="R3" s="1436" t="n"/>
      <c r="S3" s="1444" t="n"/>
      <c r="T3" s="1444" t="n"/>
      <c r="U3" s="1444" t="n"/>
      <c r="V3" s="1444" t="n"/>
      <c r="W3" s="1444" t="inlineStr">
        <is>
          <t>실적 고려 약 1억씩 추가 반영</t>
        </is>
      </c>
      <c r="X3" s="1444" t="n"/>
      <c r="Y3" s="1444" t="n"/>
      <c r="Z3" s="1444" t="n"/>
      <c r="AA3" s="1444" t="n"/>
      <c r="AB3" s="1444" t="n"/>
      <c r="AC3" s="1444" t="n"/>
      <c r="AD3" s="1444" t="n"/>
      <c r="AE3" s="1444" t="n"/>
      <c r="AF3" s="1436" t="n"/>
      <c r="AG3" s="1444" t="n"/>
      <c r="AH3" s="1444" t="n"/>
      <c r="AI3" s="1444" t="n"/>
      <c r="AJ3" s="1444" t="n"/>
      <c r="AK3" s="1444" t="n"/>
      <c r="AL3" s="1444" t="n"/>
      <c r="AM3" s="1444" t="n"/>
      <c r="AN3" s="1444" t="n"/>
      <c r="AO3" s="1444" t="n"/>
      <c r="AP3" s="1444" t="n"/>
      <c r="AS3" s="1444" t="n"/>
      <c r="AX3" s="2615" t="n"/>
      <c r="AY3" s="2615" t="n"/>
      <c r="AZ3" s="2615" t="n"/>
      <c r="BA3" s="2615" t="n"/>
      <c r="BB3" s="2615" t="n"/>
      <c r="BC3" s="2615" t="n"/>
      <c r="BD3" s="2615" t="n"/>
      <c r="BE3" s="2615" t="n"/>
    </row>
    <row r="4">
      <c r="A4" s="1436" t="n"/>
      <c r="B4" s="1445" t="n"/>
      <c r="C4" s="1445" t="n"/>
      <c r="D4" s="2617" t="n">
        <v>44592</v>
      </c>
      <c r="E4" s="2617">
        <f>EOMONTH(D4,1)</f>
        <v/>
      </c>
      <c r="F4" s="2617">
        <f>EOMONTH(E4,1)</f>
        <v/>
      </c>
      <c r="G4" s="2617">
        <f>EOMONTH(F4,1)</f>
        <v/>
      </c>
      <c r="H4" s="2617">
        <f>EOMONTH(G4,1)</f>
        <v/>
      </c>
      <c r="I4" s="2617">
        <f>EOMONTH(H4,1)</f>
        <v/>
      </c>
      <c r="J4" s="2617">
        <f>EOMONTH(I4,1)</f>
        <v/>
      </c>
      <c r="K4" s="2617">
        <f>EOMONTH(J4,1)</f>
        <v/>
      </c>
      <c r="L4" s="2617">
        <f>EOMONTH(K4,1)</f>
        <v/>
      </c>
      <c r="M4" s="2617">
        <f>EOMONTH(L4,1)</f>
        <v/>
      </c>
      <c r="N4" s="2617">
        <f>EOMONTH(M4,1)</f>
        <v/>
      </c>
      <c r="O4" s="2617">
        <f>EOMONTH(N4,1)</f>
        <v/>
      </c>
      <c r="P4" s="2618" t="inlineStr">
        <is>
          <t>2022년</t>
        </is>
      </c>
      <c r="Q4" s="1448" t="inlineStr">
        <is>
          <t>비고</t>
        </is>
      </c>
      <c r="R4" s="1436" t="n"/>
      <c r="S4" s="2617">
        <f>EOMONTH(O4,1)</f>
        <v/>
      </c>
      <c r="T4" s="2617">
        <f>EOMONTH(S4,1)</f>
        <v/>
      </c>
      <c r="U4" s="2617">
        <f>EOMONTH(T4,1)</f>
        <v/>
      </c>
      <c r="V4" s="2617">
        <f>EOMONTH(U4,1)</f>
        <v/>
      </c>
      <c r="W4" s="2617">
        <f>EOMONTH(V4,1)</f>
        <v/>
      </c>
      <c r="X4" s="2617">
        <f>EOMONTH(W4,1)</f>
        <v/>
      </c>
      <c r="Y4" s="2617">
        <f>EOMONTH(X4,1)</f>
        <v/>
      </c>
      <c r="Z4" s="2617">
        <f>EOMONTH(Y4,1)</f>
        <v/>
      </c>
      <c r="AA4" s="2617">
        <f>EOMONTH(Z4,1)</f>
        <v/>
      </c>
      <c r="AB4" s="2617">
        <f>EOMONTH(AA4,1)</f>
        <v/>
      </c>
      <c r="AC4" s="2617">
        <f>EOMONTH(AB4,1)</f>
        <v/>
      </c>
      <c r="AD4" s="2617">
        <f>EOMONTH(AC4,1)</f>
        <v/>
      </c>
      <c r="AE4" s="2618" t="inlineStr">
        <is>
          <t>2023년</t>
        </is>
      </c>
      <c r="AF4" s="1448" t="inlineStr">
        <is>
          <t>비고</t>
        </is>
      </c>
      <c r="AG4" s="2617">
        <f>EOMONTH(AD4,1)</f>
        <v/>
      </c>
      <c r="AH4" s="2617">
        <f>EOMONTH(AG4,1)</f>
        <v/>
      </c>
      <c r="AI4" s="2617">
        <f>EOMONTH(AH4,1)</f>
        <v/>
      </c>
      <c r="AJ4" s="2617">
        <f>EOMONTH(AI4,1)</f>
        <v/>
      </c>
      <c r="AK4" s="2617">
        <f>EOMONTH(AJ4,1)</f>
        <v/>
      </c>
      <c r="AL4" s="2617">
        <f>EOMONTH(AK4,1)</f>
        <v/>
      </c>
      <c r="AM4" s="2617">
        <f>EOMONTH(AL4,1)</f>
        <v/>
      </c>
      <c r="AN4" s="2617">
        <f>EOMONTH(AM4,1)</f>
        <v/>
      </c>
      <c r="AO4" s="2617">
        <f>EOMONTH(AN4,1)</f>
        <v/>
      </c>
      <c r="AP4" s="2617">
        <f>EOMONTH(AO4,1)</f>
        <v/>
      </c>
      <c r="AQ4" s="2617">
        <f>EOMONTH(AP4,1)</f>
        <v/>
      </c>
      <c r="AR4" s="2617">
        <f>EOMONTH(AQ4,1)</f>
        <v/>
      </c>
      <c r="AS4" s="2618" t="inlineStr">
        <is>
          <t>2024년</t>
        </is>
      </c>
      <c r="AT4" s="1448" t="inlineStr">
        <is>
          <t>비고</t>
        </is>
      </c>
      <c r="AU4" s="2617" t="n">
        <v>45658</v>
      </c>
      <c r="AV4" s="2617">
        <f>EOMONTH(AU4,1)</f>
        <v/>
      </c>
      <c r="AW4" s="2617">
        <f>EOMONTH(AV4,1)</f>
        <v/>
      </c>
      <c r="AX4" s="2617">
        <f>EOMONTH(AW4,1)</f>
        <v/>
      </c>
      <c r="AY4" s="2617">
        <f>EOMONTH(AX4,1)</f>
        <v/>
      </c>
      <c r="AZ4" s="2617">
        <f>EOMONTH(AY4,1)</f>
        <v/>
      </c>
      <c r="BA4" s="2617">
        <f>EOMONTH(AZ4,1)</f>
        <v/>
      </c>
      <c r="BB4" s="2617">
        <f>EOMONTH(BA4,1)</f>
        <v/>
      </c>
      <c r="BC4" s="2617">
        <f>EOMONTH(BB4,1)</f>
        <v/>
      </c>
      <c r="BD4" s="2617">
        <f>EOMONTH(BC4,1)</f>
        <v/>
      </c>
      <c r="BE4" s="2617">
        <f>EOMONTH(BD4,1)</f>
        <v/>
      </c>
      <c r="BF4" s="2619">
        <f>EOMONTH(BE4,1)</f>
        <v/>
      </c>
      <c r="BG4" s="2620" t="inlineStr">
        <is>
          <t>2025년</t>
        </is>
      </c>
      <c r="BI4" s="2621" t="n">
        <v>46023</v>
      </c>
      <c r="BJ4" s="2621">
        <f>EOMONTH(BI4,1)</f>
        <v/>
      </c>
      <c r="BK4" s="2621">
        <f>EOMONTH(BJ4,1)</f>
        <v/>
      </c>
      <c r="BL4" s="2621">
        <f>EOMONTH(BK4,1)</f>
        <v/>
      </c>
      <c r="BM4" s="2621">
        <f>EOMONTH(BL4,1)</f>
        <v/>
      </c>
      <c r="BN4" s="2621">
        <f>EOMONTH(BM4,1)</f>
        <v/>
      </c>
      <c r="BO4" s="2621">
        <f>EOMONTH(BN4,1)</f>
        <v/>
      </c>
      <c r="BP4" s="2621">
        <f>EOMONTH(BO4,1)</f>
        <v/>
      </c>
      <c r="BQ4" s="2621">
        <f>EOMONTH(BP4,1)</f>
        <v/>
      </c>
      <c r="BR4" s="2621">
        <f>EOMONTH(BQ4,1)</f>
        <v/>
      </c>
      <c r="BS4" s="2621">
        <f>EOMONTH(BR4,1)</f>
        <v/>
      </c>
      <c r="BT4" s="2621">
        <f>EOMONTH(BS4,1)</f>
        <v/>
      </c>
      <c r="BU4" s="2620" t="inlineStr">
        <is>
          <t>2026년</t>
        </is>
      </c>
    </row>
    <row r="5">
      <c r="A5" s="1436" t="n"/>
      <c r="B5" s="1452" t="inlineStr">
        <is>
          <t>Ⅰ. 영업수익</t>
        </is>
      </c>
      <c r="C5" s="1452" t="n"/>
      <c r="D5" s="2622">
        <f>SUM(D6:D13)</f>
        <v/>
      </c>
      <c r="E5" s="2622">
        <f>SUM(E6:E13)</f>
        <v/>
      </c>
      <c r="F5" s="2622">
        <f>SUM(F6:F13)</f>
        <v/>
      </c>
      <c r="G5" s="2622">
        <f>SUM(G6:G13)</f>
        <v/>
      </c>
      <c r="H5" s="2622">
        <f>SUM(H6:H13)</f>
        <v/>
      </c>
      <c r="I5" s="2622">
        <f>SUM(I6:I13)</f>
        <v/>
      </c>
      <c r="J5" s="2622">
        <f>SUM(J6:J13)</f>
        <v/>
      </c>
      <c r="K5" s="2622">
        <f>SUM(K6:K13)</f>
        <v/>
      </c>
      <c r="L5" s="2622">
        <f>SUM(L6:L13)</f>
        <v/>
      </c>
      <c r="M5" s="2622">
        <f>SUM(M6:M13)</f>
        <v/>
      </c>
      <c r="N5" s="2622">
        <f>SUM(N6:N13)</f>
        <v/>
      </c>
      <c r="O5" s="2622">
        <f>SUM(O6:O13)</f>
        <v/>
      </c>
      <c r="P5" s="2623">
        <f>SUM(D5:O5)</f>
        <v/>
      </c>
      <c r="Q5" s="1436" t="n"/>
      <c r="R5" s="1436" t="n"/>
      <c r="S5" s="2622">
        <f>SUM(S6:S13)</f>
        <v/>
      </c>
      <c r="T5" s="2622">
        <f>SUM(T6:T13)</f>
        <v/>
      </c>
      <c r="U5" s="2622">
        <f>SUM(U6:U13)</f>
        <v/>
      </c>
      <c r="V5" s="2622">
        <f>SUM(V6:V13)</f>
        <v/>
      </c>
      <c r="W5" s="2622">
        <f>SUM(W6:W13)</f>
        <v/>
      </c>
      <c r="X5" s="2622">
        <f>SUM(X6:X13)</f>
        <v/>
      </c>
      <c r="Y5" s="2622">
        <f>SUM(Y6:Y13)</f>
        <v/>
      </c>
      <c r="Z5" s="2622">
        <f>SUM(Z6:Z13)</f>
        <v/>
      </c>
      <c r="AA5" s="2622">
        <f>SUM(AA6:AA13)</f>
        <v/>
      </c>
      <c r="AB5" s="2622">
        <f>SUM(AB6:AB13)</f>
        <v/>
      </c>
      <c r="AC5" s="2622">
        <f>SUM(AC6:AC13)</f>
        <v/>
      </c>
      <c r="AD5" s="2622">
        <f>SUM(AD6:AD13)</f>
        <v/>
      </c>
      <c r="AE5" s="2623">
        <f>SUM(S5:AD5)</f>
        <v/>
      </c>
      <c r="AF5" s="1436" t="n"/>
      <c r="AG5" s="2622">
        <f>SUM(AG6:AG13)</f>
        <v/>
      </c>
      <c r="AH5" s="2622">
        <f>SUM(AH6:AH13)</f>
        <v/>
      </c>
      <c r="AI5" s="2622">
        <f>SUM(AI6:AI13)</f>
        <v/>
      </c>
      <c r="AJ5" s="2622">
        <f>SUM(AJ6:AJ13)</f>
        <v/>
      </c>
      <c r="AK5" s="2622">
        <f>SUM(AK6:AK13)</f>
        <v/>
      </c>
      <c r="AL5" s="2622">
        <f>SUM(AL6:AL13)</f>
        <v/>
      </c>
      <c r="AM5" s="2622">
        <f>SUM(AM6:AM13)</f>
        <v/>
      </c>
      <c r="AN5" s="2622">
        <f>SUM(AN6:AN13)</f>
        <v/>
      </c>
      <c r="AO5" s="2622">
        <f>SUM(AO6:AO13)</f>
        <v/>
      </c>
      <c r="AP5" s="2622">
        <f>SUM(AP6:AP13)</f>
        <v/>
      </c>
      <c r="AQ5" s="2622">
        <f>SUM(AQ6:AQ13)</f>
        <v/>
      </c>
      <c r="AR5" s="2622">
        <f>SUM(AR6:AR13)</f>
        <v/>
      </c>
      <c r="AS5" s="2623">
        <f>SUM(AG5:AR5)</f>
        <v/>
      </c>
      <c r="AU5" s="2622">
        <f>SUM(AU6:AU13)</f>
        <v/>
      </c>
      <c r="AV5" s="2622">
        <f>SUM(AV6:AV13)</f>
        <v/>
      </c>
      <c r="AW5" s="2622">
        <f>SUM(AW6:AW13)</f>
        <v/>
      </c>
      <c r="AX5" s="2622">
        <f>SUM(AX6:AX13)</f>
        <v/>
      </c>
      <c r="AY5" s="2622">
        <f>SUM(AY6:AY13)</f>
        <v/>
      </c>
      <c r="AZ5" s="2622">
        <f>SUM(AZ6:AZ13)</f>
        <v/>
      </c>
      <c r="BA5" s="2622">
        <f>SUM(BA6:BA13)</f>
        <v/>
      </c>
      <c r="BB5" s="2622">
        <f>SUM(BB6:BB13)</f>
        <v/>
      </c>
      <c r="BC5" s="2622">
        <f>SUM(BC6:BC13)</f>
        <v/>
      </c>
      <c r="BD5" s="2622">
        <f>SUM(BD6:BD13)</f>
        <v/>
      </c>
      <c r="BE5" s="2622">
        <f>SUM(BE6:BE13)</f>
        <v/>
      </c>
      <c r="BF5" s="2622">
        <f>SUM(BF6:BF13)</f>
        <v/>
      </c>
      <c r="BG5" s="2624">
        <f>SUM(AU5:BF5)</f>
        <v/>
      </c>
      <c r="BH5" s="2615" t="n"/>
      <c r="BI5" s="2622">
        <f>SUM(BI6:BI13)</f>
        <v/>
      </c>
      <c r="BJ5" s="2622">
        <f>SUM(BJ6:BJ13)</f>
        <v/>
      </c>
      <c r="BK5" s="2622">
        <f>SUM(BK6:BK13)</f>
        <v/>
      </c>
      <c r="BL5" s="2622">
        <f>SUM(BL6:BL13)</f>
        <v/>
      </c>
      <c r="BM5" s="2622">
        <f>SUM(BM6:BM13)</f>
        <v/>
      </c>
      <c r="BN5" s="2622">
        <f>SUM(BN6:BN13)</f>
        <v/>
      </c>
      <c r="BO5" s="2622">
        <f>SUM(BO6:BO13)</f>
        <v/>
      </c>
      <c r="BP5" s="2622">
        <f>SUM(BP6:BP13)</f>
        <v/>
      </c>
      <c r="BQ5" s="2622">
        <f>SUM(BQ6:BQ13)</f>
        <v/>
      </c>
      <c r="BR5" s="2622">
        <f>SUM(BR6:BR13)</f>
        <v/>
      </c>
      <c r="BS5" s="2622">
        <f>SUM(BS6:BS13)</f>
        <v/>
      </c>
      <c r="BT5" s="2622">
        <f>SUM(BT6:BT13)</f>
        <v/>
      </c>
      <c r="BU5" s="2624">
        <f>SUM(BI5:BT5)</f>
        <v/>
      </c>
    </row>
    <row r="6" outlineLevel="1">
      <c r="A6" s="1436" t="n"/>
      <c r="B6" s="1456" t="inlineStr">
        <is>
          <t>컨텐츠제공수익</t>
        </is>
      </c>
      <c r="C6" s="1456" t="n"/>
      <c r="D6" s="2625" t="n"/>
      <c r="E6" s="2625" t="n"/>
      <c r="F6" s="2625" t="n"/>
      <c r="G6" s="2625" t="n"/>
      <c r="H6" s="2625" t="n"/>
      <c r="I6" s="2625" t="n"/>
      <c r="J6" s="2625" t="n"/>
      <c r="K6" s="2625" t="n"/>
      <c r="L6" s="2625" t="n"/>
      <c r="M6" s="2625" t="n">
        <v>0</v>
      </c>
      <c r="N6" s="2625" t="n"/>
      <c r="O6" s="2625" t="n"/>
      <c r="P6" s="2626">
        <f>SUM(D6:O6)</f>
        <v/>
      </c>
      <c r="Q6" s="2627" t="n"/>
      <c r="R6" s="2627" t="n"/>
      <c r="S6" s="2625" t="n"/>
      <c r="T6" s="2625" t="n"/>
      <c r="U6" s="2625" t="n"/>
      <c r="V6" s="2625" t="n"/>
      <c r="W6" s="2625" t="n"/>
      <c r="X6" s="2625" t="n"/>
      <c r="Y6" s="2625" t="n"/>
      <c r="Z6" s="2625" t="n"/>
      <c r="AA6" s="2625" t="n"/>
      <c r="AB6" s="2625" t="n"/>
      <c r="AC6" s="2625" t="n"/>
      <c r="AD6" s="2625" t="n"/>
      <c r="AE6" s="2626">
        <f>SUM(S6:AD6)</f>
        <v/>
      </c>
      <c r="AF6" s="2627" t="n"/>
      <c r="AG6" s="2625" t="n"/>
      <c r="AH6" s="2625" t="n"/>
      <c r="AI6" s="2625" t="n"/>
      <c r="AJ6" s="2625" t="n"/>
      <c r="AK6" s="2625" t="n"/>
      <c r="AL6" s="2625" t="n"/>
      <c r="AM6" s="2625" t="n"/>
      <c r="AN6" s="2625" t="n"/>
      <c r="AO6" s="2625" t="n">
        <v>10000000</v>
      </c>
      <c r="AP6" s="2625" t="n">
        <v>2000000</v>
      </c>
      <c r="AQ6" s="2625" t="n"/>
      <c r="AR6" s="2625" t="n"/>
      <c r="AS6" s="2626">
        <f>SUM(AG6:AR6)</f>
        <v/>
      </c>
      <c r="AU6" s="2625" t="n"/>
      <c r="AV6" s="2625" t="n"/>
      <c r="AW6" s="2625" t="n"/>
      <c r="AX6" s="2625" t="n"/>
      <c r="AY6" s="2625" t="n"/>
      <c r="AZ6" s="2625" t="n"/>
      <c r="BA6" s="2625" t="n"/>
      <c r="BB6" s="2625" t="n"/>
      <c r="BC6" s="2625" t="n"/>
      <c r="BD6" s="2625" t="n"/>
      <c r="BE6" s="2625" t="n"/>
      <c r="BF6" s="2627" t="n"/>
      <c r="BG6" s="2628">
        <f>SUM(AU6:BF6)</f>
        <v/>
      </c>
      <c r="BI6" s="2627" t="n"/>
      <c r="BJ6" s="2627" t="n"/>
      <c r="BK6" s="2627" t="n"/>
      <c r="BL6" s="2627" t="n"/>
      <c r="BM6" s="2627" t="n"/>
      <c r="BN6" s="2627" t="n"/>
      <c r="BO6" s="2627" t="n"/>
      <c r="BP6" s="2627" t="n"/>
      <c r="BQ6" s="2627" t="n"/>
      <c r="BR6" s="2627" t="n"/>
      <c r="BS6" s="2627" t="n"/>
      <c r="BT6" s="2627" t="n"/>
      <c r="BU6" s="2628">
        <f>SUM(BI6:BT6)</f>
        <v/>
      </c>
    </row>
    <row r="7" outlineLevel="1">
      <c r="A7" s="1436" t="n"/>
      <c r="B7" s="1456" t="n"/>
      <c r="C7" s="1456" t="n"/>
      <c r="D7" s="2625" t="n"/>
      <c r="E7" s="2625" t="n"/>
      <c r="F7" s="2625" t="n"/>
      <c r="G7" s="2625" t="n"/>
      <c r="H7" s="2625" t="n"/>
      <c r="I7" s="2625" t="n"/>
      <c r="J7" s="2625" t="n"/>
      <c r="K7" s="2625" t="n"/>
      <c r="L7" s="2625" t="n"/>
      <c r="M7" s="2625" t="n">
        <v>0</v>
      </c>
      <c r="N7" s="2625" t="n"/>
      <c r="O7" s="2625" t="n"/>
      <c r="P7" s="2626">
        <f>SUM(D7:O7)</f>
        <v/>
      </c>
      <c r="Q7" s="2627" t="n"/>
      <c r="R7" s="2627" t="n"/>
      <c r="S7" s="2625" t="n"/>
      <c r="T7" s="2625" t="n"/>
      <c r="U7" s="2625" t="n"/>
      <c r="V7" s="2625" t="n"/>
      <c r="W7" s="2625" t="n"/>
      <c r="X7" s="2625" t="n"/>
      <c r="Y7" s="2625" t="n"/>
      <c r="Z7" s="2625" t="n"/>
      <c r="AA7" s="2625" t="n"/>
      <c r="AB7" s="2625" t="n"/>
      <c r="AC7" s="2625" t="n"/>
      <c r="AD7" s="2625" t="n"/>
      <c r="AE7" s="2626">
        <f>SUM(S7:AD7)</f>
        <v/>
      </c>
      <c r="AF7" s="2627" t="n"/>
      <c r="AG7" s="2625" t="n"/>
      <c r="AH7" s="2625" t="n"/>
      <c r="AI7" s="2625" t="n"/>
      <c r="AJ7" s="2625" t="n"/>
      <c r="AK7" s="2625" t="n"/>
      <c r="AL7" s="2625" t="n"/>
      <c r="AM7" s="2625" t="n"/>
      <c r="AN7" s="2625" t="n"/>
      <c r="AO7" s="2625" t="n"/>
      <c r="AP7" s="2625" t="n"/>
      <c r="AQ7" s="2625" t="n"/>
      <c r="AR7" s="2625" t="n"/>
      <c r="AS7" s="2626">
        <f>SUM(AG7:AR7)</f>
        <v/>
      </c>
      <c r="AU7" s="2625" t="n"/>
      <c r="AV7" s="2625" t="n"/>
      <c r="AW7" s="2625" t="n"/>
      <c r="AX7" s="2625" t="n"/>
      <c r="AY7" s="2625" t="n"/>
      <c r="AZ7" s="2625" t="n"/>
      <c r="BA7" s="2625" t="n"/>
      <c r="BB7" s="2625" t="n"/>
      <c r="BC7" s="2625" t="n"/>
      <c r="BD7" s="2625" t="n"/>
      <c r="BE7" s="2625" t="n"/>
      <c r="BF7" s="2627" t="n"/>
      <c r="BG7" s="2628">
        <f>SUM(AU7:BF7)</f>
        <v/>
      </c>
      <c r="BI7" s="2627" t="n"/>
      <c r="BJ7" s="2627" t="n"/>
      <c r="BK7" s="2627" t="n"/>
      <c r="BL7" s="2627" t="n"/>
      <c r="BM7" s="2627" t="n"/>
      <c r="BN7" s="2627" t="n"/>
      <c r="BO7" s="2627" t="n"/>
      <c r="BP7" s="2627" t="n"/>
      <c r="BQ7" s="2627" t="n"/>
      <c r="BR7" s="2627" t="n"/>
      <c r="BS7" s="2627" t="n"/>
      <c r="BT7" s="2627" t="n"/>
      <c r="BU7" s="2628">
        <f>SUM(BI7:BT7)</f>
        <v/>
      </c>
    </row>
    <row r="8" outlineLevel="1">
      <c r="A8" s="1436" t="n"/>
      <c r="B8" s="1456" t="n"/>
      <c r="C8" s="1456" t="n"/>
      <c r="D8" s="2625" t="n"/>
      <c r="E8" s="2625" t="n"/>
      <c r="F8" s="2625" t="n"/>
      <c r="G8" s="2625" t="n"/>
      <c r="H8" s="2625" t="n"/>
      <c r="I8" s="2625" t="n"/>
      <c r="J8" s="2625" t="n"/>
      <c r="K8" s="2625" t="n"/>
      <c r="L8" s="2625" t="n"/>
      <c r="M8" s="2625" t="n">
        <v>0</v>
      </c>
      <c r="N8" s="2625" t="n"/>
      <c r="O8" s="2625" t="n"/>
      <c r="P8" s="2626">
        <f>SUM(D8:O8)</f>
        <v/>
      </c>
      <c r="Q8" s="2627" t="n"/>
      <c r="R8" s="2627" t="n"/>
      <c r="S8" s="2625" t="n"/>
      <c r="T8" s="2625" t="n"/>
      <c r="U8" s="2625" t="n"/>
      <c r="V8" s="2625" t="n"/>
      <c r="W8" s="2625" t="n"/>
      <c r="X8" s="2625" t="n"/>
      <c r="Y8" s="2625" t="n"/>
      <c r="Z8" s="2625" t="n"/>
      <c r="AA8" s="2625" t="n"/>
      <c r="AB8" s="2625" t="n"/>
      <c r="AC8" s="2625" t="n"/>
      <c r="AD8" s="2625" t="n"/>
      <c r="AE8" s="2626">
        <f>SUM(S8:AD8)</f>
        <v/>
      </c>
      <c r="AF8" s="2627" t="n"/>
      <c r="AG8" s="2625" t="n"/>
      <c r="AH8" s="2625" t="n"/>
      <c r="AI8" s="2625" t="n"/>
      <c r="AJ8" s="2625" t="n"/>
      <c r="AK8" s="2625" t="n"/>
      <c r="AL8" s="2625" t="n"/>
      <c r="AM8" s="2625" t="n"/>
      <c r="AN8" s="2625" t="n"/>
      <c r="AO8" s="2625" t="n"/>
      <c r="AP8" s="2625" t="n"/>
      <c r="AQ8" s="2625" t="n"/>
      <c r="AR8" s="2625" t="n"/>
      <c r="AS8" s="2626">
        <f>SUM(AG8:AR8)</f>
        <v/>
      </c>
      <c r="AU8" s="2625" t="n"/>
      <c r="AV8" s="2625" t="n"/>
      <c r="AW8" s="2625" t="n"/>
      <c r="AX8" s="2625" t="n"/>
      <c r="AY8" s="2625" t="n"/>
      <c r="AZ8" s="2625" t="n"/>
      <c r="BA8" s="2625" t="n"/>
      <c r="BB8" s="2625" t="n"/>
      <c r="BC8" s="2625" t="n"/>
      <c r="BD8" s="2625" t="n"/>
      <c r="BE8" s="2625" t="n"/>
      <c r="BF8" s="2627" t="n"/>
      <c r="BG8" s="2628">
        <f>SUM(AU8:BF8)</f>
        <v/>
      </c>
      <c r="BI8" s="2627" t="n"/>
      <c r="BJ8" s="2627" t="n"/>
      <c r="BK8" s="2627" t="n"/>
      <c r="BL8" s="2627" t="n"/>
      <c r="BM8" s="2627" t="n"/>
      <c r="BN8" s="2627" t="n"/>
      <c r="BO8" s="2627" t="n"/>
      <c r="BP8" s="2627" t="n"/>
      <c r="BQ8" s="2627" t="n"/>
      <c r="BR8" s="2627" t="n"/>
      <c r="BS8" s="2627" t="n"/>
      <c r="BT8" s="2627" t="n"/>
      <c r="BU8" s="2628">
        <f>SUM(BI8:BT8)</f>
        <v/>
      </c>
    </row>
    <row r="9" outlineLevel="1">
      <c r="A9" s="1436" t="n"/>
      <c r="B9" s="1456" t="n"/>
      <c r="C9" s="1456" t="n"/>
      <c r="D9" s="2625" t="n"/>
      <c r="E9" s="2625" t="n"/>
      <c r="F9" s="2625" t="n"/>
      <c r="G9" s="2625" t="n"/>
      <c r="H9" s="2625" t="n"/>
      <c r="I9" s="2625" t="n"/>
      <c r="J9" s="2625" t="n"/>
      <c r="K9" s="2625" t="n"/>
      <c r="L9" s="2625" t="n"/>
      <c r="M9" s="2625" t="n">
        <v>0</v>
      </c>
      <c r="N9" s="2625" t="n"/>
      <c r="O9" s="2625" t="n"/>
      <c r="P9" s="2626">
        <f>SUM(D9:O9)</f>
        <v/>
      </c>
      <c r="Q9" s="2627" t="n"/>
      <c r="R9" s="2627" t="n"/>
      <c r="S9" s="2625" t="n"/>
      <c r="T9" s="2625" t="n"/>
      <c r="U9" s="2625" t="n"/>
      <c r="V9" s="2625" t="n"/>
      <c r="W9" s="2625" t="n"/>
      <c r="X9" s="2625" t="n"/>
      <c r="Y9" s="2625" t="n"/>
      <c r="Z9" s="2625" t="n"/>
      <c r="AA9" s="2625" t="n"/>
      <c r="AB9" s="2625" t="n"/>
      <c r="AC9" s="2625" t="n"/>
      <c r="AD9" s="2625" t="n"/>
      <c r="AE9" s="2626">
        <f>SUM(S9:AD9)</f>
        <v/>
      </c>
      <c r="AF9" s="2627" t="n"/>
      <c r="AG9" s="2625" t="n"/>
      <c r="AH9" s="2625" t="n"/>
      <c r="AI9" s="2625" t="n"/>
      <c r="AJ9" s="2625" t="n"/>
      <c r="AK9" s="2625" t="n"/>
      <c r="AL9" s="2625" t="n"/>
      <c r="AM9" s="2625" t="n"/>
      <c r="AN9" s="2625" t="n"/>
      <c r="AO9" s="2625" t="n"/>
      <c r="AP9" s="2625" t="n"/>
      <c r="AQ9" s="2625" t="n"/>
      <c r="AR9" s="2625" t="n"/>
      <c r="AS9" s="2626">
        <f>SUM(AG9:AR9)</f>
        <v/>
      </c>
      <c r="AU9" s="2625" t="n"/>
      <c r="AV9" s="2625" t="n"/>
      <c r="AW9" s="2625" t="n"/>
      <c r="AX9" s="2625" t="n"/>
      <c r="AY9" s="2625" t="n"/>
      <c r="AZ9" s="2625" t="n"/>
      <c r="BA9" s="2625" t="n"/>
      <c r="BB9" s="2625" t="n"/>
      <c r="BC9" s="2625" t="n"/>
      <c r="BD9" s="2625" t="n"/>
      <c r="BE9" s="2625" t="n"/>
      <c r="BF9" s="2627" t="n"/>
      <c r="BG9" s="2628">
        <f>SUM(AU9:BF9)</f>
        <v/>
      </c>
      <c r="BI9" s="2627" t="n"/>
      <c r="BJ9" s="2627" t="n"/>
      <c r="BK9" s="2627" t="n"/>
      <c r="BL9" s="2627" t="n"/>
      <c r="BM9" s="2627" t="n"/>
      <c r="BN9" s="2627" t="n"/>
      <c r="BO9" s="2627" t="n"/>
      <c r="BP9" s="2627" t="n"/>
      <c r="BQ9" s="2627" t="n"/>
      <c r="BR9" s="2627" t="n"/>
      <c r="BS9" s="2627" t="n"/>
      <c r="BT9" s="2627" t="n"/>
      <c r="BU9" s="2628">
        <f>SUM(BI9:BT9)</f>
        <v/>
      </c>
    </row>
    <row r="10" outlineLevel="1">
      <c r="A10" s="1436" t="n"/>
      <c r="B10" s="1456" t="n"/>
      <c r="C10" s="1456" t="n"/>
      <c r="D10" s="2625" t="n"/>
      <c r="E10" s="2625" t="n"/>
      <c r="F10" s="2625" t="n"/>
      <c r="G10" s="2625" t="n"/>
      <c r="H10" s="2625" t="n"/>
      <c r="I10" s="2625" t="n"/>
      <c r="J10" s="2625" t="n"/>
      <c r="K10" s="2625" t="n"/>
      <c r="L10" s="2625" t="n"/>
      <c r="M10" s="2625" t="n">
        <v>0</v>
      </c>
      <c r="N10" s="2625" t="n"/>
      <c r="O10" s="2625" t="n"/>
      <c r="P10" s="2626">
        <f>SUM(D10:O10)</f>
        <v/>
      </c>
      <c r="Q10" s="2627" t="n"/>
      <c r="R10" s="2627" t="n"/>
      <c r="S10" s="2625" t="n"/>
      <c r="T10" s="2625" t="n"/>
      <c r="U10" s="2625" t="n"/>
      <c r="V10" s="2625" t="n"/>
      <c r="W10" s="2625" t="n"/>
      <c r="X10" s="2625" t="n"/>
      <c r="Y10" s="2625" t="n"/>
      <c r="Z10" s="2625" t="n"/>
      <c r="AA10" s="2625" t="n"/>
      <c r="AB10" s="2625" t="n"/>
      <c r="AC10" s="2625" t="n"/>
      <c r="AD10" s="2625" t="n"/>
      <c r="AE10" s="2626">
        <f>SUM(S10:AD10)</f>
        <v/>
      </c>
      <c r="AF10" s="2627" t="n"/>
      <c r="AG10" s="2625" t="n"/>
      <c r="AH10" s="2625" t="n"/>
      <c r="AI10" s="2625" t="n"/>
      <c r="AJ10" s="2625" t="n"/>
      <c r="AK10" s="2625" t="n"/>
      <c r="AL10" s="2625" t="n"/>
      <c r="AM10" s="2625" t="n"/>
      <c r="AN10" s="2625" t="n"/>
      <c r="AO10" s="2625" t="n"/>
      <c r="AP10" s="2625" t="n"/>
      <c r="AQ10" s="2625" t="n"/>
      <c r="AR10" s="2625" t="n"/>
      <c r="AS10" s="2626">
        <f>SUM(AG10:AR10)</f>
        <v/>
      </c>
      <c r="AU10" s="2625" t="n"/>
      <c r="AV10" s="2625" t="n"/>
      <c r="AW10" s="2625" t="n"/>
      <c r="AX10" s="2625" t="n"/>
      <c r="AY10" s="2625" t="n"/>
      <c r="AZ10" s="2625" t="n"/>
      <c r="BA10" s="2625" t="n"/>
      <c r="BB10" s="2625" t="n"/>
      <c r="BC10" s="2625" t="n"/>
      <c r="BD10" s="2625" t="n"/>
      <c r="BE10" s="2625" t="n"/>
      <c r="BF10" s="2627" t="n"/>
      <c r="BG10" s="2628">
        <f>SUM(AU10:BF10)</f>
        <v/>
      </c>
      <c r="BI10" s="2627" t="n"/>
      <c r="BJ10" s="2627" t="n"/>
      <c r="BK10" s="2627" t="n"/>
      <c r="BL10" s="2627" t="n"/>
      <c r="BM10" s="2627" t="n"/>
      <c r="BN10" s="2627" t="n"/>
      <c r="BO10" s="2627" t="n"/>
      <c r="BP10" s="2627" t="n"/>
      <c r="BQ10" s="2627" t="n"/>
      <c r="BR10" s="2627" t="n"/>
      <c r="BS10" s="2627" t="n"/>
      <c r="BT10" s="2627" t="n"/>
      <c r="BU10" s="2628">
        <f>SUM(BI10:BT10)</f>
        <v/>
      </c>
    </row>
    <row r="11" outlineLevel="1">
      <c r="A11" s="1436" t="n"/>
      <c r="B11" s="1456" t="n"/>
      <c r="C11" s="1456" t="n"/>
      <c r="D11" s="2625" t="n"/>
      <c r="E11" s="2625" t="n"/>
      <c r="F11" s="2625" t="n"/>
      <c r="G11" s="2625" t="n"/>
      <c r="H11" s="2625" t="n"/>
      <c r="I11" s="2625" t="n"/>
      <c r="J11" s="2625" t="n"/>
      <c r="K11" s="2625" t="n"/>
      <c r="L11" s="2625" t="n"/>
      <c r="M11" s="2625" t="n">
        <v>0</v>
      </c>
      <c r="N11" s="2625" t="n"/>
      <c r="O11" s="2625" t="n"/>
      <c r="P11" s="2626">
        <f>SUM(D11:O11)</f>
        <v/>
      </c>
      <c r="Q11" s="2627" t="n"/>
      <c r="R11" s="2627" t="n"/>
      <c r="S11" s="2625" t="n"/>
      <c r="T11" s="2625" t="n"/>
      <c r="U11" s="2625" t="n"/>
      <c r="V11" s="2625" t="n"/>
      <c r="W11" s="2625" t="n"/>
      <c r="X11" s="2625" t="n"/>
      <c r="Y11" s="2625" t="n"/>
      <c r="Z11" s="2625" t="n"/>
      <c r="AA11" s="2625" t="n"/>
      <c r="AB11" s="2625" t="n"/>
      <c r="AC11" s="2625" t="n"/>
      <c r="AD11" s="2625" t="n"/>
      <c r="AE11" s="2626">
        <f>SUM(S11:AD11)</f>
        <v/>
      </c>
      <c r="AF11" s="2627" t="n"/>
      <c r="AG11" s="2625" t="n"/>
      <c r="AH11" s="2625" t="n"/>
      <c r="AI11" s="2625" t="n"/>
      <c r="AJ11" s="2625" t="n"/>
      <c r="AK11" s="2625" t="n"/>
      <c r="AL11" s="2625" t="n"/>
      <c r="AM11" s="2625" t="n"/>
      <c r="AN11" s="2625" t="n"/>
      <c r="AO11" s="2625" t="n"/>
      <c r="AP11" s="2625" t="n"/>
      <c r="AQ11" s="2625" t="n"/>
      <c r="AR11" s="2625" t="n"/>
      <c r="AS11" s="2626">
        <f>SUM(AG11:AR11)</f>
        <v/>
      </c>
      <c r="AU11" s="2625" t="n"/>
      <c r="AV11" s="2625" t="n"/>
      <c r="AW11" s="2625" t="n"/>
      <c r="AX11" s="2625" t="n"/>
      <c r="AY11" s="2625" t="n"/>
      <c r="AZ11" s="2625" t="n"/>
      <c r="BA11" s="2625" t="n"/>
      <c r="BB11" s="2625" t="n"/>
      <c r="BC11" s="2625" t="n"/>
      <c r="BD11" s="2625" t="n"/>
      <c r="BE11" s="2625" t="n"/>
      <c r="BF11" s="2627" t="n"/>
      <c r="BG11" s="2628">
        <f>SUM(AU11:BF11)</f>
        <v/>
      </c>
      <c r="BI11" s="2627" t="n"/>
      <c r="BJ11" s="2627" t="n"/>
      <c r="BK11" s="2627" t="n"/>
      <c r="BL11" s="2627" t="n"/>
      <c r="BM11" s="2627" t="n"/>
      <c r="BN11" s="2627" t="n"/>
      <c r="BO11" s="2627" t="n"/>
      <c r="BP11" s="2627" t="n"/>
      <c r="BQ11" s="2627" t="n"/>
      <c r="BR11" s="2627" t="n"/>
      <c r="BS11" s="2627" t="n"/>
      <c r="BT11" s="2627" t="n"/>
      <c r="BU11" s="2628">
        <f>SUM(BI11:BT11)</f>
        <v/>
      </c>
    </row>
    <row r="12" outlineLevel="1">
      <c r="A12" s="1436" t="n"/>
      <c r="B12" s="1456" t="inlineStr">
        <is>
          <t>용역수익</t>
        </is>
      </c>
      <c r="C12" s="1456" t="n"/>
      <c r="D12" s="2625" t="n"/>
      <c r="E12" s="2625" t="n"/>
      <c r="F12" s="2625" t="n"/>
      <c r="G12" s="2625" t="n"/>
      <c r="H12" s="2625" t="n"/>
      <c r="I12" s="2625" t="n"/>
      <c r="J12" s="2625" t="n"/>
      <c r="K12" s="2625" t="n"/>
      <c r="L12" s="2625" t="n"/>
      <c r="M12" s="2625" t="n">
        <v>0</v>
      </c>
      <c r="N12" s="2625" t="n"/>
      <c r="O12" s="2625" t="n">
        <v>176105556</v>
      </c>
      <c r="P12" s="2626">
        <f>SUM(D12:O12)</f>
        <v/>
      </c>
      <c r="Q12" s="2627" t="n"/>
      <c r="R12" s="2627" t="n"/>
      <c r="S12" s="2625" t="n">
        <v>35221112</v>
      </c>
      <c r="T12" s="2625" t="n">
        <v>35221112</v>
      </c>
      <c r="U12" s="2625" t="n">
        <v>35221112</v>
      </c>
      <c r="V12" s="2625" t="n">
        <v>35221112</v>
      </c>
      <c r="W12" s="2625" t="n">
        <v>35221112</v>
      </c>
      <c r="X12" s="2625" t="n">
        <v>37716962</v>
      </c>
      <c r="Y12" s="2625" t="n">
        <v>35221112</v>
      </c>
      <c r="Z12" s="2625" t="n">
        <v>36252107</v>
      </c>
      <c r="AA12" s="2629" t="n">
        <v>-278511148</v>
      </c>
      <c r="AB12" s="2625" t="n">
        <v>361972</v>
      </c>
      <c r="AC12" s="2625" t="n">
        <v>361972</v>
      </c>
      <c r="AD12" s="2625" t="n">
        <v>361972</v>
      </c>
      <c r="AE12" s="2626">
        <f>SUM(S12:AD12)</f>
        <v/>
      </c>
      <c r="AF12" s="2629" t="inlineStr">
        <is>
          <t>XPLA 매출(매출 인식 관련하여 카탈리스터는 아직 협의 미완료); 22년말 컴투스와 동일하게 인식하였기 때문에 매출 동일 발생으로 처리</t>
        </is>
      </c>
      <c r="AG12" s="2625" t="n">
        <v>361972</v>
      </c>
      <c r="AH12" s="2625" t="n">
        <v>361972</v>
      </c>
      <c r="AI12" s="2625">
        <f>$AB12</f>
        <v/>
      </c>
      <c r="AJ12" s="2625">
        <f>$AB12</f>
        <v/>
      </c>
      <c r="AK12" s="2625" t="n">
        <v>361972</v>
      </c>
      <c r="AL12" s="2625">
        <f>$AB12</f>
        <v/>
      </c>
      <c r="AM12" s="2625">
        <f>$AB12</f>
        <v/>
      </c>
      <c r="AN12" s="2625">
        <f>$AB12</f>
        <v/>
      </c>
      <c r="AO12" s="2625">
        <f>$AB12</f>
        <v/>
      </c>
      <c r="AP12" s="2625" t="n">
        <v>361972</v>
      </c>
      <c r="AQ12" s="2625">
        <f>$AB12</f>
        <v/>
      </c>
      <c r="AR12" s="2625" t="n">
        <v>9893201</v>
      </c>
      <c r="AS12" s="2626">
        <f>SUM(AG12:AR12)</f>
        <v/>
      </c>
      <c r="AU12" s="2625" t="n">
        <v>361972</v>
      </c>
      <c r="AV12" s="2625" t="n">
        <v>1315875</v>
      </c>
      <c r="AW12" s="2625" t="n">
        <v>1093665</v>
      </c>
      <c r="AX12" s="2625" t="n">
        <v>743770</v>
      </c>
      <c r="AY12" s="2625" t="n">
        <v>754704</v>
      </c>
      <c r="AZ12" s="2625" t="n">
        <v>684095</v>
      </c>
      <c r="BA12" s="1462" t="n">
        <v>701006</v>
      </c>
      <c r="BB12" s="1462" t="n">
        <v>361080</v>
      </c>
      <c r="BC12" s="1462" t="n">
        <v>359829</v>
      </c>
      <c r="BD12" s="1462" t="n">
        <v>351799</v>
      </c>
      <c r="BE12" s="1462">
        <f>7098148-SUM(AU12:BD12)</f>
        <v/>
      </c>
      <c r="BF12" s="2627">
        <f>361972+740705/2</f>
        <v/>
      </c>
      <c r="BG12" s="2628">
        <f>SUM(AU12:BF12)</f>
        <v/>
      </c>
      <c r="BI12" s="2629">
        <f>180986+361972+55000*1350/12</f>
        <v/>
      </c>
      <c r="BJ12" s="2629">
        <f>542958+55000*1350/12</f>
        <v/>
      </c>
      <c r="BK12" s="2629">
        <f>542958+55000*1350/12</f>
        <v/>
      </c>
      <c r="BL12" s="2629">
        <f>542958+55000*1350/12</f>
        <v/>
      </c>
      <c r="BM12" s="2629">
        <f>542958+55000*1350/12</f>
        <v/>
      </c>
      <c r="BN12" s="2629">
        <f>542958+55000*1350/12</f>
        <v/>
      </c>
      <c r="BO12" s="2629">
        <f>542958+55000*1350/12</f>
        <v/>
      </c>
      <c r="BP12" s="2629">
        <f>542958+55000*1350/12</f>
        <v/>
      </c>
      <c r="BQ12" s="2629">
        <f>542958+55000*1350/12</f>
        <v/>
      </c>
      <c r="BR12" s="2629">
        <f>542958+55000*1350/12</f>
        <v/>
      </c>
      <c r="BS12" s="2629">
        <f>542958+55000*1350/12</f>
        <v/>
      </c>
      <c r="BT12" s="2629">
        <f>542958+55000*1350/12</f>
        <v/>
      </c>
      <c r="BU12" s="2628">
        <f>SUM(BI12:BT12)</f>
        <v/>
      </c>
    </row>
    <row r="13" outlineLevel="1">
      <c r="A13" s="1436" t="n"/>
      <c r="B13" s="1456" t="inlineStr">
        <is>
          <t>임대료수익</t>
        </is>
      </c>
      <c r="C13" s="1456" t="n"/>
      <c r="D13" s="2625" t="n"/>
      <c r="E13" s="2625" t="n"/>
      <c r="F13" s="2625" t="n"/>
      <c r="G13" s="2625" t="n"/>
      <c r="H13" s="2625" t="n"/>
      <c r="I13" s="2625" t="n"/>
      <c r="J13" s="2625" t="n"/>
      <c r="K13" s="2625" t="n"/>
      <c r="L13" s="2625" t="n"/>
      <c r="M13" s="2625" t="n">
        <v>0</v>
      </c>
      <c r="N13" s="2625" t="n"/>
      <c r="O13" s="2625" t="n"/>
      <c r="P13" s="2626">
        <f>SUM(D13:O13)</f>
        <v/>
      </c>
      <c r="Q13" s="2627" t="n"/>
      <c r="R13" s="2627" t="n"/>
      <c r="S13" s="2625" t="n"/>
      <c r="T13" s="2625" t="n"/>
      <c r="U13" s="2625" t="n"/>
      <c r="V13" s="2625" t="n"/>
      <c r="W13" s="2625" t="n"/>
      <c r="X13" s="2625" t="n"/>
      <c r="Y13" s="2625" t="n"/>
      <c r="Z13" s="2625" t="n"/>
      <c r="AA13" s="2625" t="n"/>
      <c r="AB13" s="2625" t="n"/>
      <c r="AC13" s="2625" t="n"/>
      <c r="AD13" s="2625" t="n"/>
      <c r="AE13" s="2626">
        <f>SUM(S13:AD13)</f>
        <v/>
      </c>
      <c r="AF13" s="2627" t="n"/>
      <c r="AG13" s="2625" t="n"/>
      <c r="AH13" s="2625" t="n"/>
      <c r="AI13" s="2625" t="n"/>
      <c r="AJ13" s="2625" t="n"/>
      <c r="AK13" s="2625" t="n"/>
      <c r="AL13" s="2625" t="n"/>
      <c r="AM13" s="2625" t="n"/>
      <c r="AN13" s="2625" t="n"/>
      <c r="AO13" s="2625" t="n"/>
      <c r="AP13" s="2625" t="n"/>
      <c r="AQ13" s="2625" t="n"/>
      <c r="AR13" s="2625" t="n"/>
      <c r="AS13" s="2626">
        <f>SUM(AG13:AR13)</f>
        <v/>
      </c>
      <c r="AU13" s="2625" t="n"/>
      <c r="AV13" s="2625" t="n"/>
      <c r="AW13" s="2625" t="n"/>
      <c r="AX13" s="2625" t="n"/>
      <c r="AY13" s="2625" t="n"/>
      <c r="AZ13" s="2625" t="n"/>
      <c r="BA13" s="2625" t="n"/>
      <c r="BB13" s="2625" t="n"/>
      <c r="BC13" s="2625" t="n"/>
      <c r="BD13" s="2625" t="n"/>
      <c r="BE13" s="2625" t="n"/>
      <c r="BF13" s="2627" t="n"/>
      <c r="BG13" s="2628">
        <f>SUM(AU13:BF13)</f>
        <v/>
      </c>
      <c r="BI13" s="2627" t="n"/>
      <c r="BJ13" s="2627" t="n"/>
      <c r="BK13" s="2627" t="n"/>
      <c r="BL13" s="2627" t="n"/>
      <c r="BM13" s="2627" t="n"/>
      <c r="BN13" s="2627" t="n"/>
      <c r="BO13" s="2627" t="n"/>
      <c r="BP13" s="2627" t="n"/>
      <c r="BQ13" s="2627" t="n"/>
      <c r="BR13" s="2627" t="n"/>
      <c r="BS13" s="2627" t="n"/>
      <c r="BT13" s="2627" t="n"/>
      <c r="BU13" s="2628">
        <f>SUM(BI13:BT13)</f>
        <v/>
      </c>
    </row>
    <row r="14">
      <c r="A14" s="1436" t="n"/>
      <c r="B14" s="1452" t="inlineStr">
        <is>
          <t>Ⅱ. 영업비용</t>
        </is>
      </c>
      <c r="C14" s="1452" t="n"/>
      <c r="D14" s="2622" t="n"/>
      <c r="E14" s="2622" t="n"/>
      <c r="F14" s="2622" t="n"/>
      <c r="G14" s="2622" t="n"/>
      <c r="H14" s="2622" t="n"/>
      <c r="I14" s="2622" t="n"/>
      <c r="J14" s="2622" t="n"/>
      <c r="K14" s="2622" t="n"/>
      <c r="L14" s="2622" t="n"/>
      <c r="M14" s="2622" t="n"/>
      <c r="N14" s="2622" t="n"/>
      <c r="O14" s="2622" t="n"/>
      <c r="P14" s="2623">
        <f>SUM(D14:O14)</f>
        <v/>
      </c>
      <c r="Q14" s="1436" t="n"/>
      <c r="R14" s="1436" t="n"/>
      <c r="S14" s="2622">
        <f>SUM(S15:S47)</f>
        <v/>
      </c>
      <c r="T14" s="2622">
        <f>SUM(T15:T47)</f>
        <v/>
      </c>
      <c r="U14" s="2622">
        <f>SUM(U15:U47)</f>
        <v/>
      </c>
      <c r="V14" s="2622">
        <f>SUM(V15:V47)</f>
        <v/>
      </c>
      <c r="W14" s="2622">
        <f>SUM(W15:W47)</f>
        <v/>
      </c>
      <c r="X14" s="2622">
        <f>SUM(X15:X47)</f>
        <v/>
      </c>
      <c r="Y14" s="2622">
        <f>SUM(Y15:Y47)</f>
        <v/>
      </c>
      <c r="Z14" s="2622">
        <f>SUM(Z15:Z47)</f>
        <v/>
      </c>
      <c r="AA14" s="2622">
        <f>SUM(AA15:AA47)</f>
        <v/>
      </c>
      <c r="AB14" s="2622">
        <f>SUM(AB15:AB47)</f>
        <v/>
      </c>
      <c r="AC14" s="2622">
        <f>SUM(AC15:AC47)</f>
        <v/>
      </c>
      <c r="AD14" s="2622">
        <f>SUM(AD15:AD47)</f>
        <v/>
      </c>
      <c r="AE14" s="2623">
        <f>SUM(S14:AD14)</f>
        <v/>
      </c>
      <c r="AF14" s="1436" t="n"/>
      <c r="AG14" s="2622">
        <f>SUM(AG15:AG47)</f>
        <v/>
      </c>
      <c r="AH14" s="2622">
        <f>SUM(AH15:AH47)</f>
        <v/>
      </c>
      <c r="AI14" s="2622">
        <f>SUM(AI15:AI47)</f>
        <v/>
      </c>
      <c r="AJ14" s="2622">
        <f>SUM(AJ15:AJ47)</f>
        <v/>
      </c>
      <c r="AK14" s="2622">
        <f>SUM(AK15:AK47)</f>
        <v/>
      </c>
      <c r="AL14" s="2622">
        <f>SUM(AL15:AL47)</f>
        <v/>
      </c>
      <c r="AM14" s="2622">
        <f>SUM(AM15:AM47)</f>
        <v/>
      </c>
      <c r="AN14" s="2622">
        <f>SUM(AN15:AN47)</f>
        <v/>
      </c>
      <c r="AO14" s="2622">
        <f>SUM(AO15:AO47)</f>
        <v/>
      </c>
      <c r="AP14" s="2622">
        <f>SUM(AP15:AP47)</f>
        <v/>
      </c>
      <c r="AQ14" s="2622">
        <f>SUM(AQ15:AQ47)</f>
        <v/>
      </c>
      <c r="AR14" s="2622">
        <f>SUM(AR15:AR47)</f>
        <v/>
      </c>
      <c r="AS14" s="2623">
        <f>SUM(AG14:AR14)</f>
        <v/>
      </c>
      <c r="AU14" s="2622">
        <f>SUM(AU15:AU47)</f>
        <v/>
      </c>
      <c r="AV14" s="2622">
        <f>SUM(AV15:AV47)</f>
        <v/>
      </c>
      <c r="AW14" s="2622">
        <f>SUM(AW15:AW47)</f>
        <v/>
      </c>
      <c r="AX14" s="2622">
        <f>SUM(AX15:AX47)</f>
        <v/>
      </c>
      <c r="AY14" s="2622">
        <f>SUM(AY15:AY47)</f>
        <v/>
      </c>
      <c r="AZ14" s="2622">
        <f>SUM(AZ15:AZ47)</f>
        <v/>
      </c>
      <c r="BA14" s="2622">
        <f>SUM(BA15:BA47)</f>
        <v/>
      </c>
      <c r="BB14" s="2622">
        <f>SUM(BB15:BB47)</f>
        <v/>
      </c>
      <c r="BC14" s="2622">
        <f>SUM(BC15:BC47)</f>
        <v/>
      </c>
      <c r="BD14" s="2622">
        <f>SUM(BD15:BD47)</f>
        <v/>
      </c>
      <c r="BE14" s="2622">
        <f>SUM(BE15:BE47)</f>
        <v/>
      </c>
      <c r="BF14" s="2622">
        <f>SUM(BF15:BF47)</f>
        <v/>
      </c>
      <c r="BG14" s="2624">
        <f>SUM(AU14:BF14)</f>
        <v/>
      </c>
      <c r="BH14" s="2630" t="n"/>
      <c r="BI14" s="2622">
        <f>SUM(BI15:BI47)</f>
        <v/>
      </c>
      <c r="BJ14" s="2622">
        <f>SUM(BJ15:BJ47)</f>
        <v/>
      </c>
      <c r="BK14" s="2622">
        <f>SUM(BK15:BK47)</f>
        <v/>
      </c>
      <c r="BL14" s="2622">
        <f>SUM(BL15:BL47)</f>
        <v/>
      </c>
      <c r="BM14" s="2622">
        <f>SUM(BM15:BM47)</f>
        <v/>
      </c>
      <c r="BN14" s="2622">
        <f>SUM(BN15:BN47)</f>
        <v/>
      </c>
      <c r="BO14" s="2622">
        <f>SUM(BO15:BO47)</f>
        <v/>
      </c>
      <c r="BP14" s="2622">
        <f>SUM(BP15:BP47)</f>
        <v/>
      </c>
      <c r="BQ14" s="2622">
        <f>SUM(BQ15:BQ47)</f>
        <v/>
      </c>
      <c r="BR14" s="2622">
        <f>SUM(BR15:BR47)</f>
        <v/>
      </c>
      <c r="BS14" s="2622">
        <f>SUM(BS15:BS47)</f>
        <v/>
      </c>
      <c r="BT14" s="2622">
        <f>SUM(BT15:BT47)</f>
        <v/>
      </c>
      <c r="BU14" s="2624">
        <f>SUM(BI14:BT14)</f>
        <v/>
      </c>
    </row>
    <row r="15" outlineLevel="1">
      <c r="A15" s="1436" t="n"/>
      <c r="B15" s="1456" t="inlineStr">
        <is>
          <t>급여</t>
        </is>
      </c>
      <c r="C15" s="1456" t="n"/>
      <c r="D15" s="2627" t="n"/>
      <c r="E15" s="2627" t="n"/>
      <c r="F15" s="2627" t="n"/>
      <c r="G15" s="2627" t="n"/>
      <c r="H15" s="2627" t="n"/>
      <c r="I15" s="2627" t="n"/>
      <c r="J15" s="2627" t="n"/>
      <c r="K15" s="2627" t="n"/>
      <c r="L15" s="2627" t="n"/>
      <c r="M15" s="2627" t="n"/>
      <c r="N15" s="2627" t="n"/>
      <c r="O15" s="2627" t="n"/>
      <c r="P15" s="2626">
        <f>SUM(D15:O15)</f>
        <v/>
      </c>
      <c r="Q15" s="1464" t="n"/>
      <c r="R15" s="1436" t="n"/>
      <c r="S15" s="2625">
        <f>SUM(S54,S88)</f>
        <v/>
      </c>
      <c r="T15" s="2625">
        <f>SUM(T54,T88)</f>
        <v/>
      </c>
      <c r="U15" s="2625">
        <f>SUM(U54,U88)</f>
        <v/>
      </c>
      <c r="V15" s="2625">
        <f>SUM(V54,V88)</f>
        <v/>
      </c>
      <c r="W15" s="2625">
        <f>SUM(W54,W88)</f>
        <v/>
      </c>
      <c r="X15" s="2625">
        <f>SUM(X54,X88)</f>
        <v/>
      </c>
      <c r="Y15" s="2625">
        <f>SUM(Y54,Y88)</f>
        <v/>
      </c>
      <c r="Z15" s="2625">
        <f>SUM(Z54,Z88)</f>
        <v/>
      </c>
      <c r="AA15" s="2625">
        <f>SUM(AA54,AA88)</f>
        <v/>
      </c>
      <c r="AB15" s="2625">
        <f>SUM(AB54,AB88)</f>
        <v/>
      </c>
      <c r="AC15" s="2625">
        <f>SUM(AC54,AC88)</f>
        <v/>
      </c>
      <c r="AD15" s="2625">
        <f>SUM(AD54,AD88)</f>
        <v/>
      </c>
      <c r="AE15" s="2626">
        <f>SUM(S15:AD15)</f>
        <v/>
      </c>
      <c r="AF15" s="1464" t="n"/>
      <c r="AG15" s="2625">
        <f>SUM(AG54,AG88)</f>
        <v/>
      </c>
      <c r="AH15" s="2625">
        <f>SUM(AH54,AH88)</f>
        <v/>
      </c>
      <c r="AI15" s="2625">
        <f>SUM(AI54,AI88)</f>
        <v/>
      </c>
      <c r="AJ15" s="2625">
        <f>SUM(AJ54,AJ88)</f>
        <v/>
      </c>
      <c r="AK15" s="2625">
        <f>SUM(AK54,AK88)</f>
        <v/>
      </c>
      <c r="AL15" s="2625">
        <f>SUM(AL54,AL88)</f>
        <v/>
      </c>
      <c r="AM15" s="2625">
        <f>SUM(AM54,AM88)</f>
        <v/>
      </c>
      <c r="AN15" s="2625">
        <f>SUM(AN54,AN88)</f>
        <v/>
      </c>
      <c r="AO15" s="2625">
        <f>SUM(AO54,AO88)</f>
        <v/>
      </c>
      <c r="AP15" s="2625">
        <f>SUM(AP54,AP88)</f>
        <v/>
      </c>
      <c r="AQ15" s="2625">
        <f>SUM(AQ54,AQ88)</f>
        <v/>
      </c>
      <c r="AR15" s="2625">
        <f>SUM(AR54,AR88)</f>
        <v/>
      </c>
      <c r="AS15" s="2626">
        <f>SUM(AG15:AR15)</f>
        <v/>
      </c>
      <c r="AT15" s="2627" t="n"/>
      <c r="AU15" s="2625">
        <f>SUM(AU54,AU88)</f>
        <v/>
      </c>
      <c r="AV15" s="2625">
        <f>SUM(AV54,AV88)</f>
        <v/>
      </c>
      <c r="AW15" s="2625">
        <f>SUM(AW54,AW88)</f>
        <v/>
      </c>
      <c r="AX15" s="2625">
        <f>SUM(AX54,AX88)</f>
        <v/>
      </c>
      <c r="AY15" s="2625">
        <f>SUM(AY54,AY88)</f>
        <v/>
      </c>
      <c r="AZ15" s="2625">
        <f>SUM(AZ54,AZ88)</f>
        <v/>
      </c>
      <c r="BA15" s="2625">
        <f>SUM(BA54,BA88)</f>
        <v/>
      </c>
      <c r="BB15" s="2625">
        <f>SUM(BB54,BB88)</f>
        <v/>
      </c>
      <c r="BC15" s="2625">
        <f>SUM(BC54,BC88)</f>
        <v/>
      </c>
      <c r="BD15" s="2625">
        <f>SUM(BD54,BD88)</f>
        <v/>
      </c>
      <c r="BE15" s="2625">
        <f>SUM(BE54,BE88)</f>
        <v/>
      </c>
      <c r="BF15" s="2627">
        <f>SUM(BF54,BF88)</f>
        <v/>
      </c>
      <c r="BG15" s="2628">
        <f>SUM(AU15:BF15)</f>
        <v/>
      </c>
      <c r="BH15" s="2631" t="n"/>
      <c r="BI15" s="2627">
        <f>SUM(BI54,BI88)</f>
        <v/>
      </c>
      <c r="BJ15" s="2627">
        <f>SUM(BJ54,BJ88)</f>
        <v/>
      </c>
      <c r="BK15" s="2627">
        <f>SUM(BK54,BK88)</f>
        <v/>
      </c>
      <c r="BL15" s="2627">
        <f>SUM(BL54,BL88)</f>
        <v/>
      </c>
      <c r="BM15" s="2627">
        <f>SUM(BM54,BM88)</f>
        <v/>
      </c>
      <c r="BN15" s="2627">
        <f>SUM(BN54,BN88)</f>
        <v/>
      </c>
      <c r="BO15" s="2627">
        <f>SUM(BO54,BO88)</f>
        <v/>
      </c>
      <c r="BP15" s="2627">
        <f>SUM(BP54,BP88)</f>
        <v/>
      </c>
      <c r="BQ15" s="2627">
        <f>SUM(BQ54,BQ88)</f>
        <v/>
      </c>
      <c r="BR15" s="2627">
        <f>SUM(BR54,BR88)</f>
        <v/>
      </c>
      <c r="BS15" s="2627">
        <f>SUM(BS54,BS88)</f>
        <v/>
      </c>
      <c r="BT15" s="2627">
        <f>SUM(BT54,BT88)</f>
        <v/>
      </c>
      <c r="BU15" s="2628">
        <f>SUM(BI15:BT15)</f>
        <v/>
      </c>
    </row>
    <row r="16" outlineLevel="1">
      <c r="A16" s="1436" t="n"/>
      <c r="B16" s="1456" t="inlineStr">
        <is>
          <t>상여</t>
        </is>
      </c>
      <c r="C16" s="1456" t="n"/>
      <c r="D16" s="2627" t="n"/>
      <c r="E16" s="2627" t="n"/>
      <c r="F16" s="2627" t="n"/>
      <c r="G16" s="2627" t="n"/>
      <c r="H16" s="2627" t="n"/>
      <c r="I16" s="2627" t="n"/>
      <c r="J16" s="2627" t="n"/>
      <c r="K16" s="2627" t="n"/>
      <c r="L16" s="2627" t="n"/>
      <c r="M16" s="2627" t="n"/>
      <c r="N16" s="2627" t="n"/>
      <c r="O16" s="2627" t="n"/>
      <c r="P16" s="2626">
        <f>SUM(D16:O16)</f>
        <v/>
      </c>
      <c r="Q16" s="1466" t="n"/>
      <c r="R16" s="1436" t="n"/>
      <c r="S16" s="2625">
        <f>SUM(S55,S89)</f>
        <v/>
      </c>
      <c r="T16" s="2625">
        <f>SUM(T55,T89)</f>
        <v/>
      </c>
      <c r="U16" s="2625">
        <f>SUM(U55,U89)</f>
        <v/>
      </c>
      <c r="V16" s="2625">
        <f>SUM(V55,V89)</f>
        <v/>
      </c>
      <c r="W16" s="2625">
        <f>SUM(W55,W89)</f>
        <v/>
      </c>
      <c r="X16" s="2625">
        <f>SUM(X55,X89)</f>
        <v/>
      </c>
      <c r="Y16" s="2625">
        <f>SUM(Y55,Y89)</f>
        <v/>
      </c>
      <c r="Z16" s="2625">
        <f>SUM(Z55,Z89)</f>
        <v/>
      </c>
      <c r="AA16" s="2625">
        <f>SUM(AA55,AA89)</f>
        <v/>
      </c>
      <c r="AB16" s="2625">
        <f>SUM(AB55,AB89)</f>
        <v/>
      </c>
      <c r="AC16" s="2625">
        <f>SUM(AC55,AC89)</f>
        <v/>
      </c>
      <c r="AD16" s="2625">
        <f>SUM(AD55,AD89)</f>
        <v/>
      </c>
      <c r="AE16" s="2626">
        <f>SUM(S16:AD16)</f>
        <v/>
      </c>
      <c r="AF16" s="1466" t="n"/>
      <c r="AG16" s="2625">
        <f>SUM(AG55,AG89)</f>
        <v/>
      </c>
      <c r="AH16" s="2625">
        <f>SUM(AH55,AH89)</f>
        <v/>
      </c>
      <c r="AI16" s="2625">
        <f>SUM(AI55,AI89)</f>
        <v/>
      </c>
      <c r="AJ16" s="2625">
        <f>SUM(AJ55,AJ89)</f>
        <v/>
      </c>
      <c r="AK16" s="2625">
        <f>SUM(AK55,AK89)</f>
        <v/>
      </c>
      <c r="AL16" s="2625">
        <f>SUM(AL55,AL89)</f>
        <v/>
      </c>
      <c r="AM16" s="2625">
        <f>SUM(AM55,AM89)</f>
        <v/>
      </c>
      <c r="AN16" s="2625">
        <f>SUM(AN55,AN89)</f>
        <v/>
      </c>
      <c r="AO16" s="2625">
        <f>SUM(AO55,AO89)</f>
        <v/>
      </c>
      <c r="AP16" s="2625">
        <f>SUM(AP55,AP89)</f>
        <v/>
      </c>
      <c r="AQ16" s="2625">
        <f>SUM(AQ55,AQ89)</f>
        <v/>
      </c>
      <c r="AR16" s="2625">
        <f>SUM(AR55,AR89)</f>
        <v/>
      </c>
      <c r="AS16" s="2626">
        <f>SUM(AG16:AR16)</f>
        <v/>
      </c>
      <c r="AU16" s="2625">
        <f>SUM(AU55,AU89)</f>
        <v/>
      </c>
      <c r="AV16" s="2625">
        <f>SUM(AV55,AV89)</f>
        <v/>
      </c>
      <c r="AW16" s="2625">
        <f>SUM(AW55,AW89)</f>
        <v/>
      </c>
      <c r="AX16" s="2625">
        <f>SUM(AX55,AX89)</f>
        <v/>
      </c>
      <c r="AY16" s="2625">
        <f>SUM(AY55,AY89)</f>
        <v/>
      </c>
      <c r="AZ16" s="2625">
        <f>SUM(AZ55,AZ89)</f>
        <v/>
      </c>
      <c r="BA16" s="2625">
        <f>SUM(BA55,BA89)</f>
        <v/>
      </c>
      <c r="BB16" s="2625">
        <f>SUM(BB55,BB89)</f>
        <v/>
      </c>
      <c r="BC16" s="2625">
        <f>SUM(BC55,BC89)</f>
        <v/>
      </c>
      <c r="BD16" s="2625">
        <f>SUM(BD55,BD89)</f>
        <v/>
      </c>
      <c r="BE16" s="2625">
        <f>SUM(BE55,BE89)</f>
        <v/>
      </c>
      <c r="BF16" s="2627">
        <f>SUM(BF55,BF89)</f>
        <v/>
      </c>
      <c r="BG16" s="2628">
        <f>SUM(AU16:BF16)</f>
        <v/>
      </c>
      <c r="BH16" s="2631" t="n"/>
      <c r="BI16" s="2627">
        <f>SUM(BI55,BI89)</f>
        <v/>
      </c>
      <c r="BJ16" s="2627">
        <f>SUM(BJ55,BJ89)</f>
        <v/>
      </c>
      <c r="BK16" s="2627">
        <f>SUM(BK55,BK89)</f>
        <v/>
      </c>
      <c r="BL16" s="2627">
        <f>SUM(BL55,BL89)</f>
        <v/>
      </c>
      <c r="BM16" s="2627">
        <f>SUM(BM55,BM89)</f>
        <v/>
      </c>
      <c r="BN16" s="2627">
        <f>SUM(BN55,BN89)</f>
        <v/>
      </c>
      <c r="BO16" s="2627">
        <f>SUM(BO55,BO89)</f>
        <v/>
      </c>
      <c r="BP16" s="2627">
        <f>SUM(BP55,BP89)</f>
        <v/>
      </c>
      <c r="BQ16" s="2627">
        <f>SUM(BQ55,BQ89)</f>
        <v/>
      </c>
      <c r="BR16" s="2627">
        <f>SUM(BR55,BR89)</f>
        <v/>
      </c>
      <c r="BS16" s="2627">
        <f>SUM(BS55,BS89)</f>
        <v/>
      </c>
      <c r="BT16" s="2627">
        <f>SUM(BT55,BT89)</f>
        <v/>
      </c>
      <c r="BU16" s="2628">
        <f>SUM(BI16:BT16)</f>
        <v/>
      </c>
    </row>
    <row r="17" outlineLevel="1">
      <c r="A17" s="1436" t="n"/>
      <c r="B17" s="1456" t="inlineStr">
        <is>
          <t>퇴직급여</t>
        </is>
      </c>
      <c r="C17" s="1456" t="n"/>
      <c r="D17" s="2627" t="n"/>
      <c r="E17" s="2627" t="n"/>
      <c r="F17" s="2627" t="n"/>
      <c r="G17" s="2627" t="n"/>
      <c r="H17" s="2627" t="n"/>
      <c r="I17" s="2627" t="n"/>
      <c r="J17" s="2627" t="n"/>
      <c r="K17" s="2627" t="n"/>
      <c r="L17" s="2627" t="n"/>
      <c r="M17" s="2627" t="n"/>
      <c r="N17" s="2627" t="n"/>
      <c r="O17" s="2627" t="n"/>
      <c r="P17" s="2626">
        <f>SUM(D17:O17)</f>
        <v/>
      </c>
      <c r="Q17" s="1464" t="n"/>
      <c r="R17" s="1436" t="n"/>
      <c r="S17" s="2625">
        <f>SUM(S56,S90)</f>
        <v/>
      </c>
      <c r="T17" s="2625">
        <f>SUM(T56,T90)</f>
        <v/>
      </c>
      <c r="U17" s="2625">
        <f>SUM(U56,U90)</f>
        <v/>
      </c>
      <c r="V17" s="2625">
        <f>SUM(V56,V90)</f>
        <v/>
      </c>
      <c r="W17" s="2625">
        <f>SUM(W56,W90)</f>
        <v/>
      </c>
      <c r="X17" s="2625">
        <f>SUM(X56,X90)</f>
        <v/>
      </c>
      <c r="Y17" s="2625">
        <f>SUM(Y56,Y90)</f>
        <v/>
      </c>
      <c r="Z17" s="2625">
        <f>SUM(Z56,Z90)</f>
        <v/>
      </c>
      <c r="AA17" s="2625">
        <f>SUM(AA56,AA90)</f>
        <v/>
      </c>
      <c r="AB17" s="2625">
        <f>SUM(AB56,AB90)</f>
        <v/>
      </c>
      <c r="AC17" s="2625">
        <f>SUM(AC56,AC90)</f>
        <v/>
      </c>
      <c r="AD17" s="2625">
        <f>SUM(AD56,AD90)</f>
        <v/>
      </c>
      <c r="AE17" s="2626">
        <f>SUM(S17:AD17)</f>
        <v/>
      </c>
      <c r="AF17" s="1464" t="n"/>
      <c r="AG17" s="2625">
        <f>SUM(AG56,AG90)</f>
        <v/>
      </c>
      <c r="AH17" s="2625">
        <f>SUM(AH56,AH90)</f>
        <v/>
      </c>
      <c r="AI17" s="2625">
        <f>SUM(AI56,AI90)</f>
        <v/>
      </c>
      <c r="AJ17" s="2625">
        <f>SUM(AJ56,AJ90)</f>
        <v/>
      </c>
      <c r="AK17" s="2625">
        <f>SUM(AK56,AK90)</f>
        <v/>
      </c>
      <c r="AL17" s="2625">
        <f>SUM(AL56,AL90)</f>
        <v/>
      </c>
      <c r="AM17" s="2625">
        <f>SUM(AM56,AM90)</f>
        <v/>
      </c>
      <c r="AN17" s="2625">
        <f>SUM(AN56,AN90)</f>
        <v/>
      </c>
      <c r="AO17" s="2625">
        <f>SUM(AO56,AO90)</f>
        <v/>
      </c>
      <c r="AP17" s="2625">
        <f>SUM(AP56,AP90)</f>
        <v/>
      </c>
      <c r="AQ17" s="2625">
        <f>SUM(AQ56,AQ90)</f>
        <v/>
      </c>
      <c r="AR17" s="2625">
        <f>SUM(AR56,AR90)</f>
        <v/>
      </c>
      <c r="AS17" s="2626">
        <f>SUM(AG17:AR17)</f>
        <v/>
      </c>
      <c r="AU17" s="2625">
        <f>SUM(AU56,AU90)</f>
        <v/>
      </c>
      <c r="AV17" s="2625">
        <f>SUM(AV56,AV90)</f>
        <v/>
      </c>
      <c r="AW17" s="2625">
        <f>SUM(AW56,AW90)</f>
        <v/>
      </c>
      <c r="AX17" s="2625">
        <f>SUM(AX56,AX90)</f>
        <v/>
      </c>
      <c r="AY17" s="2625">
        <f>SUM(AY56,AY90)</f>
        <v/>
      </c>
      <c r="AZ17" s="2625">
        <f>SUM(AZ56,AZ90)</f>
        <v/>
      </c>
      <c r="BA17" s="2625">
        <f>SUM(BA56,BA90)</f>
        <v/>
      </c>
      <c r="BB17" s="2625">
        <f>SUM(BB56,BB90)</f>
        <v/>
      </c>
      <c r="BC17" s="2625">
        <f>SUM(BC56,BC90)</f>
        <v/>
      </c>
      <c r="BD17" s="2625">
        <f>SUM(BD56,BD90)</f>
        <v/>
      </c>
      <c r="BE17" s="2625">
        <f>SUM(BE56,BE90)</f>
        <v/>
      </c>
      <c r="BF17" s="2627">
        <f>SUM(BF56,BF90)</f>
        <v/>
      </c>
      <c r="BG17" s="2628">
        <f>SUM(AU17:BF17)</f>
        <v/>
      </c>
      <c r="BH17" s="2631" t="n"/>
      <c r="BI17" s="2627">
        <f>SUM(BI56,BI90)</f>
        <v/>
      </c>
      <c r="BJ17" s="2627">
        <f>SUM(BJ56,BJ90)</f>
        <v/>
      </c>
      <c r="BK17" s="2627">
        <f>SUM(BK56,BK90)</f>
        <v/>
      </c>
      <c r="BL17" s="2627">
        <f>SUM(BL56,BL90)</f>
        <v/>
      </c>
      <c r="BM17" s="2627">
        <f>SUM(BM56,BM90)</f>
        <v/>
      </c>
      <c r="BN17" s="2627">
        <f>SUM(BN56,BN90)</f>
        <v/>
      </c>
      <c r="BO17" s="2627">
        <f>SUM(BO56,BO90)</f>
        <v/>
      </c>
      <c r="BP17" s="2627">
        <f>SUM(BP56,BP90)</f>
        <v/>
      </c>
      <c r="BQ17" s="2627">
        <f>SUM(BQ56,BQ90)</f>
        <v/>
      </c>
      <c r="BR17" s="2627">
        <f>SUM(BR56,BR90)</f>
        <v/>
      </c>
      <c r="BS17" s="2627">
        <f>SUM(BS56,BS90)</f>
        <v/>
      </c>
      <c r="BT17" s="2627">
        <f>SUM(BT56,BT90)</f>
        <v/>
      </c>
      <c r="BU17" s="2628">
        <f>SUM(BI17:BT17)</f>
        <v/>
      </c>
    </row>
    <row r="18" outlineLevel="1">
      <c r="A18" s="1436" t="n"/>
      <c r="B18" s="1456" t="inlineStr">
        <is>
          <t>복리후생비</t>
        </is>
      </c>
      <c r="C18" s="1456" t="n"/>
      <c r="D18" s="2627" t="n"/>
      <c r="E18" s="2627" t="n"/>
      <c r="F18" s="2627" t="n"/>
      <c r="G18" s="2627" t="n"/>
      <c r="H18" s="2627" t="n"/>
      <c r="I18" s="2627" t="n"/>
      <c r="J18" s="2627" t="n"/>
      <c r="K18" s="2627" t="n"/>
      <c r="L18" s="2627" t="n"/>
      <c r="M18" s="2627" t="n"/>
      <c r="N18" s="2627" t="n"/>
      <c r="O18" s="2627" t="n"/>
      <c r="P18" s="2626">
        <f>SUM(D18:O18)</f>
        <v/>
      </c>
      <c r="Q18" s="1464" t="n"/>
      <c r="R18" s="1436" t="n"/>
      <c r="S18" s="2625">
        <f>SUM(S57,S91)</f>
        <v/>
      </c>
      <c r="T18" s="2625">
        <f>SUM(T57,T91)</f>
        <v/>
      </c>
      <c r="U18" s="2625">
        <f>SUM(U57,U91)</f>
        <v/>
      </c>
      <c r="V18" s="2625">
        <f>SUM(V57,V91)</f>
        <v/>
      </c>
      <c r="W18" s="2625">
        <f>SUM(W57,W91)</f>
        <v/>
      </c>
      <c r="X18" s="2625">
        <f>SUM(X57,X91)</f>
        <v/>
      </c>
      <c r="Y18" s="2625">
        <f>SUM(Y57,Y91)</f>
        <v/>
      </c>
      <c r="Z18" s="2625">
        <f>SUM(Z57,Z91)</f>
        <v/>
      </c>
      <c r="AA18" s="2625">
        <f>SUM(AA57,AA91)</f>
        <v/>
      </c>
      <c r="AB18" s="2625">
        <f>SUM(AB57,AB91)</f>
        <v/>
      </c>
      <c r="AC18" s="2625">
        <f>SUM(AC57,AC91)</f>
        <v/>
      </c>
      <c r="AD18" s="2625">
        <f>SUM(AD57,AD91)</f>
        <v/>
      </c>
      <c r="AE18" s="2626">
        <f>SUM(S18:AD18)</f>
        <v/>
      </c>
      <c r="AF18" s="1464" t="n"/>
      <c r="AG18" s="2625">
        <f>SUM(AG57,AG91)</f>
        <v/>
      </c>
      <c r="AH18" s="2625">
        <f>SUM(AH57,AH91)</f>
        <v/>
      </c>
      <c r="AI18" s="2625">
        <f>SUM(AI57,AI91)</f>
        <v/>
      </c>
      <c r="AJ18" s="2625">
        <f>SUM(AJ57,AJ91)</f>
        <v/>
      </c>
      <c r="AK18" s="2625">
        <f>SUM(AK57,AK91)</f>
        <v/>
      </c>
      <c r="AL18" s="2625">
        <f>SUM(AL57,AL91)</f>
        <v/>
      </c>
      <c r="AM18" s="2625">
        <f>SUM(AM57,AM91)</f>
        <v/>
      </c>
      <c r="AN18" s="2625">
        <f>SUM(AN57,AN91)</f>
        <v/>
      </c>
      <c r="AO18" s="2625">
        <f>SUM(AO57,AO91)</f>
        <v/>
      </c>
      <c r="AP18" s="2625">
        <f>SUM(AP57,AP91)</f>
        <v/>
      </c>
      <c r="AQ18" s="2625">
        <f>SUM(AQ57,AQ91)</f>
        <v/>
      </c>
      <c r="AR18" s="2625">
        <f>SUM(AR57,AR91)</f>
        <v/>
      </c>
      <c r="AS18" s="2626">
        <f>SUM(AG18:AR18)</f>
        <v/>
      </c>
      <c r="AU18" s="2625">
        <f>SUM(AU57,AU91)</f>
        <v/>
      </c>
      <c r="AV18" s="2625">
        <f>SUM(AV57,AV91)</f>
        <v/>
      </c>
      <c r="AW18" s="2625">
        <f>SUM(AW57,AW91)</f>
        <v/>
      </c>
      <c r="AX18" s="2625">
        <f>SUM(AX57,AX91)</f>
        <v/>
      </c>
      <c r="AY18" s="2625">
        <f>SUM(AY57,AY91)</f>
        <v/>
      </c>
      <c r="AZ18" s="2625">
        <f>SUM(AZ57,AZ91)</f>
        <v/>
      </c>
      <c r="BA18" s="2625">
        <f>SUM(BA57,BA91)</f>
        <v/>
      </c>
      <c r="BB18" s="2625">
        <f>SUM(BB57,BB91)</f>
        <v/>
      </c>
      <c r="BC18" s="2625">
        <f>SUM(BC57,BC91)</f>
        <v/>
      </c>
      <c r="BD18" s="2625">
        <f>SUM(BD57,BD91)</f>
        <v/>
      </c>
      <c r="BE18" s="2625">
        <f>SUM(BE57,BE91)</f>
        <v/>
      </c>
      <c r="BF18" s="2627">
        <f>SUM(BF57,BF91)</f>
        <v/>
      </c>
      <c r="BG18" s="2628">
        <f>SUM(AU18:BF18)</f>
        <v/>
      </c>
      <c r="BH18" s="2631" t="n"/>
      <c r="BI18" s="2627">
        <f>SUM(BI57,BI91)</f>
        <v/>
      </c>
      <c r="BJ18" s="2627">
        <f>SUM(BJ57,BJ91)</f>
        <v/>
      </c>
      <c r="BK18" s="2627">
        <f>SUM(BK57,BK91)</f>
        <v/>
      </c>
      <c r="BL18" s="2627">
        <f>SUM(BL57,BL91)</f>
        <v/>
      </c>
      <c r="BM18" s="2627">
        <f>SUM(BM57,BM91)</f>
        <v/>
      </c>
      <c r="BN18" s="2627">
        <f>SUM(BN57,BN91)</f>
        <v/>
      </c>
      <c r="BO18" s="2627">
        <f>SUM(BO57,BO91)</f>
        <v/>
      </c>
      <c r="BP18" s="2627">
        <f>SUM(BP57,BP91)</f>
        <v/>
      </c>
      <c r="BQ18" s="2627">
        <f>SUM(BQ57,BQ91)</f>
        <v/>
      </c>
      <c r="BR18" s="2627">
        <f>SUM(BR57,BR91)</f>
        <v/>
      </c>
      <c r="BS18" s="2627">
        <f>SUM(BS57,BS91)</f>
        <v/>
      </c>
      <c r="BT18" s="2627">
        <f>SUM(BT57,BT91)</f>
        <v/>
      </c>
      <c r="BU18" s="2628">
        <f>SUM(BI18:BT18)</f>
        <v/>
      </c>
    </row>
    <row r="19" outlineLevel="1">
      <c r="A19" s="1436" t="n"/>
      <c r="B19" s="1456" t="inlineStr">
        <is>
          <t>감가상각비</t>
        </is>
      </c>
      <c r="C19" s="1456" t="n"/>
      <c r="D19" s="2627" t="n"/>
      <c r="E19" s="2627" t="n"/>
      <c r="F19" s="2627" t="n"/>
      <c r="G19" s="2627" t="n"/>
      <c r="H19" s="2627" t="n"/>
      <c r="I19" s="2627" t="n"/>
      <c r="J19" s="2627" t="n"/>
      <c r="K19" s="2627" t="n"/>
      <c r="L19" s="2627" t="n"/>
      <c r="M19" s="2627" t="n"/>
      <c r="N19" s="2627" t="n"/>
      <c r="O19" s="2627" t="n"/>
      <c r="P19" s="2626">
        <f>SUM(D19:O19)</f>
        <v/>
      </c>
      <c r="Q19" s="1466" t="n"/>
      <c r="R19" s="1436" t="n"/>
      <c r="S19" s="2625">
        <f>SUM(S58,S92)</f>
        <v/>
      </c>
      <c r="T19" s="2625">
        <f>SUM(T58,T92)</f>
        <v/>
      </c>
      <c r="U19" s="2625">
        <f>SUM(U58,U92)</f>
        <v/>
      </c>
      <c r="V19" s="2625">
        <f>SUM(V58,V92)</f>
        <v/>
      </c>
      <c r="W19" s="2625">
        <f>SUM(W58,W92)</f>
        <v/>
      </c>
      <c r="X19" s="2625">
        <f>SUM(X58,X92)</f>
        <v/>
      </c>
      <c r="Y19" s="2625">
        <f>SUM(Y58,Y92)</f>
        <v/>
      </c>
      <c r="Z19" s="2625">
        <f>SUM(Z58,Z92)</f>
        <v/>
      </c>
      <c r="AA19" s="2625">
        <f>SUM(AA58,AA92)</f>
        <v/>
      </c>
      <c r="AB19" s="2625">
        <f>SUM(AB58,AB92)</f>
        <v/>
      </c>
      <c r="AC19" s="2625">
        <f>SUM(AC58,AC92)</f>
        <v/>
      </c>
      <c r="AD19" s="2625">
        <f>SUM(AD58,AD92)</f>
        <v/>
      </c>
      <c r="AE19" s="2626">
        <f>SUM(S19:AD19)</f>
        <v/>
      </c>
      <c r="AF19" s="1466" t="n"/>
      <c r="AG19" s="2625">
        <f>SUM(AG58,AG92)</f>
        <v/>
      </c>
      <c r="AH19" s="2625">
        <f>SUM(AH58,AH92)</f>
        <v/>
      </c>
      <c r="AI19" s="2625">
        <f>SUM(AI58,AI92)</f>
        <v/>
      </c>
      <c r="AJ19" s="2625">
        <f>SUM(AJ58,AJ92)</f>
        <v/>
      </c>
      <c r="AK19" s="2625">
        <f>SUM(AK58,AK92)</f>
        <v/>
      </c>
      <c r="AL19" s="2625">
        <f>SUM(AL58,AL92)</f>
        <v/>
      </c>
      <c r="AM19" s="2625">
        <f>SUM(AM58,AM92)</f>
        <v/>
      </c>
      <c r="AN19" s="2625">
        <f>SUM(AN58,AN92)</f>
        <v/>
      </c>
      <c r="AO19" s="2625">
        <f>SUM(AO58,AO92)</f>
        <v/>
      </c>
      <c r="AP19" s="2625">
        <f>SUM(AP58,AP92)</f>
        <v/>
      </c>
      <c r="AQ19" s="2625">
        <f>SUM(AQ58,AQ92)</f>
        <v/>
      </c>
      <c r="AR19" s="2625">
        <f>SUM(AR58,AR92)</f>
        <v/>
      </c>
      <c r="AS19" s="2626">
        <f>SUM(AG19:AR19)</f>
        <v/>
      </c>
      <c r="AU19" s="2625">
        <f>SUM(AU58,AU92)</f>
        <v/>
      </c>
      <c r="AV19" s="2625">
        <f>SUM(AV58,AV92)</f>
        <v/>
      </c>
      <c r="AW19" s="2625">
        <f>SUM(AW58,AW92)</f>
        <v/>
      </c>
      <c r="AX19" s="2625">
        <f>SUM(AX58,AX92)</f>
        <v/>
      </c>
      <c r="AY19" s="2625">
        <f>SUM(AY58,AY92)</f>
        <v/>
      </c>
      <c r="AZ19" s="2625">
        <f>SUM(AZ58,AZ92)</f>
        <v/>
      </c>
      <c r="BA19" s="2625">
        <f>SUM(BA58,BA92)</f>
        <v/>
      </c>
      <c r="BB19" s="2625">
        <f>SUM(BB58,BB92)</f>
        <v/>
      </c>
      <c r="BC19" s="2625">
        <f>SUM(BC58,BC92)</f>
        <v/>
      </c>
      <c r="BD19" s="2625">
        <f>SUM(BD58,BD92)</f>
        <v/>
      </c>
      <c r="BE19" s="2625">
        <f>SUM(BE58,BE92)</f>
        <v/>
      </c>
      <c r="BF19" s="2627">
        <f>SUM(BF58,BF92)</f>
        <v/>
      </c>
      <c r="BG19" s="2628">
        <f>SUM(AU19:BF19)</f>
        <v/>
      </c>
      <c r="BH19" s="2631" t="n"/>
      <c r="BI19" s="2627">
        <f>SUM(BI58,BI92)</f>
        <v/>
      </c>
      <c r="BJ19" s="2627">
        <f>SUM(BJ58,BJ92)</f>
        <v/>
      </c>
      <c r="BK19" s="2627">
        <f>SUM(BK58,BK92)</f>
        <v/>
      </c>
      <c r="BL19" s="2627">
        <f>SUM(BL58,BL92)</f>
        <v/>
      </c>
      <c r="BM19" s="2627">
        <f>SUM(BM58,BM92)</f>
        <v/>
      </c>
      <c r="BN19" s="2627">
        <f>SUM(BN58,BN92)</f>
        <v/>
      </c>
      <c r="BO19" s="2627">
        <f>SUM(BO58,BO92)</f>
        <v/>
      </c>
      <c r="BP19" s="2627">
        <f>SUM(BP58,BP92)</f>
        <v/>
      </c>
      <c r="BQ19" s="2627">
        <f>SUM(BQ58,BQ92)</f>
        <v/>
      </c>
      <c r="BR19" s="2627">
        <f>SUM(BR58,BR92)</f>
        <v/>
      </c>
      <c r="BS19" s="2627">
        <f>SUM(BS58,BS92)</f>
        <v/>
      </c>
      <c r="BT19" s="2627">
        <f>SUM(BT58,BT92)</f>
        <v/>
      </c>
      <c r="BU19" s="2628">
        <f>SUM(BI19:BT19)</f>
        <v/>
      </c>
    </row>
    <row r="20" outlineLevel="1">
      <c r="A20" s="1436" t="n"/>
      <c r="B20" s="1456" t="inlineStr">
        <is>
          <t>여비교통비</t>
        </is>
      </c>
      <c r="C20" s="1456" t="n"/>
      <c r="D20" s="2627" t="n"/>
      <c r="E20" s="2627" t="n"/>
      <c r="F20" s="2627" t="n"/>
      <c r="G20" s="2627" t="n"/>
      <c r="H20" s="2627" t="n"/>
      <c r="I20" s="2627" t="n"/>
      <c r="J20" s="2627" t="n"/>
      <c r="K20" s="2627" t="n"/>
      <c r="L20" s="2627" t="n"/>
      <c r="M20" s="2627" t="n"/>
      <c r="N20" s="2627" t="n"/>
      <c r="O20" s="2627" t="n"/>
      <c r="P20" s="2626">
        <f>SUM(D20:O20)</f>
        <v/>
      </c>
      <c r="Q20" s="1464" t="n"/>
      <c r="R20" s="1436" t="n"/>
      <c r="S20" s="2625">
        <f>SUM(S59,S93)</f>
        <v/>
      </c>
      <c r="T20" s="2625">
        <f>SUM(T59,T93)</f>
        <v/>
      </c>
      <c r="U20" s="2625">
        <f>SUM(U59,U93)</f>
        <v/>
      </c>
      <c r="V20" s="2625">
        <f>SUM(V59,V93)</f>
        <v/>
      </c>
      <c r="W20" s="2625">
        <f>SUM(W59,W93)</f>
        <v/>
      </c>
      <c r="X20" s="2625">
        <f>SUM(X59,X93)</f>
        <v/>
      </c>
      <c r="Y20" s="2625">
        <f>SUM(Y59,Y93)</f>
        <v/>
      </c>
      <c r="Z20" s="2625">
        <f>SUM(Z59,Z93)</f>
        <v/>
      </c>
      <c r="AA20" s="2625">
        <f>SUM(AA59,AA93)</f>
        <v/>
      </c>
      <c r="AB20" s="2625">
        <f>SUM(AB59,AB93)</f>
        <v/>
      </c>
      <c r="AC20" s="2625">
        <f>SUM(AC59,AC93)</f>
        <v/>
      </c>
      <c r="AD20" s="2625">
        <f>SUM(AD59,AD93)</f>
        <v/>
      </c>
      <c r="AE20" s="2626">
        <f>SUM(S20:AD20)</f>
        <v/>
      </c>
      <c r="AF20" s="1464" t="n"/>
      <c r="AG20" s="2625">
        <f>SUM(AG59,AG93)</f>
        <v/>
      </c>
      <c r="AH20" s="2625">
        <f>SUM(AH59,AH93)</f>
        <v/>
      </c>
      <c r="AI20" s="2625">
        <f>SUM(AI59,AI93)</f>
        <v/>
      </c>
      <c r="AJ20" s="2625">
        <f>SUM(AJ59,AJ93)</f>
        <v/>
      </c>
      <c r="AK20" s="2625">
        <f>SUM(AK59,AK93)</f>
        <v/>
      </c>
      <c r="AL20" s="2625">
        <f>SUM(AL59,AL93)</f>
        <v/>
      </c>
      <c r="AM20" s="2625">
        <f>SUM(AM59,AM93)</f>
        <v/>
      </c>
      <c r="AN20" s="2625">
        <f>SUM(AN59,AN93)</f>
        <v/>
      </c>
      <c r="AO20" s="2625">
        <f>SUM(AO59,AO93)</f>
        <v/>
      </c>
      <c r="AP20" s="2625">
        <f>SUM(AP59,AP93)</f>
        <v/>
      </c>
      <c r="AQ20" s="2625">
        <f>SUM(AQ59,AQ93)</f>
        <v/>
      </c>
      <c r="AR20" s="2625">
        <f>SUM(AR59,AR93)</f>
        <v/>
      </c>
      <c r="AS20" s="2626">
        <f>SUM(AG20:AR20)</f>
        <v/>
      </c>
      <c r="AU20" s="2625">
        <f>SUM(AU59,AU93)</f>
        <v/>
      </c>
      <c r="AV20" s="2625">
        <f>SUM(AV59,AV93)</f>
        <v/>
      </c>
      <c r="AW20" s="2625">
        <f>SUM(AW59,AW93)</f>
        <v/>
      </c>
      <c r="AX20" s="2625">
        <f>SUM(AX59,AX93)</f>
        <v/>
      </c>
      <c r="AY20" s="2625">
        <f>SUM(AY59,AY93)</f>
        <v/>
      </c>
      <c r="AZ20" s="2625">
        <f>SUM(AZ59,AZ93)</f>
        <v/>
      </c>
      <c r="BA20" s="2625">
        <f>SUM(BA59,BA93)</f>
        <v/>
      </c>
      <c r="BB20" s="2625">
        <f>SUM(BB59,BB93)</f>
        <v/>
      </c>
      <c r="BC20" s="2625">
        <f>SUM(BC59,BC93)</f>
        <v/>
      </c>
      <c r="BD20" s="2625">
        <f>SUM(BD59,BD93)</f>
        <v/>
      </c>
      <c r="BE20" s="2625">
        <f>SUM(BE59,BE93)</f>
        <v/>
      </c>
      <c r="BF20" s="2627">
        <f>SUM(BF59,BF93)</f>
        <v/>
      </c>
      <c r="BG20" s="2628">
        <f>SUM(AU20:BF20)</f>
        <v/>
      </c>
      <c r="BH20" s="2631" t="n"/>
      <c r="BI20" s="2627">
        <f>SUM(BI59,BI93)</f>
        <v/>
      </c>
      <c r="BJ20" s="2627">
        <f>SUM(BJ59,BJ93)</f>
        <v/>
      </c>
      <c r="BK20" s="2627">
        <f>SUM(BK59,BK93)</f>
        <v/>
      </c>
      <c r="BL20" s="2627">
        <f>SUM(BL59,BL93)</f>
        <v/>
      </c>
      <c r="BM20" s="2627">
        <f>SUM(BM59,BM93)</f>
        <v/>
      </c>
      <c r="BN20" s="2627">
        <f>SUM(BN59,BN93)</f>
        <v/>
      </c>
      <c r="BO20" s="2627">
        <f>SUM(BO59,BO93)</f>
        <v/>
      </c>
      <c r="BP20" s="2627">
        <f>SUM(BP59,BP93)</f>
        <v/>
      </c>
      <c r="BQ20" s="2627">
        <f>SUM(BQ59,BQ93)</f>
        <v/>
      </c>
      <c r="BR20" s="2627">
        <f>SUM(BR59,BR93)</f>
        <v/>
      </c>
      <c r="BS20" s="2627">
        <f>SUM(BS59,BS93)</f>
        <v/>
      </c>
      <c r="BT20" s="2627">
        <f>SUM(BT59,BT93)</f>
        <v/>
      </c>
      <c r="BU20" s="2628">
        <f>SUM(BI20:BT20)</f>
        <v/>
      </c>
    </row>
    <row r="21" outlineLevel="1">
      <c r="A21" s="1436" t="n"/>
      <c r="B21" s="1456" t="inlineStr">
        <is>
          <t>접대비</t>
        </is>
      </c>
      <c r="C21" s="1456" t="n"/>
      <c r="D21" s="2627" t="n"/>
      <c r="E21" s="2627" t="n"/>
      <c r="F21" s="2627" t="n"/>
      <c r="G21" s="2627" t="n"/>
      <c r="H21" s="2627" t="n"/>
      <c r="I21" s="2627" t="n"/>
      <c r="J21" s="2627" t="n"/>
      <c r="K21" s="2627" t="n"/>
      <c r="L21" s="2627" t="n"/>
      <c r="M21" s="2627" t="n"/>
      <c r="N21" s="2627" t="n"/>
      <c r="O21" s="2627" t="n"/>
      <c r="P21" s="2626">
        <f>SUM(D21:O21)</f>
        <v/>
      </c>
      <c r="Q21" s="1466" t="n"/>
      <c r="R21" s="1436" t="n"/>
      <c r="S21" s="2625">
        <f>SUM(S60,S94)</f>
        <v/>
      </c>
      <c r="T21" s="2625">
        <f>SUM(T60,T94)</f>
        <v/>
      </c>
      <c r="U21" s="2625">
        <f>SUM(U60,U94)</f>
        <v/>
      </c>
      <c r="V21" s="2625">
        <f>SUM(V60,V94)</f>
        <v/>
      </c>
      <c r="W21" s="2625">
        <f>SUM(W60,W94)</f>
        <v/>
      </c>
      <c r="X21" s="2625">
        <f>SUM(X60,X94)</f>
        <v/>
      </c>
      <c r="Y21" s="2625">
        <f>SUM(Y60,Y94)</f>
        <v/>
      </c>
      <c r="Z21" s="2625">
        <f>SUM(Z60,Z94)</f>
        <v/>
      </c>
      <c r="AA21" s="2625">
        <f>SUM(AA60,AA94)</f>
        <v/>
      </c>
      <c r="AB21" s="2625">
        <f>SUM(AB60,AB94)</f>
        <v/>
      </c>
      <c r="AC21" s="2625">
        <f>SUM(AC60,AC94)</f>
        <v/>
      </c>
      <c r="AD21" s="2625">
        <f>SUM(AD60,AD94)</f>
        <v/>
      </c>
      <c r="AE21" s="2626">
        <f>SUM(S21:AD21)</f>
        <v/>
      </c>
      <c r="AF21" s="1466" t="n"/>
      <c r="AG21" s="2625">
        <f>SUM(AG60,AG94)</f>
        <v/>
      </c>
      <c r="AH21" s="2625">
        <f>SUM(AH60,AH94)</f>
        <v/>
      </c>
      <c r="AI21" s="2625">
        <f>SUM(AI60,AI94)</f>
        <v/>
      </c>
      <c r="AJ21" s="2625">
        <f>SUM(AJ60,AJ94)</f>
        <v/>
      </c>
      <c r="AK21" s="2625">
        <f>SUM(AK60,AK94)</f>
        <v/>
      </c>
      <c r="AL21" s="2625">
        <f>SUM(AL60,AL94)</f>
        <v/>
      </c>
      <c r="AM21" s="2625">
        <f>SUM(AM60,AM94)</f>
        <v/>
      </c>
      <c r="AN21" s="2625">
        <f>SUM(AN60,AN94)</f>
        <v/>
      </c>
      <c r="AO21" s="2625">
        <f>SUM(AO60,AO94)</f>
        <v/>
      </c>
      <c r="AP21" s="2625">
        <f>SUM(AP60,AP94)</f>
        <v/>
      </c>
      <c r="AQ21" s="2625">
        <f>SUM(AQ60,AQ94)</f>
        <v/>
      </c>
      <c r="AR21" s="2625">
        <f>SUM(AR60,AR94)</f>
        <v/>
      </c>
      <c r="AS21" s="2626">
        <f>SUM(AG21:AR21)</f>
        <v/>
      </c>
      <c r="AU21" s="2625">
        <f>SUM(AU60,AU94)</f>
        <v/>
      </c>
      <c r="AV21" s="2625">
        <f>SUM(AV60,AV94)</f>
        <v/>
      </c>
      <c r="AW21" s="2625">
        <f>SUM(AW60,AW94)</f>
        <v/>
      </c>
      <c r="AX21" s="2625">
        <f>SUM(AX60,AX94)</f>
        <v/>
      </c>
      <c r="AY21" s="2625">
        <f>SUM(AY60,AY94)</f>
        <v/>
      </c>
      <c r="AZ21" s="2625">
        <f>SUM(AZ60,AZ94)</f>
        <v/>
      </c>
      <c r="BA21" s="2625">
        <f>SUM(BA60,BA94)</f>
        <v/>
      </c>
      <c r="BB21" s="2625">
        <f>SUM(BB60,BB94)</f>
        <v/>
      </c>
      <c r="BC21" s="2625">
        <f>SUM(BC60,BC94)</f>
        <v/>
      </c>
      <c r="BD21" s="2625">
        <f>SUM(BD60,BD94)</f>
        <v/>
      </c>
      <c r="BE21" s="2625">
        <f>SUM(BE60,BE94)</f>
        <v/>
      </c>
      <c r="BF21" s="2627">
        <f>SUM(BF60,BF94)</f>
        <v/>
      </c>
      <c r="BG21" s="2628">
        <f>SUM(AU21:BF21)</f>
        <v/>
      </c>
      <c r="BH21" s="2631" t="n"/>
      <c r="BI21" s="2627">
        <f>SUM(BI60,BI94)</f>
        <v/>
      </c>
      <c r="BJ21" s="2627">
        <f>SUM(BJ60,BJ94)</f>
        <v/>
      </c>
      <c r="BK21" s="2627">
        <f>SUM(BK60,BK94)</f>
        <v/>
      </c>
      <c r="BL21" s="2627">
        <f>SUM(BL60,BL94)</f>
        <v/>
      </c>
      <c r="BM21" s="2627">
        <f>SUM(BM60,BM94)</f>
        <v/>
      </c>
      <c r="BN21" s="2627">
        <f>SUM(BN60,BN94)</f>
        <v/>
      </c>
      <c r="BO21" s="2627">
        <f>SUM(BO60,BO94)</f>
        <v/>
      </c>
      <c r="BP21" s="2627">
        <f>SUM(BP60,BP94)</f>
        <v/>
      </c>
      <c r="BQ21" s="2627">
        <f>SUM(BQ60,BQ94)</f>
        <v/>
      </c>
      <c r="BR21" s="2627">
        <f>SUM(BR60,BR94)</f>
        <v/>
      </c>
      <c r="BS21" s="2627">
        <f>SUM(BS60,BS94)</f>
        <v/>
      </c>
      <c r="BT21" s="2627">
        <f>SUM(BT60,BT94)</f>
        <v/>
      </c>
      <c r="BU21" s="2628">
        <f>SUM(BI21:BT21)</f>
        <v/>
      </c>
    </row>
    <row r="22" outlineLevel="1">
      <c r="A22" s="1436" t="n"/>
      <c r="B22" s="1456" t="inlineStr">
        <is>
          <t>통신비</t>
        </is>
      </c>
      <c r="C22" s="1456" t="n"/>
      <c r="D22" s="2627" t="n"/>
      <c r="E22" s="2627" t="n"/>
      <c r="F22" s="2627" t="n"/>
      <c r="G22" s="2627" t="n"/>
      <c r="H22" s="2627" t="n"/>
      <c r="I22" s="2627" t="n"/>
      <c r="J22" s="2627" t="n"/>
      <c r="K22" s="2627" t="n"/>
      <c r="L22" s="2627" t="n"/>
      <c r="M22" s="2627" t="n"/>
      <c r="N22" s="2627" t="n"/>
      <c r="O22" s="2627" t="n"/>
      <c r="P22" s="2626">
        <f>SUM(D22:O22)</f>
        <v/>
      </c>
      <c r="Q22" s="1467" t="n"/>
      <c r="R22" s="1436" t="n"/>
      <c r="S22" s="2625">
        <f>SUM(S61,S95)</f>
        <v/>
      </c>
      <c r="T22" s="2625">
        <f>SUM(T61,T95)</f>
        <v/>
      </c>
      <c r="U22" s="2625">
        <f>SUM(U61,U95)</f>
        <v/>
      </c>
      <c r="V22" s="2625">
        <f>SUM(V61,V95)</f>
        <v/>
      </c>
      <c r="W22" s="2625">
        <f>SUM(W61,W95)</f>
        <v/>
      </c>
      <c r="X22" s="2625">
        <f>SUM(X61,X95)</f>
        <v/>
      </c>
      <c r="Y22" s="2625">
        <f>SUM(Y61,Y95)</f>
        <v/>
      </c>
      <c r="Z22" s="2625">
        <f>SUM(Z61,Z95)</f>
        <v/>
      </c>
      <c r="AA22" s="2625">
        <f>SUM(AA61,AA95)</f>
        <v/>
      </c>
      <c r="AB22" s="2625">
        <f>SUM(AB61,AB95)</f>
        <v/>
      </c>
      <c r="AC22" s="2625">
        <f>SUM(AC61,AC95)</f>
        <v/>
      </c>
      <c r="AD22" s="2625">
        <f>SUM(AD61,AD95)</f>
        <v/>
      </c>
      <c r="AE22" s="2626">
        <f>SUM(S22:AD22)</f>
        <v/>
      </c>
      <c r="AF22" s="1467" t="n"/>
      <c r="AG22" s="2625">
        <f>SUM(AG61,AG95)</f>
        <v/>
      </c>
      <c r="AH22" s="2625">
        <f>SUM(AH61,AH95)</f>
        <v/>
      </c>
      <c r="AI22" s="2625">
        <f>SUM(AI61,AI95)</f>
        <v/>
      </c>
      <c r="AJ22" s="2625">
        <f>SUM(AJ61,AJ95)</f>
        <v/>
      </c>
      <c r="AK22" s="2625">
        <f>SUM(AK61,AK95)</f>
        <v/>
      </c>
      <c r="AL22" s="2625">
        <f>SUM(AL61,AL95)</f>
        <v/>
      </c>
      <c r="AM22" s="2625">
        <f>SUM(AM61,AM95)</f>
        <v/>
      </c>
      <c r="AN22" s="2625">
        <f>SUM(AN61,AN95)</f>
        <v/>
      </c>
      <c r="AO22" s="2625">
        <f>SUM(AO61,AO95)</f>
        <v/>
      </c>
      <c r="AP22" s="2625">
        <f>SUM(AP61,AP95)</f>
        <v/>
      </c>
      <c r="AQ22" s="2625">
        <f>SUM(AQ61,AQ95)</f>
        <v/>
      </c>
      <c r="AR22" s="2625">
        <f>SUM(AR61,AR95)</f>
        <v/>
      </c>
      <c r="AS22" s="2626">
        <f>SUM(AG22:AR22)</f>
        <v/>
      </c>
      <c r="AU22" s="2625">
        <f>SUM(AU61,AU95)</f>
        <v/>
      </c>
      <c r="AV22" s="2625">
        <f>SUM(AV61,AV95)</f>
        <v/>
      </c>
      <c r="AW22" s="2625">
        <f>SUM(AW61,AW95)</f>
        <v/>
      </c>
      <c r="AX22" s="2625">
        <f>SUM(AX61,AX95)</f>
        <v/>
      </c>
      <c r="AY22" s="2625">
        <f>SUM(AY61,AY95)</f>
        <v/>
      </c>
      <c r="AZ22" s="2625">
        <f>SUM(AZ61,AZ95)</f>
        <v/>
      </c>
      <c r="BA22" s="2625">
        <f>SUM(BA61,BA95)</f>
        <v/>
      </c>
      <c r="BB22" s="2625">
        <f>SUM(BB61,BB95)</f>
        <v/>
      </c>
      <c r="BC22" s="2625">
        <f>SUM(BC61,BC95)</f>
        <v/>
      </c>
      <c r="BD22" s="2625">
        <f>SUM(BD61,BD95)</f>
        <v/>
      </c>
      <c r="BE22" s="2625">
        <f>SUM(BE61,BE95)</f>
        <v/>
      </c>
      <c r="BF22" s="2627">
        <f>SUM(BF61,BF95)</f>
        <v/>
      </c>
      <c r="BG22" s="2628">
        <f>SUM(AU22:BF22)</f>
        <v/>
      </c>
      <c r="BH22" s="2631" t="n"/>
      <c r="BI22" s="2627">
        <f>SUM(BI61,BI95)</f>
        <v/>
      </c>
      <c r="BJ22" s="2627">
        <f>SUM(BJ61,BJ95)</f>
        <v/>
      </c>
      <c r="BK22" s="2627">
        <f>SUM(BK61,BK95)</f>
        <v/>
      </c>
      <c r="BL22" s="2627">
        <f>SUM(BL61,BL95)</f>
        <v/>
      </c>
      <c r="BM22" s="2627">
        <f>SUM(BM61,BM95)</f>
        <v/>
      </c>
      <c r="BN22" s="2627">
        <f>SUM(BN61,BN95)</f>
        <v/>
      </c>
      <c r="BO22" s="2627">
        <f>SUM(BO61,BO95)</f>
        <v/>
      </c>
      <c r="BP22" s="2627">
        <f>SUM(BP61,BP95)</f>
        <v/>
      </c>
      <c r="BQ22" s="2627">
        <f>SUM(BQ61,BQ95)</f>
        <v/>
      </c>
      <c r="BR22" s="2627">
        <f>SUM(BR61,BR95)</f>
        <v/>
      </c>
      <c r="BS22" s="2627">
        <f>SUM(BS61,BS95)</f>
        <v/>
      </c>
      <c r="BT22" s="2627">
        <f>SUM(BT61,BT95)</f>
        <v/>
      </c>
      <c r="BU22" s="2628">
        <f>SUM(BI22:BT22)</f>
        <v/>
      </c>
    </row>
    <row r="23" outlineLevel="1">
      <c r="A23" s="1436" t="n"/>
      <c r="B23" s="1456" t="inlineStr">
        <is>
          <t>수도광열비</t>
        </is>
      </c>
      <c r="C23" s="1456" t="n"/>
      <c r="D23" s="2627" t="n"/>
      <c r="E23" s="2627" t="n"/>
      <c r="F23" s="2627" t="n"/>
      <c r="G23" s="2627" t="n"/>
      <c r="H23" s="2627" t="n"/>
      <c r="I23" s="2627" t="n"/>
      <c r="J23" s="2627" t="n"/>
      <c r="K23" s="2627" t="n"/>
      <c r="L23" s="2627" t="n"/>
      <c r="M23" s="2627" t="n"/>
      <c r="N23" s="2627" t="n"/>
      <c r="O23" s="2627" t="n"/>
      <c r="P23" s="2626">
        <f>SUM(D23:O23)</f>
        <v/>
      </c>
      <c r="Q23" s="1466" t="n"/>
      <c r="R23" s="1436" t="n"/>
      <c r="S23" s="2625">
        <f>SUM(S62,S96)</f>
        <v/>
      </c>
      <c r="T23" s="2625">
        <f>SUM(T62,T96)</f>
        <v/>
      </c>
      <c r="U23" s="2625">
        <f>SUM(U62,U96)</f>
        <v/>
      </c>
      <c r="V23" s="2625">
        <f>SUM(V62,V96)</f>
        <v/>
      </c>
      <c r="W23" s="2625">
        <f>SUM(W62,W96)</f>
        <v/>
      </c>
      <c r="X23" s="2625">
        <f>SUM(X62,X96)</f>
        <v/>
      </c>
      <c r="Y23" s="2625">
        <f>SUM(Y62,Y96)</f>
        <v/>
      </c>
      <c r="Z23" s="2625">
        <f>SUM(Z62,Z96)</f>
        <v/>
      </c>
      <c r="AA23" s="2625">
        <f>SUM(AA62,AA96)</f>
        <v/>
      </c>
      <c r="AB23" s="2625">
        <f>SUM(AB62,AB96)</f>
        <v/>
      </c>
      <c r="AC23" s="2625">
        <f>SUM(AC62,AC96)</f>
        <v/>
      </c>
      <c r="AD23" s="2625">
        <f>SUM(AD62,AD96)</f>
        <v/>
      </c>
      <c r="AE23" s="2626">
        <f>SUM(S23:AD23)</f>
        <v/>
      </c>
      <c r="AF23" s="1466" t="n"/>
      <c r="AG23" s="2625">
        <f>SUM(AG62,AG96)</f>
        <v/>
      </c>
      <c r="AH23" s="2625">
        <f>SUM(AH62,AH96)</f>
        <v/>
      </c>
      <c r="AI23" s="2625">
        <f>SUM(AI62,AI96)</f>
        <v/>
      </c>
      <c r="AJ23" s="2625">
        <f>SUM(AJ62,AJ96)</f>
        <v/>
      </c>
      <c r="AK23" s="2625">
        <f>SUM(AK62,AK96)</f>
        <v/>
      </c>
      <c r="AL23" s="2625">
        <f>SUM(AL62,AL96)</f>
        <v/>
      </c>
      <c r="AM23" s="2625">
        <f>SUM(AM62,AM96)</f>
        <v/>
      </c>
      <c r="AN23" s="2625">
        <f>SUM(AN62,AN96)</f>
        <v/>
      </c>
      <c r="AO23" s="2625">
        <f>SUM(AO62,AO96)</f>
        <v/>
      </c>
      <c r="AP23" s="2625">
        <f>SUM(AP62,AP96)</f>
        <v/>
      </c>
      <c r="AQ23" s="2625">
        <f>SUM(AQ62,AQ96)</f>
        <v/>
      </c>
      <c r="AR23" s="2625">
        <f>SUM(AR62,AR96)</f>
        <v/>
      </c>
      <c r="AS23" s="2626">
        <f>SUM(AG23:AR23)</f>
        <v/>
      </c>
      <c r="AU23" s="2625">
        <f>SUM(AU62,AU96)</f>
        <v/>
      </c>
      <c r="AV23" s="2625">
        <f>SUM(AV62,AV96)</f>
        <v/>
      </c>
      <c r="AW23" s="2625">
        <f>SUM(AW62,AW96)</f>
        <v/>
      </c>
      <c r="AX23" s="2625">
        <f>SUM(AX62,AX96)</f>
        <v/>
      </c>
      <c r="AY23" s="2625">
        <f>SUM(AY62,AY96)</f>
        <v/>
      </c>
      <c r="AZ23" s="2625">
        <f>SUM(AZ62,AZ96)</f>
        <v/>
      </c>
      <c r="BA23" s="2625">
        <f>SUM(BA62,BA96)</f>
        <v/>
      </c>
      <c r="BB23" s="2625">
        <f>SUM(BB62,BB96)</f>
        <v/>
      </c>
      <c r="BC23" s="2625">
        <f>SUM(BC62,BC96)</f>
        <v/>
      </c>
      <c r="BD23" s="2625">
        <f>SUM(BD62,BD96)</f>
        <v/>
      </c>
      <c r="BE23" s="2625">
        <f>SUM(BE62,BE96)</f>
        <v/>
      </c>
      <c r="BF23" s="2627">
        <f>SUM(BF62,BF96)</f>
        <v/>
      </c>
      <c r="BG23" s="2628">
        <f>SUM(AU23:BF23)</f>
        <v/>
      </c>
      <c r="BH23" s="2631" t="n"/>
      <c r="BI23" s="2627">
        <f>SUM(BI62,BI96)</f>
        <v/>
      </c>
      <c r="BJ23" s="2627">
        <f>SUM(BJ62,BJ96)</f>
        <v/>
      </c>
      <c r="BK23" s="2627">
        <f>SUM(BK62,BK96)</f>
        <v/>
      </c>
      <c r="BL23" s="2627">
        <f>SUM(BL62,BL96)</f>
        <v/>
      </c>
      <c r="BM23" s="2627">
        <f>SUM(BM62,BM96)</f>
        <v/>
      </c>
      <c r="BN23" s="2627">
        <f>SUM(BN62,BN96)</f>
        <v/>
      </c>
      <c r="BO23" s="2627">
        <f>SUM(BO62,BO96)</f>
        <v/>
      </c>
      <c r="BP23" s="2627">
        <f>SUM(BP62,BP96)</f>
        <v/>
      </c>
      <c r="BQ23" s="2627">
        <f>SUM(BQ62,BQ96)</f>
        <v/>
      </c>
      <c r="BR23" s="2627">
        <f>SUM(BR62,BR96)</f>
        <v/>
      </c>
      <c r="BS23" s="2627">
        <f>SUM(BS62,BS96)</f>
        <v/>
      </c>
      <c r="BT23" s="2627">
        <f>SUM(BT62,BT96)</f>
        <v/>
      </c>
      <c r="BU23" s="2628">
        <f>SUM(BI23:BT23)</f>
        <v/>
      </c>
    </row>
    <row r="24" outlineLevel="1">
      <c r="A24" s="1436" t="n"/>
      <c r="B24" s="1456" t="inlineStr">
        <is>
          <t>세금과공과금</t>
        </is>
      </c>
      <c r="C24" s="1456" t="n"/>
      <c r="D24" s="2627" t="n"/>
      <c r="E24" s="2627" t="n"/>
      <c r="F24" s="2627" t="n"/>
      <c r="G24" s="2627" t="n"/>
      <c r="H24" s="2627" t="n"/>
      <c r="I24" s="2627" t="n"/>
      <c r="J24" s="2627" t="n"/>
      <c r="K24" s="2627" t="n"/>
      <c r="L24" s="2627" t="n"/>
      <c r="M24" s="2627" t="n"/>
      <c r="N24" s="2627" t="n"/>
      <c r="O24" s="2627" t="n"/>
      <c r="P24" s="2626">
        <f>SUM(D24:O24)</f>
        <v/>
      </c>
      <c r="Q24" s="1466" t="n"/>
      <c r="R24" s="1436" t="n"/>
      <c r="S24" s="2625">
        <f>SUM(S63,S97)</f>
        <v/>
      </c>
      <c r="T24" s="2625">
        <f>SUM(T63,T97)</f>
        <v/>
      </c>
      <c r="U24" s="2625">
        <f>SUM(U63,U97)</f>
        <v/>
      </c>
      <c r="V24" s="2625">
        <f>SUM(V63,V97)</f>
        <v/>
      </c>
      <c r="W24" s="2625">
        <f>SUM(W63,W97)</f>
        <v/>
      </c>
      <c r="X24" s="2625">
        <f>SUM(X63,X97)</f>
        <v/>
      </c>
      <c r="Y24" s="2625">
        <f>SUM(Y63,Y97)</f>
        <v/>
      </c>
      <c r="Z24" s="2625">
        <f>SUM(Z63,Z97)</f>
        <v/>
      </c>
      <c r="AA24" s="2625">
        <f>SUM(AA63,AA97)</f>
        <v/>
      </c>
      <c r="AB24" s="2625">
        <f>SUM(AB63,AB97)</f>
        <v/>
      </c>
      <c r="AC24" s="2625">
        <f>SUM(AC63,AC97)</f>
        <v/>
      </c>
      <c r="AD24" s="2625">
        <f>SUM(AD63,AD97)</f>
        <v/>
      </c>
      <c r="AE24" s="2626">
        <f>SUM(S24:AD24)</f>
        <v/>
      </c>
      <c r="AF24" s="1464" t="n"/>
      <c r="AG24" s="2625">
        <f>SUM(AG63,AG97)</f>
        <v/>
      </c>
      <c r="AH24" s="2625">
        <f>SUM(AH63,AH97)</f>
        <v/>
      </c>
      <c r="AI24" s="2625">
        <f>SUM(AI63,AI97)</f>
        <v/>
      </c>
      <c r="AJ24" s="2625">
        <f>SUM(AJ63,AJ97)</f>
        <v/>
      </c>
      <c r="AK24" s="2625">
        <f>SUM(AK63,AK97)</f>
        <v/>
      </c>
      <c r="AL24" s="2625">
        <f>SUM(AL63,AL97)</f>
        <v/>
      </c>
      <c r="AM24" s="2625">
        <f>SUM(AM63,AM97)</f>
        <v/>
      </c>
      <c r="AN24" s="2625">
        <f>SUM(AN63,AN97)</f>
        <v/>
      </c>
      <c r="AO24" s="2625">
        <f>SUM(AO63,AO97)</f>
        <v/>
      </c>
      <c r="AP24" s="2625">
        <f>SUM(AP63,AP97)</f>
        <v/>
      </c>
      <c r="AQ24" s="2625">
        <f>SUM(AQ63,AQ97)</f>
        <v/>
      </c>
      <c r="AR24" s="2625">
        <f>SUM(AR63,AR97)</f>
        <v/>
      </c>
      <c r="AS24" s="2626">
        <f>SUM(AG24:AR24)</f>
        <v/>
      </c>
      <c r="AU24" s="2625">
        <f>SUM(AU63,AU97)</f>
        <v/>
      </c>
      <c r="AV24" s="2625">
        <f>SUM(AV63,AV97)</f>
        <v/>
      </c>
      <c r="AW24" s="2625">
        <f>SUM(AW63,AW97)</f>
        <v/>
      </c>
      <c r="AX24" s="2625">
        <f>SUM(AX63,AX97)</f>
        <v/>
      </c>
      <c r="AY24" s="2625">
        <f>SUM(AY63,AY97)</f>
        <v/>
      </c>
      <c r="AZ24" s="2625">
        <f>SUM(AZ63,AZ97)</f>
        <v/>
      </c>
      <c r="BA24" s="2625">
        <f>SUM(BA63,BA97)</f>
        <v/>
      </c>
      <c r="BB24" s="2625">
        <f>SUM(BB63,BB97)</f>
        <v/>
      </c>
      <c r="BC24" s="2625">
        <f>SUM(BC63,BC97)</f>
        <v/>
      </c>
      <c r="BD24" s="2625">
        <f>SUM(BD63,BD97)</f>
        <v/>
      </c>
      <c r="BE24" s="2625">
        <f>SUM(BE63,BE97)</f>
        <v/>
      </c>
      <c r="BF24" s="2627">
        <f>SUM(BF63,BF97)</f>
        <v/>
      </c>
      <c r="BG24" s="2628">
        <f>SUM(AU24:BF24)</f>
        <v/>
      </c>
      <c r="BH24" s="2631" t="n"/>
      <c r="BI24" s="2627">
        <f>SUM(BI63,BI97)</f>
        <v/>
      </c>
      <c r="BJ24" s="2627">
        <f>SUM(BJ63,BJ97)</f>
        <v/>
      </c>
      <c r="BK24" s="2627">
        <f>SUM(BK63,BK97)</f>
        <v/>
      </c>
      <c r="BL24" s="2627">
        <f>SUM(BL63,BL97)</f>
        <v/>
      </c>
      <c r="BM24" s="2627">
        <f>SUM(BM63,BM97)</f>
        <v/>
      </c>
      <c r="BN24" s="2627">
        <f>SUM(BN63,BN97)</f>
        <v/>
      </c>
      <c r="BO24" s="2627">
        <f>SUM(BO63,BO97)</f>
        <v/>
      </c>
      <c r="BP24" s="2627">
        <f>SUM(BP63,BP97)</f>
        <v/>
      </c>
      <c r="BQ24" s="2627">
        <f>SUM(BQ63,BQ97)</f>
        <v/>
      </c>
      <c r="BR24" s="2627">
        <f>SUM(BR63,BR97)</f>
        <v/>
      </c>
      <c r="BS24" s="2627">
        <f>SUM(BS63,BS97)</f>
        <v/>
      </c>
      <c r="BT24" s="2627">
        <f>SUM(BT63,BT97)</f>
        <v/>
      </c>
      <c r="BU24" s="2628">
        <f>SUM(BI24:BT24)</f>
        <v/>
      </c>
    </row>
    <row r="25" outlineLevel="1">
      <c r="A25" s="1436" t="n"/>
      <c r="B25" s="1456" t="inlineStr">
        <is>
          <t>지급임차료</t>
        </is>
      </c>
      <c r="C25" s="1456" t="n"/>
      <c r="D25" s="2627" t="n"/>
      <c r="E25" s="2627" t="n"/>
      <c r="F25" s="2627" t="n"/>
      <c r="G25" s="2627" t="n"/>
      <c r="H25" s="2627" t="n"/>
      <c r="I25" s="2627" t="n"/>
      <c r="J25" s="2627" t="n"/>
      <c r="K25" s="2627" t="n"/>
      <c r="L25" s="2627" t="n"/>
      <c r="M25" s="2627" t="n"/>
      <c r="N25" s="2627" t="n"/>
      <c r="O25" s="2627" t="n"/>
      <c r="P25" s="2626">
        <f>SUM(D25:O25)</f>
        <v/>
      </c>
      <c r="Q25" s="1466" t="n"/>
      <c r="R25" s="1436" t="n"/>
      <c r="S25" s="2625">
        <f>SUM(S64,S98)</f>
        <v/>
      </c>
      <c r="T25" s="2625">
        <f>SUM(T64,T98)</f>
        <v/>
      </c>
      <c r="U25" s="2625">
        <f>SUM(U64,U98)</f>
        <v/>
      </c>
      <c r="V25" s="2625">
        <f>SUM(V64,V98)</f>
        <v/>
      </c>
      <c r="W25" s="2625">
        <f>SUM(W64,W98)</f>
        <v/>
      </c>
      <c r="X25" s="2625">
        <f>SUM(X64,X98)</f>
        <v/>
      </c>
      <c r="Y25" s="2625">
        <f>SUM(Y64,Y98)</f>
        <v/>
      </c>
      <c r="Z25" s="2625">
        <f>SUM(Z64,Z98)</f>
        <v/>
      </c>
      <c r="AA25" s="2625">
        <f>SUM(AA64,AA98)</f>
        <v/>
      </c>
      <c r="AB25" s="2625">
        <f>SUM(AB64,AB98)</f>
        <v/>
      </c>
      <c r="AC25" s="2625">
        <f>SUM(AC64,AC98)</f>
        <v/>
      </c>
      <c r="AD25" s="2625">
        <f>SUM(AD64,AD98)</f>
        <v/>
      </c>
      <c r="AE25" s="2626">
        <f>SUM(S25:AD25)</f>
        <v/>
      </c>
      <c r="AF25" s="1464" t="n"/>
      <c r="AG25" s="2625">
        <f>SUM(AG64,AG98)</f>
        <v/>
      </c>
      <c r="AH25" s="2625">
        <f>SUM(AH64,AH98)</f>
        <v/>
      </c>
      <c r="AI25" s="2625">
        <f>SUM(AI64,AI98)</f>
        <v/>
      </c>
      <c r="AJ25" s="2625">
        <f>SUM(AJ64,AJ98)</f>
        <v/>
      </c>
      <c r="AK25" s="2625">
        <f>SUM(AK64,AK98)</f>
        <v/>
      </c>
      <c r="AL25" s="2625">
        <f>SUM(AL64,AL98)</f>
        <v/>
      </c>
      <c r="AM25" s="2625">
        <f>SUM(AM64,AM98)</f>
        <v/>
      </c>
      <c r="AN25" s="2625">
        <f>SUM(AN64,AN98)</f>
        <v/>
      </c>
      <c r="AO25" s="2625">
        <f>SUM(AO64,AO98)</f>
        <v/>
      </c>
      <c r="AP25" s="2625">
        <f>SUM(AP64,AP98)</f>
        <v/>
      </c>
      <c r="AQ25" s="2625">
        <f>SUM(AQ64,AQ98)</f>
        <v/>
      </c>
      <c r="AR25" s="2625">
        <f>SUM(AR64,AR98)</f>
        <v/>
      </c>
      <c r="AS25" s="2626">
        <f>SUM(AG25:AR25)</f>
        <v/>
      </c>
      <c r="AU25" s="2625">
        <f>SUM(AU64,AU98)</f>
        <v/>
      </c>
      <c r="AV25" s="2625">
        <f>SUM(AV64,AV98)</f>
        <v/>
      </c>
      <c r="AW25" s="2625">
        <f>SUM(AW64,AW98)</f>
        <v/>
      </c>
      <c r="AX25" s="2625">
        <f>SUM(AX64,AX98)</f>
        <v/>
      </c>
      <c r="AY25" s="2625">
        <f>SUM(AY64,AY98)</f>
        <v/>
      </c>
      <c r="AZ25" s="2625">
        <f>SUM(AZ64,AZ98)</f>
        <v/>
      </c>
      <c r="BA25" s="2625">
        <f>SUM(BA64,BA98)</f>
        <v/>
      </c>
      <c r="BB25" s="2625">
        <f>SUM(BB64,BB98)</f>
        <v/>
      </c>
      <c r="BC25" s="2625">
        <f>SUM(BC64,BC98)</f>
        <v/>
      </c>
      <c r="BD25" s="2625">
        <f>SUM(BD64,BD98)</f>
        <v/>
      </c>
      <c r="BE25" s="2625">
        <f>SUM(BE64,BE98)</f>
        <v/>
      </c>
      <c r="BF25" s="2627">
        <f>SUM(BF64,BF98)</f>
        <v/>
      </c>
      <c r="BG25" s="2628">
        <f>SUM(AU25:BF25)</f>
        <v/>
      </c>
      <c r="BH25" s="2631" t="n"/>
      <c r="BI25" s="2627">
        <f>SUM(BI64,BI98)</f>
        <v/>
      </c>
      <c r="BJ25" s="2627">
        <f>SUM(BJ64,BJ98)</f>
        <v/>
      </c>
      <c r="BK25" s="2627">
        <f>SUM(BK64,BK98)</f>
        <v/>
      </c>
      <c r="BL25" s="2627">
        <f>SUM(BL64,BL98)</f>
        <v/>
      </c>
      <c r="BM25" s="2627">
        <f>SUM(BM64,BM98)</f>
        <v/>
      </c>
      <c r="BN25" s="2627">
        <f>SUM(BN64,BN98)</f>
        <v/>
      </c>
      <c r="BO25" s="2627">
        <f>SUM(BO64,BO98)</f>
        <v/>
      </c>
      <c r="BP25" s="2627">
        <f>SUM(BP64,BP98)</f>
        <v/>
      </c>
      <c r="BQ25" s="2627">
        <f>SUM(BQ64,BQ98)</f>
        <v/>
      </c>
      <c r="BR25" s="2627">
        <f>SUM(BR64,BR98)</f>
        <v/>
      </c>
      <c r="BS25" s="2627">
        <f>SUM(BS64,BS98)</f>
        <v/>
      </c>
      <c r="BT25" s="2627">
        <f>SUM(BT64,BT98)</f>
        <v/>
      </c>
      <c r="BU25" s="2628">
        <f>SUM(BI25:BT25)</f>
        <v/>
      </c>
    </row>
    <row r="26" outlineLevel="1">
      <c r="A26" s="1436" t="n"/>
      <c r="B26" s="1456" t="inlineStr">
        <is>
          <t>경상연구개발비</t>
        </is>
      </c>
      <c r="C26" s="1456" t="n"/>
      <c r="D26" s="2627" t="n"/>
      <c r="E26" s="2627" t="n"/>
      <c r="F26" s="2627" t="n"/>
      <c r="G26" s="2627" t="n"/>
      <c r="H26" s="2627" t="n"/>
      <c r="I26" s="2627" t="n"/>
      <c r="J26" s="2627" t="n"/>
      <c r="K26" s="2627" t="n"/>
      <c r="L26" s="2627" t="n"/>
      <c r="M26" s="2627" t="n"/>
      <c r="N26" s="2627" t="n"/>
      <c r="O26" s="2627" t="n"/>
      <c r="P26" s="2626">
        <f>SUM(D26:O26)</f>
        <v/>
      </c>
      <c r="Q26" s="1466" t="n"/>
      <c r="R26" s="1436" t="n"/>
      <c r="S26" s="2625">
        <f>SUM(S69,S99)</f>
        <v/>
      </c>
      <c r="T26" s="2625">
        <f>SUM(T69,T99)</f>
        <v/>
      </c>
      <c r="U26" s="2625">
        <f>SUM(U69,U99)</f>
        <v/>
      </c>
      <c r="V26" s="2625">
        <f>SUM(V69,V99)</f>
        <v/>
      </c>
      <c r="W26" s="2625">
        <f>SUM(W69,W99)</f>
        <v/>
      </c>
      <c r="X26" s="2625">
        <f>SUM(X69,X99)</f>
        <v/>
      </c>
      <c r="Y26" s="2625">
        <f>SUM(Y69,Y99)</f>
        <v/>
      </c>
      <c r="Z26" s="2625">
        <f>SUM(Z69,Z99)</f>
        <v/>
      </c>
      <c r="AA26" s="2625">
        <f>SUM(AA69,AA99)</f>
        <v/>
      </c>
      <c r="AB26" s="2625">
        <f>SUM(AB69,AB99)</f>
        <v/>
      </c>
      <c r="AC26" s="2625">
        <f>SUM(AC69,AC99)</f>
        <v/>
      </c>
      <c r="AD26" s="2625">
        <f>SUM(AD69,AD99)</f>
        <v/>
      </c>
      <c r="AE26" s="2626">
        <f>SUM(S26:AD26)</f>
        <v/>
      </c>
      <c r="AF26" s="1466" t="n"/>
      <c r="AG26" s="2625">
        <f>SUM(AG69,AG99)</f>
        <v/>
      </c>
      <c r="AH26" s="2625">
        <f>SUM(AH69,AH99)</f>
        <v/>
      </c>
      <c r="AI26" s="2625">
        <f>SUM(AI69,AI99)</f>
        <v/>
      </c>
      <c r="AJ26" s="2625">
        <f>SUM(AJ69,AJ99)</f>
        <v/>
      </c>
      <c r="AK26" s="2625">
        <f>SUM(AK69,AK99)</f>
        <v/>
      </c>
      <c r="AL26" s="2625">
        <f>SUM(AL69,AL99)</f>
        <v/>
      </c>
      <c r="AM26" s="2625">
        <f>SUM(AM69,AM99)</f>
        <v/>
      </c>
      <c r="AN26" s="2625">
        <f>SUM(AN69,AN99)</f>
        <v/>
      </c>
      <c r="AO26" s="2625">
        <f>SUM(AO69,AO99)</f>
        <v/>
      </c>
      <c r="AP26" s="2625">
        <f>SUM(AP69,AP99)</f>
        <v/>
      </c>
      <c r="AQ26" s="2625">
        <f>SUM(AQ69,AQ99)</f>
        <v/>
      </c>
      <c r="AR26" s="2625">
        <f>SUM(AR69,AR99)</f>
        <v/>
      </c>
      <c r="AS26" s="2626">
        <f>SUM(AG26:AR26)</f>
        <v/>
      </c>
      <c r="AU26" s="2625">
        <f>SUM(AU69,AU99)</f>
        <v/>
      </c>
      <c r="AV26" s="2625">
        <f>SUM(AV69,AV99)</f>
        <v/>
      </c>
      <c r="AW26" s="2625">
        <f>SUM(AW69,AW99)</f>
        <v/>
      </c>
      <c r="AX26" s="2625">
        <f>SUM(AX69,AX99)</f>
        <v/>
      </c>
      <c r="AY26" s="2625">
        <f>SUM(AY69,AY99)</f>
        <v/>
      </c>
      <c r="AZ26" s="2625">
        <f>SUM(AZ69,AZ99)</f>
        <v/>
      </c>
      <c r="BA26" s="2625">
        <f>SUM(BA69,BA99)</f>
        <v/>
      </c>
      <c r="BB26" s="2625">
        <f>SUM(BB69,BB99)</f>
        <v/>
      </c>
      <c r="BC26" s="2625">
        <f>SUM(BC69,BC99)</f>
        <v/>
      </c>
      <c r="BD26" s="2625">
        <f>SUM(BD69,BD99)</f>
        <v/>
      </c>
      <c r="BE26" s="2625">
        <f>SUM(BE69,BE99)</f>
        <v/>
      </c>
      <c r="BF26" s="2627">
        <f>SUM(BF69,BF99)</f>
        <v/>
      </c>
      <c r="BG26" s="2628">
        <f>SUM(AU26:BF26)</f>
        <v/>
      </c>
      <c r="BH26" s="2631" t="n"/>
      <c r="BI26" s="2627">
        <f>SUM(BI69,BI99)</f>
        <v/>
      </c>
      <c r="BJ26" s="2627">
        <f>SUM(BJ69,BJ99)</f>
        <v/>
      </c>
      <c r="BK26" s="2627">
        <f>SUM(BK69,BK99)</f>
        <v/>
      </c>
      <c r="BL26" s="2627">
        <f>SUM(BL69,BL99)</f>
        <v/>
      </c>
      <c r="BM26" s="2627">
        <f>SUM(BM69,BM99)</f>
        <v/>
      </c>
      <c r="BN26" s="2627">
        <f>SUM(BN69,BN99)</f>
        <v/>
      </c>
      <c r="BO26" s="2627">
        <f>SUM(BO69,BO99)</f>
        <v/>
      </c>
      <c r="BP26" s="2627">
        <f>SUM(BP69,BP99)</f>
        <v/>
      </c>
      <c r="BQ26" s="2627">
        <f>SUM(BQ69,BQ99)</f>
        <v/>
      </c>
      <c r="BR26" s="2627">
        <f>SUM(BR69,BR99)</f>
        <v/>
      </c>
      <c r="BS26" s="2627">
        <f>SUM(BS69,BS99)</f>
        <v/>
      </c>
      <c r="BT26" s="2627">
        <f>SUM(BT69,BT99)</f>
        <v/>
      </c>
      <c r="BU26" s="2628">
        <f>SUM(BI26:BT26)</f>
        <v/>
      </c>
    </row>
    <row r="27" outlineLevel="1">
      <c r="A27" s="1436" t="n"/>
      <c r="B27" s="1456" t="inlineStr">
        <is>
          <t>수선비</t>
        </is>
      </c>
      <c r="C27" s="1456" t="n"/>
      <c r="D27" s="2627" t="n"/>
      <c r="E27" s="2627" t="n"/>
      <c r="F27" s="2627" t="n"/>
      <c r="G27" s="2627" t="n"/>
      <c r="H27" s="2627" t="n"/>
      <c r="I27" s="2627" t="n"/>
      <c r="J27" s="2627" t="n"/>
      <c r="K27" s="2627" t="n"/>
      <c r="L27" s="2627" t="n"/>
      <c r="M27" s="2627" t="n"/>
      <c r="N27" s="2627" t="n"/>
      <c r="O27" s="2627" t="n"/>
      <c r="P27" s="2626">
        <f>SUM(D27:O27)</f>
        <v/>
      </c>
      <c r="Q27" s="1466" t="n"/>
      <c r="R27" s="1436" t="n"/>
      <c r="S27" s="2625">
        <f>SUM(S65,S100)</f>
        <v/>
      </c>
      <c r="T27" s="2625">
        <f>SUM(T65,T100)</f>
        <v/>
      </c>
      <c r="U27" s="2625">
        <f>SUM(U65,U100)</f>
        <v/>
      </c>
      <c r="V27" s="2625">
        <f>SUM(V65,V100)</f>
        <v/>
      </c>
      <c r="W27" s="2625">
        <f>SUM(W65,W100)</f>
        <v/>
      </c>
      <c r="X27" s="2625">
        <f>SUM(X65,X100)</f>
        <v/>
      </c>
      <c r="Y27" s="2625">
        <f>SUM(Y65,Y100)</f>
        <v/>
      </c>
      <c r="Z27" s="2625">
        <f>SUM(Z65,Z100)</f>
        <v/>
      </c>
      <c r="AA27" s="2625">
        <f>SUM(AA65,AA100)</f>
        <v/>
      </c>
      <c r="AB27" s="2625">
        <f>SUM(AB65,AB100)</f>
        <v/>
      </c>
      <c r="AC27" s="2625">
        <f>SUM(AC65,AC100)</f>
        <v/>
      </c>
      <c r="AD27" s="2625">
        <f>SUM(AD65,AD100)</f>
        <v/>
      </c>
      <c r="AE27" s="2626">
        <f>SUM(S27:AD27)</f>
        <v/>
      </c>
      <c r="AF27" s="1466" t="n"/>
      <c r="AG27" s="2625">
        <f>SUM(AG65,AG100)</f>
        <v/>
      </c>
      <c r="AH27" s="2625">
        <f>SUM(AH65,AH100)</f>
        <v/>
      </c>
      <c r="AI27" s="2625">
        <f>SUM(AI65,AI100)</f>
        <v/>
      </c>
      <c r="AJ27" s="2625">
        <f>SUM(AJ65,AJ100)</f>
        <v/>
      </c>
      <c r="AK27" s="2625">
        <f>SUM(AK65,AK100)</f>
        <v/>
      </c>
      <c r="AL27" s="2625">
        <f>SUM(AL65,AL100)</f>
        <v/>
      </c>
      <c r="AM27" s="2625">
        <f>SUM(AM65,AM100)</f>
        <v/>
      </c>
      <c r="AN27" s="2625">
        <f>SUM(AN65,AN100)</f>
        <v/>
      </c>
      <c r="AO27" s="2625">
        <f>SUM(AO65,AO100)</f>
        <v/>
      </c>
      <c r="AP27" s="2625">
        <f>SUM(AP65,AP100)</f>
        <v/>
      </c>
      <c r="AQ27" s="2625">
        <f>SUM(AQ65,AQ100)</f>
        <v/>
      </c>
      <c r="AR27" s="2625">
        <f>SUM(AR65,AR100)</f>
        <v/>
      </c>
      <c r="AS27" s="2626">
        <f>SUM(AG27:AR27)</f>
        <v/>
      </c>
      <c r="AU27" s="2625">
        <f>SUM(AU65,AU100)</f>
        <v/>
      </c>
      <c r="AV27" s="2625">
        <f>SUM(AV65,AV100)</f>
        <v/>
      </c>
      <c r="AW27" s="2625">
        <f>SUM(AW65,AW100)</f>
        <v/>
      </c>
      <c r="AX27" s="2625">
        <f>SUM(AX65,AX100)</f>
        <v/>
      </c>
      <c r="AY27" s="2625">
        <f>SUM(AY65,AY100)</f>
        <v/>
      </c>
      <c r="AZ27" s="2625">
        <f>SUM(AZ65,AZ100)</f>
        <v/>
      </c>
      <c r="BA27" s="2625">
        <f>SUM(BA65,BA100)</f>
        <v/>
      </c>
      <c r="BB27" s="2625">
        <f>SUM(BB65,BB100)</f>
        <v/>
      </c>
      <c r="BC27" s="2625">
        <f>SUM(BC65,BC100)</f>
        <v/>
      </c>
      <c r="BD27" s="2625">
        <f>SUM(BD65,BD100)</f>
        <v/>
      </c>
      <c r="BE27" s="2625">
        <f>SUM(BE65,BE100)</f>
        <v/>
      </c>
      <c r="BF27" s="2627">
        <f>SUM(BF65,BF100)</f>
        <v/>
      </c>
      <c r="BG27" s="2628">
        <f>SUM(AU27:BF27)</f>
        <v/>
      </c>
      <c r="BH27" s="2631" t="n"/>
      <c r="BI27" s="2627">
        <f>SUM(BI65,BI100)</f>
        <v/>
      </c>
      <c r="BJ27" s="2627">
        <f>SUM(BJ65,BJ100)</f>
        <v/>
      </c>
      <c r="BK27" s="2627">
        <f>SUM(BK65,BK100)</f>
        <v/>
      </c>
      <c r="BL27" s="2627">
        <f>SUM(BL65,BL100)</f>
        <v/>
      </c>
      <c r="BM27" s="2627">
        <f>SUM(BM65,BM100)</f>
        <v/>
      </c>
      <c r="BN27" s="2627">
        <f>SUM(BN65,BN100)</f>
        <v/>
      </c>
      <c r="BO27" s="2627">
        <f>SUM(BO65,BO100)</f>
        <v/>
      </c>
      <c r="BP27" s="2627">
        <f>SUM(BP65,BP100)</f>
        <v/>
      </c>
      <c r="BQ27" s="2627">
        <f>SUM(BQ65,BQ100)</f>
        <v/>
      </c>
      <c r="BR27" s="2627">
        <f>SUM(BR65,BR100)</f>
        <v/>
      </c>
      <c r="BS27" s="2627">
        <f>SUM(BS65,BS100)</f>
        <v/>
      </c>
      <c r="BT27" s="2627">
        <f>SUM(BT65,BT100)</f>
        <v/>
      </c>
      <c r="BU27" s="2628">
        <f>SUM(BI27:BT27)</f>
        <v/>
      </c>
    </row>
    <row r="28" outlineLevel="1">
      <c r="A28" s="1436" t="n"/>
      <c r="B28" s="1456" t="inlineStr">
        <is>
          <t>보험료</t>
        </is>
      </c>
      <c r="C28" s="1456" t="n"/>
      <c r="D28" s="2627" t="n"/>
      <c r="E28" s="2627" t="n"/>
      <c r="F28" s="2627" t="n"/>
      <c r="G28" s="2627" t="n"/>
      <c r="H28" s="2627" t="n"/>
      <c r="I28" s="2627" t="n"/>
      <c r="J28" s="2627" t="n"/>
      <c r="K28" s="2627" t="n"/>
      <c r="L28" s="2627" t="n"/>
      <c r="M28" s="2627" t="n"/>
      <c r="N28" s="2627" t="n"/>
      <c r="O28" s="2627" t="n"/>
      <c r="P28" s="2626">
        <f>SUM(D28:O28)</f>
        <v/>
      </c>
      <c r="Q28" s="1466" t="n"/>
      <c r="R28" s="1436" t="n"/>
      <c r="S28" s="2625">
        <f>SUM(S66,S101)</f>
        <v/>
      </c>
      <c r="T28" s="2625">
        <f>SUM(T66,T101)</f>
        <v/>
      </c>
      <c r="U28" s="2625">
        <f>SUM(U66,U101)</f>
        <v/>
      </c>
      <c r="V28" s="2625">
        <f>SUM(V66,V101)</f>
        <v/>
      </c>
      <c r="W28" s="2625">
        <f>SUM(W66,W101)</f>
        <v/>
      </c>
      <c r="X28" s="2625">
        <f>SUM(X66,X101)</f>
        <v/>
      </c>
      <c r="Y28" s="2625">
        <f>SUM(Y66,Y101)</f>
        <v/>
      </c>
      <c r="Z28" s="2625">
        <f>SUM(Z66,Z101)</f>
        <v/>
      </c>
      <c r="AA28" s="2625">
        <f>SUM(AA66,AA101)</f>
        <v/>
      </c>
      <c r="AB28" s="2625">
        <f>SUM(AB66,AB101)</f>
        <v/>
      </c>
      <c r="AC28" s="2625">
        <f>SUM(AC66,AC101)</f>
        <v/>
      </c>
      <c r="AD28" s="2625">
        <f>SUM(AD66,AD101)</f>
        <v/>
      </c>
      <c r="AE28" s="2626">
        <f>SUM(S28:AD28)</f>
        <v/>
      </c>
      <c r="AF28" s="1466" t="n"/>
      <c r="AG28" s="2625">
        <f>SUM(AG66,AG101)</f>
        <v/>
      </c>
      <c r="AH28" s="2625">
        <f>SUM(AH66,AH101)</f>
        <v/>
      </c>
      <c r="AI28" s="2625">
        <f>SUM(AI66,AI101)</f>
        <v/>
      </c>
      <c r="AJ28" s="2625">
        <f>SUM(AJ66,AJ101)</f>
        <v/>
      </c>
      <c r="AK28" s="2625">
        <f>SUM(AK66,AK101)</f>
        <v/>
      </c>
      <c r="AL28" s="2625">
        <f>SUM(AL66,AL101)</f>
        <v/>
      </c>
      <c r="AM28" s="2625">
        <f>SUM(AM66,AM101)</f>
        <v/>
      </c>
      <c r="AN28" s="2625">
        <f>SUM(AN66,AN101)</f>
        <v/>
      </c>
      <c r="AO28" s="2625">
        <f>SUM(AO66,AO101)</f>
        <v/>
      </c>
      <c r="AP28" s="2625">
        <f>SUM(AP66,AP101)</f>
        <v/>
      </c>
      <c r="AQ28" s="2625">
        <f>SUM(AQ66,AQ101)</f>
        <v/>
      </c>
      <c r="AR28" s="2625">
        <f>SUM(AR66,AR101)</f>
        <v/>
      </c>
      <c r="AS28" s="2626">
        <f>SUM(AG28:AR28)</f>
        <v/>
      </c>
      <c r="AU28" s="2625">
        <f>SUM(AU66,AU101)</f>
        <v/>
      </c>
      <c r="AV28" s="2625">
        <f>SUM(AV66,AV101)</f>
        <v/>
      </c>
      <c r="AW28" s="2625">
        <f>SUM(AW66,AW101)</f>
        <v/>
      </c>
      <c r="AX28" s="2625">
        <f>SUM(AX66,AX101)</f>
        <v/>
      </c>
      <c r="AY28" s="2625">
        <f>SUM(AY66,AY101)</f>
        <v/>
      </c>
      <c r="AZ28" s="2625">
        <f>SUM(AZ66,AZ101)</f>
        <v/>
      </c>
      <c r="BA28" s="2625">
        <f>SUM(BA66,BA101)</f>
        <v/>
      </c>
      <c r="BB28" s="2625">
        <f>SUM(BB66,BB101)</f>
        <v/>
      </c>
      <c r="BC28" s="2625">
        <f>SUM(BC66,BC101)</f>
        <v/>
      </c>
      <c r="BD28" s="2625">
        <f>SUM(BD66,BD101)</f>
        <v/>
      </c>
      <c r="BE28" s="2625">
        <f>SUM(BE66,BE101)</f>
        <v/>
      </c>
      <c r="BF28" s="2627">
        <f>SUM(BF66,BF101)</f>
        <v/>
      </c>
      <c r="BG28" s="2628">
        <f>SUM(AU28:BF28)</f>
        <v/>
      </c>
      <c r="BH28" s="2631" t="n"/>
      <c r="BI28" s="2627">
        <f>SUM(BI66,BI101)</f>
        <v/>
      </c>
      <c r="BJ28" s="2627">
        <f>SUM(BJ66,BJ101)</f>
        <v/>
      </c>
      <c r="BK28" s="2627">
        <f>SUM(BK66,BK101)</f>
        <v/>
      </c>
      <c r="BL28" s="2627">
        <f>SUM(BL66,BL101)</f>
        <v/>
      </c>
      <c r="BM28" s="2627">
        <f>SUM(BM66,BM101)</f>
        <v/>
      </c>
      <c r="BN28" s="2627">
        <f>SUM(BN66,BN101)</f>
        <v/>
      </c>
      <c r="BO28" s="2627">
        <f>SUM(BO66,BO101)</f>
        <v/>
      </c>
      <c r="BP28" s="2627">
        <f>SUM(BP66,BP101)</f>
        <v/>
      </c>
      <c r="BQ28" s="2627">
        <f>SUM(BQ66,BQ101)</f>
        <v/>
      </c>
      <c r="BR28" s="2627">
        <f>SUM(BR66,BR101)</f>
        <v/>
      </c>
      <c r="BS28" s="2627">
        <f>SUM(BS66,BS101)</f>
        <v/>
      </c>
      <c r="BT28" s="2627">
        <f>SUM(BT66,BT101)</f>
        <v/>
      </c>
      <c r="BU28" s="2628">
        <f>SUM(BI28:BT28)</f>
        <v/>
      </c>
    </row>
    <row r="29" outlineLevel="1">
      <c r="A29" s="1436" t="n"/>
      <c r="B29" s="1456" t="inlineStr">
        <is>
          <t>차량유지비</t>
        </is>
      </c>
      <c r="C29" s="1456" t="n"/>
      <c r="D29" s="2627" t="n"/>
      <c r="E29" s="2627" t="n"/>
      <c r="F29" s="2627" t="n"/>
      <c r="G29" s="2627" t="n"/>
      <c r="H29" s="2627" t="n"/>
      <c r="I29" s="2627" t="n"/>
      <c r="J29" s="2627" t="n"/>
      <c r="K29" s="2627" t="n"/>
      <c r="L29" s="2627" t="n"/>
      <c r="M29" s="2627" t="n"/>
      <c r="N29" s="2627" t="n"/>
      <c r="O29" s="2627" t="n"/>
      <c r="P29" s="2626">
        <f>SUM(D29:O29)</f>
        <v/>
      </c>
      <c r="Q29" s="1466" t="n"/>
      <c r="R29" s="1436" t="n"/>
      <c r="S29" s="2625">
        <f>SUM(S67,S102)</f>
        <v/>
      </c>
      <c r="T29" s="2625">
        <f>SUM(T67,T102)</f>
        <v/>
      </c>
      <c r="U29" s="2625">
        <f>SUM(U67,U102)</f>
        <v/>
      </c>
      <c r="V29" s="2625">
        <f>SUM(V67,V102)</f>
        <v/>
      </c>
      <c r="W29" s="2625">
        <f>SUM(W67,W102)</f>
        <v/>
      </c>
      <c r="X29" s="2625">
        <f>SUM(X67,X102)</f>
        <v/>
      </c>
      <c r="Y29" s="2625">
        <f>SUM(Y67,Y102)</f>
        <v/>
      </c>
      <c r="Z29" s="2625">
        <f>SUM(Z67,Z102)</f>
        <v/>
      </c>
      <c r="AA29" s="2625">
        <f>SUM(AA67,AA102)</f>
        <v/>
      </c>
      <c r="AB29" s="2625">
        <f>SUM(AB67,AB102)</f>
        <v/>
      </c>
      <c r="AC29" s="2625">
        <f>SUM(AC67,AC102)</f>
        <v/>
      </c>
      <c r="AD29" s="2625">
        <f>SUM(AD67,AD102)</f>
        <v/>
      </c>
      <c r="AE29" s="2626">
        <f>SUM(S29:AD29)</f>
        <v/>
      </c>
      <c r="AF29" s="1466" t="n"/>
      <c r="AG29" s="2625">
        <f>SUM(AG67,AG102)</f>
        <v/>
      </c>
      <c r="AH29" s="2625">
        <f>SUM(AH67,AH102)</f>
        <v/>
      </c>
      <c r="AI29" s="2625">
        <f>SUM(AI67,AI102)</f>
        <v/>
      </c>
      <c r="AJ29" s="2625">
        <f>SUM(AJ67,AJ102)</f>
        <v/>
      </c>
      <c r="AK29" s="2625">
        <f>SUM(AK67,AK102)</f>
        <v/>
      </c>
      <c r="AL29" s="2625">
        <f>SUM(AL67,AL102)</f>
        <v/>
      </c>
      <c r="AM29" s="2625">
        <f>SUM(AM67,AM102)</f>
        <v/>
      </c>
      <c r="AN29" s="2625">
        <f>SUM(AN67,AN102)</f>
        <v/>
      </c>
      <c r="AO29" s="2625">
        <f>SUM(AO67,AO102)</f>
        <v/>
      </c>
      <c r="AP29" s="2625">
        <f>SUM(AP67,AP102)</f>
        <v/>
      </c>
      <c r="AQ29" s="2625">
        <f>SUM(AQ67,AQ102)</f>
        <v/>
      </c>
      <c r="AR29" s="2625">
        <f>SUM(AR67,AR102)</f>
        <v/>
      </c>
      <c r="AS29" s="2626">
        <f>SUM(AG29:AR29)</f>
        <v/>
      </c>
      <c r="AU29" s="2625">
        <f>SUM(AU67,AU102)</f>
        <v/>
      </c>
      <c r="AV29" s="2625">
        <f>SUM(AV67,AV102)</f>
        <v/>
      </c>
      <c r="AW29" s="2625">
        <f>SUM(AW67,AW102)</f>
        <v/>
      </c>
      <c r="AX29" s="2625">
        <f>SUM(AX67,AX102)</f>
        <v/>
      </c>
      <c r="AY29" s="2625">
        <f>SUM(AY67,AY102)</f>
        <v/>
      </c>
      <c r="AZ29" s="2625">
        <f>SUM(AZ67,AZ102)</f>
        <v/>
      </c>
      <c r="BA29" s="2625">
        <f>SUM(BA67,BA102)</f>
        <v/>
      </c>
      <c r="BB29" s="2625">
        <f>SUM(BB67,BB102)</f>
        <v/>
      </c>
      <c r="BC29" s="2625">
        <f>SUM(BC67,BC102)</f>
        <v/>
      </c>
      <c r="BD29" s="2625">
        <f>SUM(BD67,BD102)</f>
        <v/>
      </c>
      <c r="BE29" s="2625">
        <f>SUM(BE67,BE102)</f>
        <v/>
      </c>
      <c r="BF29" s="2627">
        <f>SUM(BF67,BF102)</f>
        <v/>
      </c>
      <c r="BG29" s="2628">
        <f>SUM(AU29:BF29)</f>
        <v/>
      </c>
      <c r="BH29" s="2631" t="n"/>
      <c r="BI29" s="2627">
        <f>SUM(BI67,BI102)</f>
        <v/>
      </c>
      <c r="BJ29" s="2627">
        <f>SUM(BJ67,BJ102)</f>
        <v/>
      </c>
      <c r="BK29" s="2627">
        <f>SUM(BK67,BK102)</f>
        <v/>
      </c>
      <c r="BL29" s="2627">
        <f>SUM(BL67,BL102)</f>
        <v/>
      </c>
      <c r="BM29" s="2627">
        <f>SUM(BM67,BM102)</f>
        <v/>
      </c>
      <c r="BN29" s="2627">
        <f>SUM(BN67,BN102)</f>
        <v/>
      </c>
      <c r="BO29" s="2627">
        <f>SUM(BO67,BO102)</f>
        <v/>
      </c>
      <c r="BP29" s="2627">
        <f>SUM(BP67,BP102)</f>
        <v/>
      </c>
      <c r="BQ29" s="2627">
        <f>SUM(BQ67,BQ102)</f>
        <v/>
      </c>
      <c r="BR29" s="2627">
        <f>SUM(BR67,BR102)</f>
        <v/>
      </c>
      <c r="BS29" s="2627">
        <f>SUM(BS67,BS102)</f>
        <v/>
      </c>
      <c r="BT29" s="2627">
        <f>SUM(BT67,BT102)</f>
        <v/>
      </c>
      <c r="BU29" s="2628">
        <f>SUM(BI29:BT29)</f>
        <v/>
      </c>
    </row>
    <row r="30" outlineLevel="1">
      <c r="A30" s="1436" t="n"/>
      <c r="B30" s="1456" t="inlineStr">
        <is>
          <t>운반비</t>
        </is>
      </c>
      <c r="C30" s="1456" t="n"/>
      <c r="D30" s="2627" t="n"/>
      <c r="E30" s="2627" t="n"/>
      <c r="F30" s="2627" t="n"/>
      <c r="G30" s="2627" t="n"/>
      <c r="H30" s="2627" t="n"/>
      <c r="I30" s="2627" t="n"/>
      <c r="J30" s="2627" t="n"/>
      <c r="K30" s="2627" t="n"/>
      <c r="L30" s="2627" t="n"/>
      <c r="M30" s="2627" t="n"/>
      <c r="N30" s="2627" t="n"/>
      <c r="O30" s="2627" t="n"/>
      <c r="P30" s="2626">
        <f>SUM(D30:O30)</f>
        <v/>
      </c>
      <c r="Q30" s="1466" t="n"/>
      <c r="R30" s="1436" t="n"/>
      <c r="S30" s="2625">
        <f>SUM(S68,S103)</f>
        <v/>
      </c>
      <c r="T30" s="2625">
        <f>SUM(T68,T103)</f>
        <v/>
      </c>
      <c r="U30" s="2625">
        <f>SUM(U68,U103)</f>
        <v/>
      </c>
      <c r="V30" s="2625">
        <f>SUM(V68,V103)</f>
        <v/>
      </c>
      <c r="W30" s="2625">
        <f>SUM(W68,W103)</f>
        <v/>
      </c>
      <c r="X30" s="2625">
        <f>SUM(X68,X103)</f>
        <v/>
      </c>
      <c r="Y30" s="2625">
        <f>SUM(Y68,Y103)</f>
        <v/>
      </c>
      <c r="Z30" s="2625">
        <f>SUM(Z68,Z103)</f>
        <v/>
      </c>
      <c r="AA30" s="2625">
        <f>SUM(AA68,AA103)</f>
        <v/>
      </c>
      <c r="AB30" s="2625">
        <f>SUM(AB68,AB103)</f>
        <v/>
      </c>
      <c r="AC30" s="2625">
        <f>SUM(AC68,AC103)</f>
        <v/>
      </c>
      <c r="AD30" s="2625">
        <f>SUM(AD68,AD103)</f>
        <v/>
      </c>
      <c r="AE30" s="2626">
        <f>SUM(S30:AD30)</f>
        <v/>
      </c>
      <c r="AF30" s="1466" t="n"/>
      <c r="AG30" s="2625">
        <f>SUM(AG68,AG103)</f>
        <v/>
      </c>
      <c r="AH30" s="2625">
        <f>SUM(AH68,AH103)</f>
        <v/>
      </c>
      <c r="AI30" s="2625">
        <f>SUM(AI68,AI103)</f>
        <v/>
      </c>
      <c r="AJ30" s="2625">
        <f>SUM(AJ68,AJ103)</f>
        <v/>
      </c>
      <c r="AK30" s="2625">
        <f>SUM(AK68,AK103)</f>
        <v/>
      </c>
      <c r="AL30" s="2625">
        <f>SUM(AL68,AL103)</f>
        <v/>
      </c>
      <c r="AM30" s="2625">
        <f>SUM(AM68,AM103)</f>
        <v/>
      </c>
      <c r="AN30" s="2625">
        <f>SUM(AN68,AN103)</f>
        <v/>
      </c>
      <c r="AO30" s="2625">
        <f>SUM(AO68,AO103)</f>
        <v/>
      </c>
      <c r="AP30" s="2625">
        <f>SUM(AP68,AP103)</f>
        <v/>
      </c>
      <c r="AQ30" s="2625">
        <f>SUM(AQ68,AQ103)</f>
        <v/>
      </c>
      <c r="AR30" s="2625">
        <f>SUM(AR68,AR103)</f>
        <v/>
      </c>
      <c r="AS30" s="2626">
        <f>SUM(AG30:AR30)</f>
        <v/>
      </c>
      <c r="AU30" s="2625">
        <f>SUM(AU68,AU103)</f>
        <v/>
      </c>
      <c r="AV30" s="2625">
        <f>SUM(AV68,AV103)</f>
        <v/>
      </c>
      <c r="AW30" s="2625">
        <f>SUM(AW68,AW103)</f>
        <v/>
      </c>
      <c r="AX30" s="2625">
        <f>SUM(AX68,AX103)</f>
        <v/>
      </c>
      <c r="AY30" s="2625">
        <f>SUM(AY68,AY103)</f>
        <v/>
      </c>
      <c r="AZ30" s="2625">
        <f>SUM(AZ68,AZ103)</f>
        <v/>
      </c>
      <c r="BA30" s="2625">
        <f>SUM(BA68,BA103)</f>
        <v/>
      </c>
      <c r="BB30" s="2625">
        <f>SUM(BB68,BB103)</f>
        <v/>
      </c>
      <c r="BC30" s="2625">
        <f>SUM(BC68,BC103)</f>
        <v/>
      </c>
      <c r="BD30" s="2625">
        <f>SUM(BD68,BD103)</f>
        <v/>
      </c>
      <c r="BE30" s="2625">
        <f>SUM(BE68,BE103)</f>
        <v/>
      </c>
      <c r="BF30" s="2627">
        <f>SUM(BF68,BF103)</f>
        <v/>
      </c>
      <c r="BG30" s="2628">
        <f>SUM(AU30:BF30)</f>
        <v/>
      </c>
      <c r="BH30" s="2631" t="n"/>
      <c r="BI30" s="2627">
        <f>SUM(BI68,BI103)</f>
        <v/>
      </c>
      <c r="BJ30" s="2627">
        <f>SUM(BJ68,BJ103)</f>
        <v/>
      </c>
      <c r="BK30" s="2627">
        <f>SUM(BK68,BK103)</f>
        <v/>
      </c>
      <c r="BL30" s="2627">
        <f>SUM(BL68,BL103)</f>
        <v/>
      </c>
      <c r="BM30" s="2627">
        <f>SUM(BM68,BM103)</f>
        <v/>
      </c>
      <c r="BN30" s="2627">
        <f>SUM(BN68,BN103)</f>
        <v/>
      </c>
      <c r="BO30" s="2627">
        <f>SUM(BO68,BO103)</f>
        <v/>
      </c>
      <c r="BP30" s="2627">
        <f>SUM(BP68,BP103)</f>
        <v/>
      </c>
      <c r="BQ30" s="2627">
        <f>SUM(BQ68,BQ103)</f>
        <v/>
      </c>
      <c r="BR30" s="2627">
        <f>SUM(BR68,BR103)</f>
        <v/>
      </c>
      <c r="BS30" s="2627">
        <f>SUM(BS68,BS103)</f>
        <v/>
      </c>
      <c r="BT30" s="2627">
        <f>SUM(BT68,BT103)</f>
        <v/>
      </c>
      <c r="BU30" s="2628">
        <f>SUM(BI30:BT30)</f>
        <v/>
      </c>
    </row>
    <row r="31" outlineLevel="1">
      <c r="A31" s="1436" t="n"/>
      <c r="B31" s="1456" t="inlineStr">
        <is>
          <t>교육훈련비</t>
        </is>
      </c>
      <c r="C31" s="1456" t="n"/>
      <c r="D31" s="2627" t="n"/>
      <c r="E31" s="2627" t="n"/>
      <c r="F31" s="2627" t="n"/>
      <c r="G31" s="2627" t="n"/>
      <c r="H31" s="2627" t="n"/>
      <c r="I31" s="2627" t="n"/>
      <c r="J31" s="2627" t="n"/>
      <c r="K31" s="2627" t="n"/>
      <c r="L31" s="2627" t="n"/>
      <c r="M31" s="2627" t="n"/>
      <c r="N31" s="2627" t="n"/>
      <c r="O31" s="2627" t="n"/>
      <c r="P31" s="2626">
        <f>SUM(D31:O31)</f>
        <v/>
      </c>
      <c r="Q31" s="1466" t="n"/>
      <c r="R31" s="1436" t="n"/>
      <c r="S31" s="2625">
        <f>SUM(S70,S104)</f>
        <v/>
      </c>
      <c r="T31" s="2625">
        <f>SUM(T70,T104)</f>
        <v/>
      </c>
      <c r="U31" s="2625">
        <f>SUM(U70,U104)</f>
        <v/>
      </c>
      <c r="V31" s="2625">
        <f>SUM(V70,V104)</f>
        <v/>
      </c>
      <c r="W31" s="2625">
        <f>SUM(W70,W104)</f>
        <v/>
      </c>
      <c r="X31" s="2625">
        <f>SUM(X70,X104)</f>
        <v/>
      </c>
      <c r="Y31" s="2625">
        <f>SUM(Y70,Y104)</f>
        <v/>
      </c>
      <c r="Z31" s="2625">
        <f>SUM(Z70,Z104)</f>
        <v/>
      </c>
      <c r="AA31" s="2625">
        <f>SUM(AA70,AA104)</f>
        <v/>
      </c>
      <c r="AB31" s="2625">
        <f>SUM(AB70,AB104)</f>
        <v/>
      </c>
      <c r="AC31" s="2625">
        <f>SUM(AC70,AC104)</f>
        <v/>
      </c>
      <c r="AD31" s="2625">
        <f>SUM(AD70,AD104)</f>
        <v/>
      </c>
      <c r="AE31" s="2626">
        <f>SUM(S31:AD31)</f>
        <v/>
      </c>
      <c r="AF31" s="1466" t="n"/>
      <c r="AG31" s="2625">
        <f>SUM(AG70,AG104)</f>
        <v/>
      </c>
      <c r="AH31" s="2625">
        <f>SUM(AH70,AH104)</f>
        <v/>
      </c>
      <c r="AI31" s="2625">
        <f>SUM(AI70,AI104)</f>
        <v/>
      </c>
      <c r="AJ31" s="2625">
        <f>SUM(AJ70,AJ104)</f>
        <v/>
      </c>
      <c r="AK31" s="2625">
        <f>SUM(AK70,AK104)</f>
        <v/>
      </c>
      <c r="AL31" s="2625">
        <f>SUM(AL70,AL104)</f>
        <v/>
      </c>
      <c r="AM31" s="2625">
        <f>SUM(AM70,AM104)</f>
        <v/>
      </c>
      <c r="AN31" s="2625">
        <f>SUM(AN70,AN104)</f>
        <v/>
      </c>
      <c r="AO31" s="2625">
        <f>SUM(AO70,AO104)</f>
        <v/>
      </c>
      <c r="AP31" s="2625">
        <f>SUM(AP70,AP104)</f>
        <v/>
      </c>
      <c r="AQ31" s="2625">
        <f>SUM(AQ70,AQ104)</f>
        <v/>
      </c>
      <c r="AR31" s="2625">
        <f>SUM(AR70,AR104)</f>
        <v/>
      </c>
      <c r="AS31" s="2626">
        <f>SUM(AG31:AR31)</f>
        <v/>
      </c>
      <c r="AU31" s="2625">
        <f>SUM(AU70,AU104)</f>
        <v/>
      </c>
      <c r="AV31" s="2625">
        <f>SUM(AV70,AV104)</f>
        <v/>
      </c>
      <c r="AW31" s="2625">
        <f>SUM(AW70,AW104)</f>
        <v/>
      </c>
      <c r="AX31" s="2625">
        <f>SUM(AX70,AX104)</f>
        <v/>
      </c>
      <c r="AY31" s="2625">
        <f>SUM(AY70,AY104)</f>
        <v/>
      </c>
      <c r="AZ31" s="2625">
        <f>SUM(AZ70,AZ104)</f>
        <v/>
      </c>
      <c r="BA31" s="2625">
        <f>SUM(BA70,BA104)</f>
        <v/>
      </c>
      <c r="BB31" s="2625">
        <f>SUM(BB70,BB104)</f>
        <v/>
      </c>
      <c r="BC31" s="2625">
        <f>SUM(BC70,BC104)</f>
        <v/>
      </c>
      <c r="BD31" s="2625">
        <f>SUM(BD70,BD104)</f>
        <v/>
      </c>
      <c r="BE31" s="2625">
        <f>SUM(BE70,BE104)</f>
        <v/>
      </c>
      <c r="BF31" s="2627">
        <f>SUM(BF70,BF104)</f>
        <v/>
      </c>
      <c r="BG31" s="2628">
        <f>SUM(AU31:BF31)</f>
        <v/>
      </c>
      <c r="BH31" s="2631" t="n"/>
      <c r="BI31" s="2627">
        <f>SUM(BI70,BI104)</f>
        <v/>
      </c>
      <c r="BJ31" s="2627">
        <f>SUM(BJ70,BJ104)</f>
        <v/>
      </c>
      <c r="BK31" s="2627">
        <f>SUM(BK70,BK104)</f>
        <v/>
      </c>
      <c r="BL31" s="2627">
        <f>SUM(BL70,BL104)</f>
        <v/>
      </c>
      <c r="BM31" s="2627">
        <f>SUM(BM70,BM104)</f>
        <v/>
      </c>
      <c r="BN31" s="2627">
        <f>SUM(BN70,BN104)</f>
        <v/>
      </c>
      <c r="BO31" s="2627">
        <f>SUM(BO70,BO104)</f>
        <v/>
      </c>
      <c r="BP31" s="2627">
        <f>SUM(BP70,BP104)</f>
        <v/>
      </c>
      <c r="BQ31" s="2627">
        <f>SUM(BQ70,BQ104)</f>
        <v/>
      </c>
      <c r="BR31" s="2627">
        <f>SUM(BR70,BR104)</f>
        <v/>
      </c>
      <c r="BS31" s="2627">
        <f>SUM(BS70,BS104)</f>
        <v/>
      </c>
      <c r="BT31" s="2627">
        <f>SUM(BT70,BT104)</f>
        <v/>
      </c>
      <c r="BU31" s="2628">
        <f>SUM(BI31:BT31)</f>
        <v/>
      </c>
    </row>
    <row r="32" outlineLevel="1">
      <c r="A32" s="1436" t="n"/>
      <c r="B32" s="1456" t="inlineStr">
        <is>
          <t>도서인쇄비</t>
        </is>
      </c>
      <c r="C32" s="1456" t="n"/>
      <c r="D32" s="2627" t="n"/>
      <c r="E32" s="2627" t="n"/>
      <c r="F32" s="2627" t="n"/>
      <c r="G32" s="2627" t="n"/>
      <c r="H32" s="2627" t="n"/>
      <c r="I32" s="2627" t="n"/>
      <c r="J32" s="2627" t="n"/>
      <c r="K32" s="2627" t="n"/>
      <c r="L32" s="2627" t="n"/>
      <c r="M32" s="2627" t="n"/>
      <c r="N32" s="2627" t="n"/>
      <c r="O32" s="2627" t="n"/>
      <c r="P32" s="2626">
        <f>SUM(D32:O32)</f>
        <v/>
      </c>
      <c r="Q32" s="1464" t="n"/>
      <c r="R32" s="1436" t="n"/>
      <c r="S32" s="2625">
        <f>SUM(S71,S105)</f>
        <v/>
      </c>
      <c r="T32" s="2625">
        <f>SUM(T71,T105)</f>
        <v/>
      </c>
      <c r="U32" s="2625">
        <f>SUM(U71,U105)</f>
        <v/>
      </c>
      <c r="V32" s="2625">
        <f>SUM(V71,V105)</f>
        <v/>
      </c>
      <c r="W32" s="2625">
        <f>SUM(W71,W105)</f>
        <v/>
      </c>
      <c r="X32" s="2625">
        <f>SUM(X71,X105)</f>
        <v/>
      </c>
      <c r="Y32" s="2625">
        <f>SUM(Y71,Y105)</f>
        <v/>
      </c>
      <c r="Z32" s="2625">
        <f>SUM(Z71,Z105)</f>
        <v/>
      </c>
      <c r="AA32" s="2625">
        <f>SUM(AA71,AA105)</f>
        <v/>
      </c>
      <c r="AB32" s="2625">
        <f>SUM(AB71,AB105)</f>
        <v/>
      </c>
      <c r="AC32" s="2625">
        <f>SUM(AC71,AC105)</f>
        <v/>
      </c>
      <c r="AD32" s="2625">
        <f>SUM(AD71,AD105)</f>
        <v/>
      </c>
      <c r="AE32" s="2626">
        <f>SUM(S32:AD32)</f>
        <v/>
      </c>
      <c r="AF32" s="1464" t="n"/>
      <c r="AG32" s="2625">
        <f>SUM(AG71,AG105)</f>
        <v/>
      </c>
      <c r="AH32" s="2625">
        <f>SUM(AH71,AH105)</f>
        <v/>
      </c>
      <c r="AI32" s="2625">
        <f>SUM(AI71,AI105)</f>
        <v/>
      </c>
      <c r="AJ32" s="2625">
        <f>SUM(AJ71,AJ105)</f>
        <v/>
      </c>
      <c r="AK32" s="2625">
        <f>SUM(AK71,AK105)</f>
        <v/>
      </c>
      <c r="AL32" s="2625">
        <f>SUM(AL71,AL105)</f>
        <v/>
      </c>
      <c r="AM32" s="2625">
        <f>SUM(AM71,AM105)</f>
        <v/>
      </c>
      <c r="AN32" s="2625">
        <f>SUM(AN71,AN105)</f>
        <v/>
      </c>
      <c r="AO32" s="2625">
        <f>SUM(AO71,AO105)</f>
        <v/>
      </c>
      <c r="AP32" s="2625">
        <f>SUM(AP71,AP105)</f>
        <v/>
      </c>
      <c r="AQ32" s="2625">
        <f>SUM(AQ71,AQ105)</f>
        <v/>
      </c>
      <c r="AR32" s="2625">
        <f>SUM(AR71,AR105)</f>
        <v/>
      </c>
      <c r="AS32" s="2626">
        <f>SUM(AG32:AR32)</f>
        <v/>
      </c>
      <c r="AU32" s="2625">
        <f>SUM(AU71,AU105)</f>
        <v/>
      </c>
      <c r="AV32" s="2625">
        <f>SUM(AV71,AV105)</f>
        <v/>
      </c>
      <c r="AW32" s="2625">
        <f>SUM(AW71,AW105)</f>
        <v/>
      </c>
      <c r="AX32" s="2625">
        <f>SUM(AX71,AX105)</f>
        <v/>
      </c>
      <c r="AY32" s="2625">
        <f>SUM(AY71,AY105)</f>
        <v/>
      </c>
      <c r="AZ32" s="2625">
        <f>SUM(AZ71,AZ105)</f>
        <v/>
      </c>
      <c r="BA32" s="2625">
        <f>SUM(BA71,BA105)</f>
        <v/>
      </c>
      <c r="BB32" s="2625">
        <f>SUM(BB71,BB105)</f>
        <v/>
      </c>
      <c r="BC32" s="2625">
        <f>SUM(BC71,BC105)</f>
        <v/>
      </c>
      <c r="BD32" s="2625">
        <f>SUM(BD71,BD105)</f>
        <v/>
      </c>
      <c r="BE32" s="2625">
        <f>SUM(BE71,BE105)</f>
        <v/>
      </c>
      <c r="BF32" s="2627">
        <f>SUM(BF71,BF105)</f>
        <v/>
      </c>
      <c r="BG32" s="2628">
        <f>SUM(AU32:BF32)</f>
        <v/>
      </c>
      <c r="BH32" s="2631" t="n"/>
      <c r="BI32" s="2627">
        <f>SUM(BI71,BI105)</f>
        <v/>
      </c>
      <c r="BJ32" s="2627">
        <f>SUM(BJ71,BJ105)</f>
        <v/>
      </c>
      <c r="BK32" s="2627">
        <f>SUM(BK71,BK105)</f>
        <v/>
      </c>
      <c r="BL32" s="2627">
        <f>SUM(BL71,BL105)</f>
        <v/>
      </c>
      <c r="BM32" s="2627">
        <f>SUM(BM71,BM105)</f>
        <v/>
      </c>
      <c r="BN32" s="2627">
        <f>SUM(BN71,BN105)</f>
        <v/>
      </c>
      <c r="BO32" s="2627">
        <f>SUM(BO71,BO105)</f>
        <v/>
      </c>
      <c r="BP32" s="2627">
        <f>SUM(BP71,BP105)</f>
        <v/>
      </c>
      <c r="BQ32" s="2627">
        <f>SUM(BQ71,BQ105)</f>
        <v/>
      </c>
      <c r="BR32" s="2627">
        <f>SUM(BR71,BR105)</f>
        <v/>
      </c>
      <c r="BS32" s="2627">
        <f>SUM(BS71,BS105)</f>
        <v/>
      </c>
      <c r="BT32" s="2627">
        <f>SUM(BT71,BT105)</f>
        <v/>
      </c>
      <c r="BU32" s="2628">
        <f>SUM(BI32:BT32)</f>
        <v/>
      </c>
    </row>
    <row r="33" outlineLevel="1">
      <c r="A33" s="1436" t="n"/>
      <c r="B33" s="1456" t="inlineStr">
        <is>
          <t>사무용품비</t>
        </is>
      </c>
      <c r="C33" s="1456" t="n"/>
      <c r="D33" s="2627" t="n"/>
      <c r="E33" s="2627" t="n"/>
      <c r="F33" s="2627" t="n"/>
      <c r="G33" s="2627" t="n"/>
      <c r="H33" s="2627" t="n"/>
      <c r="I33" s="2627" t="n"/>
      <c r="J33" s="2627" t="n"/>
      <c r="K33" s="2627" t="n"/>
      <c r="L33" s="2627" t="n"/>
      <c r="M33" s="2627" t="n"/>
      <c r="N33" s="2627" t="n"/>
      <c r="O33" s="2627" t="n"/>
      <c r="P33" s="2626">
        <f>SUM(D33:O33)</f>
        <v/>
      </c>
      <c r="Q33" s="1466" t="n"/>
      <c r="R33" s="1436" t="n"/>
      <c r="S33" s="2625">
        <f>SUM(S72,S106)</f>
        <v/>
      </c>
      <c r="T33" s="2625">
        <f>SUM(T72,T106)</f>
        <v/>
      </c>
      <c r="U33" s="2625">
        <f>SUM(U72,U106)</f>
        <v/>
      </c>
      <c r="V33" s="2625">
        <f>SUM(V72,V106)</f>
        <v/>
      </c>
      <c r="W33" s="2625">
        <f>SUM(W72,W106)</f>
        <v/>
      </c>
      <c r="X33" s="2625">
        <f>SUM(X72,X106)</f>
        <v/>
      </c>
      <c r="Y33" s="2625">
        <f>SUM(Y72,Y106)</f>
        <v/>
      </c>
      <c r="Z33" s="2625">
        <f>SUM(Z72,Z106)</f>
        <v/>
      </c>
      <c r="AA33" s="2625">
        <f>SUM(AA72,AA106)</f>
        <v/>
      </c>
      <c r="AB33" s="2625">
        <f>SUM(AB72,AB106)</f>
        <v/>
      </c>
      <c r="AC33" s="2625">
        <f>SUM(AC72,AC106)</f>
        <v/>
      </c>
      <c r="AD33" s="2625">
        <f>SUM(AD72,AD106)</f>
        <v/>
      </c>
      <c r="AE33" s="2626">
        <f>SUM(S33:AD33)</f>
        <v/>
      </c>
      <c r="AF33" s="1464" t="n"/>
      <c r="AG33" s="2625">
        <f>SUM(AG72,AG106)</f>
        <v/>
      </c>
      <c r="AH33" s="2625">
        <f>SUM(AH72,AH106)</f>
        <v/>
      </c>
      <c r="AI33" s="2625">
        <f>SUM(AI72,AI106)</f>
        <v/>
      </c>
      <c r="AJ33" s="2625">
        <f>SUM(AJ72,AJ106)</f>
        <v/>
      </c>
      <c r="AK33" s="2625">
        <f>SUM(AK72,AK106)</f>
        <v/>
      </c>
      <c r="AL33" s="2625">
        <f>SUM(AL72,AL106)</f>
        <v/>
      </c>
      <c r="AM33" s="2625">
        <f>SUM(AM72,AM106)</f>
        <v/>
      </c>
      <c r="AN33" s="2625">
        <f>SUM(AN72,AN106)</f>
        <v/>
      </c>
      <c r="AO33" s="2625">
        <f>SUM(AO72,AO106)</f>
        <v/>
      </c>
      <c r="AP33" s="2625">
        <f>SUM(AP72,AP106)</f>
        <v/>
      </c>
      <c r="AQ33" s="2625">
        <f>SUM(AQ72,AQ106)</f>
        <v/>
      </c>
      <c r="AR33" s="2625">
        <f>SUM(AR72,AR106)</f>
        <v/>
      </c>
      <c r="AS33" s="2626">
        <f>SUM(AG33:AR33)</f>
        <v/>
      </c>
      <c r="AU33" s="2625">
        <f>SUM(AU72,AU106)</f>
        <v/>
      </c>
      <c r="AV33" s="2625">
        <f>SUM(AV72,AV106)</f>
        <v/>
      </c>
      <c r="AW33" s="2625">
        <f>SUM(AW72,AW106)</f>
        <v/>
      </c>
      <c r="AX33" s="2625">
        <f>SUM(AX72,AX106)</f>
        <v/>
      </c>
      <c r="AY33" s="2625">
        <f>SUM(AY72,AY106)</f>
        <v/>
      </c>
      <c r="AZ33" s="2625">
        <f>SUM(AZ72,AZ106)</f>
        <v/>
      </c>
      <c r="BA33" s="2625">
        <f>SUM(BA72,BA106)</f>
        <v/>
      </c>
      <c r="BB33" s="2625">
        <f>SUM(BB72,BB106)</f>
        <v/>
      </c>
      <c r="BC33" s="2625">
        <f>SUM(BC72,BC106)</f>
        <v/>
      </c>
      <c r="BD33" s="2625">
        <f>SUM(BD72,BD106)</f>
        <v/>
      </c>
      <c r="BE33" s="2625">
        <f>SUM(BE72,BE106)</f>
        <v/>
      </c>
      <c r="BF33" s="2627">
        <f>SUM(BF72,BF106)</f>
        <v/>
      </c>
      <c r="BG33" s="2628">
        <f>SUM(AU33:BF33)</f>
        <v/>
      </c>
      <c r="BH33" s="2631" t="n"/>
      <c r="BI33" s="2627">
        <f>SUM(BI72,BI106)</f>
        <v/>
      </c>
      <c r="BJ33" s="2627">
        <f>SUM(BJ72,BJ106)</f>
        <v/>
      </c>
      <c r="BK33" s="2627">
        <f>SUM(BK72,BK106)</f>
        <v/>
      </c>
      <c r="BL33" s="2627">
        <f>SUM(BL72,BL106)</f>
        <v/>
      </c>
      <c r="BM33" s="2627">
        <f>SUM(BM72,BM106)</f>
        <v/>
      </c>
      <c r="BN33" s="2627">
        <f>SUM(BN72,BN106)</f>
        <v/>
      </c>
      <c r="BO33" s="2627">
        <f>SUM(BO72,BO106)</f>
        <v/>
      </c>
      <c r="BP33" s="2627">
        <f>SUM(BP72,BP106)</f>
        <v/>
      </c>
      <c r="BQ33" s="2627">
        <f>SUM(BQ72,BQ106)</f>
        <v/>
      </c>
      <c r="BR33" s="2627">
        <f>SUM(BR72,BR106)</f>
        <v/>
      </c>
      <c r="BS33" s="2627">
        <f>SUM(BS72,BS106)</f>
        <v/>
      </c>
      <c r="BT33" s="2627">
        <f>SUM(BT72,BT106)</f>
        <v/>
      </c>
      <c r="BU33" s="2628">
        <f>SUM(BI33:BT33)</f>
        <v/>
      </c>
    </row>
    <row r="34" outlineLevel="1">
      <c r="A34" s="1436" t="n"/>
      <c r="B34" s="1456" t="inlineStr">
        <is>
          <t>소모품비</t>
        </is>
      </c>
      <c r="C34" s="1456" t="n"/>
      <c r="D34" s="2627" t="n"/>
      <c r="E34" s="2627" t="n"/>
      <c r="F34" s="2627" t="n"/>
      <c r="G34" s="2627" t="n"/>
      <c r="H34" s="2627" t="n"/>
      <c r="I34" s="2627" t="n"/>
      <c r="J34" s="2627" t="n"/>
      <c r="K34" s="2627" t="n"/>
      <c r="L34" s="2627" t="n"/>
      <c r="M34" s="2627" t="n"/>
      <c r="N34" s="2627" t="n"/>
      <c r="O34" s="2627" t="n"/>
      <c r="P34" s="2626">
        <f>SUM(D34:O34)</f>
        <v/>
      </c>
      <c r="Q34" s="1464" t="n"/>
      <c r="R34" s="1436" t="n"/>
      <c r="S34" s="2625">
        <f>SUM(S73,S107)</f>
        <v/>
      </c>
      <c r="T34" s="2625">
        <f>SUM(T73,T107)</f>
        <v/>
      </c>
      <c r="U34" s="2625">
        <f>SUM(U73,U107)</f>
        <v/>
      </c>
      <c r="V34" s="2625">
        <f>SUM(V73,V107)</f>
        <v/>
      </c>
      <c r="W34" s="2625">
        <f>SUM(W73,W107)</f>
        <v/>
      </c>
      <c r="X34" s="2625">
        <f>SUM(X73,X107)</f>
        <v/>
      </c>
      <c r="Y34" s="2625">
        <f>SUM(Y73,Y107)</f>
        <v/>
      </c>
      <c r="Z34" s="2625">
        <f>SUM(Z73,Z107)</f>
        <v/>
      </c>
      <c r="AA34" s="2625">
        <f>SUM(AA73,AA107)</f>
        <v/>
      </c>
      <c r="AB34" s="2625">
        <f>SUM(AB73,AB107)</f>
        <v/>
      </c>
      <c r="AC34" s="2625">
        <f>SUM(AC73,AC107)</f>
        <v/>
      </c>
      <c r="AD34" s="2625">
        <f>SUM(AD73,AD107)</f>
        <v/>
      </c>
      <c r="AE34" s="2626">
        <f>SUM(S34:AD34)</f>
        <v/>
      </c>
      <c r="AF34" s="1464" t="n"/>
      <c r="AG34" s="2625">
        <f>SUM(AG73,AG107)</f>
        <v/>
      </c>
      <c r="AH34" s="2625">
        <f>SUM(AH73,AH107)</f>
        <v/>
      </c>
      <c r="AI34" s="2625">
        <f>SUM(AI73,AI107)</f>
        <v/>
      </c>
      <c r="AJ34" s="2625">
        <f>SUM(AJ73,AJ107)</f>
        <v/>
      </c>
      <c r="AK34" s="2625">
        <f>SUM(AK73,AK107)</f>
        <v/>
      </c>
      <c r="AL34" s="2625">
        <f>SUM(AL73,AL107)</f>
        <v/>
      </c>
      <c r="AM34" s="2625">
        <f>SUM(AM73,AM107)</f>
        <v/>
      </c>
      <c r="AN34" s="2625">
        <f>SUM(AN73,AN107)</f>
        <v/>
      </c>
      <c r="AO34" s="2625">
        <f>SUM(AO73,AO107)</f>
        <v/>
      </c>
      <c r="AP34" s="2625">
        <f>SUM(AP73,AP107)</f>
        <v/>
      </c>
      <c r="AQ34" s="2625">
        <f>SUM(AQ73,AQ107)</f>
        <v/>
      </c>
      <c r="AR34" s="2625">
        <f>SUM(AR73,AR107)</f>
        <v/>
      </c>
      <c r="AS34" s="2626">
        <f>SUM(AG34:AR34)</f>
        <v/>
      </c>
      <c r="AU34" s="2625">
        <f>SUM(AU73,AU107)</f>
        <v/>
      </c>
      <c r="AV34" s="2625">
        <f>SUM(AV73,AV107)</f>
        <v/>
      </c>
      <c r="AW34" s="2625">
        <f>SUM(AW73,AW107)</f>
        <v/>
      </c>
      <c r="AX34" s="2625">
        <f>SUM(AX73,AX107)</f>
        <v/>
      </c>
      <c r="AY34" s="2625">
        <f>SUM(AY73,AY107)</f>
        <v/>
      </c>
      <c r="AZ34" s="2625">
        <f>SUM(AZ73,AZ107)</f>
        <v/>
      </c>
      <c r="BA34" s="2625">
        <f>SUM(BA73,BA107)</f>
        <v/>
      </c>
      <c r="BB34" s="2625">
        <f>SUM(BB73,BB107)</f>
        <v/>
      </c>
      <c r="BC34" s="2625">
        <f>SUM(BC73,BC107)</f>
        <v/>
      </c>
      <c r="BD34" s="2625">
        <f>SUM(BD73,BD107)</f>
        <v/>
      </c>
      <c r="BE34" s="2625">
        <f>SUM(BE73,BE107)</f>
        <v/>
      </c>
      <c r="BF34" s="2627">
        <f>SUM(BF73,BF107)</f>
        <v/>
      </c>
      <c r="BG34" s="2628">
        <f>SUM(AU34:BF34)</f>
        <v/>
      </c>
      <c r="BH34" s="2631" t="n"/>
      <c r="BI34" s="2627">
        <f>SUM(BI73,BI107)</f>
        <v/>
      </c>
      <c r="BJ34" s="2627">
        <f>SUM(BJ73,BJ107)</f>
        <v/>
      </c>
      <c r="BK34" s="2627">
        <f>SUM(BK73,BK107)</f>
        <v/>
      </c>
      <c r="BL34" s="2627">
        <f>SUM(BL73,BL107)</f>
        <v/>
      </c>
      <c r="BM34" s="2627">
        <f>SUM(BM73,BM107)</f>
        <v/>
      </c>
      <c r="BN34" s="2627">
        <f>SUM(BN73,BN107)</f>
        <v/>
      </c>
      <c r="BO34" s="2627">
        <f>SUM(BO73,BO107)</f>
        <v/>
      </c>
      <c r="BP34" s="2627">
        <f>SUM(BP73,BP107)</f>
        <v/>
      </c>
      <c r="BQ34" s="2627">
        <f>SUM(BQ73,BQ107)</f>
        <v/>
      </c>
      <c r="BR34" s="2627">
        <f>SUM(BR73,BR107)</f>
        <v/>
      </c>
      <c r="BS34" s="2627">
        <f>SUM(BS73,BS107)</f>
        <v/>
      </c>
      <c r="BT34" s="2627">
        <f>SUM(BT73,BT107)</f>
        <v/>
      </c>
      <c r="BU34" s="2628">
        <f>SUM(BI34:BT34)</f>
        <v/>
      </c>
    </row>
    <row r="35" outlineLevel="1">
      <c r="A35" s="1436" t="n"/>
      <c r="B35" s="1456" t="inlineStr">
        <is>
          <t>지급수수료</t>
        </is>
      </c>
      <c r="C35" s="1456" t="n"/>
      <c r="D35" s="2627" t="n"/>
      <c r="E35" s="2627" t="n"/>
      <c r="F35" s="2627" t="n"/>
      <c r="G35" s="2627" t="n"/>
      <c r="H35" s="2627" t="n"/>
      <c r="I35" s="2627" t="n"/>
      <c r="J35" s="2627" t="n"/>
      <c r="K35" s="2627" t="n"/>
      <c r="L35" s="2627" t="n"/>
      <c r="M35" s="2627" t="n"/>
      <c r="N35" s="2627" t="n"/>
      <c r="O35" s="2627" t="n"/>
      <c r="P35" s="2626">
        <f>SUM(D35:O35)</f>
        <v/>
      </c>
      <c r="Q35" s="1464" t="n"/>
      <c r="R35" s="1436" t="n"/>
      <c r="S35" s="2625">
        <f>SUM(S74,S108)</f>
        <v/>
      </c>
      <c r="T35" s="2625">
        <f>SUM(T74,T108)</f>
        <v/>
      </c>
      <c r="U35" s="2625">
        <f>SUM(U74,U108)</f>
        <v/>
      </c>
      <c r="V35" s="2625">
        <f>SUM(V74,V108)</f>
        <v/>
      </c>
      <c r="W35" s="2625">
        <f>SUM(W74,W108)</f>
        <v/>
      </c>
      <c r="X35" s="2625">
        <f>SUM(X74,X108)</f>
        <v/>
      </c>
      <c r="Y35" s="2625">
        <f>SUM(Y74,Y108)</f>
        <v/>
      </c>
      <c r="Z35" s="2625">
        <f>SUM(Z74,Z108)</f>
        <v/>
      </c>
      <c r="AA35" s="2625">
        <f>SUM(AA74,AA108)</f>
        <v/>
      </c>
      <c r="AB35" s="2625">
        <f>SUM(AB74,AB108)</f>
        <v/>
      </c>
      <c r="AC35" s="2625">
        <f>SUM(AC74,AC108)</f>
        <v/>
      </c>
      <c r="AD35" s="2625">
        <f>SUM(AD74,AD108)</f>
        <v/>
      </c>
      <c r="AE35" s="2626">
        <f>SUM(S35:AD35)</f>
        <v/>
      </c>
      <c r="AF35" s="1464" t="n"/>
      <c r="AG35" s="2625">
        <f>SUM(AG74,AG108)</f>
        <v/>
      </c>
      <c r="AH35" s="2625">
        <f>SUM(AH74,AH108)</f>
        <v/>
      </c>
      <c r="AI35" s="2625">
        <f>SUM(AI74,AI108)</f>
        <v/>
      </c>
      <c r="AJ35" s="2625">
        <f>SUM(AJ74,AJ108)</f>
        <v/>
      </c>
      <c r="AK35" s="2625">
        <f>SUM(AK74,AK108)</f>
        <v/>
      </c>
      <c r="AL35" s="2625">
        <f>SUM(AL74,AL108)</f>
        <v/>
      </c>
      <c r="AM35" s="2625">
        <f>SUM(AM74,AM108)</f>
        <v/>
      </c>
      <c r="AN35" s="2625">
        <f>SUM(AN74,AN108)</f>
        <v/>
      </c>
      <c r="AO35" s="2625">
        <f>SUM(AO74,AO108)</f>
        <v/>
      </c>
      <c r="AP35" s="2625">
        <f>SUM(AP74,AP108)</f>
        <v/>
      </c>
      <c r="AQ35" s="2625">
        <f>SUM(AQ74,AQ108)</f>
        <v/>
      </c>
      <c r="AR35" s="2625">
        <f>SUM(AR74,AR108)</f>
        <v/>
      </c>
      <c r="AS35" s="2626">
        <f>SUM(AG35:AR35)</f>
        <v/>
      </c>
      <c r="AU35" s="2625">
        <f>SUM(AU74,AU108)</f>
        <v/>
      </c>
      <c r="AV35" s="2625">
        <f>SUM(AV74,AV108)</f>
        <v/>
      </c>
      <c r="AW35" s="2625">
        <f>SUM(AW74,AW108)</f>
        <v/>
      </c>
      <c r="AX35" s="2625">
        <f>SUM(AX74,AX108)</f>
        <v/>
      </c>
      <c r="AY35" s="2625">
        <f>SUM(AY74,AY108)</f>
        <v/>
      </c>
      <c r="AZ35" s="2625">
        <f>SUM(AZ74,AZ108)</f>
        <v/>
      </c>
      <c r="BA35" s="2625">
        <f>SUM(BA74,BA108)</f>
        <v/>
      </c>
      <c r="BB35" s="2625">
        <f>SUM(BB74,BB108)</f>
        <v/>
      </c>
      <c r="BC35" s="2625">
        <f>SUM(BC74,BC108)</f>
        <v/>
      </c>
      <c r="BD35" s="2625">
        <f>SUM(BD74,BD108)</f>
        <v/>
      </c>
      <c r="BE35" s="2625">
        <f>SUM(BE74,BE108)</f>
        <v/>
      </c>
      <c r="BF35" s="2627">
        <f>SUM(BF74,BF108)</f>
        <v/>
      </c>
      <c r="BG35" s="2628">
        <f>SUM(AU35:BF35)</f>
        <v/>
      </c>
      <c r="BH35" s="2631" t="n"/>
      <c r="BI35" s="2627">
        <f>SUM(BI74,BI108)</f>
        <v/>
      </c>
      <c r="BJ35" s="2627">
        <f>SUM(BJ74,BJ108)</f>
        <v/>
      </c>
      <c r="BK35" s="2627">
        <f>SUM(BK74,BK108)</f>
        <v/>
      </c>
      <c r="BL35" s="2627">
        <f>SUM(BL74,BL108)</f>
        <v/>
      </c>
      <c r="BM35" s="2627">
        <f>SUM(BM74,BM108)</f>
        <v/>
      </c>
      <c r="BN35" s="2627">
        <f>SUM(BN74,BN108)</f>
        <v/>
      </c>
      <c r="BO35" s="2627">
        <f>SUM(BO74,BO108)</f>
        <v/>
      </c>
      <c r="BP35" s="2627">
        <f>SUM(BP74,BP108)</f>
        <v/>
      </c>
      <c r="BQ35" s="2627">
        <f>SUM(BQ74,BQ108)</f>
        <v/>
      </c>
      <c r="BR35" s="2627">
        <f>SUM(BR74,BR108)</f>
        <v/>
      </c>
      <c r="BS35" s="2627">
        <f>SUM(BS74,BS108)</f>
        <v/>
      </c>
      <c r="BT35" s="2627">
        <f>SUM(BT74,BT108)</f>
        <v/>
      </c>
      <c r="BU35" s="2628">
        <f>SUM(BI35:BT35)</f>
        <v/>
      </c>
    </row>
    <row r="36" outlineLevel="1">
      <c r="A36" s="1436" t="n"/>
      <c r="B36" s="1456" t="inlineStr">
        <is>
          <t>광고선전비</t>
        </is>
      </c>
      <c r="C36" s="1456" t="n"/>
      <c r="D36" s="2627" t="n"/>
      <c r="E36" s="2627" t="n"/>
      <c r="F36" s="2627" t="n"/>
      <c r="G36" s="2627" t="n"/>
      <c r="H36" s="2627" t="n"/>
      <c r="I36" s="2627" t="n"/>
      <c r="J36" s="2627" t="n"/>
      <c r="K36" s="2627" t="n"/>
      <c r="L36" s="2627" t="n"/>
      <c r="M36" s="2627" t="n"/>
      <c r="N36" s="2627" t="n"/>
      <c r="O36" s="2627" t="n"/>
      <c r="P36" s="2626">
        <f>SUM(D36:O36)</f>
        <v/>
      </c>
      <c r="Q36" s="1466" t="n"/>
      <c r="R36" s="1436" t="n"/>
      <c r="S36" s="2625">
        <f>SUM(S75,S110)</f>
        <v/>
      </c>
      <c r="T36" s="2625">
        <f>SUM(T75,T110)</f>
        <v/>
      </c>
      <c r="U36" s="2625">
        <f>SUM(U75,U110)</f>
        <v/>
      </c>
      <c r="V36" s="2625">
        <f>SUM(V75,V110)</f>
        <v/>
      </c>
      <c r="W36" s="2625">
        <f>SUM(W75,W110)</f>
        <v/>
      </c>
      <c r="X36" s="2625">
        <f>SUM(X75,X110)</f>
        <v/>
      </c>
      <c r="Y36" s="2625">
        <f>SUM(Y75,Y110)</f>
        <v/>
      </c>
      <c r="Z36" s="2625">
        <f>SUM(Z75,Z110)</f>
        <v/>
      </c>
      <c r="AA36" s="2625">
        <f>SUM(AA75,AA110)</f>
        <v/>
      </c>
      <c r="AB36" s="2625">
        <f>SUM(AB75,AB110)</f>
        <v/>
      </c>
      <c r="AC36" s="2625">
        <f>SUM(AC75,AC110)</f>
        <v/>
      </c>
      <c r="AD36" s="2625">
        <f>SUM(AD75,AD110)</f>
        <v/>
      </c>
      <c r="AE36" s="2626">
        <f>SUM(S36:AD36)</f>
        <v/>
      </c>
      <c r="AF36" s="1466" t="n"/>
      <c r="AG36" s="2625">
        <f>SUM(AG75,AG110)</f>
        <v/>
      </c>
      <c r="AH36" s="2625">
        <f>SUM(AH75,AH110)</f>
        <v/>
      </c>
      <c r="AI36" s="2625">
        <f>SUM(AI75,AI110)</f>
        <v/>
      </c>
      <c r="AJ36" s="2625">
        <f>SUM(AJ75,AJ110)</f>
        <v/>
      </c>
      <c r="AK36" s="2625">
        <f>SUM(AK75,AK110)</f>
        <v/>
      </c>
      <c r="AL36" s="2625">
        <f>SUM(AL75,AL110)</f>
        <v/>
      </c>
      <c r="AM36" s="2625">
        <f>SUM(AM75,AM110)</f>
        <v/>
      </c>
      <c r="AN36" s="2625">
        <f>SUM(AN75,AN110)</f>
        <v/>
      </c>
      <c r="AO36" s="2625">
        <f>SUM(AO75,AO110)</f>
        <v/>
      </c>
      <c r="AP36" s="2625">
        <f>SUM(AP75,AP110)</f>
        <v/>
      </c>
      <c r="AQ36" s="2625">
        <f>SUM(AQ75,AQ110)</f>
        <v/>
      </c>
      <c r="AR36" s="2625">
        <f>SUM(AR75,AR110)</f>
        <v/>
      </c>
      <c r="AS36" s="2626">
        <f>SUM(AG36:AR36)</f>
        <v/>
      </c>
      <c r="AU36" s="2625">
        <f>SUM(AU75,AU110)</f>
        <v/>
      </c>
      <c r="AV36" s="2625">
        <f>SUM(AV75,AV110)</f>
        <v/>
      </c>
      <c r="AW36" s="2625">
        <f>SUM(AW75,AW110)</f>
        <v/>
      </c>
      <c r="AX36" s="2625">
        <f>SUM(AX75,AX110)</f>
        <v/>
      </c>
      <c r="AY36" s="2625">
        <f>SUM(AY75,AY110)</f>
        <v/>
      </c>
      <c r="AZ36" s="2625">
        <f>SUM(AZ75,AZ110)</f>
        <v/>
      </c>
      <c r="BA36" s="2625">
        <f>SUM(BA75,BA110)</f>
        <v/>
      </c>
      <c r="BB36" s="2625">
        <f>SUM(BB75,BB110)</f>
        <v/>
      </c>
      <c r="BC36" s="2625">
        <f>SUM(BC75,BC110)</f>
        <v/>
      </c>
      <c r="BD36" s="2625">
        <f>SUM(BD75,BD110)</f>
        <v/>
      </c>
      <c r="BE36" s="2625">
        <f>SUM(BE75,BE110)</f>
        <v/>
      </c>
      <c r="BF36" s="2627">
        <f>SUM(BF75,BF110)</f>
        <v/>
      </c>
      <c r="BG36" s="2628">
        <f>SUM(AU36:BF36)</f>
        <v/>
      </c>
      <c r="BH36" s="2631" t="n"/>
      <c r="BI36" s="2627">
        <f>SUM(BI75,BI110)</f>
        <v/>
      </c>
      <c r="BJ36" s="2627">
        <f>SUM(BJ75,BJ110)</f>
        <v/>
      </c>
      <c r="BK36" s="2627">
        <f>SUM(BK75,BK110)</f>
        <v/>
      </c>
      <c r="BL36" s="2627">
        <f>SUM(BL75,BL110)</f>
        <v/>
      </c>
      <c r="BM36" s="2627">
        <f>SUM(BM75,BM110)</f>
        <v/>
      </c>
      <c r="BN36" s="2627">
        <f>SUM(BN75,BN110)</f>
        <v/>
      </c>
      <c r="BO36" s="2627">
        <f>SUM(BO75,BO110)</f>
        <v/>
      </c>
      <c r="BP36" s="2627">
        <f>SUM(BP75,BP110)</f>
        <v/>
      </c>
      <c r="BQ36" s="2627">
        <f>SUM(BQ75,BQ110)</f>
        <v/>
      </c>
      <c r="BR36" s="2627">
        <f>SUM(BR75,BR110)</f>
        <v/>
      </c>
      <c r="BS36" s="2627">
        <f>SUM(BS75,BS110)</f>
        <v/>
      </c>
      <c r="BT36" s="2627">
        <f>SUM(BT75,BT110)</f>
        <v/>
      </c>
      <c r="BU36" s="2628">
        <f>SUM(BI36:BT36)</f>
        <v/>
      </c>
    </row>
    <row r="37" outlineLevel="1">
      <c r="A37" s="1436" t="n"/>
      <c r="B37" s="1456" t="inlineStr">
        <is>
          <t>판매촉진비</t>
        </is>
      </c>
      <c r="C37" s="1456" t="n"/>
      <c r="D37" s="2627" t="n"/>
      <c r="E37" s="2627" t="n"/>
      <c r="F37" s="2627" t="n"/>
      <c r="G37" s="2627" t="n"/>
      <c r="H37" s="2627" t="n"/>
      <c r="I37" s="2627" t="n"/>
      <c r="J37" s="2627" t="n"/>
      <c r="K37" s="2627" t="n"/>
      <c r="L37" s="2627" t="n"/>
      <c r="M37" s="2627" t="n"/>
      <c r="N37" s="2627" t="n"/>
      <c r="O37" s="2627" t="n"/>
      <c r="P37" s="2626">
        <f>SUM(D37:O37)</f>
        <v/>
      </c>
      <c r="Q37" s="1466" t="n"/>
      <c r="R37" s="1436" t="n"/>
      <c r="S37" s="2625">
        <f>SUM(S76,S111)</f>
        <v/>
      </c>
      <c r="T37" s="2625">
        <f>SUM(T76,T111)</f>
        <v/>
      </c>
      <c r="U37" s="2625">
        <f>SUM(U76,U111)</f>
        <v/>
      </c>
      <c r="V37" s="2625">
        <f>SUM(V76,V111)</f>
        <v/>
      </c>
      <c r="W37" s="2625">
        <f>SUM(W76,W111)</f>
        <v/>
      </c>
      <c r="X37" s="2625">
        <f>SUM(X76,X111)</f>
        <v/>
      </c>
      <c r="Y37" s="2625">
        <f>SUM(Y76,Y111)</f>
        <v/>
      </c>
      <c r="Z37" s="2625">
        <f>SUM(Z76,Z111)</f>
        <v/>
      </c>
      <c r="AA37" s="2625">
        <f>SUM(AA76,AA111)</f>
        <v/>
      </c>
      <c r="AB37" s="2625">
        <f>SUM(AB76,AB111)</f>
        <v/>
      </c>
      <c r="AC37" s="2625">
        <f>SUM(AC76,AC111)</f>
        <v/>
      </c>
      <c r="AD37" s="2625">
        <f>SUM(AD76,AD111)</f>
        <v/>
      </c>
      <c r="AE37" s="2626">
        <f>SUM(S37:AD37)</f>
        <v/>
      </c>
      <c r="AF37" s="1466" t="n"/>
      <c r="AG37" s="2625">
        <f>SUM(AG76,AG111)</f>
        <v/>
      </c>
      <c r="AH37" s="2625">
        <f>SUM(AH76,AH111)</f>
        <v/>
      </c>
      <c r="AI37" s="2625">
        <f>SUM(AI76,AI111)</f>
        <v/>
      </c>
      <c r="AJ37" s="2625">
        <f>SUM(AJ76,AJ111)</f>
        <v/>
      </c>
      <c r="AK37" s="2625">
        <f>SUM(AK76,AK111)</f>
        <v/>
      </c>
      <c r="AL37" s="2625">
        <f>SUM(AL76,AL111)</f>
        <v/>
      </c>
      <c r="AM37" s="2625">
        <f>SUM(AM76,AM111)</f>
        <v/>
      </c>
      <c r="AN37" s="2625">
        <f>SUM(AN76,AN111)</f>
        <v/>
      </c>
      <c r="AO37" s="2625">
        <f>SUM(AO76,AO111)</f>
        <v/>
      </c>
      <c r="AP37" s="2625">
        <f>SUM(AP76,AP111)</f>
        <v/>
      </c>
      <c r="AQ37" s="2625">
        <f>SUM(AQ76,AQ111)</f>
        <v/>
      </c>
      <c r="AR37" s="2625">
        <f>SUM(AR76,AR111)</f>
        <v/>
      </c>
      <c r="AS37" s="2626">
        <f>SUM(AG37:AR37)</f>
        <v/>
      </c>
      <c r="AU37" s="2625">
        <f>SUM(AU76,AU111)</f>
        <v/>
      </c>
      <c r="AV37" s="2625">
        <f>SUM(AV76,AV111)</f>
        <v/>
      </c>
      <c r="AW37" s="2625">
        <f>SUM(AW76,AW111)</f>
        <v/>
      </c>
      <c r="AX37" s="2625">
        <f>SUM(AX76,AX111)</f>
        <v/>
      </c>
      <c r="AY37" s="2625">
        <f>SUM(AY76,AY111)</f>
        <v/>
      </c>
      <c r="AZ37" s="2625">
        <f>SUM(AZ76,AZ111)</f>
        <v/>
      </c>
      <c r="BA37" s="2625">
        <f>SUM(BA76,BA111)</f>
        <v/>
      </c>
      <c r="BB37" s="2625">
        <f>SUM(BB76,BB111)</f>
        <v/>
      </c>
      <c r="BC37" s="2625">
        <f>SUM(BC76,BC111)</f>
        <v/>
      </c>
      <c r="BD37" s="2625">
        <f>SUM(BD76,BD111)</f>
        <v/>
      </c>
      <c r="BE37" s="2625">
        <f>SUM(BE76,BE111)</f>
        <v/>
      </c>
      <c r="BF37" s="2627">
        <f>SUM(BF76,BF111)</f>
        <v/>
      </c>
      <c r="BG37" s="2628">
        <f>SUM(AU37:BF37)</f>
        <v/>
      </c>
      <c r="BH37" s="2631" t="n"/>
      <c r="BI37" s="2627">
        <f>SUM(BI76,BI111)</f>
        <v/>
      </c>
      <c r="BJ37" s="2627">
        <f>SUM(BJ76,BJ111)</f>
        <v/>
      </c>
      <c r="BK37" s="2627">
        <f>SUM(BK76,BK111)</f>
        <v/>
      </c>
      <c r="BL37" s="2627">
        <f>SUM(BL76,BL111)</f>
        <v/>
      </c>
      <c r="BM37" s="2627">
        <f>SUM(BM76,BM111)</f>
        <v/>
      </c>
      <c r="BN37" s="2627">
        <f>SUM(BN76,BN111)</f>
        <v/>
      </c>
      <c r="BO37" s="2627">
        <f>SUM(BO76,BO111)</f>
        <v/>
      </c>
      <c r="BP37" s="2627">
        <f>SUM(BP76,BP111)</f>
        <v/>
      </c>
      <c r="BQ37" s="2627">
        <f>SUM(BQ76,BQ111)</f>
        <v/>
      </c>
      <c r="BR37" s="2627">
        <f>SUM(BR76,BR111)</f>
        <v/>
      </c>
      <c r="BS37" s="2627">
        <f>SUM(BS76,BS111)</f>
        <v/>
      </c>
      <c r="BT37" s="2627">
        <f>SUM(BT76,BT111)</f>
        <v/>
      </c>
      <c r="BU37" s="2628">
        <f>SUM(BI37:BT37)</f>
        <v/>
      </c>
    </row>
    <row r="38" outlineLevel="1">
      <c r="A38" s="1436" t="n"/>
      <c r="B38" s="1456" t="inlineStr">
        <is>
          <t>건물관리비</t>
        </is>
      </c>
      <c r="C38" s="1456" t="n"/>
      <c r="D38" s="2627" t="n"/>
      <c r="E38" s="2627" t="n"/>
      <c r="F38" s="2627" t="n"/>
      <c r="G38" s="2627" t="n"/>
      <c r="H38" s="2627" t="n"/>
      <c r="I38" s="2627" t="n"/>
      <c r="J38" s="2627" t="n"/>
      <c r="K38" s="2627" t="n"/>
      <c r="L38" s="2627" t="n"/>
      <c r="M38" s="2627" t="n"/>
      <c r="N38" s="2627" t="n"/>
      <c r="O38" s="2627" t="n"/>
      <c r="P38" s="2626">
        <f>SUM(D38:O38)</f>
        <v/>
      </c>
      <c r="Q38" s="1466" t="n"/>
      <c r="R38" s="1436" t="n"/>
      <c r="S38" s="2625">
        <f>SUM(S77,S112)</f>
        <v/>
      </c>
      <c r="T38" s="2625">
        <f>SUM(T77,T112)</f>
        <v/>
      </c>
      <c r="U38" s="2625">
        <f>SUM(U77,U112)</f>
        <v/>
      </c>
      <c r="V38" s="2625">
        <f>SUM(V77,V112)</f>
        <v/>
      </c>
      <c r="W38" s="2625">
        <f>SUM(W77,W112)</f>
        <v/>
      </c>
      <c r="X38" s="2625">
        <f>SUM(X77,X112)</f>
        <v/>
      </c>
      <c r="Y38" s="2625">
        <f>SUM(Y77,Y112)</f>
        <v/>
      </c>
      <c r="Z38" s="2625">
        <f>SUM(Z77,Z112)</f>
        <v/>
      </c>
      <c r="AA38" s="2625">
        <f>SUM(AA77,AA112)</f>
        <v/>
      </c>
      <c r="AB38" s="2625">
        <f>SUM(AB77,AB112)</f>
        <v/>
      </c>
      <c r="AC38" s="2625">
        <f>SUM(AC77,AC112)</f>
        <v/>
      </c>
      <c r="AD38" s="2625">
        <f>SUM(AD77,AD112)</f>
        <v/>
      </c>
      <c r="AE38" s="2626">
        <f>SUM(S38:AD38)</f>
        <v/>
      </c>
      <c r="AF38" s="1466" t="n"/>
      <c r="AG38" s="2625">
        <f>SUM(AG77,AG112)</f>
        <v/>
      </c>
      <c r="AH38" s="2625">
        <f>SUM(AH77,AH112)</f>
        <v/>
      </c>
      <c r="AI38" s="2625">
        <f>SUM(AI77,AI112)</f>
        <v/>
      </c>
      <c r="AJ38" s="2625">
        <f>SUM(AJ77,AJ112)</f>
        <v/>
      </c>
      <c r="AK38" s="2625">
        <f>SUM(AK77,AK112)</f>
        <v/>
      </c>
      <c r="AL38" s="2625">
        <f>SUM(AL77,AL112)</f>
        <v/>
      </c>
      <c r="AM38" s="2625">
        <f>SUM(AM77,AM112)</f>
        <v/>
      </c>
      <c r="AN38" s="2625">
        <f>SUM(AN77,AN112)</f>
        <v/>
      </c>
      <c r="AO38" s="2625">
        <f>SUM(AO77,AO112)</f>
        <v/>
      </c>
      <c r="AP38" s="2625">
        <f>SUM(AP77,AP112)</f>
        <v/>
      </c>
      <c r="AQ38" s="2625">
        <f>SUM(AQ77,AQ112)</f>
        <v/>
      </c>
      <c r="AR38" s="2625">
        <f>SUM(AR77,AR112)</f>
        <v/>
      </c>
      <c r="AS38" s="2626">
        <f>SUM(AG38:AR38)</f>
        <v/>
      </c>
      <c r="AU38" s="2625">
        <f>SUM(AU77,AU112)</f>
        <v/>
      </c>
      <c r="AV38" s="2625">
        <f>SUM(AV77,AV112)</f>
        <v/>
      </c>
      <c r="AW38" s="2625">
        <f>SUM(AW77,AW112)</f>
        <v/>
      </c>
      <c r="AX38" s="2625">
        <f>SUM(AX77,AX112)</f>
        <v/>
      </c>
      <c r="AY38" s="2625">
        <f>SUM(AY77,AY112)</f>
        <v/>
      </c>
      <c r="AZ38" s="2625">
        <f>SUM(AZ77,AZ112)</f>
        <v/>
      </c>
      <c r="BA38" s="2625">
        <f>SUM(BA77,BA112)</f>
        <v/>
      </c>
      <c r="BB38" s="2625">
        <f>SUM(BB77,BB112)</f>
        <v/>
      </c>
      <c r="BC38" s="2625">
        <f>SUM(BC77,BC112)</f>
        <v/>
      </c>
      <c r="BD38" s="2625">
        <f>SUM(BD77,BD112)</f>
        <v/>
      </c>
      <c r="BE38" s="2625">
        <f>SUM(BE77,BE112)</f>
        <v/>
      </c>
      <c r="BF38" s="2627">
        <f>SUM(BF77,BF112)</f>
        <v/>
      </c>
      <c r="BG38" s="2628">
        <f>SUM(AU38:BF38)</f>
        <v/>
      </c>
      <c r="BH38" s="2631" t="n"/>
      <c r="BI38" s="2627">
        <f>SUM(BI77,BI112)</f>
        <v/>
      </c>
      <c r="BJ38" s="2627">
        <f>SUM(BJ77,BJ112)</f>
        <v/>
      </c>
      <c r="BK38" s="2627">
        <f>SUM(BK77,BK112)</f>
        <v/>
      </c>
      <c r="BL38" s="2627">
        <f>SUM(BL77,BL112)</f>
        <v/>
      </c>
      <c r="BM38" s="2627">
        <f>SUM(BM77,BM112)</f>
        <v/>
      </c>
      <c r="BN38" s="2627">
        <f>SUM(BN77,BN112)</f>
        <v/>
      </c>
      <c r="BO38" s="2627">
        <f>SUM(BO77,BO112)</f>
        <v/>
      </c>
      <c r="BP38" s="2627">
        <f>SUM(BP77,BP112)</f>
        <v/>
      </c>
      <c r="BQ38" s="2627">
        <f>SUM(BQ77,BQ112)</f>
        <v/>
      </c>
      <c r="BR38" s="2627">
        <f>SUM(BR77,BR112)</f>
        <v/>
      </c>
      <c r="BS38" s="2627">
        <f>SUM(BS77,BS112)</f>
        <v/>
      </c>
      <c r="BT38" s="2627">
        <f>SUM(BT77,BT112)</f>
        <v/>
      </c>
      <c r="BU38" s="2628">
        <f>SUM(BI38:BT38)</f>
        <v/>
      </c>
    </row>
    <row r="39" outlineLevel="1">
      <c r="A39" s="1436" t="n"/>
      <c r="B39" s="1456" t="inlineStr">
        <is>
          <t>무형자산상각비</t>
        </is>
      </c>
      <c r="C39" s="1456" t="n"/>
      <c r="D39" s="2627" t="n"/>
      <c r="E39" s="2627" t="n"/>
      <c r="F39" s="2627" t="n"/>
      <c r="G39" s="2627" t="n"/>
      <c r="H39" s="2627" t="n"/>
      <c r="I39" s="2627" t="n"/>
      <c r="J39" s="2627" t="n"/>
      <c r="K39" s="2627" t="n"/>
      <c r="L39" s="2627" t="n"/>
      <c r="M39" s="2627" t="n"/>
      <c r="N39" s="2627" t="n"/>
      <c r="O39" s="2627" t="n"/>
      <c r="P39" s="2626">
        <f>SUM(D39:O39)</f>
        <v/>
      </c>
      <c r="Q39" s="1466" t="n"/>
      <c r="R39" s="1436" t="n"/>
      <c r="S39" s="2625">
        <f>SUM(S78,S113)</f>
        <v/>
      </c>
      <c r="T39" s="2625">
        <f>SUM(T78,T113)</f>
        <v/>
      </c>
      <c r="U39" s="2625">
        <f>SUM(U78,U113)</f>
        <v/>
      </c>
      <c r="V39" s="2625">
        <f>SUM(V78,V113)</f>
        <v/>
      </c>
      <c r="W39" s="2625">
        <f>SUM(W78,W113)</f>
        <v/>
      </c>
      <c r="X39" s="2625">
        <f>SUM(X78,X113)</f>
        <v/>
      </c>
      <c r="Y39" s="2625">
        <f>SUM(Y78,Y113)</f>
        <v/>
      </c>
      <c r="Z39" s="2625">
        <f>SUM(Z78,Z113)</f>
        <v/>
      </c>
      <c r="AA39" s="2625">
        <f>SUM(AA78,AA113)</f>
        <v/>
      </c>
      <c r="AB39" s="2625">
        <f>SUM(AB78,AB113)</f>
        <v/>
      </c>
      <c r="AC39" s="2625">
        <f>SUM(AC78,AC113)</f>
        <v/>
      </c>
      <c r="AD39" s="2625">
        <f>SUM(AD78,AD113)</f>
        <v/>
      </c>
      <c r="AE39" s="2626">
        <f>SUM(S39:AD39)</f>
        <v/>
      </c>
      <c r="AF39" s="1466" t="n"/>
      <c r="AG39" s="2625">
        <f>SUM(AG78,AG113)</f>
        <v/>
      </c>
      <c r="AH39" s="2625">
        <f>SUM(AH78,AH113)</f>
        <v/>
      </c>
      <c r="AI39" s="2625">
        <f>SUM(AI78,AI113)</f>
        <v/>
      </c>
      <c r="AJ39" s="2625">
        <f>SUM(AJ78,AJ113)</f>
        <v/>
      </c>
      <c r="AK39" s="2625">
        <f>SUM(AK78,AK113)</f>
        <v/>
      </c>
      <c r="AL39" s="2625">
        <f>SUM(AL78,AL113)</f>
        <v/>
      </c>
      <c r="AM39" s="2625">
        <f>SUM(AM78,AM113)</f>
        <v/>
      </c>
      <c r="AN39" s="2625">
        <f>SUM(AN78,AN113)</f>
        <v/>
      </c>
      <c r="AO39" s="2625">
        <f>SUM(AO78,AO113)</f>
        <v/>
      </c>
      <c r="AP39" s="2625">
        <f>SUM(AP78,AP113)</f>
        <v/>
      </c>
      <c r="AQ39" s="2625">
        <f>SUM(AQ78,AQ113)</f>
        <v/>
      </c>
      <c r="AR39" s="2625">
        <f>SUM(AR78,AR113)</f>
        <v/>
      </c>
      <c r="AS39" s="2626">
        <f>SUM(AG39:AR39)</f>
        <v/>
      </c>
      <c r="AU39" s="2625">
        <f>SUM(AU78,AU113)</f>
        <v/>
      </c>
      <c r="AV39" s="2625">
        <f>SUM(AV78,AV113)</f>
        <v/>
      </c>
      <c r="AW39" s="2625">
        <f>SUM(AW78,AW113)</f>
        <v/>
      </c>
      <c r="AX39" s="2625">
        <f>SUM(AX78,AX113)</f>
        <v/>
      </c>
      <c r="AY39" s="2625">
        <f>SUM(AY78,AY113)</f>
        <v/>
      </c>
      <c r="AZ39" s="2625">
        <f>SUM(AZ78,AZ113)</f>
        <v/>
      </c>
      <c r="BA39" s="2625">
        <f>SUM(BA78,BA113)</f>
        <v/>
      </c>
      <c r="BB39" s="2625">
        <f>SUM(BB78,BB113)</f>
        <v/>
      </c>
      <c r="BC39" s="2625">
        <f>SUM(BC78,BC113)</f>
        <v/>
      </c>
      <c r="BD39" s="2625">
        <f>SUM(BD78,BD113)</f>
        <v/>
      </c>
      <c r="BE39" s="2625">
        <f>SUM(BE78,BE113)</f>
        <v/>
      </c>
      <c r="BF39" s="2627">
        <f>SUM(BF78,BF113)</f>
        <v/>
      </c>
      <c r="BG39" s="2628">
        <f>SUM(AU39:BF39)</f>
        <v/>
      </c>
      <c r="BH39" s="2631" t="n"/>
      <c r="BI39" s="2627">
        <f>SUM(BI78,BI113)</f>
        <v/>
      </c>
      <c r="BJ39" s="2627">
        <f>SUM(BJ78,BJ113)</f>
        <v/>
      </c>
      <c r="BK39" s="2627">
        <f>SUM(BK78,BK113)</f>
        <v/>
      </c>
      <c r="BL39" s="2627">
        <f>SUM(BL78,BL113)</f>
        <v/>
      </c>
      <c r="BM39" s="2627">
        <f>SUM(BM78,BM113)</f>
        <v/>
      </c>
      <c r="BN39" s="2627">
        <f>SUM(BN78,BN113)</f>
        <v/>
      </c>
      <c r="BO39" s="2627">
        <f>SUM(BO78,BO113)</f>
        <v/>
      </c>
      <c r="BP39" s="2627">
        <f>SUM(BP78,BP113)</f>
        <v/>
      </c>
      <c r="BQ39" s="2627">
        <f>SUM(BQ78,BQ113)</f>
        <v/>
      </c>
      <c r="BR39" s="2627">
        <f>SUM(BR78,BR113)</f>
        <v/>
      </c>
      <c r="BS39" s="2627">
        <f>SUM(BS78,BS113)</f>
        <v/>
      </c>
      <c r="BT39" s="2627">
        <f>SUM(BT78,BT113)</f>
        <v/>
      </c>
      <c r="BU39" s="2628">
        <f>SUM(BI39:BT39)</f>
        <v/>
      </c>
    </row>
    <row r="40" outlineLevel="1">
      <c r="A40" s="1436" t="n"/>
      <c r="B40" s="1456" t="inlineStr">
        <is>
          <t>잡비</t>
        </is>
      </c>
      <c r="C40" s="1456" t="n"/>
      <c r="D40" s="2627" t="n"/>
      <c r="E40" s="2627" t="n"/>
      <c r="F40" s="2627" t="n"/>
      <c r="G40" s="2627" t="n"/>
      <c r="H40" s="2627" t="n"/>
      <c r="I40" s="2627" t="n"/>
      <c r="J40" s="2627" t="n"/>
      <c r="K40" s="2627" t="n"/>
      <c r="L40" s="2627" t="n"/>
      <c r="M40" s="2627" t="n"/>
      <c r="N40" s="2627" t="n"/>
      <c r="O40" s="2627" t="n"/>
      <c r="P40" s="2626">
        <f>SUM(D40:O40)</f>
        <v/>
      </c>
      <c r="Q40" s="1466" t="n"/>
      <c r="R40" s="1436" t="n"/>
      <c r="S40" s="2625">
        <f>SUM(S79,S114)</f>
        <v/>
      </c>
      <c r="T40" s="2625">
        <f>SUM(T79,T114)</f>
        <v/>
      </c>
      <c r="U40" s="2625">
        <f>SUM(U79,U114)</f>
        <v/>
      </c>
      <c r="V40" s="2625">
        <f>SUM(V79,V114)</f>
        <v/>
      </c>
      <c r="W40" s="2625">
        <f>SUM(W79,W114)</f>
        <v/>
      </c>
      <c r="X40" s="2625">
        <f>SUM(X79,X114)</f>
        <v/>
      </c>
      <c r="Y40" s="2625">
        <f>SUM(Y79,Y114)</f>
        <v/>
      </c>
      <c r="Z40" s="2625">
        <f>SUM(Z79,Z114)</f>
        <v/>
      </c>
      <c r="AA40" s="2625">
        <f>SUM(AA79,AA114)</f>
        <v/>
      </c>
      <c r="AB40" s="2625">
        <f>SUM(AB79,AB114)</f>
        <v/>
      </c>
      <c r="AC40" s="2625">
        <f>SUM(AC79,AC114)</f>
        <v/>
      </c>
      <c r="AD40" s="2625">
        <f>SUM(AD79,AD114)</f>
        <v/>
      </c>
      <c r="AE40" s="2626">
        <f>SUM(S40:AD40)</f>
        <v/>
      </c>
      <c r="AF40" s="1466" t="n"/>
      <c r="AG40" s="2625">
        <f>SUM(AG79,AG114)</f>
        <v/>
      </c>
      <c r="AH40" s="2625">
        <f>SUM(AH79,AH114)</f>
        <v/>
      </c>
      <c r="AI40" s="2625">
        <f>SUM(AI79,AI114)</f>
        <v/>
      </c>
      <c r="AJ40" s="2625">
        <f>SUM(AJ79,AJ114)</f>
        <v/>
      </c>
      <c r="AK40" s="2625">
        <f>SUM(AK79,AK114)</f>
        <v/>
      </c>
      <c r="AL40" s="2625">
        <f>SUM(AL79,AL114)</f>
        <v/>
      </c>
      <c r="AM40" s="2625">
        <f>SUM(AM79,AM114)</f>
        <v/>
      </c>
      <c r="AN40" s="2625">
        <f>SUM(AN79,AN114)</f>
        <v/>
      </c>
      <c r="AO40" s="2625">
        <f>SUM(AO79,AO114)</f>
        <v/>
      </c>
      <c r="AP40" s="2625">
        <f>SUM(AP79,AP114)</f>
        <v/>
      </c>
      <c r="AQ40" s="2625">
        <f>SUM(AQ79,AQ114)</f>
        <v/>
      </c>
      <c r="AR40" s="2625">
        <f>SUM(AR79,AR114)</f>
        <v/>
      </c>
      <c r="AS40" s="2626">
        <f>SUM(AG40:AR40)</f>
        <v/>
      </c>
      <c r="AU40" s="2625">
        <f>SUM(AU79,AU114)</f>
        <v/>
      </c>
      <c r="AV40" s="2625">
        <f>SUM(AV79,AV114)</f>
        <v/>
      </c>
      <c r="AW40" s="2625">
        <f>SUM(AW79,AW114)</f>
        <v/>
      </c>
      <c r="AX40" s="2625">
        <f>SUM(AX79,AX114)</f>
        <v/>
      </c>
      <c r="AY40" s="2625">
        <f>SUM(AY79,AY114)</f>
        <v/>
      </c>
      <c r="AZ40" s="2625">
        <f>SUM(AZ79,AZ114)</f>
        <v/>
      </c>
      <c r="BA40" s="2625">
        <f>SUM(BA79,BA114)</f>
        <v/>
      </c>
      <c r="BB40" s="2625">
        <f>SUM(BB79,BB114)</f>
        <v/>
      </c>
      <c r="BC40" s="2625">
        <f>SUM(BC79,BC114)</f>
        <v/>
      </c>
      <c r="BD40" s="2625">
        <f>SUM(BD79,BD114)</f>
        <v/>
      </c>
      <c r="BE40" s="2625">
        <f>SUM(BE79,BE114)</f>
        <v/>
      </c>
      <c r="BF40" s="2627">
        <f>SUM(BF79,BF114)</f>
        <v/>
      </c>
      <c r="BG40" s="2628">
        <f>SUM(AU40:BF40)</f>
        <v/>
      </c>
      <c r="BH40" s="2631" t="n"/>
      <c r="BI40" s="2627">
        <f>SUM(BI79,BI114)</f>
        <v/>
      </c>
      <c r="BJ40" s="2627">
        <f>SUM(BJ79,BJ114)</f>
        <v/>
      </c>
      <c r="BK40" s="2627">
        <f>SUM(BK79,BK114)</f>
        <v/>
      </c>
      <c r="BL40" s="2627">
        <f>SUM(BL79,BL114)</f>
        <v/>
      </c>
      <c r="BM40" s="2627">
        <f>SUM(BM79,BM114)</f>
        <v/>
      </c>
      <c r="BN40" s="2627">
        <f>SUM(BN79,BN114)</f>
        <v/>
      </c>
      <c r="BO40" s="2627">
        <f>SUM(BO79,BO114)</f>
        <v/>
      </c>
      <c r="BP40" s="2627">
        <f>SUM(BP79,BP114)</f>
        <v/>
      </c>
      <c r="BQ40" s="2627">
        <f>SUM(BQ79,BQ114)</f>
        <v/>
      </c>
      <c r="BR40" s="2627">
        <f>SUM(BR79,BR114)</f>
        <v/>
      </c>
      <c r="BS40" s="2627">
        <f>SUM(BS79,BS114)</f>
        <v/>
      </c>
      <c r="BT40" s="2627">
        <f>SUM(BT79,BT114)</f>
        <v/>
      </c>
      <c r="BU40" s="2628">
        <f>SUM(BI40:BT40)</f>
        <v/>
      </c>
    </row>
    <row r="41" outlineLevel="1">
      <c r="A41" s="1436" t="n"/>
      <c r="B41" s="1456" t="inlineStr">
        <is>
          <t>협회비</t>
        </is>
      </c>
      <c r="C41" s="1456" t="n"/>
      <c r="D41" s="2627" t="n"/>
      <c r="E41" s="2627" t="n"/>
      <c r="F41" s="2627" t="n"/>
      <c r="G41" s="2627" t="n"/>
      <c r="H41" s="2627" t="n"/>
      <c r="I41" s="2627" t="n"/>
      <c r="J41" s="2627" t="n"/>
      <c r="K41" s="2627" t="n"/>
      <c r="L41" s="2627" t="n"/>
      <c r="M41" s="2627" t="n"/>
      <c r="N41" s="2627" t="n"/>
      <c r="O41" s="2627" t="n"/>
      <c r="P41" s="2626">
        <f>SUM(D41:O41)</f>
        <v/>
      </c>
      <c r="Q41" s="1466" t="n"/>
      <c r="R41" s="1436" t="n"/>
      <c r="S41" s="2625">
        <f>SUM(S80,S115)</f>
        <v/>
      </c>
      <c r="T41" s="2625">
        <f>SUM(T80,T115)</f>
        <v/>
      </c>
      <c r="U41" s="2625">
        <f>SUM(U80,U115)</f>
        <v/>
      </c>
      <c r="V41" s="2625">
        <f>SUM(V80,V115)</f>
        <v/>
      </c>
      <c r="W41" s="2625">
        <f>SUM(W80,W115)</f>
        <v/>
      </c>
      <c r="X41" s="2625">
        <f>SUM(X80,X115)</f>
        <v/>
      </c>
      <c r="Y41" s="2625">
        <f>SUM(Y80,Y115)</f>
        <v/>
      </c>
      <c r="Z41" s="2625">
        <f>SUM(Z80,Z115)</f>
        <v/>
      </c>
      <c r="AA41" s="2625">
        <f>SUM(AA80,AA115)</f>
        <v/>
      </c>
      <c r="AB41" s="2625">
        <f>SUM(AB80,AB115)</f>
        <v/>
      </c>
      <c r="AC41" s="2625">
        <f>SUM(AC80,AC115)</f>
        <v/>
      </c>
      <c r="AD41" s="2625">
        <f>SUM(AD80,AD115)</f>
        <v/>
      </c>
      <c r="AE41" s="2626">
        <f>SUM(S41:AD41)</f>
        <v/>
      </c>
      <c r="AF41" s="1466" t="n"/>
      <c r="AG41" s="2625">
        <f>SUM(AG80,AG115)</f>
        <v/>
      </c>
      <c r="AH41" s="2625">
        <f>SUM(AH80,AH115)</f>
        <v/>
      </c>
      <c r="AI41" s="2625">
        <f>SUM(AI80,AI115)</f>
        <v/>
      </c>
      <c r="AJ41" s="2625">
        <f>SUM(AJ80,AJ115)</f>
        <v/>
      </c>
      <c r="AK41" s="2625">
        <f>SUM(AK80,AK115)</f>
        <v/>
      </c>
      <c r="AL41" s="2625">
        <f>SUM(AL80,AL115)</f>
        <v/>
      </c>
      <c r="AM41" s="2625">
        <f>SUM(AM80,AM115)</f>
        <v/>
      </c>
      <c r="AN41" s="2625">
        <f>SUM(AN80,AN115)</f>
        <v/>
      </c>
      <c r="AO41" s="2625">
        <f>SUM(AO80,AO115)</f>
        <v/>
      </c>
      <c r="AP41" s="2625">
        <f>SUM(AP80,AP115)</f>
        <v/>
      </c>
      <c r="AQ41" s="2625">
        <f>SUM(AQ80,AQ115)</f>
        <v/>
      </c>
      <c r="AR41" s="2625">
        <f>SUM(AR80,AR115)</f>
        <v/>
      </c>
      <c r="AS41" s="2626">
        <f>SUM(AG41:AR41)</f>
        <v/>
      </c>
      <c r="AU41" s="2625">
        <f>SUM(AU80,AU115)</f>
        <v/>
      </c>
      <c r="AV41" s="2625">
        <f>SUM(AV80,AV115)</f>
        <v/>
      </c>
      <c r="AW41" s="2625">
        <f>SUM(AW80,AW115)</f>
        <v/>
      </c>
      <c r="AX41" s="2625">
        <f>SUM(AX80,AX115)</f>
        <v/>
      </c>
      <c r="AY41" s="2625">
        <f>SUM(AY80,AY115)</f>
        <v/>
      </c>
      <c r="AZ41" s="2625">
        <f>SUM(AZ80,AZ115)</f>
        <v/>
      </c>
      <c r="BA41" s="2625">
        <f>SUM(BA80,BA115)</f>
        <v/>
      </c>
      <c r="BB41" s="2625">
        <f>SUM(BB80,BB115)</f>
        <v/>
      </c>
      <c r="BC41" s="2625">
        <f>SUM(BC80,BC115)</f>
        <v/>
      </c>
      <c r="BD41" s="2625">
        <f>SUM(BD80,BD115)</f>
        <v/>
      </c>
      <c r="BE41" s="2625">
        <f>SUM(BE80,BE115)</f>
        <v/>
      </c>
      <c r="BF41" s="2627">
        <f>SUM(BF80,BF115)</f>
        <v/>
      </c>
      <c r="BG41" s="2628">
        <f>SUM(AU41:BF41)</f>
        <v/>
      </c>
      <c r="BH41" s="2631" t="n"/>
      <c r="BI41" s="2627">
        <f>SUM(BI80,BI115)</f>
        <v/>
      </c>
      <c r="BJ41" s="2627">
        <f>SUM(BJ80,BJ115)</f>
        <v/>
      </c>
      <c r="BK41" s="2627">
        <f>SUM(BK80,BK115)</f>
        <v/>
      </c>
      <c r="BL41" s="2627">
        <f>SUM(BL80,BL115)</f>
        <v/>
      </c>
      <c r="BM41" s="2627">
        <f>SUM(BM80,BM115)</f>
        <v/>
      </c>
      <c r="BN41" s="2627">
        <f>SUM(BN80,BN115)</f>
        <v/>
      </c>
      <c r="BO41" s="2627">
        <f>SUM(BO80,BO115)</f>
        <v/>
      </c>
      <c r="BP41" s="2627">
        <f>SUM(BP80,BP115)</f>
        <v/>
      </c>
      <c r="BQ41" s="2627">
        <f>SUM(BQ80,BQ115)</f>
        <v/>
      </c>
      <c r="BR41" s="2627">
        <f>SUM(BR80,BR115)</f>
        <v/>
      </c>
      <c r="BS41" s="2627">
        <f>SUM(BS80,BS115)</f>
        <v/>
      </c>
      <c r="BT41" s="2627">
        <f>SUM(BT80,BT115)</f>
        <v/>
      </c>
      <c r="BU41" s="2628">
        <f>SUM(BI41:BT41)</f>
        <v/>
      </c>
    </row>
    <row r="42" outlineLevel="1">
      <c r="A42" s="1436" t="n"/>
      <c r="B42" s="1456" t="inlineStr">
        <is>
          <t>외주용역비</t>
        </is>
      </c>
      <c r="C42" s="1456" t="n"/>
      <c r="D42" s="2627" t="n"/>
      <c r="E42" s="2627" t="n"/>
      <c r="F42" s="2627" t="n"/>
      <c r="G42" s="2627" t="n"/>
      <c r="H42" s="2627" t="n"/>
      <c r="I42" s="2627" t="n"/>
      <c r="J42" s="2627" t="n"/>
      <c r="K42" s="2627" t="n"/>
      <c r="L42" s="2627" t="n"/>
      <c r="M42" s="2627" t="n"/>
      <c r="N42" s="2627" t="n"/>
      <c r="O42" s="2627" t="n"/>
      <c r="P42" s="2626">
        <f>SUM(D42:O42)</f>
        <v/>
      </c>
      <c r="Q42" s="1464" t="n"/>
      <c r="R42" s="1436" t="n"/>
      <c r="S42" s="2625">
        <f>SUM(S81,S116)</f>
        <v/>
      </c>
      <c r="T42" s="2625">
        <f>SUM(T81,T116)</f>
        <v/>
      </c>
      <c r="U42" s="2625">
        <f>SUM(U81,U116)</f>
        <v/>
      </c>
      <c r="V42" s="2625">
        <f>SUM(V81,V116)</f>
        <v/>
      </c>
      <c r="W42" s="2625">
        <f>SUM(W81,W116)</f>
        <v/>
      </c>
      <c r="X42" s="2625">
        <f>SUM(X81,X116)</f>
        <v/>
      </c>
      <c r="Y42" s="2625">
        <f>SUM(Y81,Y116)</f>
        <v/>
      </c>
      <c r="Z42" s="2625">
        <f>SUM(Z81,Z116)</f>
        <v/>
      </c>
      <c r="AA42" s="2625">
        <f>SUM(AA81,AA116)</f>
        <v/>
      </c>
      <c r="AB42" s="2625">
        <f>SUM(AB81,AB116)</f>
        <v/>
      </c>
      <c r="AC42" s="2625">
        <f>SUM(AC81,AC116)</f>
        <v/>
      </c>
      <c r="AD42" s="2625">
        <f>SUM(AD81,AD116)</f>
        <v/>
      </c>
      <c r="AE42" s="2626">
        <f>SUM(S42:AD42)</f>
        <v/>
      </c>
      <c r="AF42" s="1464" t="n"/>
      <c r="AG42" s="2625">
        <f>SUM(AG81,AG116)</f>
        <v/>
      </c>
      <c r="AH42" s="2625">
        <f>SUM(AH81,AH116)</f>
        <v/>
      </c>
      <c r="AI42" s="2625">
        <f>SUM(AI81,AI116)</f>
        <v/>
      </c>
      <c r="AJ42" s="2625">
        <f>SUM(AJ81,AJ116)</f>
        <v/>
      </c>
      <c r="AK42" s="2625">
        <f>SUM(AK81,AK116)</f>
        <v/>
      </c>
      <c r="AL42" s="2625">
        <f>SUM(AL81,AL116)</f>
        <v/>
      </c>
      <c r="AM42" s="2625">
        <f>SUM(AM81,AM116)</f>
        <v/>
      </c>
      <c r="AN42" s="2625">
        <f>SUM(AN81,AN116)</f>
        <v/>
      </c>
      <c r="AO42" s="2625">
        <f>SUM(AO81,AO116)</f>
        <v/>
      </c>
      <c r="AP42" s="2625">
        <f>SUM(AP81,AP116)</f>
        <v/>
      </c>
      <c r="AQ42" s="2625">
        <f>SUM(AQ81,AQ116)</f>
        <v/>
      </c>
      <c r="AR42" s="2625">
        <f>SUM(AR81,AR116)</f>
        <v/>
      </c>
      <c r="AS42" s="2626">
        <f>SUM(AG42:AR42)</f>
        <v/>
      </c>
      <c r="AU42" s="2625">
        <f>SUM(AU81,AU116)</f>
        <v/>
      </c>
      <c r="AV42" s="2625">
        <f>SUM(AV81,AV116)</f>
        <v/>
      </c>
      <c r="AW42" s="2625">
        <f>SUM(AW81,AW116)</f>
        <v/>
      </c>
      <c r="AX42" s="2625">
        <f>SUM(AX81,AX116)</f>
        <v/>
      </c>
      <c r="AY42" s="2625">
        <f>SUM(AY81,AY116)</f>
        <v/>
      </c>
      <c r="AZ42" s="2625">
        <f>SUM(AZ81,AZ116)</f>
        <v/>
      </c>
      <c r="BA42" s="2625">
        <f>SUM(BA81,BA116)</f>
        <v/>
      </c>
      <c r="BB42" s="2625">
        <f>SUM(BB81,BB116)</f>
        <v/>
      </c>
      <c r="BC42" s="2625">
        <f>SUM(BC81,BC116)</f>
        <v/>
      </c>
      <c r="BD42" s="2625">
        <f>SUM(BD81,BD116)</f>
        <v/>
      </c>
      <c r="BE42" s="2625">
        <f>SUM(BE81,BE116)</f>
        <v/>
      </c>
      <c r="BF42" s="2627">
        <f>SUM(BF81,BF116)</f>
        <v/>
      </c>
      <c r="BG42" s="2628">
        <f>SUM(AU42:BF42)</f>
        <v/>
      </c>
      <c r="BH42" s="2631" t="n"/>
      <c r="BI42" s="2627">
        <f>SUM(BI81,BI116)</f>
        <v/>
      </c>
      <c r="BJ42" s="2627">
        <f>SUM(BJ81,BJ116)</f>
        <v/>
      </c>
      <c r="BK42" s="2627">
        <f>SUM(BK81,BK116)</f>
        <v/>
      </c>
      <c r="BL42" s="2627">
        <f>SUM(BL81,BL116)</f>
        <v/>
      </c>
      <c r="BM42" s="2627">
        <f>SUM(BM81,BM116)</f>
        <v/>
      </c>
      <c r="BN42" s="2627">
        <f>SUM(BN81,BN116)</f>
        <v/>
      </c>
      <c r="BO42" s="2627">
        <f>SUM(BO81,BO116)</f>
        <v/>
      </c>
      <c r="BP42" s="2627">
        <f>SUM(BP81,BP116)</f>
        <v/>
      </c>
      <c r="BQ42" s="2627">
        <f>SUM(BQ81,BQ116)</f>
        <v/>
      </c>
      <c r="BR42" s="2627">
        <f>SUM(BR81,BR116)</f>
        <v/>
      </c>
      <c r="BS42" s="2627">
        <f>SUM(BS81,BS116)</f>
        <v/>
      </c>
      <c r="BT42" s="2627">
        <f>SUM(BT81,BT116)</f>
        <v/>
      </c>
      <c r="BU42" s="2628">
        <f>SUM(BI42:BT42)</f>
        <v/>
      </c>
    </row>
    <row r="43" outlineLevel="1">
      <c r="A43" s="1436" t="n"/>
      <c r="B43" s="1456" t="inlineStr">
        <is>
          <t>매출채권 손상차손</t>
        </is>
      </c>
      <c r="C43" s="1456" t="n"/>
      <c r="D43" s="2627" t="n"/>
      <c r="E43" s="2627" t="n"/>
      <c r="F43" s="2627" t="n"/>
      <c r="G43" s="2627" t="n"/>
      <c r="H43" s="2627" t="n"/>
      <c r="I43" s="2627" t="n"/>
      <c r="J43" s="2627" t="n"/>
      <c r="K43" s="2627" t="n"/>
      <c r="L43" s="2627" t="n"/>
      <c r="M43" s="2627" t="n"/>
      <c r="N43" s="2627" t="n"/>
      <c r="O43" s="2627" t="n"/>
      <c r="P43" s="2626">
        <f>SUM(D43:O43)</f>
        <v/>
      </c>
      <c r="Q43" s="1466" t="n"/>
      <c r="R43" s="1436" t="n"/>
      <c r="S43" s="2625">
        <f>SUM(S117)</f>
        <v/>
      </c>
      <c r="T43" s="2625">
        <f>SUM(T117)</f>
        <v/>
      </c>
      <c r="U43" s="2625">
        <f>SUM(U117)</f>
        <v/>
      </c>
      <c r="V43" s="2625">
        <f>SUM(V117)</f>
        <v/>
      </c>
      <c r="W43" s="2625">
        <f>SUM(W117)</f>
        <v/>
      </c>
      <c r="X43" s="2625">
        <f>SUM(X117)</f>
        <v/>
      </c>
      <c r="Y43" s="2625">
        <f>SUM(Y117)</f>
        <v/>
      </c>
      <c r="Z43" s="2625">
        <f>SUM(Z117)</f>
        <v/>
      </c>
      <c r="AA43" s="2625">
        <f>SUM(AA117)</f>
        <v/>
      </c>
      <c r="AB43" s="2625">
        <f>SUM(AB117)</f>
        <v/>
      </c>
      <c r="AC43" s="2625">
        <f>SUM(AC117)</f>
        <v/>
      </c>
      <c r="AD43" s="2625">
        <f>SUM(AD117)</f>
        <v/>
      </c>
      <c r="AE43" s="2626">
        <f>SUM(S43:AD43)</f>
        <v/>
      </c>
      <c r="AF43" s="1466" t="n"/>
      <c r="AG43" s="2625">
        <f>SUM(AG117)</f>
        <v/>
      </c>
      <c r="AH43" s="2625">
        <f>SUM(AH117)</f>
        <v/>
      </c>
      <c r="AI43" s="2625">
        <f>SUM(AI117)</f>
        <v/>
      </c>
      <c r="AJ43" s="2625">
        <f>SUM(AJ117)</f>
        <v/>
      </c>
      <c r="AK43" s="2625">
        <f>SUM(AK117)</f>
        <v/>
      </c>
      <c r="AL43" s="2625">
        <f>SUM(AL117)</f>
        <v/>
      </c>
      <c r="AM43" s="2625">
        <f>SUM(AM117)</f>
        <v/>
      </c>
      <c r="AN43" s="2625">
        <f>SUM(AN117)</f>
        <v/>
      </c>
      <c r="AO43" s="2625">
        <f>SUM(AO117)</f>
        <v/>
      </c>
      <c r="AP43" s="2625">
        <f>SUM(AP117)</f>
        <v/>
      </c>
      <c r="AQ43" s="2625">
        <f>SUM(AQ117)</f>
        <v/>
      </c>
      <c r="AR43" s="2625">
        <f>SUM(AR117)</f>
        <v/>
      </c>
      <c r="AS43" s="2626">
        <f>SUM(AG43:AR43)</f>
        <v/>
      </c>
      <c r="AU43" s="2625">
        <f>SUM(AU117)</f>
        <v/>
      </c>
      <c r="AV43" s="2625">
        <f>SUM(AV117)</f>
        <v/>
      </c>
      <c r="AW43" s="2625">
        <f>SUM(AW117)</f>
        <v/>
      </c>
      <c r="AX43" s="2625">
        <f>SUM(AX117)</f>
        <v/>
      </c>
      <c r="AY43" s="2625">
        <f>SUM(AY117)</f>
        <v/>
      </c>
      <c r="AZ43" s="2625">
        <f>SUM(AZ117)</f>
        <v/>
      </c>
      <c r="BA43" s="2625">
        <f>SUM(BA117)</f>
        <v/>
      </c>
      <c r="BB43" s="2625">
        <f>SUM(BB117)</f>
        <v/>
      </c>
      <c r="BC43" s="2625">
        <f>SUM(BC117)</f>
        <v/>
      </c>
      <c r="BD43" s="2625">
        <f>SUM(BD117)</f>
        <v/>
      </c>
      <c r="BE43" s="2625">
        <f>SUM(BE117)</f>
        <v/>
      </c>
      <c r="BF43" s="2627">
        <f>SUM(BF117)</f>
        <v/>
      </c>
      <c r="BG43" s="2628">
        <f>SUM(AU43:BF43)</f>
        <v/>
      </c>
      <c r="BH43" s="2631" t="n"/>
      <c r="BI43" s="2627">
        <f>SUM(BI117)</f>
        <v/>
      </c>
      <c r="BJ43" s="2627">
        <f>SUM(BJ117)</f>
        <v/>
      </c>
      <c r="BK43" s="2627">
        <f>SUM(BK117)</f>
        <v/>
      </c>
      <c r="BL43" s="2627">
        <f>SUM(BL117)</f>
        <v/>
      </c>
      <c r="BM43" s="2627">
        <f>SUM(BM117)</f>
        <v/>
      </c>
      <c r="BN43" s="2627">
        <f>SUM(BN117)</f>
        <v/>
      </c>
      <c r="BO43" s="2627">
        <f>SUM(BO117)</f>
        <v/>
      </c>
      <c r="BP43" s="2627">
        <f>SUM(BP117)</f>
        <v/>
      </c>
      <c r="BQ43" s="2627">
        <f>SUM(BQ117)</f>
        <v/>
      </c>
      <c r="BR43" s="2627">
        <f>SUM(BR117)</f>
        <v/>
      </c>
      <c r="BS43" s="2627">
        <f>SUM(BS117)</f>
        <v/>
      </c>
      <c r="BT43" s="2627">
        <f>SUM(BT117)</f>
        <v/>
      </c>
      <c r="BU43" s="2628">
        <f>SUM(BI43:BT43)</f>
        <v/>
      </c>
    </row>
    <row r="44" outlineLevel="1">
      <c r="A44" s="1436" t="n"/>
      <c r="B44" s="1456" t="inlineStr">
        <is>
          <t>복구충당부채환입</t>
        </is>
      </c>
      <c r="C44" s="1456" t="n"/>
      <c r="D44" s="2627" t="n"/>
      <c r="E44" s="2627" t="n"/>
      <c r="F44" s="2627" t="n"/>
      <c r="G44" s="2627" t="n"/>
      <c r="H44" s="2627" t="n"/>
      <c r="I44" s="2627" t="n"/>
      <c r="J44" s="2627" t="n"/>
      <c r="K44" s="2627" t="n"/>
      <c r="L44" s="2627" t="n"/>
      <c r="M44" s="2627" t="n"/>
      <c r="N44" s="2627" t="n"/>
      <c r="O44" s="2627" t="n"/>
      <c r="P44" s="2626">
        <f>SUM(D44:O44)</f>
        <v/>
      </c>
      <c r="Q44" s="1466" t="n"/>
      <c r="R44" s="1436" t="n"/>
      <c r="S44" s="2625">
        <f>SUM(S118)</f>
        <v/>
      </c>
      <c r="T44" s="2625">
        <f>SUM(T118)</f>
        <v/>
      </c>
      <c r="U44" s="2625">
        <f>SUM(U118)</f>
        <v/>
      </c>
      <c r="V44" s="2625">
        <f>SUM(V118)</f>
        <v/>
      </c>
      <c r="W44" s="2625">
        <f>SUM(W118)</f>
        <v/>
      </c>
      <c r="X44" s="2625">
        <f>SUM(X118)</f>
        <v/>
      </c>
      <c r="Y44" s="2625">
        <f>SUM(Y118)</f>
        <v/>
      </c>
      <c r="Z44" s="2625">
        <f>SUM(Z118)</f>
        <v/>
      </c>
      <c r="AA44" s="2625">
        <f>SUM(AA118)</f>
        <v/>
      </c>
      <c r="AB44" s="2625">
        <f>SUM(AB118)</f>
        <v/>
      </c>
      <c r="AC44" s="2625">
        <f>SUM(AC118)</f>
        <v/>
      </c>
      <c r="AD44" s="2625">
        <f>SUM(AD118)</f>
        <v/>
      </c>
      <c r="AE44" s="2626">
        <f>SUM(S44:AD44)</f>
        <v/>
      </c>
      <c r="AF44" s="1466" t="n"/>
      <c r="AG44" s="2625">
        <f>SUM(AG118)</f>
        <v/>
      </c>
      <c r="AH44" s="2625">
        <f>SUM(AH118)</f>
        <v/>
      </c>
      <c r="AI44" s="2625">
        <f>SUM(AI118)</f>
        <v/>
      </c>
      <c r="AJ44" s="2625">
        <f>SUM(AJ118)</f>
        <v/>
      </c>
      <c r="AK44" s="2625">
        <f>SUM(AK118)</f>
        <v/>
      </c>
      <c r="AL44" s="2625">
        <f>SUM(AL118)</f>
        <v/>
      </c>
      <c r="AM44" s="2625">
        <f>SUM(AM118)</f>
        <v/>
      </c>
      <c r="AN44" s="2625">
        <f>SUM(AN118)</f>
        <v/>
      </c>
      <c r="AO44" s="2625">
        <f>SUM(AO118)</f>
        <v/>
      </c>
      <c r="AP44" s="2625">
        <f>SUM(AP118)</f>
        <v/>
      </c>
      <c r="AQ44" s="2625">
        <f>SUM(AQ118)</f>
        <v/>
      </c>
      <c r="AR44" s="2625">
        <f>SUM(AR118)</f>
        <v/>
      </c>
      <c r="AS44" s="2626">
        <f>SUM(AG44:AR44)</f>
        <v/>
      </c>
      <c r="AU44" s="2625">
        <f>SUM(AU118)</f>
        <v/>
      </c>
      <c r="AV44" s="2625">
        <f>SUM(AV118)</f>
        <v/>
      </c>
      <c r="AW44" s="2625">
        <f>SUM(AW118)</f>
        <v/>
      </c>
      <c r="AX44" s="2625">
        <f>SUM(AX118)</f>
        <v/>
      </c>
      <c r="AY44" s="2625">
        <f>SUM(AY118)</f>
        <v/>
      </c>
      <c r="AZ44" s="2625">
        <f>SUM(AZ118)</f>
        <v/>
      </c>
      <c r="BA44" s="2625">
        <f>SUM(BA118)</f>
        <v/>
      </c>
      <c r="BB44" s="2625">
        <f>SUM(BB118)</f>
        <v/>
      </c>
      <c r="BC44" s="2625">
        <f>SUM(BC118)</f>
        <v/>
      </c>
      <c r="BD44" s="2625">
        <f>SUM(BD118)</f>
        <v/>
      </c>
      <c r="BE44" s="2625">
        <f>SUM(BE118)</f>
        <v/>
      </c>
      <c r="BF44" s="2627">
        <f>SUM(BF118)</f>
        <v/>
      </c>
      <c r="BG44" s="2628">
        <f>SUM(AU44:BF44)</f>
        <v/>
      </c>
      <c r="BH44" s="2631" t="n"/>
      <c r="BI44" s="2627">
        <f>SUM(BI118)</f>
        <v/>
      </c>
      <c r="BJ44" s="2627">
        <f>SUM(BJ118)</f>
        <v/>
      </c>
      <c r="BK44" s="2627">
        <f>SUM(BK118)</f>
        <v/>
      </c>
      <c r="BL44" s="2627">
        <f>SUM(BL118)</f>
        <v/>
      </c>
      <c r="BM44" s="2627">
        <f>SUM(BM118)</f>
        <v/>
      </c>
      <c r="BN44" s="2627">
        <f>SUM(BN118)</f>
        <v/>
      </c>
      <c r="BO44" s="2627">
        <f>SUM(BO118)</f>
        <v/>
      </c>
      <c r="BP44" s="2627">
        <f>SUM(BP118)</f>
        <v/>
      </c>
      <c r="BQ44" s="2627">
        <f>SUM(BQ118)</f>
        <v/>
      </c>
      <c r="BR44" s="2627">
        <f>SUM(BR118)</f>
        <v/>
      </c>
      <c r="BS44" s="2627">
        <f>SUM(BS118)</f>
        <v/>
      </c>
      <c r="BT44" s="2627">
        <f>SUM(BT118)</f>
        <v/>
      </c>
      <c r="BU44" s="2628">
        <f>SUM(BI44:BT44)</f>
        <v/>
      </c>
    </row>
    <row r="45" outlineLevel="1">
      <c r="A45" s="1436" t="n"/>
      <c r="B45" s="1456" t="inlineStr">
        <is>
          <t>하자보수비</t>
        </is>
      </c>
      <c r="C45" s="1456" t="n"/>
      <c r="D45" s="2627" t="n"/>
      <c r="E45" s="2627" t="n"/>
      <c r="F45" s="2627" t="n"/>
      <c r="G45" s="2627" t="n"/>
      <c r="H45" s="2627" t="n"/>
      <c r="I45" s="2627" t="n"/>
      <c r="J45" s="2627" t="n"/>
      <c r="K45" s="2627" t="n"/>
      <c r="L45" s="2627" t="n"/>
      <c r="M45" s="2627" t="n"/>
      <c r="N45" s="2627" t="n"/>
      <c r="O45" s="2627" t="n"/>
      <c r="P45" s="2626">
        <f>SUM(D45:O45)</f>
        <v/>
      </c>
      <c r="Q45" s="1466" t="n"/>
      <c r="R45" s="1436" t="n"/>
      <c r="S45" s="2625">
        <f>SUM(S119)</f>
        <v/>
      </c>
      <c r="T45" s="2625">
        <f>SUM(T119)</f>
        <v/>
      </c>
      <c r="U45" s="2625">
        <f>SUM(U119)</f>
        <v/>
      </c>
      <c r="V45" s="2625">
        <f>SUM(V119)</f>
        <v/>
      </c>
      <c r="W45" s="2625">
        <f>SUM(W119)</f>
        <v/>
      </c>
      <c r="X45" s="2625">
        <f>SUM(X119)</f>
        <v/>
      </c>
      <c r="Y45" s="2625">
        <f>SUM(Y119)</f>
        <v/>
      </c>
      <c r="Z45" s="2625">
        <f>SUM(Z119)</f>
        <v/>
      </c>
      <c r="AA45" s="2625">
        <f>SUM(AA119)</f>
        <v/>
      </c>
      <c r="AB45" s="2625">
        <f>SUM(AB119)</f>
        <v/>
      </c>
      <c r="AC45" s="2625">
        <f>SUM(AC119)</f>
        <v/>
      </c>
      <c r="AD45" s="2625">
        <f>SUM(AD119)</f>
        <v/>
      </c>
      <c r="AE45" s="2626">
        <f>SUM(S45:AD45)</f>
        <v/>
      </c>
      <c r="AF45" s="1466" t="n"/>
      <c r="AG45" s="2625">
        <f>SUM(AG119)</f>
        <v/>
      </c>
      <c r="AH45" s="2625">
        <f>SUM(AH119)</f>
        <v/>
      </c>
      <c r="AI45" s="2625">
        <f>SUM(AI119)</f>
        <v/>
      </c>
      <c r="AJ45" s="2625">
        <f>SUM(AJ119)</f>
        <v/>
      </c>
      <c r="AK45" s="2625">
        <f>SUM(AK119)</f>
        <v/>
      </c>
      <c r="AL45" s="2625">
        <f>SUM(AL119)</f>
        <v/>
      </c>
      <c r="AM45" s="2625">
        <f>SUM(AM119)</f>
        <v/>
      </c>
      <c r="AN45" s="2625">
        <f>SUM(AN119)</f>
        <v/>
      </c>
      <c r="AO45" s="2625">
        <f>SUM(AO119)</f>
        <v/>
      </c>
      <c r="AP45" s="2625">
        <f>SUM(AP119)</f>
        <v/>
      </c>
      <c r="AQ45" s="2625">
        <f>SUM(AQ119)</f>
        <v/>
      </c>
      <c r="AR45" s="2625">
        <f>SUM(AR119)</f>
        <v/>
      </c>
      <c r="AS45" s="2626">
        <f>SUM(AG45:AR45)</f>
        <v/>
      </c>
      <c r="AU45" s="2625">
        <f>SUM(AU119)</f>
        <v/>
      </c>
      <c r="AV45" s="2625">
        <f>SUM(AV119)</f>
        <v/>
      </c>
      <c r="AW45" s="2625">
        <f>SUM(AW119)</f>
        <v/>
      </c>
      <c r="AX45" s="2625">
        <f>SUM(AX119)</f>
        <v/>
      </c>
      <c r="AY45" s="2625">
        <f>SUM(AY119)</f>
        <v/>
      </c>
      <c r="AZ45" s="2625">
        <f>SUM(AZ119)</f>
        <v/>
      </c>
      <c r="BA45" s="2625">
        <f>SUM(BA119)</f>
        <v/>
      </c>
      <c r="BB45" s="2625">
        <f>SUM(BB119)</f>
        <v/>
      </c>
      <c r="BC45" s="2625">
        <f>SUM(BC119)</f>
        <v/>
      </c>
      <c r="BD45" s="2625">
        <f>SUM(BD119)</f>
        <v/>
      </c>
      <c r="BE45" s="2625">
        <f>SUM(BE119)</f>
        <v/>
      </c>
      <c r="BF45" s="2627">
        <f>SUM(BF119)</f>
        <v/>
      </c>
      <c r="BG45" s="2628">
        <f>SUM(AU45:BF45)</f>
        <v/>
      </c>
      <c r="BH45" s="2631" t="n"/>
      <c r="BI45" s="2627">
        <f>SUM(BI119)</f>
        <v/>
      </c>
      <c r="BJ45" s="2627">
        <f>SUM(BJ119)</f>
        <v/>
      </c>
      <c r="BK45" s="2627">
        <f>SUM(BK119)</f>
        <v/>
      </c>
      <c r="BL45" s="2627">
        <f>SUM(BL119)</f>
        <v/>
      </c>
      <c r="BM45" s="2627">
        <f>SUM(BM119)</f>
        <v/>
      </c>
      <c r="BN45" s="2627">
        <f>SUM(BN119)</f>
        <v/>
      </c>
      <c r="BO45" s="2627">
        <f>SUM(BO119)</f>
        <v/>
      </c>
      <c r="BP45" s="2627">
        <f>SUM(BP119)</f>
        <v/>
      </c>
      <c r="BQ45" s="2627">
        <f>SUM(BQ119)</f>
        <v/>
      </c>
      <c r="BR45" s="2627">
        <f>SUM(BR119)</f>
        <v/>
      </c>
      <c r="BS45" s="2627">
        <f>SUM(BS119)</f>
        <v/>
      </c>
      <c r="BT45" s="2627">
        <f>SUM(BT119)</f>
        <v/>
      </c>
      <c r="BU45" s="2628">
        <f>SUM(BI45:BT45)</f>
        <v/>
      </c>
    </row>
    <row r="46" outlineLevel="1">
      <c r="A46" s="1436" t="n"/>
      <c r="B46" s="1456" t="inlineStr">
        <is>
          <t>주식보상비용</t>
        </is>
      </c>
      <c r="C46" s="1456" t="n"/>
      <c r="D46" s="2627" t="n"/>
      <c r="E46" s="2627" t="n"/>
      <c r="F46" s="2627" t="n"/>
      <c r="G46" s="2627" t="n"/>
      <c r="H46" s="2627" t="n"/>
      <c r="I46" s="2627" t="n"/>
      <c r="J46" s="2627" t="n"/>
      <c r="K46" s="2627" t="n"/>
      <c r="L46" s="2627" t="n"/>
      <c r="M46" s="2627" t="n"/>
      <c r="N46" s="2627" t="n"/>
      <c r="O46" s="2627" t="n"/>
      <c r="P46" s="2626">
        <f>SUM(D46:O46)</f>
        <v/>
      </c>
      <c r="Q46" s="1466" t="n"/>
      <c r="R46" s="1436" t="n"/>
      <c r="S46" s="2625">
        <f>SUM(S84,S120)</f>
        <v/>
      </c>
      <c r="T46" s="2625">
        <f>SUM(T84,T120)</f>
        <v/>
      </c>
      <c r="U46" s="2625">
        <f>SUM(U84,U120)</f>
        <v/>
      </c>
      <c r="V46" s="2625">
        <f>SUM(V84,V120)</f>
        <v/>
      </c>
      <c r="W46" s="2625">
        <f>SUM(W84,W120)</f>
        <v/>
      </c>
      <c r="X46" s="2625">
        <f>SUM(X84,X120)</f>
        <v/>
      </c>
      <c r="Y46" s="2625">
        <f>SUM(Y84,Y120)</f>
        <v/>
      </c>
      <c r="Z46" s="2625">
        <f>SUM(Z84,Z120)</f>
        <v/>
      </c>
      <c r="AA46" s="2625">
        <f>SUM(AA84,AA120)</f>
        <v/>
      </c>
      <c r="AB46" s="2625">
        <f>SUM(AB84,AB120)</f>
        <v/>
      </c>
      <c r="AC46" s="2625">
        <f>SUM(AC84,AC120)</f>
        <v/>
      </c>
      <c r="AD46" s="2625">
        <f>SUM(AD84,AD120)</f>
        <v/>
      </c>
      <c r="AE46" s="2626">
        <f>SUM(S46:AD46)</f>
        <v/>
      </c>
      <c r="AF46" s="1466" t="n"/>
      <c r="AG46" s="2625">
        <f>SUM(AG84,AG120)</f>
        <v/>
      </c>
      <c r="AH46" s="2625">
        <f>SUM(AH84,AH120)</f>
        <v/>
      </c>
      <c r="AI46" s="2625">
        <f>SUM(AI84,AI120)</f>
        <v/>
      </c>
      <c r="AJ46" s="2625">
        <f>SUM(AJ84,AJ120)</f>
        <v/>
      </c>
      <c r="AK46" s="2625">
        <f>SUM(AK84,AK120)</f>
        <v/>
      </c>
      <c r="AL46" s="2625">
        <f>SUM(AL84,AL120)</f>
        <v/>
      </c>
      <c r="AM46" s="2625">
        <f>SUM(AM84,AM120)</f>
        <v/>
      </c>
      <c r="AN46" s="2625">
        <f>SUM(AN84,AN120)</f>
        <v/>
      </c>
      <c r="AO46" s="2625">
        <f>SUM(AO84,AO120)</f>
        <v/>
      </c>
      <c r="AP46" s="2625">
        <f>SUM(AP84,AP120)</f>
        <v/>
      </c>
      <c r="AQ46" s="2625">
        <f>SUM(AQ84,AQ120)</f>
        <v/>
      </c>
      <c r="AR46" s="2625">
        <f>SUM(AR84,AR120)</f>
        <v/>
      </c>
      <c r="AS46" s="2626">
        <f>SUM(AG46:AR46)</f>
        <v/>
      </c>
      <c r="AU46" s="2625">
        <f>SUM(AU84,AU120)</f>
        <v/>
      </c>
      <c r="AV46" s="2625">
        <f>SUM(AV84,AV120)</f>
        <v/>
      </c>
      <c r="AW46" s="2625">
        <f>SUM(AW84,AW120)</f>
        <v/>
      </c>
      <c r="AX46" s="2625">
        <f>SUM(AX84,AX120)</f>
        <v/>
      </c>
      <c r="AY46" s="2625">
        <f>SUM(AY84,AY120)</f>
        <v/>
      </c>
      <c r="AZ46" s="2625">
        <f>SUM(AZ84,AZ120)</f>
        <v/>
      </c>
      <c r="BA46" s="2625">
        <f>SUM(BA84,BA120)</f>
        <v/>
      </c>
      <c r="BB46" s="2625">
        <f>SUM(BB84,BB120)</f>
        <v/>
      </c>
      <c r="BC46" s="2625">
        <f>SUM(BC84,BC120)</f>
        <v/>
      </c>
      <c r="BD46" s="2625">
        <f>SUM(BD84,BD120)</f>
        <v/>
      </c>
      <c r="BE46" s="2625">
        <f>SUM(BE84,BE120)</f>
        <v/>
      </c>
      <c r="BF46" s="2627">
        <f>SUM(BF84,BF120)</f>
        <v/>
      </c>
      <c r="BG46" s="2628">
        <f>SUM(AU46:BF46)</f>
        <v/>
      </c>
      <c r="BH46" s="2631" t="n"/>
      <c r="BI46" s="2627">
        <f>SUM(BI84,BI120)</f>
        <v/>
      </c>
      <c r="BJ46" s="2627">
        <f>SUM(BJ84,BJ120)</f>
        <v/>
      </c>
      <c r="BK46" s="2627">
        <f>SUM(BK84,BK120)</f>
        <v/>
      </c>
      <c r="BL46" s="2627">
        <f>SUM(BL84,BL120)</f>
        <v/>
      </c>
      <c r="BM46" s="2627">
        <f>SUM(BM84,BM120)</f>
        <v/>
      </c>
      <c r="BN46" s="2627">
        <f>SUM(BN84,BN120)</f>
        <v/>
      </c>
      <c r="BO46" s="2627">
        <f>SUM(BO84,BO120)</f>
        <v/>
      </c>
      <c r="BP46" s="2627">
        <f>SUM(BP84,BP120)</f>
        <v/>
      </c>
      <c r="BQ46" s="2627">
        <f>SUM(BQ84,BQ120)</f>
        <v/>
      </c>
      <c r="BR46" s="2627">
        <f>SUM(BR84,BR120)</f>
        <v/>
      </c>
      <c r="BS46" s="2627">
        <f>SUM(BS84,BS120)</f>
        <v/>
      </c>
      <c r="BT46" s="2627">
        <f>SUM(BT84,BT120)</f>
        <v/>
      </c>
      <c r="BU46" s="2628">
        <f>SUM(BI46:BT46)</f>
        <v/>
      </c>
    </row>
    <row r="47" outlineLevel="1">
      <c r="A47" s="1436" t="n"/>
      <c r="B47" s="1456" t="inlineStr">
        <is>
          <t>프로젝트손실충당부채전입액 &gt; 재고자산 평가 손실</t>
        </is>
      </c>
      <c r="C47" s="1456" t="n"/>
      <c r="D47" s="2627" t="n"/>
      <c r="E47" s="2627" t="n"/>
      <c r="F47" s="2627" t="n"/>
      <c r="G47" s="2627" t="n"/>
      <c r="H47" s="2627" t="n"/>
      <c r="I47" s="2627" t="n"/>
      <c r="J47" s="2627" t="n"/>
      <c r="K47" s="2627" t="n"/>
      <c r="L47" s="2627" t="n"/>
      <c r="M47" s="2627" t="n"/>
      <c r="N47" s="2627" t="n"/>
      <c r="O47" s="2627" t="n"/>
      <c r="P47" s="2626">
        <f>SUM(D47:O47)</f>
        <v/>
      </c>
      <c r="Q47" s="1466" t="n"/>
      <c r="R47" s="1436" t="n"/>
      <c r="S47" s="2625">
        <f>SUM(S85,S121)</f>
        <v/>
      </c>
      <c r="T47" s="2625">
        <f>SUM(T85,T121)</f>
        <v/>
      </c>
      <c r="U47" s="2625">
        <f>SUM(U85,U121)</f>
        <v/>
      </c>
      <c r="V47" s="2625">
        <f>SUM(V85,V121)</f>
        <v/>
      </c>
      <c r="W47" s="2625">
        <f>SUM(W85,W121)</f>
        <v/>
      </c>
      <c r="X47" s="2625">
        <f>SUM(X85,X121)</f>
        <v/>
      </c>
      <c r="Y47" s="2625">
        <f>SUM(Y85,Y121)</f>
        <v/>
      </c>
      <c r="Z47" s="2625">
        <f>SUM(Z85,Z121)</f>
        <v/>
      </c>
      <c r="AA47" s="2625">
        <f>SUM(AA85,AA121)</f>
        <v/>
      </c>
      <c r="AB47" s="2625">
        <f>SUM(AB85,AB121)</f>
        <v/>
      </c>
      <c r="AC47" s="2625">
        <f>SUM(AC85,AC121)</f>
        <v/>
      </c>
      <c r="AD47" s="2625">
        <f>SUM(AD85,AD121)</f>
        <v/>
      </c>
      <c r="AE47" s="2626">
        <f>SUM(S47:AD47)</f>
        <v/>
      </c>
      <c r="AF47" s="1466" t="n"/>
      <c r="AG47" s="2625">
        <f>SUM(AG85,AG121)</f>
        <v/>
      </c>
      <c r="AH47" s="2625">
        <f>SUM(AH85,AH121)</f>
        <v/>
      </c>
      <c r="AI47" s="2625">
        <f>SUM(AI85,AI121)</f>
        <v/>
      </c>
      <c r="AJ47" s="2625">
        <f>SUM(AJ85,AJ121)</f>
        <v/>
      </c>
      <c r="AK47" s="2625">
        <f>SUM(AK85,AK121)</f>
        <v/>
      </c>
      <c r="AL47" s="2625">
        <f>SUM(AL85,AL121)</f>
        <v/>
      </c>
      <c r="AM47" s="2625">
        <f>SUM(AM85,AM121)</f>
        <v/>
      </c>
      <c r="AN47" s="2625">
        <f>SUM(AN85,AN121)</f>
        <v/>
      </c>
      <c r="AO47" s="2625">
        <f>SUM(AO85,AO121)</f>
        <v/>
      </c>
      <c r="AP47" s="2625">
        <f>SUM(AP85,AP121)</f>
        <v/>
      </c>
      <c r="AQ47" s="2625">
        <f>SUM(AQ85,AQ121)</f>
        <v/>
      </c>
      <c r="AR47" s="2625">
        <f>SUM(AR85,AR121)</f>
        <v/>
      </c>
      <c r="AS47" s="2626">
        <f>SUM(AG47:AR47)</f>
        <v/>
      </c>
      <c r="AU47" s="2625">
        <f>SUM(AU85,AU121)</f>
        <v/>
      </c>
      <c r="AV47" s="2625">
        <f>SUM(AV85,AV121)</f>
        <v/>
      </c>
      <c r="AW47" s="2625">
        <f>SUM(AW85,AW121)</f>
        <v/>
      </c>
      <c r="AX47" s="2625">
        <f>SUM(AX85,AX121)</f>
        <v/>
      </c>
      <c r="AY47" s="2625">
        <f>SUM(AY85,AY121)</f>
        <v/>
      </c>
      <c r="AZ47" s="2625">
        <f>SUM(AZ85,AZ121)</f>
        <v/>
      </c>
      <c r="BA47" s="2625">
        <f>SUM(BA85,BA121)</f>
        <v/>
      </c>
      <c r="BB47" s="2625">
        <f>SUM(BB85,BB121)</f>
        <v/>
      </c>
      <c r="BC47" s="2625">
        <f>SUM(BC85,BC121)</f>
        <v/>
      </c>
      <c r="BD47" s="2625">
        <f>SUM(BD85,BD121)</f>
        <v/>
      </c>
      <c r="BE47" s="2625">
        <f>SUM(BE85,BE121)</f>
        <v/>
      </c>
      <c r="BF47" s="2627">
        <f>SUM(BF85,BF121)</f>
        <v/>
      </c>
      <c r="BG47" s="2628">
        <f>SUM(AU47:BF47)</f>
        <v/>
      </c>
      <c r="BH47" s="2631" t="n"/>
      <c r="BI47" s="2627">
        <f>SUM(BI85,BI121)</f>
        <v/>
      </c>
      <c r="BJ47" s="2627">
        <f>SUM(BJ85,BJ121)</f>
        <v/>
      </c>
      <c r="BK47" s="2627">
        <f>SUM(BK85,BK121)</f>
        <v/>
      </c>
      <c r="BL47" s="2627">
        <f>SUM(BL85,BL121)</f>
        <v/>
      </c>
      <c r="BM47" s="2627">
        <f>SUM(BM85,BM121)</f>
        <v/>
      </c>
      <c r="BN47" s="2627">
        <f>SUM(BN85,BN121)</f>
        <v/>
      </c>
      <c r="BO47" s="2627">
        <f>SUM(BO85,BO121)</f>
        <v/>
      </c>
      <c r="BP47" s="2627">
        <f>SUM(BP85,BP121)</f>
        <v/>
      </c>
      <c r="BQ47" s="2627">
        <f>SUM(BQ85,BQ121)</f>
        <v/>
      </c>
      <c r="BR47" s="2627">
        <f>SUM(BR85,BR121)</f>
        <v/>
      </c>
      <c r="BS47" s="2627">
        <f>SUM(BS85,BS121)</f>
        <v/>
      </c>
      <c r="BT47" s="2627">
        <f>SUM(BT85,BT121)</f>
        <v/>
      </c>
      <c r="BU47" s="2628">
        <f>SUM(BI47:BT47)</f>
        <v/>
      </c>
    </row>
    <row r="48">
      <c r="A48" s="1436" t="n"/>
      <c r="B48" s="1452" t="inlineStr">
        <is>
          <t>Ⅲ. 영업이익(손실)</t>
        </is>
      </c>
      <c r="C48" s="1452" t="n"/>
      <c r="D48" s="2622" t="n"/>
      <c r="E48" s="2622" t="n"/>
      <c r="F48" s="2622" t="n"/>
      <c r="G48" s="2622" t="n"/>
      <c r="H48" s="2622" t="n"/>
      <c r="I48" s="2622" t="n"/>
      <c r="J48" s="2622" t="n"/>
      <c r="K48" s="2622" t="n"/>
      <c r="L48" s="2622" t="n"/>
      <c r="M48" s="2622" t="n"/>
      <c r="N48" s="2622" t="n"/>
      <c r="O48" s="2622" t="n"/>
      <c r="P48" s="2623">
        <f>SUM(D48:O48)</f>
        <v/>
      </c>
      <c r="Q48" s="1436" t="n"/>
      <c r="R48" s="1436" t="n"/>
      <c r="S48" s="2622">
        <f>S5-S14</f>
        <v/>
      </c>
      <c r="T48" s="2622">
        <f>T5-T14</f>
        <v/>
      </c>
      <c r="U48" s="2622">
        <f>U5-U14</f>
        <v/>
      </c>
      <c r="V48" s="2622">
        <f>V5-V14</f>
        <v/>
      </c>
      <c r="W48" s="2622">
        <f>W5-W14</f>
        <v/>
      </c>
      <c r="X48" s="2622">
        <f>X5-X14</f>
        <v/>
      </c>
      <c r="Y48" s="2622">
        <f>Y5-Y14</f>
        <v/>
      </c>
      <c r="Z48" s="2622">
        <f>Z5-Z14</f>
        <v/>
      </c>
      <c r="AA48" s="2622">
        <f>AA5-AA14</f>
        <v/>
      </c>
      <c r="AB48" s="2622">
        <f>AB5-AB14</f>
        <v/>
      </c>
      <c r="AC48" s="2622">
        <f>AC5-AC14</f>
        <v/>
      </c>
      <c r="AD48" s="2622">
        <f>AD5-AD14</f>
        <v/>
      </c>
      <c r="AE48" s="2623">
        <f>SUM(S48:AD48)</f>
        <v/>
      </c>
      <c r="AF48" s="1436" t="n"/>
      <c r="AG48" s="2622">
        <f>AG5-AG14</f>
        <v/>
      </c>
      <c r="AH48" s="2622">
        <f>AH5-AH14</f>
        <v/>
      </c>
      <c r="AI48" s="2622">
        <f>AI5-AI14</f>
        <v/>
      </c>
      <c r="AJ48" s="2622">
        <f>AJ5-AJ14</f>
        <v/>
      </c>
      <c r="AK48" s="2622">
        <f>AK5-AK14</f>
        <v/>
      </c>
      <c r="AL48" s="2622">
        <f>AL5-AL14</f>
        <v/>
      </c>
      <c r="AM48" s="2622">
        <f>AM5-AM14</f>
        <v/>
      </c>
      <c r="AN48" s="2622">
        <f>AN5-AN14</f>
        <v/>
      </c>
      <c r="AO48" s="2622">
        <f>AO5-AO14</f>
        <v/>
      </c>
      <c r="AP48" s="2622">
        <f>AP5-AP14</f>
        <v/>
      </c>
      <c r="AQ48" s="2622">
        <f>AQ5-AQ14</f>
        <v/>
      </c>
      <c r="AR48" s="2622">
        <f>AR5-AR14</f>
        <v/>
      </c>
      <c r="AS48" s="2623">
        <f>SUM(AG48:AR48)</f>
        <v/>
      </c>
      <c r="AU48" s="2622">
        <f>AU5-AU14</f>
        <v/>
      </c>
      <c r="AV48" s="2622">
        <f>AV5-AV14</f>
        <v/>
      </c>
      <c r="AW48" s="2622">
        <f>AW5-AW14</f>
        <v/>
      </c>
      <c r="AX48" s="2622">
        <f>AX5-AX14</f>
        <v/>
      </c>
      <c r="AY48" s="2622">
        <f>AY5-AY14</f>
        <v/>
      </c>
      <c r="AZ48" s="2622">
        <f>AZ5-AZ14</f>
        <v/>
      </c>
      <c r="BA48" s="2622">
        <f>BA5-BA14</f>
        <v/>
      </c>
      <c r="BB48" s="2622">
        <f>BB5-BB14</f>
        <v/>
      </c>
      <c r="BC48" s="2622">
        <f>BC5-BC14</f>
        <v/>
      </c>
      <c r="BD48" s="2622">
        <f>BD5-BD14</f>
        <v/>
      </c>
      <c r="BE48" s="2622">
        <f>BE5-BE14</f>
        <v/>
      </c>
      <c r="BF48" s="2622">
        <f>BF5-BF14</f>
        <v/>
      </c>
      <c r="BG48" s="2624">
        <f>SUM(AU48:BF48)</f>
        <v/>
      </c>
      <c r="BH48" s="2615" t="n"/>
      <c r="BI48" s="2622">
        <f>BI5-BI14</f>
        <v/>
      </c>
      <c r="BJ48" s="2622">
        <f>BJ5-BJ14</f>
        <v/>
      </c>
      <c r="BK48" s="2622">
        <f>BK5-BK14</f>
        <v/>
      </c>
      <c r="BL48" s="2622">
        <f>BL5-BL14</f>
        <v/>
      </c>
      <c r="BM48" s="2622">
        <f>BM5-BM14</f>
        <v/>
      </c>
      <c r="BN48" s="2622">
        <f>BN5-BN14</f>
        <v/>
      </c>
      <c r="BO48" s="2622">
        <f>BO5-BO14</f>
        <v/>
      </c>
      <c r="BP48" s="2622">
        <f>BP5-BP14</f>
        <v/>
      </c>
      <c r="BQ48" s="2622">
        <f>BQ5-BQ14</f>
        <v/>
      </c>
      <c r="BR48" s="2622">
        <f>BR5-BR14</f>
        <v/>
      </c>
      <c r="BS48" s="2622">
        <f>BS5-BS14</f>
        <v/>
      </c>
      <c r="BT48" s="2622">
        <f>BT5-BT14</f>
        <v/>
      </c>
      <c r="BU48" s="2624">
        <f>SUM(BI48:BT48)</f>
        <v/>
      </c>
    </row>
    <row r="49">
      <c r="A49" s="1436" t="n"/>
      <c r="B49" s="1456" t="n"/>
      <c r="C49" s="1456" t="n"/>
      <c r="D49" s="2627" t="n"/>
      <c r="E49" s="2627" t="n"/>
      <c r="F49" s="2627" t="n"/>
      <c r="G49" s="2627" t="n"/>
      <c r="H49" s="2627" t="n"/>
      <c r="I49" s="2627" t="n"/>
      <c r="J49" s="2627" t="n"/>
      <c r="K49" s="2627" t="n"/>
      <c r="L49" s="2627" t="n"/>
      <c r="M49" s="2627" t="n"/>
      <c r="N49" s="2627" t="n"/>
      <c r="O49" s="2627" t="n"/>
      <c r="P49" s="2627" t="n"/>
      <c r="Q49" s="1464" t="n"/>
      <c r="R49" s="1436" t="n"/>
      <c r="S49" s="2627" t="n"/>
      <c r="T49" s="2627" t="n"/>
      <c r="U49" s="2627" t="n"/>
      <c r="V49" s="2627" t="n"/>
      <c r="W49" s="2627" t="n"/>
      <c r="X49" s="2627" t="n"/>
      <c r="Y49" s="2627" t="n"/>
      <c r="Z49" s="2627" t="n"/>
      <c r="AA49" s="2627" t="n"/>
      <c r="AB49" s="2627" t="n"/>
      <c r="AC49" s="2627" t="n"/>
      <c r="AD49" s="2627" t="n"/>
      <c r="AE49" s="2627" t="n"/>
      <c r="AF49" s="1464" t="n"/>
      <c r="AG49" s="2627">
        <f>SUM(AG48:AI48)</f>
        <v/>
      </c>
      <c r="AH49" s="2627" t="n"/>
      <c r="AI49" s="2627" t="n"/>
      <c r="AJ49" s="2627" t="n"/>
      <c r="AK49" s="2627" t="n"/>
      <c r="AL49" s="2627" t="n"/>
      <c r="AM49" s="2627" t="n"/>
      <c r="AN49" s="2627" t="n"/>
      <c r="AO49" s="2627" t="n"/>
      <c r="AP49" s="2627" t="n"/>
      <c r="AQ49" s="2627" t="n"/>
      <c r="AR49" s="2627" t="n"/>
      <c r="AS49" s="2627">
        <f>-2921700973-AS48</f>
        <v/>
      </c>
      <c r="AU49" s="2627" t="n"/>
      <c r="AV49" s="2627" t="n"/>
      <c r="AW49" s="2627" t="n"/>
      <c r="AX49" s="2627" t="n"/>
      <c r="AY49" s="2627" t="n"/>
      <c r="AZ49" s="2627" t="n"/>
      <c r="BA49" s="2627" t="n"/>
      <c r="BB49" s="2627" t="n"/>
      <c r="BC49" s="2627" t="n"/>
      <c r="BD49" s="2627" t="n"/>
      <c r="BE49" s="2627" t="n"/>
      <c r="BF49" s="2627" t="n"/>
      <c r="BG49" s="2627" t="n"/>
      <c r="BI49" s="2627" t="n"/>
      <c r="BJ49" s="2627" t="n"/>
      <c r="BK49" s="2627" t="n"/>
      <c r="BL49" s="2627" t="n"/>
      <c r="BM49" s="2627" t="n"/>
      <c r="BN49" s="2627" t="n"/>
      <c r="BO49" s="2627" t="n"/>
      <c r="BP49" s="2627" t="n"/>
      <c r="BQ49" s="2627" t="n"/>
      <c r="BR49" s="2627" t="n"/>
      <c r="BS49" s="2627" t="n"/>
      <c r="BT49" s="2627" t="n"/>
      <c r="BU49" s="2627" t="n"/>
    </row>
    <row r="50">
      <c r="A50" s="1436" t="n"/>
      <c r="B50" s="1468" t="inlineStr">
        <is>
          <t>검증</t>
        </is>
      </c>
      <c r="C50" s="1468" t="n"/>
      <c r="D50" s="2627" t="n"/>
      <c r="E50" s="2627" t="n"/>
      <c r="F50" s="2627" t="n"/>
      <c r="G50" s="2627" t="n"/>
      <c r="H50" s="2627" t="n"/>
      <c r="I50" s="2627" t="n"/>
      <c r="J50" s="2627" t="n"/>
      <c r="K50" s="2627" t="n"/>
      <c r="L50" s="2627" t="n"/>
      <c r="M50" s="2627" t="n"/>
      <c r="N50" s="2627" t="n"/>
      <c r="O50" s="2627" t="n"/>
      <c r="P50" s="2627" t="n"/>
      <c r="Q50" s="1466" t="n"/>
      <c r="R50" s="1436" t="n"/>
      <c r="S50" s="2632">
        <f>SUM(S15:S47)-SUM(S54:S85,S88:S121)</f>
        <v/>
      </c>
      <c r="T50" s="2632">
        <f>SUM(T15:T47)-SUM(T54:T85,T88:T121)</f>
        <v/>
      </c>
      <c r="U50" s="2632">
        <f>SUM(U15:U47)-SUM(U54:U85,U88:U121)</f>
        <v/>
      </c>
      <c r="V50" s="2632">
        <f>SUM(V15:V47)-SUM(V54:V85,V88:V121)</f>
        <v/>
      </c>
      <c r="W50" s="2632">
        <f>SUM(W15:W47)-SUM(W54:W85,W88:W121)</f>
        <v/>
      </c>
      <c r="X50" s="2632">
        <f>SUM(X15:X47)-SUM(X54:X85,X88:X121)</f>
        <v/>
      </c>
      <c r="Y50" s="2632">
        <f>SUM(Y15:Y47)-SUM(Y54:Y85,Y88:Y121)</f>
        <v/>
      </c>
      <c r="Z50" s="2632">
        <f>SUM(Z15:Z47)-SUM(Z54:Z85,Z88:Z121)</f>
        <v/>
      </c>
      <c r="AA50" s="2632">
        <f>SUM(AA15:AA47)-SUM(AA54:AA85,AA88:AA121)</f>
        <v/>
      </c>
      <c r="AB50" s="2632">
        <f>SUM(AB15:AB47)-SUM(AB54:AB85,AB88:AB121)</f>
        <v/>
      </c>
      <c r="AC50" s="2632">
        <f>SUM(AC15:AC47)-SUM(AC54:AC85,AC88:AC121)</f>
        <v/>
      </c>
      <c r="AD50" s="2632">
        <f>SUM(AD15:AD47)-SUM(AD54:AD85,AD88:AD121)</f>
        <v/>
      </c>
      <c r="AE50" s="2627" t="n"/>
      <c r="AF50" s="1466" t="n"/>
      <c r="AG50" s="2632">
        <f>SUM(AG15:AG47)-SUM(AG54:AG85,AG88:AG121)</f>
        <v/>
      </c>
      <c r="AH50" s="2632">
        <f>SUM(AH15:AH47)-SUM(AH54:AH85,AH88:AH121)</f>
        <v/>
      </c>
      <c r="AI50" s="2632">
        <f>SUM(AI15:AI47)-SUM(AI54:AI85,AI88:AI121)</f>
        <v/>
      </c>
      <c r="AJ50" s="2632">
        <f>SUM(AJ15:AJ47)-SUM(AJ54:AJ85,AJ88:AJ121)</f>
        <v/>
      </c>
      <c r="AK50" s="2632">
        <f>SUM(AK15:AK47)-SUM(AK54:AK85,AK88:AK121)</f>
        <v/>
      </c>
      <c r="AL50" s="2632">
        <f>SUM(AL15:AL47)-SUM(AL54:AL85,AL88:AL121)</f>
        <v/>
      </c>
      <c r="AM50" s="2632">
        <f>SUM(AM15:AM47)-SUM(AM54:AM85,AM88:AM121)</f>
        <v/>
      </c>
      <c r="AN50" s="2632">
        <f>SUM(AN15:AN47)-SUM(AN54:AN85,AN88:AN121)</f>
        <v/>
      </c>
      <c r="AO50" s="2632">
        <f>SUM(AO15:AO47)-SUM(AO54:AO85,AO88:AO121)</f>
        <v/>
      </c>
      <c r="AP50" s="2632">
        <f>SUM(AP15:AP47)-SUM(AP54:AP85,AP88:AP121)</f>
        <v/>
      </c>
      <c r="AQ50" s="2632">
        <f>SUM(AQ15:AQ47)-SUM(AQ54:AQ85,AQ88:AQ121)</f>
        <v/>
      </c>
      <c r="AR50" s="2632">
        <f>SUM(AR15:AR47)-SUM(AR54:AR85,AR88:AR121)</f>
        <v/>
      </c>
      <c r="AS50" s="2627" t="n"/>
      <c r="AU50" s="2632">
        <f>SUM(AU15:AU47)-SUM(AU54:AU85,AU88:AU121)</f>
        <v/>
      </c>
      <c r="AV50" s="2632">
        <f>SUM(AV15:AV47)-SUM(AV54:AV85,AV88:AV121)</f>
        <v/>
      </c>
      <c r="AW50" s="2632">
        <f>SUM(AW15:AW47)-SUM(AW54:AW85,AW88:AW121)</f>
        <v/>
      </c>
      <c r="AX50" s="2632">
        <f>SUM(AX15:AX47)-SUM(AX54:AX85,AX88:AX121)</f>
        <v/>
      </c>
      <c r="AY50" s="2632">
        <f>SUM(AY15:AY47)-SUM(AY54:AY85,AY88:AY121)</f>
        <v/>
      </c>
      <c r="AZ50" s="2632">
        <f>SUM(AZ15:AZ47)-SUM(AZ54:AZ85,AZ88:AZ121)</f>
        <v/>
      </c>
      <c r="BA50" s="2632">
        <f>SUM(BA15:BA47)-SUM(BA54:BA85,BA88:BA121)</f>
        <v/>
      </c>
      <c r="BB50" s="2632">
        <f>SUM(BB15:BB47)-SUM(BB54:BB85,BB88:BB121)</f>
        <v/>
      </c>
      <c r="BC50" s="2632">
        <f>SUM(BC15:BC47)-SUM(BC54:BC85,BC88:BC121)</f>
        <v/>
      </c>
      <c r="BD50" s="2632">
        <f>SUM(BD15:BD47)-SUM(BD54:BD85,BD88:BD121)</f>
        <v/>
      </c>
      <c r="BE50" s="2632">
        <f>SUM(BE15:BE47)-SUM(BE54:BE85,BE88:BE121)</f>
        <v/>
      </c>
      <c r="BF50" s="2632">
        <f>SUM(BF15:BF47)-SUM(BF54:BF85,BF88:BF121)</f>
        <v/>
      </c>
      <c r="BG50" s="2627" t="n"/>
      <c r="BI50" s="2632">
        <f>SUM(BI15:BI47)-SUM(BI54:BI85,BI88:BI121)</f>
        <v/>
      </c>
      <c r="BJ50" s="2632">
        <f>SUM(BJ15:BJ47)-SUM(BJ54:BJ85,BJ88:BJ121)</f>
        <v/>
      </c>
      <c r="BK50" s="2632">
        <f>SUM(BK15:BK47)-SUM(BK54:BK85,BK88:BK121)</f>
        <v/>
      </c>
      <c r="BL50" s="2632">
        <f>SUM(BL15:BL47)-SUM(BL54:BL85,BL88:BL121)</f>
        <v/>
      </c>
      <c r="BM50" s="2632">
        <f>SUM(BM15:BM47)-SUM(BM54:BM85,BM88:BM121)</f>
        <v/>
      </c>
      <c r="BN50" s="2632">
        <f>SUM(BN15:BN47)-SUM(BN54:BN85,BN88:BN121)</f>
        <v/>
      </c>
      <c r="BO50" s="2632">
        <f>SUM(BO15:BO47)-SUM(BO54:BO85,BO88:BO121)</f>
        <v/>
      </c>
      <c r="BP50" s="2632">
        <f>SUM(BP15:BP47)-SUM(BP54:BP85,BP88:BP121)</f>
        <v/>
      </c>
      <c r="BQ50" s="2632">
        <f>SUM(BQ15:BQ47)-SUM(BQ54:BQ85,BQ88:BQ121)</f>
        <v/>
      </c>
      <c r="BR50" s="2632">
        <f>SUM(BR15:BR47)-SUM(BR54:BR85,BR88:BR121)</f>
        <v/>
      </c>
      <c r="BS50" s="2632">
        <f>SUM(BS15:BS47)-SUM(BS54:BS85,BS88:BS121)</f>
        <v/>
      </c>
      <c r="BT50" s="2632">
        <f>SUM(BT15:BT47)-SUM(BT54:BT85,BT88:BT121)</f>
        <v/>
      </c>
      <c r="BU50" s="2627" t="n"/>
    </row>
    <row r="51">
      <c r="A51" s="1436" t="n"/>
      <c r="B51" s="1468" t="inlineStr">
        <is>
          <t>검증</t>
        </is>
      </c>
      <c r="C51" s="1468" t="n"/>
      <c r="D51" s="2627" t="n"/>
      <c r="E51" s="2627" t="n"/>
      <c r="F51" s="2627" t="n"/>
      <c r="G51" s="2627" t="n"/>
      <c r="H51" s="2627" t="n"/>
      <c r="I51" s="2627" t="n"/>
      <c r="J51" s="2627" t="n"/>
      <c r="K51" s="2627" t="n"/>
      <c r="L51" s="2627" t="n"/>
      <c r="M51" s="2627" t="n"/>
      <c r="N51" s="2627" t="n"/>
      <c r="O51" s="2627" t="n"/>
      <c r="P51" s="2627" t="n"/>
      <c r="Q51" s="1466" t="n"/>
      <c r="R51" s="1436" t="n"/>
      <c r="S51" s="2632">
        <f>ROUND(S48-S122,0)</f>
        <v/>
      </c>
      <c r="T51" s="2632">
        <f>ROUND(T48-T122,0)</f>
        <v/>
      </c>
      <c r="U51" s="2632">
        <f>ROUND(U48-U122,0)</f>
        <v/>
      </c>
      <c r="V51" s="2632">
        <f>ROUND(V48-V122,0)</f>
        <v/>
      </c>
      <c r="W51" s="2632">
        <f>ROUND(W48-W122,0)</f>
        <v/>
      </c>
      <c r="X51" s="2632">
        <f>ROUND(X48-X122,0)</f>
        <v/>
      </c>
      <c r="Y51" s="2632">
        <f>ROUND(Y48-Y122,0)</f>
        <v/>
      </c>
      <c r="Z51" s="2632">
        <f>ROUND(Z48-Z122,0)</f>
        <v/>
      </c>
      <c r="AA51" s="2632">
        <f>ROUND(AA48-AA122,0)</f>
        <v/>
      </c>
      <c r="AB51" s="2632">
        <f>ROUND(AB48-AB122,0)</f>
        <v/>
      </c>
      <c r="AC51" s="2632">
        <f>ROUND(AC48-AC122,0)</f>
        <v/>
      </c>
      <c r="AD51" s="2632">
        <f>ROUND(AD48-AD122,0)</f>
        <v/>
      </c>
      <c r="AE51" s="2627" t="n"/>
      <c r="AF51" s="1466" t="n"/>
      <c r="AG51" s="2632">
        <f>ROUND(AG48-AG122,0)</f>
        <v/>
      </c>
      <c r="AH51" s="2632">
        <f>ROUND(AH48-AH122,0)</f>
        <v/>
      </c>
      <c r="AI51" s="2632">
        <f>ROUND(AI48-AI122,0)</f>
        <v/>
      </c>
      <c r="AJ51" s="2632">
        <f>ROUND(AJ48-AJ122,0)</f>
        <v/>
      </c>
      <c r="AK51" s="2632">
        <f>ROUND(AK48-AK122,0)</f>
        <v/>
      </c>
      <c r="AL51" s="2632">
        <f>ROUND(AL48-AL122,0)</f>
        <v/>
      </c>
      <c r="AM51" s="2632">
        <f>ROUND(AM48-AM122,0)</f>
        <v/>
      </c>
      <c r="AN51" s="2632">
        <f>ROUND(AN48-AN122,0)</f>
        <v/>
      </c>
      <c r="AO51" s="2632">
        <f>ROUND(AO48-AO122,0)</f>
        <v/>
      </c>
      <c r="AP51" s="2632">
        <f>ROUND(AP48-AP122,0)</f>
        <v/>
      </c>
      <c r="AQ51" s="2632">
        <f>ROUND(AQ48-AQ122,0)</f>
        <v/>
      </c>
      <c r="AR51" s="2632">
        <f>ROUND(AR48-AR122,0)</f>
        <v/>
      </c>
      <c r="AS51" s="2627" t="n"/>
      <c r="AU51" s="2632">
        <f>ROUND(AU48-AU122,0)</f>
        <v/>
      </c>
      <c r="AV51" s="2632">
        <f>ROUND(AV48-AV122,0)</f>
        <v/>
      </c>
      <c r="AW51" s="2632">
        <f>ROUND(AW48-AW122,0)</f>
        <v/>
      </c>
      <c r="AX51" s="2632">
        <f>ROUND(AX48-AX122,0)</f>
        <v/>
      </c>
      <c r="AY51" s="2632">
        <f>ROUND(AY48-AY122,0)</f>
        <v/>
      </c>
      <c r="AZ51" s="2632">
        <f>ROUND(AZ48-AZ122,0)</f>
        <v/>
      </c>
      <c r="BA51" s="2632">
        <f>ROUND(BA48-BA122,0)</f>
        <v/>
      </c>
      <c r="BB51" s="2632">
        <f>ROUND(BB48-BB122,0)</f>
        <v/>
      </c>
      <c r="BC51" s="2632">
        <f>ROUND(BC48-BC122,0)</f>
        <v/>
      </c>
      <c r="BD51" s="2632">
        <f>ROUND(BD48-BD122,0)</f>
        <v/>
      </c>
      <c r="BE51" s="2632">
        <f>ROUND(BE48-BE122,0)</f>
        <v/>
      </c>
      <c r="BF51" s="2632">
        <f>ROUND(BF48-BF122,0)</f>
        <v/>
      </c>
      <c r="BG51" s="2627" t="n"/>
      <c r="BI51" s="2632">
        <f>ROUND(BI48-BI122,0)</f>
        <v/>
      </c>
      <c r="BJ51" s="2632">
        <f>ROUND(BJ48-BJ122,0)</f>
        <v/>
      </c>
      <c r="BK51" s="2632">
        <f>ROUND(BK48-BK122,0)</f>
        <v/>
      </c>
      <c r="BL51" s="2632">
        <f>ROUND(BL48-BL122,0)</f>
        <v/>
      </c>
      <c r="BM51" s="2632">
        <f>ROUND(BM48-BM122,0)</f>
        <v/>
      </c>
      <c r="BN51" s="2632">
        <f>ROUND(BN48-BN122,0)</f>
        <v/>
      </c>
      <c r="BO51" s="2632">
        <f>ROUND(BO48-BO122,0)</f>
        <v/>
      </c>
      <c r="BP51" s="2632">
        <f>ROUND(BP48-BP122,0)</f>
        <v/>
      </c>
      <c r="BQ51" s="2632">
        <f>ROUND(BQ48-BQ122,0)</f>
        <v/>
      </c>
      <c r="BR51" s="2632">
        <f>ROUND(BR48-BR122,0)</f>
        <v/>
      </c>
      <c r="BS51" s="2632">
        <f>ROUND(BS48-BS122,0)</f>
        <v/>
      </c>
      <c r="BT51" s="2632">
        <f>ROUND(BT48-BT122,0)</f>
        <v/>
      </c>
      <c r="BU51" s="2627" t="n"/>
    </row>
    <row r="52">
      <c r="A52" s="1436" t="n"/>
      <c r="B52" s="1456" t="n"/>
      <c r="C52" s="1456" t="n"/>
      <c r="D52" s="2627" t="n"/>
      <c r="E52" s="2627" t="n"/>
      <c r="F52" s="2627" t="n"/>
      <c r="G52" s="2627" t="n"/>
      <c r="H52" s="2627" t="n"/>
      <c r="I52" s="2627" t="n"/>
      <c r="J52" s="2627" t="n"/>
      <c r="K52" s="2627" t="n"/>
      <c r="L52" s="2627" t="n"/>
      <c r="M52" s="2627" t="n"/>
      <c r="N52" s="2627" t="n"/>
      <c r="O52" s="2627" t="n"/>
      <c r="P52" s="2627" t="n"/>
      <c r="Q52" s="1464" t="n"/>
      <c r="R52" s="1436" t="n"/>
      <c r="S52" s="2627" t="n"/>
      <c r="T52" s="2627" t="n"/>
      <c r="U52" s="2627" t="n"/>
      <c r="V52" s="2627" t="n"/>
      <c r="W52" s="2627" t="n"/>
      <c r="X52" s="2627" t="n"/>
      <c r="Y52" s="2627" t="n"/>
      <c r="Z52" s="2627" t="n"/>
      <c r="AA52" s="2627" t="n"/>
      <c r="AB52" s="2627" t="n"/>
      <c r="AC52" s="2627" t="n"/>
      <c r="AD52" s="2627" t="n"/>
      <c r="AE52" s="2627" t="n"/>
      <c r="AF52" s="1464" t="n"/>
      <c r="AG52" s="2627" t="n"/>
      <c r="AH52" s="2627" t="n"/>
      <c r="AI52" s="2627" t="n"/>
      <c r="AJ52" s="2627" t="n"/>
      <c r="AK52" s="2627" t="n"/>
      <c r="AL52" s="2627" t="n"/>
      <c r="AM52" s="2627" t="n"/>
      <c r="AN52" s="2627" t="n"/>
      <c r="AO52" s="2627" t="n"/>
      <c r="AP52" s="2627" t="n"/>
      <c r="AQ52" s="2627" t="n"/>
      <c r="AR52" s="2627" t="n"/>
      <c r="AS52" s="2627" t="n"/>
      <c r="AU52" s="2627" t="n"/>
      <c r="AV52" s="2627" t="n"/>
      <c r="AW52" s="2627" t="n"/>
      <c r="AX52" s="2627" t="n"/>
      <c r="AY52" s="2627" t="n"/>
      <c r="AZ52" s="2627" t="n"/>
      <c r="BA52" s="2627" t="n"/>
      <c r="BB52" s="2627" t="n"/>
      <c r="BC52" s="2627" t="n"/>
      <c r="BD52" s="2627" t="n"/>
      <c r="BE52" s="2627" t="n"/>
      <c r="BF52" s="2627" t="n"/>
      <c r="BG52" s="2627" t="n"/>
      <c r="BI52" s="2627" t="n"/>
      <c r="BJ52" s="2627" t="n"/>
      <c r="BK52" s="2627" t="n"/>
      <c r="BL52" s="2627" t="n"/>
      <c r="BM52" s="2627" t="n"/>
      <c r="BN52" s="2627" t="n"/>
      <c r="BO52" s="2627" t="n"/>
      <c r="BP52" s="2627" t="n"/>
      <c r="BQ52" s="2627" t="n"/>
      <c r="BR52" s="2627" t="n"/>
      <c r="BS52" s="2627" t="n"/>
      <c r="BT52" s="2627" t="n"/>
      <c r="BU52" s="2627" t="n"/>
    </row>
    <row r="53">
      <c r="A53" s="1470" t="n"/>
      <c r="B53" s="1471" t="inlineStr">
        <is>
          <t>Ⅱ.매출원가</t>
        </is>
      </c>
      <c r="C53" s="1471" t="n"/>
      <c r="D53" s="2622">
        <f>SUM(D54:D84)</f>
        <v/>
      </c>
      <c r="E53" s="2622">
        <f>SUM(E54:E84)</f>
        <v/>
      </c>
      <c r="F53" s="2622">
        <f>SUM(F54:F84)</f>
        <v/>
      </c>
      <c r="G53" s="2622">
        <f>SUM(G54:G84)</f>
        <v/>
      </c>
      <c r="H53" s="2622">
        <f>SUM(H54:H84)</f>
        <v/>
      </c>
      <c r="I53" s="2622">
        <f>SUM(I54:I84)</f>
        <v/>
      </c>
      <c r="J53" s="2622">
        <f>SUM(J54:J84)</f>
        <v/>
      </c>
      <c r="K53" s="2622">
        <f>SUM(K54:K84)</f>
        <v/>
      </c>
      <c r="L53" s="2622">
        <f>SUM(L54:L84)</f>
        <v/>
      </c>
      <c r="M53" s="2622">
        <f>SUM(M54:M84)</f>
        <v/>
      </c>
      <c r="N53" s="2622">
        <f>SUM(N54:N84)</f>
        <v/>
      </c>
      <c r="O53" s="2622">
        <f>SUM(O54:O84)</f>
        <v/>
      </c>
      <c r="P53" s="2623">
        <f>SUM(D53:O53)</f>
        <v/>
      </c>
      <c r="Q53" s="1436" t="n"/>
      <c r="R53" s="1436" t="n"/>
      <c r="S53" s="2622">
        <f>SUM(S54:S85)</f>
        <v/>
      </c>
      <c r="T53" s="2622">
        <f>SUM(T54:T85)</f>
        <v/>
      </c>
      <c r="U53" s="2622">
        <f>SUM(U54:U85)</f>
        <v/>
      </c>
      <c r="V53" s="2622">
        <f>SUM(V54:V85)</f>
        <v/>
      </c>
      <c r="W53" s="2622">
        <f>SUM(W54:W85)</f>
        <v/>
      </c>
      <c r="X53" s="2622">
        <f>SUM(X54:X85)</f>
        <v/>
      </c>
      <c r="Y53" s="2622">
        <f>SUM(Y54:Y85)</f>
        <v/>
      </c>
      <c r="Z53" s="2622">
        <f>SUM(Z54:Z85)</f>
        <v/>
      </c>
      <c r="AA53" s="2622">
        <f>SUM(AA54:AA85)</f>
        <v/>
      </c>
      <c r="AB53" s="2622">
        <f>SUM(AB54:AB85)</f>
        <v/>
      </c>
      <c r="AC53" s="2622">
        <f>SUM(AC54:AC85)</f>
        <v/>
      </c>
      <c r="AD53" s="2622">
        <f>SUM(AD54:AD85)</f>
        <v/>
      </c>
      <c r="AE53" s="2623">
        <f>SUM(S53:AD53)</f>
        <v/>
      </c>
      <c r="AF53" s="1436" t="n"/>
      <c r="AG53" s="2622">
        <f>SUM(AG54:AG85)</f>
        <v/>
      </c>
      <c r="AH53" s="2622">
        <f>SUM(AH54:AH85)</f>
        <v/>
      </c>
      <c r="AI53" s="2622">
        <f>SUM(AI54:AI85)</f>
        <v/>
      </c>
      <c r="AJ53" s="2622">
        <f>SUM(AJ54:AJ85)</f>
        <v/>
      </c>
      <c r="AK53" s="2622">
        <f>SUM(AK54:AK85)</f>
        <v/>
      </c>
      <c r="AL53" s="2622">
        <f>SUM(AL54:AL85)</f>
        <v/>
      </c>
      <c r="AM53" s="2622">
        <f>SUM(AM54:AM85)</f>
        <v/>
      </c>
      <c r="AN53" s="2622">
        <f>SUM(AN54:AN85)</f>
        <v/>
      </c>
      <c r="AO53" s="2622">
        <f>SUM(AO54:AO85)</f>
        <v/>
      </c>
      <c r="AP53" s="2622">
        <f>SUM(AP54:AP85)</f>
        <v/>
      </c>
      <c r="AQ53" s="2622">
        <f>SUM(AQ54:AQ85)</f>
        <v/>
      </c>
      <c r="AR53" s="2622">
        <f>SUM(AR54:AR85)</f>
        <v/>
      </c>
      <c r="AS53" s="2623">
        <f>SUM(AG53:AR53)</f>
        <v/>
      </c>
      <c r="AU53" s="2622">
        <f>SUM(AU54:AU85)</f>
        <v/>
      </c>
      <c r="AV53" s="2622">
        <f>SUM(AV54:AV85)</f>
        <v/>
      </c>
      <c r="AW53" s="2622">
        <f>SUM(AW54:AW85)</f>
        <v/>
      </c>
      <c r="AX53" s="2622">
        <f>SUM(AX54:AX85)</f>
        <v/>
      </c>
      <c r="AY53" s="2622">
        <f>SUM(AY54:AY85)</f>
        <v/>
      </c>
      <c r="AZ53" s="2622">
        <f>SUM(AZ54:AZ85)</f>
        <v/>
      </c>
      <c r="BA53" s="2622">
        <f>SUM(BA54:BA85)</f>
        <v/>
      </c>
      <c r="BB53" s="2622">
        <f>SUM(BB54:BB85)</f>
        <v/>
      </c>
      <c r="BC53" s="2622">
        <f>SUM(BC54:BC85)</f>
        <v/>
      </c>
      <c r="BD53" s="2622">
        <f>SUM(BD54:BD85)</f>
        <v/>
      </c>
      <c r="BE53" s="2622">
        <f>SUM(BE54:BE85)</f>
        <v/>
      </c>
      <c r="BF53" s="2622">
        <f>SUM(BF54:BF85)</f>
        <v/>
      </c>
      <c r="BG53" s="2624">
        <f>SUM(AU53:BF53)</f>
        <v/>
      </c>
      <c r="BI53" s="2622">
        <f>SUM(BI54:BI85)</f>
        <v/>
      </c>
      <c r="BJ53" s="2622">
        <f>SUM(BJ54:BJ85)</f>
        <v/>
      </c>
      <c r="BK53" s="2622">
        <f>SUM(BK54:BK85)</f>
        <v/>
      </c>
      <c r="BL53" s="2622">
        <f>SUM(BL54:BL85)</f>
        <v/>
      </c>
      <c r="BM53" s="2622">
        <f>SUM(BM54:BM85)</f>
        <v/>
      </c>
      <c r="BN53" s="2622">
        <f>SUM(BN54:BN85)</f>
        <v/>
      </c>
      <c r="BO53" s="2622">
        <f>SUM(BO54:BO85)</f>
        <v/>
      </c>
      <c r="BP53" s="2622">
        <f>SUM(BP54:BP85)</f>
        <v/>
      </c>
      <c r="BQ53" s="2622">
        <f>SUM(BQ54:BQ85)</f>
        <v/>
      </c>
      <c r="BR53" s="2622">
        <f>SUM(BR54:BR85)</f>
        <v/>
      </c>
      <c r="BS53" s="2622">
        <f>SUM(BS54:BS85)</f>
        <v/>
      </c>
      <c r="BT53" s="2622">
        <f>SUM(BT54:BT85)</f>
        <v/>
      </c>
      <c r="BU53" s="2624">
        <f>SUM(BI53:BT53)</f>
        <v/>
      </c>
    </row>
    <row r="54" outlineLevel="1">
      <c r="A54" s="1470" t="n"/>
      <c r="B54" s="1456" t="inlineStr">
        <is>
          <t>급여</t>
        </is>
      </c>
      <c r="C54" s="1456" t="inlineStr">
        <is>
          <t>인건비 등</t>
        </is>
      </c>
      <c r="D54" s="2625" t="n"/>
      <c r="E54" s="2625" t="n"/>
      <c r="F54" s="2625" t="n"/>
      <c r="G54" s="2625" t="n">
        <v>214586220</v>
      </c>
      <c r="H54" s="2625" t="n">
        <v>302204590</v>
      </c>
      <c r="I54" s="2625" t="n">
        <v>323786520</v>
      </c>
      <c r="J54" s="2625" t="n">
        <v>367899980</v>
      </c>
      <c r="K54" s="2625" t="n">
        <v>423904370</v>
      </c>
      <c r="L54" s="2625" t="n">
        <v>505177050</v>
      </c>
      <c r="M54" s="2625" t="n">
        <v>512849850</v>
      </c>
      <c r="N54" s="2625" t="n">
        <v>638135820</v>
      </c>
      <c r="O54" s="2625" t="n">
        <v>865093415</v>
      </c>
      <c r="P54" s="2626">
        <f>SUM(D54:O54)</f>
        <v/>
      </c>
      <c r="Q54" s="1464" t="inlineStr">
        <is>
          <t>인원계획 조정(11월까지 매월 10명 증가 가정)</t>
        </is>
      </c>
      <c r="R54" s="1436" t="n"/>
      <c r="S54" s="2625" t="n">
        <v>713344221</v>
      </c>
      <c r="T54" s="2625" t="n">
        <v>741941091</v>
      </c>
      <c r="U54" s="2625" t="n">
        <v>761886764</v>
      </c>
      <c r="V54" s="2625" t="n">
        <v>782590991</v>
      </c>
      <c r="W54" s="2633" t="n"/>
      <c r="X54" s="2633" t="n"/>
      <c r="Y54" s="2633" t="n"/>
      <c r="Z54" s="2633" t="n"/>
      <c r="AA54" s="2633" t="n"/>
      <c r="AB54" s="2633" t="n"/>
      <c r="AC54" s="2633" t="n"/>
      <c r="AD54" s="2633" t="n"/>
      <c r="AE54" s="2626">
        <f>SUM(S54:AD54)</f>
        <v/>
      </c>
      <c r="AF54" s="1464" t="inlineStr">
        <is>
          <t>3명 퇴사 반영</t>
        </is>
      </c>
      <c r="AG54" s="2633" t="n"/>
      <c r="AH54" s="2633" t="n"/>
      <c r="AI54" s="2633" t="n">
        <v>0</v>
      </c>
      <c r="AJ54" s="2633" t="n">
        <v>0</v>
      </c>
      <c r="AK54" s="2633" t="n">
        <v>0</v>
      </c>
      <c r="AL54" s="2633" t="n">
        <v>0</v>
      </c>
      <c r="AM54" s="2633" t="n"/>
      <c r="AN54" s="2633" t="n"/>
      <c r="AO54" s="2633" t="n"/>
      <c r="AP54" s="2633" t="n"/>
      <c r="AQ54" s="2633" t="n"/>
      <c r="AR54" s="2633" t="n"/>
      <c r="AS54" s="2626">
        <f>SUM(AG54:AR54)</f>
        <v/>
      </c>
      <c r="AU54" s="2633" t="n"/>
      <c r="AV54" s="2633" t="n"/>
      <c r="AW54" s="2633" t="n"/>
      <c r="AX54" s="2633" t="n"/>
      <c r="AY54" s="2633" t="n"/>
      <c r="AZ54" s="2633" t="n"/>
      <c r="BA54" s="2633" t="n"/>
      <c r="BB54" s="2633" t="n"/>
      <c r="BC54" s="2633" t="n"/>
      <c r="BD54" s="2633" t="n"/>
      <c r="BE54" s="2633" t="n"/>
      <c r="BF54" s="2627" t="n"/>
      <c r="BG54" s="2628">
        <f>SUM(AU54:BF54)</f>
        <v/>
      </c>
      <c r="BI54" s="2627" t="n"/>
      <c r="BJ54" s="2627" t="n"/>
      <c r="BK54" s="2627" t="n"/>
      <c r="BL54" s="2627" t="n"/>
      <c r="BM54" s="2627" t="n"/>
      <c r="BN54" s="2627" t="n"/>
      <c r="BO54" s="2627" t="n"/>
      <c r="BP54" s="2627" t="n"/>
      <c r="BQ54" s="2627" t="n"/>
      <c r="BR54" s="2627" t="n"/>
      <c r="BS54" s="2627" t="n"/>
      <c r="BT54" s="2627" t="n"/>
      <c r="BU54" s="2628">
        <f>SUM(BI54:BT54)</f>
        <v/>
      </c>
    </row>
    <row r="55" outlineLevel="1">
      <c r="A55" s="1470" t="n"/>
      <c r="B55" s="1456" t="inlineStr">
        <is>
          <t>상여</t>
        </is>
      </c>
      <c r="C55" s="1456" t="inlineStr">
        <is>
          <t>인건비 등</t>
        </is>
      </c>
      <c r="D55" s="2625" t="n"/>
      <c r="E55" s="2625" t="n"/>
      <c r="F55" s="2625" t="n"/>
      <c r="G55" s="2625" t="n"/>
      <c r="H55" s="2625" t="n">
        <v>0</v>
      </c>
      <c r="I55" s="2625" t="n">
        <v>0</v>
      </c>
      <c r="J55" s="2625" t="n">
        <v>0</v>
      </c>
      <c r="K55" s="2625" t="n">
        <v>0</v>
      </c>
      <c r="L55" s="2625" t="n">
        <v>0</v>
      </c>
      <c r="M55" s="2625" t="n">
        <v>0</v>
      </c>
      <c r="N55" s="2625" t="n">
        <v>0</v>
      </c>
      <c r="O55" s="2625" t="n">
        <v>0</v>
      </c>
      <c r="P55" s="2626">
        <f>SUM(D55:O55)</f>
        <v/>
      </c>
      <c r="Q55" s="1466" t="n"/>
      <c r="R55" s="1436" t="n"/>
      <c r="S55" s="2625" t="n">
        <v>0</v>
      </c>
      <c r="T55" s="2625" t="n">
        <v>0</v>
      </c>
      <c r="U55" s="2625" t="n">
        <v>0</v>
      </c>
      <c r="V55" s="2625" t="n">
        <v>0</v>
      </c>
      <c r="W55" s="2633" t="n"/>
      <c r="X55" s="2633" t="n"/>
      <c r="Y55" s="2633" t="n"/>
      <c r="Z55" s="2633" t="n"/>
      <c r="AA55" s="2633" t="n"/>
      <c r="AB55" s="2633" t="n"/>
      <c r="AC55" s="2633" t="n"/>
      <c r="AD55" s="2633" t="n"/>
      <c r="AE55" s="2626">
        <f>SUM(S55:AD55)</f>
        <v/>
      </c>
      <c r="AF55" s="1466" t="n"/>
      <c r="AG55" s="2633" t="n"/>
      <c r="AH55" s="2633" t="n"/>
      <c r="AI55" s="2633" t="n">
        <v>0</v>
      </c>
      <c r="AJ55" s="2633" t="n">
        <v>0</v>
      </c>
      <c r="AK55" s="2633" t="n">
        <v>0</v>
      </c>
      <c r="AL55" s="2633" t="n">
        <v>0</v>
      </c>
      <c r="AM55" s="2633" t="n"/>
      <c r="AN55" s="2633" t="n"/>
      <c r="AO55" s="2633" t="n"/>
      <c r="AP55" s="2633" t="n"/>
      <c r="AQ55" s="2633" t="n"/>
      <c r="AR55" s="2633" t="n"/>
      <c r="AS55" s="2626">
        <f>SUM(AG55:AR55)</f>
        <v/>
      </c>
      <c r="AU55" s="2633" t="n"/>
      <c r="AV55" s="2633" t="n"/>
      <c r="AW55" s="2633" t="n"/>
      <c r="AX55" s="2633" t="n"/>
      <c r="AY55" s="2633" t="n"/>
      <c r="AZ55" s="2633" t="n"/>
      <c r="BA55" s="2633" t="n"/>
      <c r="BB55" s="2633" t="n"/>
      <c r="BC55" s="2633" t="n"/>
      <c r="BD55" s="2633" t="n"/>
      <c r="BE55" s="2633" t="n"/>
      <c r="BF55" s="2627" t="n"/>
      <c r="BG55" s="2628">
        <f>SUM(AU55:BF55)</f>
        <v/>
      </c>
      <c r="BI55" s="2627" t="n"/>
      <c r="BJ55" s="2627" t="n"/>
      <c r="BK55" s="2627" t="n"/>
      <c r="BL55" s="2627" t="n"/>
      <c r="BM55" s="2627" t="n"/>
      <c r="BN55" s="2627" t="n"/>
      <c r="BO55" s="2627" t="n"/>
      <c r="BP55" s="2627" t="n"/>
      <c r="BQ55" s="2627" t="n"/>
      <c r="BR55" s="2627" t="n"/>
      <c r="BS55" s="2627" t="n"/>
      <c r="BT55" s="2627" t="n"/>
      <c r="BU55" s="2628">
        <f>SUM(BI55:BT55)</f>
        <v/>
      </c>
    </row>
    <row r="56" outlineLevel="1">
      <c r="A56" s="1470" t="n"/>
      <c r="B56" s="1456" t="inlineStr">
        <is>
          <t>퇴직급여</t>
        </is>
      </c>
      <c r="C56" s="1456" t="inlineStr">
        <is>
          <t>인건비 등</t>
        </is>
      </c>
      <c r="D56" s="2625" t="n"/>
      <c r="E56" s="2625" t="n"/>
      <c r="F56" s="2625" t="n"/>
      <c r="G56" s="2625" t="n">
        <v>9339680</v>
      </c>
      <c r="H56" s="2625" t="n">
        <v>17493400</v>
      </c>
      <c r="I56" s="2625" t="n">
        <v>17726530</v>
      </c>
      <c r="J56" s="2625" t="n">
        <v>11434728</v>
      </c>
      <c r="K56" s="2625" t="n">
        <v>26112050</v>
      </c>
      <c r="L56" s="2625" t="n">
        <v>17146350</v>
      </c>
      <c r="M56" s="2625" t="n">
        <v>25354180</v>
      </c>
      <c r="N56" s="2625" t="n">
        <v>22584420</v>
      </c>
      <c r="O56" s="2625" t="n">
        <v>41329390</v>
      </c>
      <c r="P56" s="2626">
        <f>SUM(D56:O56)</f>
        <v/>
      </c>
      <c r="Q56" s="1464" t="inlineStr">
        <is>
          <t>실적평균</t>
        </is>
      </c>
      <c r="R56" s="1436" t="n"/>
      <c r="S56" s="2625" t="n">
        <v>32707880</v>
      </c>
      <c r="T56" s="2625" t="n">
        <v>25184740</v>
      </c>
      <c r="U56" s="2625" t="n">
        <v>53542530</v>
      </c>
      <c r="V56" s="2625" t="n">
        <v>45781770</v>
      </c>
      <c r="W56" s="2633" t="n"/>
      <c r="X56" s="2633" t="n"/>
      <c r="Y56" s="2633" t="n"/>
      <c r="Z56" s="2633" t="n"/>
      <c r="AA56" s="2633" t="n"/>
      <c r="AB56" s="2633" t="n"/>
      <c r="AC56" s="2633" t="n"/>
      <c r="AD56" s="2633" t="n"/>
      <c r="AE56" s="2626">
        <f>SUM(S56:AD56)</f>
        <v/>
      </c>
      <c r="AF56" s="1464" t="inlineStr">
        <is>
          <t>약 3천만원 가정(전표 5천만원으로 이상하여 3천만원 가정)</t>
        </is>
      </c>
      <c r="AG56" s="2633" t="n"/>
      <c r="AH56" s="2633" t="n"/>
      <c r="AI56" s="2633" t="n">
        <v>0</v>
      </c>
      <c r="AJ56" s="2633" t="n">
        <v>0</v>
      </c>
      <c r="AK56" s="2633" t="n">
        <v>0</v>
      </c>
      <c r="AL56" s="2633" t="n">
        <v>0</v>
      </c>
      <c r="AM56" s="2633" t="n"/>
      <c r="AN56" s="2633" t="n"/>
      <c r="AO56" s="2633" t="n"/>
      <c r="AP56" s="2633" t="n"/>
      <c r="AQ56" s="2633" t="n"/>
      <c r="AR56" s="2633" t="n"/>
      <c r="AS56" s="2626">
        <f>SUM(AG56:AR56)</f>
        <v/>
      </c>
      <c r="AU56" s="2633" t="n"/>
      <c r="AV56" s="2633" t="n"/>
      <c r="AW56" s="2633" t="n"/>
      <c r="AX56" s="2633" t="n"/>
      <c r="AY56" s="2633" t="n"/>
      <c r="AZ56" s="2633" t="n"/>
      <c r="BA56" s="2633" t="n"/>
      <c r="BB56" s="2633" t="n"/>
      <c r="BC56" s="2633" t="n"/>
      <c r="BD56" s="2633" t="n"/>
      <c r="BE56" s="2633" t="n"/>
      <c r="BF56" s="2627" t="n"/>
      <c r="BG56" s="2628">
        <f>SUM(AU56:BF56)</f>
        <v/>
      </c>
      <c r="BI56" s="2627" t="n"/>
      <c r="BJ56" s="2627" t="n"/>
      <c r="BK56" s="2627" t="n"/>
      <c r="BL56" s="2627" t="n"/>
      <c r="BM56" s="2627" t="n"/>
      <c r="BN56" s="2627" t="n"/>
      <c r="BO56" s="2627" t="n"/>
      <c r="BP56" s="2627" t="n"/>
      <c r="BQ56" s="2627" t="n"/>
      <c r="BR56" s="2627" t="n"/>
      <c r="BS56" s="2627" t="n"/>
      <c r="BT56" s="2627" t="n"/>
      <c r="BU56" s="2628">
        <f>SUM(BI56:BT56)</f>
        <v/>
      </c>
    </row>
    <row r="57" outlineLevel="1">
      <c r="A57" s="1470" t="n"/>
      <c r="B57" s="1456" t="inlineStr">
        <is>
          <t>복리후생비</t>
        </is>
      </c>
      <c r="C57" s="1456" t="inlineStr">
        <is>
          <t>인건비 등</t>
        </is>
      </c>
      <c r="D57" s="2625" t="n"/>
      <c r="E57" s="2625" t="n"/>
      <c r="F57" s="2625" t="n"/>
      <c r="G57" s="2625" t="n">
        <v>28925444</v>
      </c>
      <c r="H57" s="2625" t="n">
        <v>51555305</v>
      </c>
      <c r="I57" s="2625" t="n">
        <v>23163199</v>
      </c>
      <c r="J57" s="2625" t="n">
        <v>52240047</v>
      </c>
      <c r="K57" s="2625" t="n">
        <v>49483708</v>
      </c>
      <c r="L57" s="2625" t="n">
        <v>56660626</v>
      </c>
      <c r="M57" s="2625" t="n">
        <v>64689068</v>
      </c>
      <c r="N57" s="2625" t="n">
        <v>77545784</v>
      </c>
      <c r="O57" s="2625" t="n">
        <v>86419442</v>
      </c>
      <c r="P57" s="2626">
        <f>SUM(D57:O57)</f>
        <v/>
      </c>
      <c r="Q57" s="1464" t="inlineStr">
        <is>
          <t>인원계획에 따라 +5% 반영</t>
        </is>
      </c>
      <c r="R57" s="1436" t="n"/>
      <c r="S57" s="2625" t="n">
        <v>82480608</v>
      </c>
      <c r="T57" s="2625" t="n">
        <v>126557687</v>
      </c>
      <c r="U57" s="2625" t="n">
        <v>115896775</v>
      </c>
      <c r="V57" s="2625" t="n">
        <v>150814836</v>
      </c>
      <c r="W57" s="2633" t="n"/>
      <c r="X57" s="2633" t="n"/>
      <c r="Y57" s="2633" t="n"/>
      <c r="Z57" s="2633" t="n"/>
      <c r="AA57" s="2633" t="n"/>
      <c r="AB57" s="2633" t="n"/>
      <c r="AC57" s="2633" t="n"/>
      <c r="AD57" s="2633" t="n"/>
      <c r="AE57" s="2626">
        <f>SUM(S57:AD57)</f>
        <v/>
      </c>
      <c r="AF57" s="1464" t="inlineStr">
        <is>
          <t>약 1억 가정(3월 실적 약 1억)</t>
        </is>
      </c>
      <c r="AG57" s="2633" t="n"/>
      <c r="AH57" s="2633" t="n"/>
      <c r="AI57" s="2633" t="n">
        <v>0</v>
      </c>
      <c r="AJ57" s="2633" t="n">
        <v>0</v>
      </c>
      <c r="AK57" s="2633" t="n">
        <v>0</v>
      </c>
      <c r="AL57" s="2633" t="n">
        <v>0</v>
      </c>
      <c r="AM57" s="2633" t="n"/>
      <c r="AN57" s="2633" t="n"/>
      <c r="AO57" s="2633" t="n"/>
      <c r="AP57" s="2633" t="n"/>
      <c r="AQ57" s="2633" t="n"/>
      <c r="AR57" s="2633" t="n"/>
      <c r="AS57" s="2626">
        <f>SUM(AG57:AR57)</f>
        <v/>
      </c>
      <c r="AU57" s="2633" t="n"/>
      <c r="AV57" s="2633" t="n"/>
      <c r="AW57" s="2633" t="n"/>
      <c r="AX57" s="2633" t="n"/>
      <c r="AY57" s="2633" t="n"/>
      <c r="AZ57" s="2633" t="n"/>
      <c r="BA57" s="2633" t="n"/>
      <c r="BB57" s="2633" t="n"/>
      <c r="BC57" s="2633" t="n"/>
      <c r="BD57" s="2633" t="n"/>
      <c r="BE57" s="2633" t="n"/>
      <c r="BF57" s="2627" t="n"/>
      <c r="BG57" s="2628">
        <f>SUM(AU57:BF57)</f>
        <v/>
      </c>
      <c r="BI57" s="2627" t="n"/>
      <c r="BJ57" s="2627" t="n"/>
      <c r="BK57" s="2627" t="n"/>
      <c r="BL57" s="2627" t="n"/>
      <c r="BM57" s="2627" t="n"/>
      <c r="BN57" s="2627" t="n"/>
      <c r="BO57" s="2627" t="n"/>
      <c r="BP57" s="2627" t="n"/>
      <c r="BQ57" s="2627" t="n"/>
      <c r="BR57" s="2627" t="n"/>
      <c r="BS57" s="2627" t="n"/>
      <c r="BT57" s="2627" t="n"/>
      <c r="BU57" s="2628">
        <f>SUM(BI57:BT57)</f>
        <v/>
      </c>
    </row>
    <row r="58" outlineLevel="1">
      <c r="A58" s="1470" t="n"/>
      <c r="B58" s="1456" t="inlineStr">
        <is>
          <t>감가상각비</t>
        </is>
      </c>
      <c r="C58" s="1456" t="inlineStr">
        <is>
          <t>기타</t>
        </is>
      </c>
      <c r="D58" s="2625" t="n"/>
      <c r="E58" s="2625" t="n"/>
      <c r="F58" s="2625" t="n"/>
      <c r="G58" s="2625" t="n"/>
      <c r="H58" s="2625" t="n">
        <v>7359114</v>
      </c>
      <c r="I58" s="2625" t="n">
        <v>22830345</v>
      </c>
      <c r="J58" s="2625" t="n">
        <v>17287302</v>
      </c>
      <c r="K58" s="2625" t="n">
        <v>5670801</v>
      </c>
      <c r="L58" s="2625" t="n">
        <v>5914284</v>
      </c>
      <c r="M58" s="2625" t="n">
        <v>4739400</v>
      </c>
      <c r="N58" s="2625" t="n">
        <v>4739400</v>
      </c>
      <c r="O58" s="2625" t="n">
        <v>4740057</v>
      </c>
      <c r="P58" s="2626">
        <f>SUM(D58:O58)</f>
        <v/>
      </c>
      <c r="Q58" s="1466" t="n"/>
      <c r="R58" s="1436" t="n"/>
      <c r="S58" s="2625" t="n">
        <v>4739400</v>
      </c>
      <c r="T58" s="2625" t="n">
        <v>4739400</v>
      </c>
      <c r="U58" s="2625" t="n">
        <v>4739400</v>
      </c>
      <c r="V58" s="2625" t="n">
        <v>4739400</v>
      </c>
      <c r="W58" s="2633" t="n"/>
      <c r="X58" s="2633" t="n"/>
      <c r="Y58" s="2633" t="n"/>
      <c r="Z58" s="2633" t="n"/>
      <c r="AA58" s="2633" t="n"/>
      <c r="AB58" s="2633" t="n"/>
      <c r="AC58" s="2633" t="n"/>
      <c r="AD58" s="2633" t="n"/>
      <c r="AE58" s="2626">
        <f>SUM(S58:AD58)</f>
        <v/>
      </c>
      <c r="AF58" s="1466" t="n"/>
      <c r="AG58" s="2633" t="n"/>
      <c r="AH58" s="2633" t="n"/>
      <c r="AI58" s="2633" t="n">
        <v>0</v>
      </c>
      <c r="AJ58" s="2633" t="n">
        <v>0</v>
      </c>
      <c r="AK58" s="2633" t="n">
        <v>0</v>
      </c>
      <c r="AL58" s="2633" t="n">
        <v>0</v>
      </c>
      <c r="AM58" s="2633" t="n"/>
      <c r="AN58" s="2633" t="n"/>
      <c r="AO58" s="2633" t="n"/>
      <c r="AP58" s="2633" t="n"/>
      <c r="AQ58" s="2633" t="n"/>
      <c r="AR58" s="2633" t="n"/>
      <c r="AS58" s="2626">
        <f>SUM(AG58:AR58)</f>
        <v/>
      </c>
      <c r="AU58" s="2633" t="n"/>
      <c r="AV58" s="2633" t="n"/>
      <c r="AW58" s="2633" t="n"/>
      <c r="AX58" s="2633" t="n"/>
      <c r="AY58" s="2633" t="n"/>
      <c r="AZ58" s="2633" t="n"/>
      <c r="BA58" s="2633" t="n"/>
      <c r="BB58" s="2633" t="n"/>
      <c r="BC58" s="2633" t="n"/>
      <c r="BD58" s="2633" t="n"/>
      <c r="BE58" s="2633" t="n"/>
      <c r="BF58" s="2627" t="n"/>
      <c r="BG58" s="2628">
        <f>SUM(AU58:BF58)</f>
        <v/>
      </c>
      <c r="BI58" s="2627" t="n"/>
      <c r="BJ58" s="2627" t="n"/>
      <c r="BK58" s="2627" t="n"/>
      <c r="BL58" s="2627" t="n"/>
      <c r="BM58" s="2627" t="n"/>
      <c r="BN58" s="2627" t="n"/>
      <c r="BO58" s="2627" t="n"/>
      <c r="BP58" s="2627" t="n"/>
      <c r="BQ58" s="2627" t="n"/>
      <c r="BR58" s="2627" t="n"/>
      <c r="BS58" s="2627" t="n"/>
      <c r="BT58" s="2627" t="n"/>
      <c r="BU58" s="2628">
        <f>SUM(BI58:BT58)</f>
        <v/>
      </c>
    </row>
    <row r="59" outlineLevel="1">
      <c r="A59" s="1470" t="n"/>
      <c r="B59" s="1456" t="inlineStr">
        <is>
          <t>여비교통비</t>
        </is>
      </c>
      <c r="C59" s="1456" t="inlineStr">
        <is>
          <t>인건비 등</t>
        </is>
      </c>
      <c r="D59" s="2625" t="n"/>
      <c r="E59" s="2625" t="n"/>
      <c r="F59" s="2625" t="n"/>
      <c r="G59" s="2625" t="n"/>
      <c r="H59" s="2625" t="n">
        <v>1309021</v>
      </c>
      <c r="I59" s="2625" t="n">
        <v>2591149</v>
      </c>
      <c r="J59" s="2625" t="n">
        <v>1685530</v>
      </c>
      <c r="K59" s="2625" t="n">
        <v>1072800</v>
      </c>
      <c r="L59" s="2625" t="n">
        <v>2799130</v>
      </c>
      <c r="M59" s="2625" t="n">
        <v>796500</v>
      </c>
      <c r="N59" s="2625" t="n">
        <v>1318060</v>
      </c>
      <c r="O59" s="2625" t="n">
        <v>1552060</v>
      </c>
      <c r="P59" s="2626">
        <f>SUM(D59:O59)</f>
        <v/>
      </c>
      <c r="Q59" s="1464" t="inlineStr">
        <is>
          <t>실적평균</t>
        </is>
      </c>
      <c r="R59" s="1436" t="n"/>
      <c r="S59" s="2625" t="n">
        <v>499900</v>
      </c>
      <c r="T59" s="2625" t="n">
        <v>988520</v>
      </c>
      <c r="U59" s="2625" t="n">
        <v>1287300</v>
      </c>
      <c r="V59" s="2625" t="n">
        <v>1091840</v>
      </c>
      <c r="W59" s="2633" t="n"/>
      <c r="X59" s="2633" t="n"/>
      <c r="Y59" s="2633" t="n"/>
      <c r="Z59" s="2633" t="n"/>
      <c r="AA59" s="2633" t="n"/>
      <c r="AB59" s="2633" t="n"/>
      <c r="AC59" s="2633" t="n"/>
      <c r="AD59" s="2633" t="n"/>
      <c r="AE59" s="2626">
        <f>SUM(S59:AD59)</f>
        <v/>
      </c>
      <c r="AF59" s="1464" t="n"/>
      <c r="AG59" s="2633" t="n"/>
      <c r="AH59" s="2633" t="n"/>
      <c r="AI59" s="2633" t="n">
        <v>0</v>
      </c>
      <c r="AJ59" s="2633" t="n">
        <v>0</v>
      </c>
      <c r="AK59" s="2633" t="n">
        <v>0</v>
      </c>
      <c r="AL59" s="2633" t="n">
        <v>0</v>
      </c>
      <c r="AM59" s="2633" t="n"/>
      <c r="AN59" s="2633" t="n"/>
      <c r="AO59" s="2633" t="n"/>
      <c r="AP59" s="2633" t="n"/>
      <c r="AQ59" s="2633" t="n"/>
      <c r="AR59" s="2633" t="n"/>
      <c r="AS59" s="2626">
        <f>SUM(AG59:AR59)</f>
        <v/>
      </c>
      <c r="AU59" s="2633" t="n"/>
      <c r="AV59" s="2633" t="n"/>
      <c r="AW59" s="2633" t="n"/>
      <c r="AX59" s="2633" t="n"/>
      <c r="AY59" s="2633" t="n"/>
      <c r="AZ59" s="2633" t="n"/>
      <c r="BA59" s="2633" t="n"/>
      <c r="BB59" s="2633" t="n"/>
      <c r="BC59" s="2633" t="n"/>
      <c r="BD59" s="2633" t="n"/>
      <c r="BE59" s="2633" t="n"/>
      <c r="BF59" s="2627" t="n"/>
      <c r="BG59" s="2628">
        <f>SUM(AU59:BF59)</f>
        <v/>
      </c>
      <c r="BI59" s="2627" t="n"/>
      <c r="BJ59" s="2627" t="n"/>
      <c r="BK59" s="2627" t="n"/>
      <c r="BL59" s="2627" t="n"/>
      <c r="BM59" s="2627" t="n"/>
      <c r="BN59" s="2627" t="n"/>
      <c r="BO59" s="2627" t="n"/>
      <c r="BP59" s="2627" t="n"/>
      <c r="BQ59" s="2627" t="n"/>
      <c r="BR59" s="2627" t="n"/>
      <c r="BS59" s="2627" t="n"/>
      <c r="BT59" s="2627" t="n"/>
      <c r="BU59" s="2628">
        <f>SUM(BI59:BT59)</f>
        <v/>
      </c>
    </row>
    <row r="60" outlineLevel="1">
      <c r="A60" s="1470" t="n"/>
      <c r="B60" s="1456" t="inlineStr">
        <is>
          <t>접대비</t>
        </is>
      </c>
      <c r="C60" s="1456" t="inlineStr">
        <is>
          <t>기타</t>
        </is>
      </c>
      <c r="D60" s="2625" t="n"/>
      <c r="E60" s="2625" t="n"/>
      <c r="F60" s="2625" t="n"/>
      <c r="G60" s="2625" t="n"/>
      <c r="H60" s="2625" t="n">
        <v>0</v>
      </c>
      <c r="I60" s="2625" t="n">
        <v>0</v>
      </c>
      <c r="J60" s="2625" t="n">
        <v>0</v>
      </c>
      <c r="K60" s="2625" t="n">
        <v>0</v>
      </c>
      <c r="L60" s="2625" t="n">
        <v>0</v>
      </c>
      <c r="M60" s="2625" t="n">
        <v>0</v>
      </c>
      <c r="N60" s="2625" t="n">
        <v>0</v>
      </c>
      <c r="O60" s="2625" t="n">
        <v>0</v>
      </c>
      <c r="P60" s="2626">
        <f>SUM(D60:O60)</f>
        <v/>
      </c>
      <c r="Q60" s="1466" t="n"/>
      <c r="R60" s="1436" t="n"/>
      <c r="S60" s="2625" t="n">
        <v>0</v>
      </c>
      <c r="T60" s="2625" t="n">
        <v>0</v>
      </c>
      <c r="U60" s="2625" t="n">
        <v>0</v>
      </c>
      <c r="V60" s="2625" t="n">
        <v>0</v>
      </c>
      <c r="W60" s="2633" t="n"/>
      <c r="X60" s="2633" t="n"/>
      <c r="Y60" s="2633" t="n"/>
      <c r="Z60" s="2633" t="n"/>
      <c r="AA60" s="2633" t="n"/>
      <c r="AB60" s="2633" t="n"/>
      <c r="AC60" s="2633" t="n"/>
      <c r="AD60" s="2633" t="n"/>
      <c r="AE60" s="2626">
        <f>SUM(S60:AD60)</f>
        <v/>
      </c>
      <c r="AF60" s="1466" t="n"/>
      <c r="AG60" s="2633" t="n"/>
      <c r="AH60" s="2633" t="n"/>
      <c r="AI60" s="2633" t="n">
        <v>0</v>
      </c>
      <c r="AJ60" s="2633" t="n">
        <v>0</v>
      </c>
      <c r="AK60" s="2633" t="n">
        <v>0</v>
      </c>
      <c r="AL60" s="2633" t="n">
        <v>0</v>
      </c>
      <c r="AM60" s="2633" t="n"/>
      <c r="AN60" s="2633" t="n"/>
      <c r="AO60" s="2633" t="n"/>
      <c r="AP60" s="2633" t="n"/>
      <c r="AQ60" s="2633" t="n"/>
      <c r="AR60" s="2633" t="n"/>
      <c r="AS60" s="2626">
        <f>SUM(AG60:AR60)</f>
        <v/>
      </c>
      <c r="AU60" s="2633" t="n"/>
      <c r="AV60" s="2633" t="n"/>
      <c r="AW60" s="2633" t="n"/>
      <c r="AX60" s="2633" t="n"/>
      <c r="AY60" s="2633" t="n"/>
      <c r="AZ60" s="2633" t="n"/>
      <c r="BA60" s="2633" t="n"/>
      <c r="BB60" s="2633" t="n"/>
      <c r="BC60" s="2633" t="n"/>
      <c r="BD60" s="2633" t="n"/>
      <c r="BE60" s="2633" t="n"/>
      <c r="BF60" s="2627" t="n"/>
      <c r="BG60" s="2628">
        <f>SUM(AU60:BF60)</f>
        <v/>
      </c>
      <c r="BI60" s="2627" t="n"/>
      <c r="BJ60" s="2627" t="n"/>
      <c r="BK60" s="2627" t="n"/>
      <c r="BL60" s="2627" t="n"/>
      <c r="BM60" s="2627" t="n"/>
      <c r="BN60" s="2627" t="n"/>
      <c r="BO60" s="2627" t="n"/>
      <c r="BP60" s="2627" t="n"/>
      <c r="BQ60" s="2627" t="n"/>
      <c r="BR60" s="2627" t="n"/>
      <c r="BS60" s="2627" t="n"/>
      <c r="BT60" s="2627" t="n"/>
      <c r="BU60" s="2628">
        <f>SUM(BI60:BT60)</f>
        <v/>
      </c>
    </row>
    <row r="61" outlineLevel="1">
      <c r="A61" s="1470" t="n"/>
      <c r="B61" s="1456" t="inlineStr">
        <is>
          <t>통신비</t>
        </is>
      </c>
      <c r="C61" s="1456" t="inlineStr">
        <is>
          <t>기타</t>
        </is>
      </c>
      <c r="D61" s="2625" t="n"/>
      <c r="E61" s="2625" t="n"/>
      <c r="F61" s="2625" t="n"/>
      <c r="G61" s="2625" t="n"/>
      <c r="H61" s="2625" t="n">
        <v>100000</v>
      </c>
      <c r="I61" s="2625" t="n">
        <v>100000</v>
      </c>
      <c r="J61" s="2625" t="n">
        <v>100000</v>
      </c>
      <c r="K61" s="2625" t="n">
        <v>100000</v>
      </c>
      <c r="L61" s="2625" t="n">
        <v>135000</v>
      </c>
      <c r="M61" s="2625" t="n">
        <v>0</v>
      </c>
      <c r="N61" s="2625" t="n">
        <v>0</v>
      </c>
      <c r="O61" s="2625" t="n">
        <v>66800</v>
      </c>
      <c r="P61" s="2626">
        <f>SUM(D61:O61)</f>
        <v/>
      </c>
      <c r="Q61" s="1467" t="n"/>
      <c r="R61" s="1436" t="n"/>
      <c r="S61" s="2625" t="n">
        <v>0</v>
      </c>
      <c r="T61" s="2625" t="n">
        <v>0</v>
      </c>
      <c r="U61" s="2625" t="n">
        <v>0</v>
      </c>
      <c r="V61" s="2625" t="n">
        <v>0</v>
      </c>
      <c r="W61" s="2633" t="n"/>
      <c r="X61" s="2633" t="n"/>
      <c r="Y61" s="2633" t="n"/>
      <c r="Z61" s="2633" t="n"/>
      <c r="AA61" s="2633" t="n"/>
      <c r="AB61" s="2633" t="n"/>
      <c r="AC61" s="2633" t="n"/>
      <c r="AD61" s="2633" t="n"/>
      <c r="AE61" s="2626">
        <f>SUM(S61:AD61)</f>
        <v/>
      </c>
      <c r="AF61" s="1467" t="n"/>
      <c r="AG61" s="2633" t="n"/>
      <c r="AH61" s="2633" t="n"/>
      <c r="AI61" s="2633" t="n">
        <v>0</v>
      </c>
      <c r="AJ61" s="2633" t="n">
        <v>0</v>
      </c>
      <c r="AK61" s="2633" t="n">
        <v>0</v>
      </c>
      <c r="AL61" s="2633" t="n">
        <v>0</v>
      </c>
      <c r="AM61" s="2633" t="n"/>
      <c r="AN61" s="2633" t="n"/>
      <c r="AO61" s="2633" t="n"/>
      <c r="AP61" s="2633" t="n"/>
      <c r="AQ61" s="2633" t="n"/>
      <c r="AR61" s="2633" t="n"/>
      <c r="AS61" s="2626">
        <f>SUM(AG61:AR61)</f>
        <v/>
      </c>
      <c r="AU61" s="2633" t="n"/>
      <c r="AV61" s="2633" t="n"/>
      <c r="AW61" s="2633" t="n"/>
      <c r="AX61" s="2633" t="n"/>
      <c r="AY61" s="2633" t="n"/>
      <c r="AZ61" s="2633" t="n"/>
      <c r="BA61" s="2633" t="n"/>
      <c r="BB61" s="2633" t="n"/>
      <c r="BC61" s="2633" t="n"/>
      <c r="BD61" s="2633" t="n"/>
      <c r="BE61" s="2633" t="n"/>
      <c r="BF61" s="2627" t="n"/>
      <c r="BG61" s="2628">
        <f>SUM(AU61:BF61)</f>
        <v/>
      </c>
      <c r="BI61" s="2627" t="n"/>
      <c r="BJ61" s="2627" t="n"/>
      <c r="BK61" s="2627" t="n"/>
      <c r="BL61" s="2627" t="n"/>
      <c r="BM61" s="2627" t="n"/>
      <c r="BN61" s="2627" t="n"/>
      <c r="BO61" s="2627" t="n"/>
      <c r="BP61" s="2627" t="n"/>
      <c r="BQ61" s="2627" t="n"/>
      <c r="BR61" s="2627" t="n"/>
      <c r="BS61" s="2627" t="n"/>
      <c r="BT61" s="2627" t="n"/>
      <c r="BU61" s="2628">
        <f>SUM(BI61:BT61)</f>
        <v/>
      </c>
    </row>
    <row r="62" outlineLevel="1">
      <c r="A62" s="1470" t="n"/>
      <c r="B62" s="1456" t="inlineStr">
        <is>
          <t>수도광열비</t>
        </is>
      </c>
      <c r="C62" s="1456" t="inlineStr">
        <is>
          <t>기타</t>
        </is>
      </c>
      <c r="D62" s="2625" t="n"/>
      <c r="E62" s="2625" t="n"/>
      <c r="F62" s="2625" t="n"/>
      <c r="G62" s="2625" t="n"/>
      <c r="H62" s="2625" t="n">
        <v>0</v>
      </c>
      <c r="I62" s="2625" t="n">
        <v>0</v>
      </c>
      <c r="J62" s="2625" t="n">
        <v>0</v>
      </c>
      <c r="K62" s="2625" t="n">
        <v>0</v>
      </c>
      <c r="L62" s="2625" t="n">
        <v>0</v>
      </c>
      <c r="M62" s="2625" t="n">
        <v>0</v>
      </c>
      <c r="N62" s="2625" t="n">
        <v>0</v>
      </c>
      <c r="O62" s="2625" t="n">
        <v>0</v>
      </c>
      <c r="P62" s="2626">
        <f>SUM(D62:O62)</f>
        <v/>
      </c>
      <c r="Q62" s="1466" t="n"/>
      <c r="R62" s="1436" t="n"/>
      <c r="S62" s="2625" t="n">
        <v>0</v>
      </c>
      <c r="T62" s="2625" t="n">
        <v>0</v>
      </c>
      <c r="U62" s="2625" t="n">
        <v>0</v>
      </c>
      <c r="V62" s="2625" t="n">
        <v>0</v>
      </c>
      <c r="W62" s="2633" t="n"/>
      <c r="X62" s="2633" t="n"/>
      <c r="Y62" s="2633" t="n"/>
      <c r="Z62" s="2633" t="n"/>
      <c r="AA62" s="2633" t="n"/>
      <c r="AB62" s="2633" t="n"/>
      <c r="AC62" s="2633" t="n"/>
      <c r="AD62" s="2633" t="n"/>
      <c r="AE62" s="2626">
        <f>SUM(S62:AD62)</f>
        <v/>
      </c>
      <c r="AF62" s="1466" t="n"/>
      <c r="AG62" s="2633" t="n"/>
      <c r="AH62" s="2633" t="n"/>
      <c r="AI62" s="2633" t="n">
        <v>0</v>
      </c>
      <c r="AJ62" s="2633" t="n">
        <v>0</v>
      </c>
      <c r="AK62" s="2633" t="n">
        <v>0</v>
      </c>
      <c r="AL62" s="2633" t="n">
        <v>0</v>
      </c>
      <c r="AM62" s="2633" t="n"/>
      <c r="AN62" s="2633" t="n"/>
      <c r="AO62" s="2633" t="n"/>
      <c r="AP62" s="2633" t="n"/>
      <c r="AQ62" s="2633" t="n"/>
      <c r="AR62" s="2633" t="n"/>
      <c r="AS62" s="2626">
        <f>SUM(AG62:AR62)</f>
        <v/>
      </c>
      <c r="AU62" s="2633" t="n"/>
      <c r="AV62" s="2633" t="n"/>
      <c r="AW62" s="2633" t="n"/>
      <c r="AX62" s="2633" t="n"/>
      <c r="AY62" s="2633" t="n"/>
      <c r="AZ62" s="2633" t="n"/>
      <c r="BA62" s="2633" t="n"/>
      <c r="BB62" s="2633" t="n"/>
      <c r="BC62" s="2633" t="n"/>
      <c r="BD62" s="2633" t="n"/>
      <c r="BE62" s="2633" t="n"/>
      <c r="BF62" s="2627" t="n"/>
      <c r="BG62" s="2628">
        <f>SUM(AU62:BF62)</f>
        <v/>
      </c>
      <c r="BI62" s="2627" t="n"/>
      <c r="BJ62" s="2627" t="n"/>
      <c r="BK62" s="2627" t="n"/>
      <c r="BL62" s="2627" t="n"/>
      <c r="BM62" s="2627" t="n"/>
      <c r="BN62" s="2627" t="n"/>
      <c r="BO62" s="2627" t="n"/>
      <c r="BP62" s="2627" t="n"/>
      <c r="BQ62" s="2627" t="n"/>
      <c r="BR62" s="2627" t="n"/>
      <c r="BS62" s="2627" t="n"/>
      <c r="BT62" s="2627" t="n"/>
      <c r="BU62" s="2628">
        <f>SUM(BI62:BT62)</f>
        <v/>
      </c>
    </row>
    <row r="63" outlineLevel="1">
      <c r="A63" s="1470" t="n"/>
      <c r="B63" s="1456" t="inlineStr">
        <is>
          <t>세금과공과금</t>
        </is>
      </c>
      <c r="C63" s="1456" t="inlineStr">
        <is>
          <t>기타</t>
        </is>
      </c>
      <c r="D63" s="2625" t="n"/>
      <c r="E63" s="2625" t="n"/>
      <c r="F63" s="2625" t="n"/>
      <c r="G63" s="2625" t="n">
        <v>1429130</v>
      </c>
      <c r="H63" s="2625" t="n">
        <v>1893180</v>
      </c>
      <c r="I63" s="2625" t="n">
        <v>1963170</v>
      </c>
      <c r="J63" s="2625" t="n">
        <v>2308070</v>
      </c>
      <c r="K63" s="2625" t="n">
        <v>2627130</v>
      </c>
      <c r="L63" s="2625" t="n">
        <v>3086260</v>
      </c>
      <c r="M63" s="2625" t="n">
        <v>3197360</v>
      </c>
      <c r="N63" s="2625" t="n">
        <v>3908880</v>
      </c>
      <c r="O63" s="2625" t="n">
        <v>3927770</v>
      </c>
      <c r="P63" s="2626">
        <f>SUM(D63:O63)</f>
        <v/>
      </c>
      <c r="Q63" s="1466" t="inlineStr">
        <is>
          <t>전월기준</t>
        </is>
      </c>
      <c r="R63" s="1436" t="n"/>
      <c r="S63" s="2625" t="n">
        <v>3996940</v>
      </c>
      <c r="T63" s="2625" t="n">
        <v>4163220</v>
      </c>
      <c r="U63" s="2625" t="n">
        <v>4354840</v>
      </c>
      <c r="V63" s="2625" t="n">
        <v>4509790</v>
      </c>
      <c r="W63" s="2633" t="n"/>
      <c r="X63" s="2633" t="n"/>
      <c r="Y63" s="2633" t="n"/>
      <c r="Z63" s="2633" t="n"/>
      <c r="AA63" s="2633" t="n"/>
      <c r="AB63" s="2633" t="n"/>
      <c r="AC63" s="2633" t="n"/>
      <c r="AD63" s="2633" t="n"/>
      <c r="AE63" s="2626">
        <f>SUM(S63:AD63)</f>
        <v/>
      </c>
      <c r="AF63" s="1464" t="inlineStr">
        <is>
          <t>23년 2개월 평균</t>
        </is>
      </c>
      <c r="AG63" s="2633" t="n"/>
      <c r="AH63" s="2633" t="n"/>
      <c r="AI63" s="2633" t="n">
        <v>0</v>
      </c>
      <c r="AJ63" s="2633" t="n">
        <v>0</v>
      </c>
      <c r="AK63" s="2633" t="n">
        <v>0</v>
      </c>
      <c r="AL63" s="2633" t="n">
        <v>0</v>
      </c>
      <c r="AM63" s="2633" t="n"/>
      <c r="AN63" s="2633" t="n"/>
      <c r="AO63" s="2633" t="n"/>
      <c r="AP63" s="2633" t="n"/>
      <c r="AQ63" s="2633" t="n"/>
      <c r="AR63" s="2633" t="n"/>
      <c r="AS63" s="2626">
        <f>SUM(AG63:AR63)</f>
        <v/>
      </c>
      <c r="AU63" s="2633" t="n"/>
      <c r="AV63" s="2633" t="n"/>
      <c r="AW63" s="2633" t="n"/>
      <c r="AX63" s="2633" t="n"/>
      <c r="AY63" s="2633" t="n"/>
      <c r="AZ63" s="2633" t="n"/>
      <c r="BA63" s="2633" t="n"/>
      <c r="BB63" s="2633" t="n"/>
      <c r="BC63" s="2633" t="n"/>
      <c r="BD63" s="2633" t="n"/>
      <c r="BE63" s="2633" t="n"/>
      <c r="BF63" s="2627" t="n"/>
      <c r="BG63" s="2628">
        <f>SUM(AU63:BF63)</f>
        <v/>
      </c>
      <c r="BI63" s="2627" t="n"/>
      <c r="BJ63" s="2627" t="n"/>
      <c r="BK63" s="2627" t="n"/>
      <c r="BL63" s="2627" t="n"/>
      <c r="BM63" s="2627" t="n"/>
      <c r="BN63" s="2627" t="n"/>
      <c r="BO63" s="2627" t="n"/>
      <c r="BP63" s="2627" t="n"/>
      <c r="BQ63" s="2627" t="n"/>
      <c r="BR63" s="2627" t="n"/>
      <c r="BS63" s="2627" t="n"/>
      <c r="BT63" s="2627" t="n"/>
      <c r="BU63" s="2628">
        <f>SUM(BI63:BT63)</f>
        <v/>
      </c>
    </row>
    <row r="64" outlineLevel="1">
      <c r="A64" s="1470" t="n"/>
      <c r="B64" s="1456" t="inlineStr">
        <is>
          <t>지급임차료</t>
        </is>
      </c>
      <c r="C64" s="1456" t="inlineStr">
        <is>
          <t>기타</t>
        </is>
      </c>
      <c r="D64" s="2625" t="n"/>
      <c r="E64" s="2625" t="n"/>
      <c r="F64" s="2625" t="n"/>
      <c r="G64" s="2625" t="n"/>
      <c r="H64" s="2625" t="n">
        <v>2419094</v>
      </c>
      <c r="I64" s="2625" t="n">
        <v>2907717</v>
      </c>
      <c r="J64" s="2625" t="n">
        <v>3356127</v>
      </c>
      <c r="K64" s="2625" t="n">
        <v>9908613</v>
      </c>
      <c r="L64" s="2625" t="n">
        <v>17260346</v>
      </c>
      <c r="M64" s="2625" t="n">
        <v>26994171</v>
      </c>
      <c r="N64" s="2625" t="n">
        <v>30853200</v>
      </c>
      <c r="O64" s="2625" t="n">
        <v>30978790</v>
      </c>
      <c r="P64" s="2626">
        <f>SUM(D64:O64)</f>
        <v/>
      </c>
      <c r="Q64" s="1466" t="inlineStr">
        <is>
          <t>전월기준</t>
        </is>
      </c>
      <c r="R64" s="1436" t="n"/>
      <c r="S64" s="2625" t="n">
        <v>28911096</v>
      </c>
      <c r="T64" s="2625" t="n">
        <v>17710851</v>
      </c>
      <c r="U64" s="2625" t="n">
        <v>17023346</v>
      </c>
      <c r="V64" s="2625" t="n">
        <v>17258118</v>
      </c>
      <c r="W64" s="2633" t="n"/>
      <c r="X64" s="2633" t="n"/>
      <c r="Y64" s="2633" t="n"/>
      <c r="Z64" s="2633" t="n"/>
      <c r="AA64" s="2633" t="n"/>
      <c r="AB64" s="2633" t="n"/>
      <c r="AC64" s="2633" t="n"/>
      <c r="AD64" s="2633" t="n"/>
      <c r="AE64" s="2626">
        <f>SUM(S64:AD64)</f>
        <v/>
      </c>
      <c r="AF64" s="1464" t="inlineStr">
        <is>
          <t>23년 2개월 평균</t>
        </is>
      </c>
      <c r="AG64" s="2633" t="n"/>
      <c r="AH64" s="2633" t="n"/>
      <c r="AI64" s="2633" t="n">
        <v>0</v>
      </c>
      <c r="AJ64" s="2633" t="n">
        <v>0</v>
      </c>
      <c r="AK64" s="2633" t="n">
        <v>0</v>
      </c>
      <c r="AL64" s="2633" t="n">
        <v>0</v>
      </c>
      <c r="AM64" s="2633" t="n"/>
      <c r="AN64" s="2633" t="n"/>
      <c r="AO64" s="2633" t="n"/>
      <c r="AP64" s="2633" t="n"/>
      <c r="AQ64" s="2633" t="n"/>
      <c r="AR64" s="2633" t="n"/>
      <c r="AS64" s="2626">
        <f>SUM(AG64:AR64)</f>
        <v/>
      </c>
      <c r="AU64" s="2633" t="n"/>
      <c r="AV64" s="2633" t="n"/>
      <c r="AW64" s="2633" t="n"/>
      <c r="AX64" s="2633" t="n"/>
      <c r="AY64" s="2633" t="n"/>
      <c r="AZ64" s="2633" t="n"/>
      <c r="BA64" s="2633" t="n"/>
      <c r="BB64" s="2633" t="n"/>
      <c r="BC64" s="2633" t="n"/>
      <c r="BD64" s="2633" t="n"/>
      <c r="BE64" s="2633" t="n"/>
      <c r="BF64" s="2627" t="n"/>
      <c r="BG64" s="2628">
        <f>SUM(AU64:BF64)</f>
        <v/>
      </c>
      <c r="BI64" s="2627" t="n"/>
      <c r="BJ64" s="2627" t="n"/>
      <c r="BK64" s="2627" t="n"/>
      <c r="BL64" s="2627" t="n"/>
      <c r="BM64" s="2627" t="n"/>
      <c r="BN64" s="2627" t="n"/>
      <c r="BO64" s="2627" t="n"/>
      <c r="BP64" s="2627" t="n"/>
      <c r="BQ64" s="2627" t="n"/>
      <c r="BR64" s="2627" t="n"/>
      <c r="BS64" s="2627" t="n"/>
      <c r="BT64" s="2627" t="n"/>
      <c r="BU64" s="2628">
        <f>SUM(BI64:BT64)</f>
        <v/>
      </c>
    </row>
    <row r="65" outlineLevel="1">
      <c r="A65" s="1470" t="n"/>
      <c r="B65" s="1456" t="inlineStr">
        <is>
          <t>수선비</t>
        </is>
      </c>
      <c r="C65" s="1456" t="inlineStr">
        <is>
          <t>기타</t>
        </is>
      </c>
      <c r="D65" s="2625" t="n"/>
      <c r="E65" s="2625" t="n"/>
      <c r="F65" s="2625" t="n"/>
      <c r="G65" s="2625" t="n"/>
      <c r="H65" s="2625" t="n">
        <v>0</v>
      </c>
      <c r="I65" s="2625" t="n">
        <v>0</v>
      </c>
      <c r="J65" s="2625" t="n">
        <v>0</v>
      </c>
      <c r="K65" s="2625" t="n">
        <v>0</v>
      </c>
      <c r="L65" s="2625" t="n">
        <v>0</v>
      </c>
      <c r="M65" s="2625" t="n">
        <v>0</v>
      </c>
      <c r="N65" s="2625" t="n">
        <v>0</v>
      </c>
      <c r="O65" s="2625" t="n">
        <v>0</v>
      </c>
      <c r="P65" s="2626">
        <f>SUM(D65:O65)</f>
        <v/>
      </c>
      <c r="Q65" s="1466" t="n"/>
      <c r="R65" s="1436" t="n"/>
      <c r="S65" s="2625" t="n">
        <v>0</v>
      </c>
      <c r="T65" s="2625" t="n">
        <v>0</v>
      </c>
      <c r="U65" s="2625" t="n">
        <v>0</v>
      </c>
      <c r="V65" s="2625" t="n">
        <v>0</v>
      </c>
      <c r="W65" s="2633" t="n"/>
      <c r="X65" s="2633" t="n"/>
      <c r="Y65" s="2633" t="n"/>
      <c r="Z65" s="2633" t="n"/>
      <c r="AA65" s="2633" t="n"/>
      <c r="AB65" s="2633" t="n"/>
      <c r="AC65" s="2633" t="n"/>
      <c r="AD65" s="2633" t="n"/>
      <c r="AE65" s="2626">
        <f>SUM(S65:AD65)</f>
        <v/>
      </c>
      <c r="AF65" s="1466" t="n"/>
      <c r="AG65" s="2633" t="n"/>
      <c r="AH65" s="2633" t="n"/>
      <c r="AI65" s="2633" t="n">
        <v>0</v>
      </c>
      <c r="AJ65" s="2633" t="n">
        <v>0</v>
      </c>
      <c r="AK65" s="2633" t="n">
        <v>0</v>
      </c>
      <c r="AL65" s="2633" t="n">
        <v>0</v>
      </c>
      <c r="AM65" s="2633" t="n"/>
      <c r="AN65" s="2633" t="n"/>
      <c r="AO65" s="2633" t="n"/>
      <c r="AP65" s="2633" t="n"/>
      <c r="AQ65" s="2633" t="n"/>
      <c r="AR65" s="2633" t="n"/>
      <c r="AS65" s="2626">
        <f>SUM(AG65:AR65)</f>
        <v/>
      </c>
      <c r="AU65" s="2633" t="n"/>
      <c r="AV65" s="2633" t="n"/>
      <c r="AW65" s="2633" t="n"/>
      <c r="AX65" s="2633" t="n"/>
      <c r="AY65" s="2633" t="n"/>
      <c r="AZ65" s="2633" t="n"/>
      <c r="BA65" s="2633" t="n"/>
      <c r="BB65" s="2633" t="n"/>
      <c r="BC65" s="2633" t="n"/>
      <c r="BD65" s="2633" t="n"/>
      <c r="BE65" s="2633" t="n"/>
      <c r="BF65" s="2627" t="n"/>
      <c r="BG65" s="2628">
        <f>SUM(AU65:BF65)</f>
        <v/>
      </c>
      <c r="BI65" s="2627" t="n"/>
      <c r="BJ65" s="2627" t="n"/>
      <c r="BK65" s="2627" t="n"/>
      <c r="BL65" s="2627" t="n"/>
      <c r="BM65" s="2627" t="n"/>
      <c r="BN65" s="2627" t="n"/>
      <c r="BO65" s="2627" t="n"/>
      <c r="BP65" s="2627" t="n"/>
      <c r="BQ65" s="2627" t="n"/>
      <c r="BR65" s="2627" t="n"/>
      <c r="BS65" s="2627" t="n"/>
      <c r="BT65" s="2627" t="n"/>
      <c r="BU65" s="2628">
        <f>SUM(BI65:BT65)</f>
        <v/>
      </c>
    </row>
    <row r="66" outlineLevel="1">
      <c r="A66" s="1470" t="n"/>
      <c r="B66" s="1456" t="inlineStr">
        <is>
          <t>보험료</t>
        </is>
      </c>
      <c r="C66" s="1456" t="inlineStr">
        <is>
          <t>기타</t>
        </is>
      </c>
      <c r="D66" s="2625" t="n"/>
      <c r="E66" s="2625" t="n"/>
      <c r="F66" s="2625" t="n"/>
      <c r="G66" s="2625" t="n"/>
      <c r="H66" s="2625" t="n">
        <v>1228440</v>
      </c>
      <c r="I66" s="2625" t="n">
        <v>0</v>
      </c>
      <c r="J66" s="2625" t="n">
        <v>0</v>
      </c>
      <c r="K66" s="2625" t="n">
        <v>0</v>
      </c>
      <c r="L66" s="2625" t="n">
        <v>0</v>
      </c>
      <c r="M66" s="2625" t="n">
        <v>0</v>
      </c>
      <c r="N66" s="2625" t="n">
        <v>0</v>
      </c>
      <c r="O66" s="2625" t="n">
        <v>0</v>
      </c>
      <c r="P66" s="2626">
        <f>SUM(D66:O66)</f>
        <v/>
      </c>
      <c r="Q66" s="1466" t="n"/>
      <c r="R66" s="1436" t="n"/>
      <c r="S66" s="2625" t="n">
        <v>0</v>
      </c>
      <c r="T66" s="2625" t="n">
        <v>0</v>
      </c>
      <c r="U66" s="2625" t="n">
        <v>0</v>
      </c>
      <c r="V66" s="2625" t="n">
        <v>0</v>
      </c>
      <c r="W66" s="2633" t="n"/>
      <c r="X66" s="2633" t="n"/>
      <c r="Y66" s="2633" t="n"/>
      <c r="Z66" s="2633" t="n"/>
      <c r="AA66" s="2633" t="n"/>
      <c r="AB66" s="2633" t="n"/>
      <c r="AC66" s="2633" t="n"/>
      <c r="AD66" s="2633" t="n"/>
      <c r="AE66" s="2626">
        <f>SUM(S66:AD66)</f>
        <v/>
      </c>
      <c r="AF66" s="1466" t="n"/>
      <c r="AG66" s="2633" t="n"/>
      <c r="AH66" s="2633" t="n"/>
      <c r="AI66" s="2633" t="n">
        <v>0</v>
      </c>
      <c r="AJ66" s="2633" t="n">
        <v>0</v>
      </c>
      <c r="AK66" s="2633" t="n">
        <v>0</v>
      </c>
      <c r="AL66" s="2633" t="n">
        <v>0</v>
      </c>
      <c r="AM66" s="2633" t="n"/>
      <c r="AN66" s="2633" t="n"/>
      <c r="AO66" s="2633" t="n"/>
      <c r="AP66" s="2633" t="n"/>
      <c r="AQ66" s="2633" t="n"/>
      <c r="AR66" s="2633" t="n"/>
      <c r="AS66" s="2626">
        <f>SUM(AG66:AR66)</f>
        <v/>
      </c>
      <c r="AU66" s="2633" t="n"/>
      <c r="AV66" s="2633" t="n"/>
      <c r="AW66" s="2633" t="n"/>
      <c r="AX66" s="2633" t="n"/>
      <c r="AY66" s="2633" t="n"/>
      <c r="AZ66" s="2633" t="n"/>
      <c r="BA66" s="2633" t="n"/>
      <c r="BB66" s="2633" t="n"/>
      <c r="BC66" s="2633" t="n"/>
      <c r="BD66" s="2633" t="n"/>
      <c r="BE66" s="2633" t="n"/>
      <c r="BF66" s="2627" t="n"/>
      <c r="BG66" s="2628">
        <f>SUM(AU66:BF66)</f>
        <v/>
      </c>
      <c r="BI66" s="2627" t="n"/>
      <c r="BJ66" s="2627" t="n"/>
      <c r="BK66" s="2627" t="n"/>
      <c r="BL66" s="2627" t="n"/>
      <c r="BM66" s="2627" t="n"/>
      <c r="BN66" s="2627" t="n"/>
      <c r="BO66" s="2627" t="n"/>
      <c r="BP66" s="2627" t="n"/>
      <c r="BQ66" s="2627" t="n"/>
      <c r="BR66" s="2627" t="n"/>
      <c r="BS66" s="2627" t="n"/>
      <c r="BT66" s="2627" t="n"/>
      <c r="BU66" s="2628">
        <f>SUM(BI66:BT66)</f>
        <v/>
      </c>
    </row>
    <row r="67" outlineLevel="1">
      <c r="A67" s="1470" t="n"/>
      <c r="B67" s="1456" t="inlineStr">
        <is>
          <t>차량유지비</t>
        </is>
      </c>
      <c r="C67" s="1456" t="inlineStr">
        <is>
          <t>기타</t>
        </is>
      </c>
      <c r="D67" s="2625" t="n"/>
      <c r="E67" s="2625" t="n"/>
      <c r="F67" s="2625" t="n"/>
      <c r="G67" s="2625" t="n"/>
      <c r="H67" s="2625" t="n">
        <v>0</v>
      </c>
      <c r="I67" s="2625" t="n">
        <v>0</v>
      </c>
      <c r="J67" s="2625" t="n">
        <v>0</v>
      </c>
      <c r="K67" s="2625" t="n">
        <v>0</v>
      </c>
      <c r="L67" s="2625" t="n">
        <v>0</v>
      </c>
      <c r="M67" s="2625" t="n">
        <v>0</v>
      </c>
      <c r="N67" s="2625" t="n">
        <v>0</v>
      </c>
      <c r="O67" s="2625" t="n">
        <v>0</v>
      </c>
      <c r="P67" s="2626">
        <f>SUM(D67:O67)</f>
        <v/>
      </c>
      <c r="Q67" s="1466" t="n"/>
      <c r="R67" s="1436" t="n"/>
      <c r="S67" s="2625" t="n">
        <v>0</v>
      </c>
      <c r="T67" s="2625" t="n">
        <v>0</v>
      </c>
      <c r="U67" s="2625" t="n">
        <v>0</v>
      </c>
      <c r="V67" s="2625" t="n">
        <v>0</v>
      </c>
      <c r="W67" s="2633" t="n"/>
      <c r="X67" s="2633" t="n"/>
      <c r="Y67" s="2633" t="n"/>
      <c r="Z67" s="2633" t="n"/>
      <c r="AA67" s="2633" t="n"/>
      <c r="AB67" s="2633" t="n"/>
      <c r="AC67" s="2633" t="n"/>
      <c r="AD67" s="2633" t="n"/>
      <c r="AE67" s="2626">
        <f>SUM(S67:AD67)</f>
        <v/>
      </c>
      <c r="AF67" s="1466" t="n"/>
      <c r="AG67" s="2633" t="n"/>
      <c r="AH67" s="2633" t="n"/>
      <c r="AI67" s="2633" t="n">
        <v>0</v>
      </c>
      <c r="AJ67" s="2633" t="n">
        <v>0</v>
      </c>
      <c r="AK67" s="2633" t="n">
        <v>0</v>
      </c>
      <c r="AL67" s="2633" t="n">
        <v>0</v>
      </c>
      <c r="AM67" s="2633" t="n"/>
      <c r="AN67" s="2633" t="n"/>
      <c r="AO67" s="2633" t="n"/>
      <c r="AP67" s="2633" t="n"/>
      <c r="AQ67" s="2633" t="n"/>
      <c r="AR67" s="2633" t="n"/>
      <c r="AS67" s="2626">
        <f>SUM(AG67:AR67)</f>
        <v/>
      </c>
      <c r="AU67" s="2633" t="n"/>
      <c r="AV67" s="2633" t="n"/>
      <c r="AW67" s="2633" t="n"/>
      <c r="AX67" s="2633" t="n"/>
      <c r="AY67" s="2633" t="n"/>
      <c r="AZ67" s="2633" t="n"/>
      <c r="BA67" s="2633" t="n"/>
      <c r="BB67" s="2633" t="n"/>
      <c r="BC67" s="2633" t="n"/>
      <c r="BD67" s="2633" t="n"/>
      <c r="BE67" s="2633" t="n"/>
      <c r="BF67" s="2627" t="n"/>
      <c r="BG67" s="2628">
        <f>SUM(AU67:BF67)</f>
        <v/>
      </c>
      <c r="BI67" s="2627" t="n"/>
      <c r="BJ67" s="2627" t="n"/>
      <c r="BK67" s="2627" t="n"/>
      <c r="BL67" s="2627" t="n"/>
      <c r="BM67" s="2627" t="n"/>
      <c r="BN67" s="2627" t="n"/>
      <c r="BO67" s="2627" t="n"/>
      <c r="BP67" s="2627" t="n"/>
      <c r="BQ67" s="2627" t="n"/>
      <c r="BR67" s="2627" t="n"/>
      <c r="BS67" s="2627" t="n"/>
      <c r="BT67" s="2627" t="n"/>
      <c r="BU67" s="2628">
        <f>SUM(BI67:BT67)</f>
        <v/>
      </c>
    </row>
    <row r="68" outlineLevel="1">
      <c r="A68" s="1470" t="n"/>
      <c r="B68" s="1456" t="inlineStr">
        <is>
          <t>운반비</t>
        </is>
      </c>
      <c r="C68" s="1456" t="inlineStr">
        <is>
          <t>기타</t>
        </is>
      </c>
      <c r="D68" s="2625" t="n"/>
      <c r="E68" s="2625" t="n"/>
      <c r="F68" s="2625" t="n"/>
      <c r="G68" s="2625" t="n"/>
      <c r="H68" s="2625" t="n">
        <v>0</v>
      </c>
      <c r="I68" s="2625" t="n">
        <v>0</v>
      </c>
      <c r="J68" s="2625" t="n">
        <v>0</v>
      </c>
      <c r="K68" s="2625" t="n">
        <v>0</v>
      </c>
      <c r="L68" s="2625" t="n">
        <v>0</v>
      </c>
      <c r="M68" s="2625" t="n">
        <v>0</v>
      </c>
      <c r="N68" s="2625" t="n">
        <v>0</v>
      </c>
      <c r="O68" s="2625" t="n">
        <v>0</v>
      </c>
      <c r="P68" s="2626">
        <f>SUM(D68:O68)</f>
        <v/>
      </c>
      <c r="Q68" s="1466" t="n"/>
      <c r="R68" s="1436" t="n"/>
      <c r="S68" s="2625" t="n">
        <v>0</v>
      </c>
      <c r="T68" s="2625" t="n">
        <v>0</v>
      </c>
      <c r="U68" s="2625" t="n">
        <v>0</v>
      </c>
      <c r="V68" s="2625" t="n">
        <v>0</v>
      </c>
      <c r="W68" s="2633" t="n"/>
      <c r="X68" s="2633" t="n"/>
      <c r="Y68" s="2633" t="n"/>
      <c r="Z68" s="2633" t="n"/>
      <c r="AA68" s="2633" t="n"/>
      <c r="AB68" s="2633" t="n"/>
      <c r="AC68" s="2633" t="n"/>
      <c r="AD68" s="2633" t="n"/>
      <c r="AE68" s="2626">
        <f>SUM(S68:AD68)</f>
        <v/>
      </c>
      <c r="AF68" s="1466" t="n"/>
      <c r="AG68" s="2633" t="n"/>
      <c r="AH68" s="2633" t="n"/>
      <c r="AI68" s="2633" t="n">
        <v>0</v>
      </c>
      <c r="AJ68" s="2633" t="n">
        <v>0</v>
      </c>
      <c r="AK68" s="2633" t="n">
        <v>0</v>
      </c>
      <c r="AL68" s="2633" t="n">
        <v>0</v>
      </c>
      <c r="AM68" s="2633" t="n"/>
      <c r="AN68" s="2633" t="n"/>
      <c r="AO68" s="2633" t="n"/>
      <c r="AP68" s="2633" t="n"/>
      <c r="AQ68" s="2633" t="n"/>
      <c r="AR68" s="2633" t="n"/>
      <c r="AS68" s="2626">
        <f>SUM(AG68:AR68)</f>
        <v/>
      </c>
      <c r="AU68" s="2633" t="n"/>
      <c r="AV68" s="2633" t="n"/>
      <c r="AW68" s="2633" t="n"/>
      <c r="AX68" s="2633" t="n"/>
      <c r="AY68" s="2633" t="n"/>
      <c r="AZ68" s="2633" t="n"/>
      <c r="BA68" s="2633" t="n"/>
      <c r="BB68" s="2633" t="n"/>
      <c r="BC68" s="2633" t="n"/>
      <c r="BD68" s="2633" t="n"/>
      <c r="BE68" s="2633" t="n"/>
      <c r="BF68" s="2627" t="n"/>
      <c r="BG68" s="2628">
        <f>SUM(AU68:BF68)</f>
        <v/>
      </c>
      <c r="BI68" s="2627" t="n"/>
      <c r="BJ68" s="2627" t="n"/>
      <c r="BK68" s="2627" t="n"/>
      <c r="BL68" s="2627" t="n"/>
      <c r="BM68" s="2627" t="n"/>
      <c r="BN68" s="2627" t="n"/>
      <c r="BO68" s="2627" t="n"/>
      <c r="BP68" s="2627" t="n"/>
      <c r="BQ68" s="2627" t="n"/>
      <c r="BR68" s="2627" t="n"/>
      <c r="BS68" s="2627" t="n"/>
      <c r="BT68" s="2627" t="n"/>
      <c r="BU68" s="2628">
        <f>SUM(BI68:BT68)</f>
        <v/>
      </c>
    </row>
    <row r="69" outlineLevel="1">
      <c r="A69" s="1470" t="n"/>
      <c r="B69" s="1456" t="inlineStr">
        <is>
          <t>경상연구개발비</t>
        </is>
      </c>
      <c r="C69" s="1456" t="inlineStr">
        <is>
          <t>인건비 등</t>
        </is>
      </c>
      <c r="D69" s="2625" t="n"/>
      <c r="E69" s="2625" t="n"/>
      <c r="F69" s="2625" t="n"/>
      <c r="G69" s="2625" t="n"/>
      <c r="H69" s="2625" t="n">
        <v>0</v>
      </c>
      <c r="I69" s="2625" t="n">
        <v>0</v>
      </c>
      <c r="J69" s="2625" t="n">
        <v>0</v>
      </c>
      <c r="K69" s="2625" t="n">
        <v>0</v>
      </c>
      <c r="L69" s="2625" t="n">
        <v>0</v>
      </c>
      <c r="M69" s="2625" t="n">
        <v>0</v>
      </c>
      <c r="N69" s="2625" t="n">
        <v>0</v>
      </c>
      <c r="O69" s="2625" t="n">
        <v>0</v>
      </c>
      <c r="P69" s="2626">
        <f>SUM(D69:O69)</f>
        <v/>
      </c>
      <c r="Q69" s="1466" t="n"/>
      <c r="R69" s="1436" t="n"/>
      <c r="S69" s="2625" t="n">
        <v>0</v>
      </c>
      <c r="T69" s="2625" t="n">
        <v>0</v>
      </c>
      <c r="U69" s="2625" t="n">
        <v>0</v>
      </c>
      <c r="V69" s="2625" t="n">
        <v>0</v>
      </c>
      <c r="W69" s="2633" t="n"/>
      <c r="X69" s="2633" t="n"/>
      <c r="Y69" s="2633" t="n"/>
      <c r="Z69" s="2633" t="n"/>
      <c r="AA69" s="2633" t="n"/>
      <c r="AB69" s="2633" t="n"/>
      <c r="AC69" s="2633" t="n"/>
      <c r="AD69" s="2633" t="n"/>
      <c r="AE69" s="2626">
        <f>SUM(S69:AD69)</f>
        <v/>
      </c>
      <c r="AF69" s="1466" t="n"/>
      <c r="AG69" s="2633" t="n"/>
      <c r="AH69" s="2633" t="n"/>
      <c r="AI69" s="2633" t="n">
        <v>0</v>
      </c>
      <c r="AJ69" s="2633" t="n">
        <v>0</v>
      </c>
      <c r="AK69" s="2633" t="n">
        <v>0</v>
      </c>
      <c r="AL69" s="2633" t="n">
        <v>0</v>
      </c>
      <c r="AM69" s="2633" t="n"/>
      <c r="AN69" s="2633" t="n"/>
      <c r="AO69" s="2633" t="n"/>
      <c r="AP69" s="2633" t="n"/>
      <c r="AQ69" s="2633" t="n"/>
      <c r="AR69" s="2633" t="n"/>
      <c r="AS69" s="2626">
        <f>SUM(AG69:AR69)</f>
        <v/>
      </c>
      <c r="AU69" s="2633" t="n"/>
      <c r="AV69" s="2633" t="n"/>
      <c r="AW69" s="2633" t="n"/>
      <c r="AX69" s="2633" t="n"/>
      <c r="AY69" s="2633" t="n"/>
      <c r="AZ69" s="2633" t="n"/>
      <c r="BA69" s="2633" t="n"/>
      <c r="BB69" s="2633" t="n"/>
      <c r="BC69" s="2633" t="n"/>
      <c r="BD69" s="2633" t="n"/>
      <c r="BE69" s="2633" t="n"/>
      <c r="BF69" s="2627" t="n"/>
      <c r="BG69" s="2628">
        <f>SUM(AU69:BF69)</f>
        <v/>
      </c>
      <c r="BI69" s="2627" t="n"/>
      <c r="BJ69" s="2627" t="n"/>
      <c r="BK69" s="2627" t="n"/>
      <c r="BL69" s="2627" t="n"/>
      <c r="BM69" s="2627" t="n"/>
      <c r="BN69" s="2627" t="n"/>
      <c r="BO69" s="2627" t="n"/>
      <c r="BP69" s="2627" t="n"/>
      <c r="BQ69" s="2627" t="n"/>
      <c r="BR69" s="2627" t="n"/>
      <c r="BS69" s="2627" t="n"/>
      <c r="BT69" s="2627" t="n"/>
      <c r="BU69" s="2628">
        <f>SUM(BI69:BT69)</f>
        <v/>
      </c>
    </row>
    <row r="70" outlineLevel="1">
      <c r="A70" s="1470" t="n"/>
      <c r="B70" s="1456" t="inlineStr">
        <is>
          <t>교육훈련비</t>
        </is>
      </c>
      <c r="C70" s="1456" t="inlineStr">
        <is>
          <t>인건비 등</t>
        </is>
      </c>
      <c r="D70" s="2625" t="n"/>
      <c r="E70" s="2625" t="n"/>
      <c r="F70" s="2625" t="n"/>
      <c r="G70" s="2625" t="n"/>
      <c r="H70" s="2625" t="n">
        <v>400400</v>
      </c>
      <c r="I70" s="2625" t="n">
        <v>0</v>
      </c>
      <c r="J70" s="2625" t="n">
        <v>66000</v>
      </c>
      <c r="K70" s="2625" t="n">
        <v>0</v>
      </c>
      <c r="L70" s="2625" t="n">
        <v>500000</v>
      </c>
      <c r="M70" s="2625" t="n">
        <v>6011030</v>
      </c>
      <c r="N70" s="2625" t="n">
        <v>3988270</v>
      </c>
      <c r="O70" s="2625" t="n">
        <v>120000</v>
      </c>
      <c r="P70" s="2626">
        <f>SUM(D70:O70)</f>
        <v/>
      </c>
      <c r="Q70" s="1466" t="n"/>
      <c r="R70" s="1436" t="n"/>
      <c r="S70" s="2625" t="n">
        <v>0</v>
      </c>
      <c r="T70" s="2625" t="n">
        <v>1803010</v>
      </c>
      <c r="U70" s="2625" t="n">
        <v>1204000</v>
      </c>
      <c r="V70" s="2625" t="n">
        <v>7608342</v>
      </c>
      <c r="W70" s="2633" t="n"/>
      <c r="X70" s="2633" t="n"/>
      <c r="Y70" s="2633" t="n"/>
      <c r="Z70" s="2633" t="n"/>
      <c r="AA70" s="2633" t="n"/>
      <c r="AB70" s="2633" t="n"/>
      <c r="AC70" s="2633" t="n"/>
      <c r="AD70" s="2633" t="n"/>
      <c r="AE70" s="2626">
        <f>SUM(S70:AD70)</f>
        <v/>
      </c>
      <c r="AF70" s="1466" t="inlineStr">
        <is>
          <t>버퍼 : 월 3백만원</t>
        </is>
      </c>
      <c r="AG70" s="2633" t="n"/>
      <c r="AH70" s="2633" t="n"/>
      <c r="AI70" s="2633" t="n">
        <v>0</v>
      </c>
      <c r="AJ70" s="2633" t="n">
        <v>0</v>
      </c>
      <c r="AK70" s="2633" t="n">
        <v>0</v>
      </c>
      <c r="AL70" s="2633" t="n">
        <v>0</v>
      </c>
      <c r="AM70" s="2633" t="n"/>
      <c r="AN70" s="2633" t="n"/>
      <c r="AO70" s="2633" t="n"/>
      <c r="AP70" s="2633" t="n"/>
      <c r="AQ70" s="2633" t="n"/>
      <c r="AR70" s="2633" t="n"/>
      <c r="AS70" s="2626">
        <f>SUM(AG70:AR70)</f>
        <v/>
      </c>
      <c r="AU70" s="2633" t="n"/>
      <c r="AV70" s="2633" t="n"/>
      <c r="AW70" s="2633" t="n"/>
      <c r="AX70" s="2633" t="n"/>
      <c r="AY70" s="2633" t="n"/>
      <c r="AZ70" s="2633" t="n"/>
      <c r="BA70" s="2633" t="n"/>
      <c r="BB70" s="2633" t="n"/>
      <c r="BC70" s="2633" t="n"/>
      <c r="BD70" s="2633" t="n"/>
      <c r="BE70" s="2633" t="n"/>
      <c r="BF70" s="2627" t="n"/>
      <c r="BG70" s="2628">
        <f>SUM(AU70:BF70)</f>
        <v/>
      </c>
      <c r="BI70" s="2627" t="n"/>
      <c r="BJ70" s="2627" t="n"/>
      <c r="BK70" s="2627" t="n"/>
      <c r="BL70" s="2627" t="n"/>
      <c r="BM70" s="2627" t="n"/>
      <c r="BN70" s="2627" t="n"/>
      <c r="BO70" s="2627" t="n"/>
      <c r="BP70" s="2627" t="n"/>
      <c r="BQ70" s="2627" t="n"/>
      <c r="BR70" s="2627" t="n"/>
      <c r="BS70" s="2627" t="n"/>
      <c r="BT70" s="2627" t="n"/>
      <c r="BU70" s="2628">
        <f>SUM(BI70:BT70)</f>
        <v/>
      </c>
    </row>
    <row r="71" outlineLevel="1">
      <c r="A71" s="1470" t="n"/>
      <c r="B71" s="1456" t="inlineStr">
        <is>
          <t>도서인쇄비</t>
        </is>
      </c>
      <c r="C71" s="1456" t="inlineStr">
        <is>
          <t>기타</t>
        </is>
      </c>
      <c r="D71" s="2625" t="n"/>
      <c r="E71" s="2625" t="n"/>
      <c r="F71" s="2625" t="n"/>
      <c r="G71" s="2625" t="n"/>
      <c r="H71" s="2625" t="n">
        <v>151200</v>
      </c>
      <c r="I71" s="2625" t="n">
        <v>1030050</v>
      </c>
      <c r="J71" s="2625" t="n">
        <v>209600</v>
      </c>
      <c r="K71" s="2625" t="n">
        <v>77850</v>
      </c>
      <c r="L71" s="2625" t="n">
        <v>300020</v>
      </c>
      <c r="M71" s="2625" t="n">
        <v>58500</v>
      </c>
      <c r="N71" s="2625" t="n">
        <v>459500</v>
      </c>
      <c r="O71" s="2625" t="n">
        <v>45900</v>
      </c>
      <c r="P71" s="2626">
        <f>SUM(D71:O71)</f>
        <v/>
      </c>
      <c r="Q71" s="1464" t="inlineStr">
        <is>
          <t>실적평균</t>
        </is>
      </c>
      <c r="R71" s="1436" t="n"/>
      <c r="S71" s="2625" t="n">
        <v>22500</v>
      </c>
      <c r="T71" s="2625" t="n">
        <v>496800</v>
      </c>
      <c r="U71" s="2625" t="n">
        <v>78300</v>
      </c>
      <c r="V71" s="2625" t="n">
        <v>63000</v>
      </c>
      <c r="W71" s="2633" t="n"/>
      <c r="X71" s="2633" t="n"/>
      <c r="Y71" s="2633" t="n"/>
      <c r="Z71" s="2633" t="n"/>
      <c r="AA71" s="2633" t="n"/>
      <c r="AB71" s="2633" t="n"/>
      <c r="AC71" s="2633" t="n"/>
      <c r="AD71" s="2633" t="n"/>
      <c r="AE71" s="2626">
        <f>SUM(S71:AD71)</f>
        <v/>
      </c>
      <c r="AF71" s="1464" t="inlineStr">
        <is>
          <t>전월</t>
        </is>
      </c>
      <c r="AG71" s="2633" t="n"/>
      <c r="AH71" s="2633" t="n"/>
      <c r="AI71" s="2633" t="n">
        <v>0</v>
      </c>
      <c r="AJ71" s="2633" t="n">
        <v>0</v>
      </c>
      <c r="AK71" s="2633" t="n">
        <v>0</v>
      </c>
      <c r="AL71" s="2633" t="n">
        <v>0</v>
      </c>
      <c r="AM71" s="2633" t="n"/>
      <c r="AN71" s="2633" t="n"/>
      <c r="AO71" s="2633" t="n"/>
      <c r="AP71" s="2633" t="n"/>
      <c r="AQ71" s="2633" t="n"/>
      <c r="AR71" s="2633" t="n"/>
      <c r="AS71" s="2626">
        <f>SUM(AG71:AR71)</f>
        <v/>
      </c>
      <c r="AU71" s="2633" t="n"/>
      <c r="AV71" s="2633" t="n"/>
      <c r="AW71" s="2633" t="n"/>
      <c r="AX71" s="2633" t="n"/>
      <c r="AY71" s="2633" t="n"/>
      <c r="AZ71" s="2633" t="n"/>
      <c r="BA71" s="2633" t="n"/>
      <c r="BB71" s="2633" t="n"/>
      <c r="BC71" s="2633" t="n"/>
      <c r="BD71" s="2633" t="n"/>
      <c r="BE71" s="2633" t="n"/>
      <c r="BF71" s="2627" t="n"/>
      <c r="BG71" s="2628">
        <f>SUM(AU71:BF71)</f>
        <v/>
      </c>
      <c r="BI71" s="2627" t="n"/>
      <c r="BJ71" s="2627" t="n"/>
      <c r="BK71" s="2627" t="n"/>
      <c r="BL71" s="2627" t="n"/>
      <c r="BM71" s="2627" t="n"/>
      <c r="BN71" s="2627" t="n"/>
      <c r="BO71" s="2627" t="n"/>
      <c r="BP71" s="2627" t="n"/>
      <c r="BQ71" s="2627" t="n"/>
      <c r="BR71" s="2627" t="n"/>
      <c r="BS71" s="2627" t="n"/>
      <c r="BT71" s="2627" t="n"/>
      <c r="BU71" s="2628">
        <f>SUM(BI71:BT71)</f>
        <v/>
      </c>
    </row>
    <row r="72" outlineLevel="1">
      <c r="A72" s="1470" t="n"/>
      <c r="B72" s="1456" t="inlineStr">
        <is>
          <t>사무용품비</t>
        </is>
      </c>
      <c r="C72" s="1456" t="inlineStr">
        <is>
          <t>기타</t>
        </is>
      </c>
      <c r="D72" s="2625" t="n"/>
      <c r="E72" s="2625" t="n"/>
      <c r="F72" s="2625" t="n"/>
      <c r="G72" s="2625" t="n"/>
      <c r="H72" s="2625" t="n">
        <v>0</v>
      </c>
      <c r="I72" s="2625" t="n">
        <v>0</v>
      </c>
      <c r="J72" s="2625" t="n">
        <v>0</v>
      </c>
      <c r="K72" s="2625" t="n">
        <v>0</v>
      </c>
      <c r="L72" s="2625" t="n">
        <v>0</v>
      </c>
      <c r="M72" s="2625" t="n">
        <v>0</v>
      </c>
      <c r="N72" s="2625" t="n">
        <v>0</v>
      </c>
      <c r="O72" s="2625" t="n">
        <v>0</v>
      </c>
      <c r="P72" s="2626">
        <f>SUM(D72:O72)</f>
        <v/>
      </c>
      <c r="Q72" s="1466" t="n"/>
      <c r="R72" s="1436" t="n"/>
      <c r="S72" s="2625" t="n">
        <v>0</v>
      </c>
      <c r="T72" s="2625" t="n">
        <v>0</v>
      </c>
      <c r="U72" s="2625" t="n">
        <v>0</v>
      </c>
      <c r="V72" s="2625" t="n">
        <v>0</v>
      </c>
      <c r="W72" s="2633" t="n"/>
      <c r="X72" s="2633" t="n"/>
      <c r="Y72" s="2633" t="n"/>
      <c r="Z72" s="2633" t="n"/>
      <c r="AA72" s="2633" t="n"/>
      <c r="AB72" s="2633" t="n"/>
      <c r="AC72" s="2633" t="n"/>
      <c r="AD72" s="2633" t="n"/>
      <c r="AE72" s="2626">
        <f>SUM(S72:AD72)</f>
        <v/>
      </c>
      <c r="AF72" s="1464" t="n"/>
      <c r="AG72" s="2633" t="n"/>
      <c r="AH72" s="2633" t="n"/>
      <c r="AI72" s="2633" t="n">
        <v>0</v>
      </c>
      <c r="AJ72" s="2633" t="n">
        <v>0</v>
      </c>
      <c r="AK72" s="2633" t="n">
        <v>0</v>
      </c>
      <c r="AL72" s="2633" t="n">
        <v>0</v>
      </c>
      <c r="AM72" s="2633" t="n"/>
      <c r="AN72" s="2633" t="n"/>
      <c r="AO72" s="2633" t="n"/>
      <c r="AP72" s="2633" t="n"/>
      <c r="AQ72" s="2633" t="n"/>
      <c r="AR72" s="2633" t="n"/>
      <c r="AS72" s="2626">
        <f>SUM(AG72:AR72)</f>
        <v/>
      </c>
      <c r="AU72" s="2633" t="n"/>
      <c r="AV72" s="2633" t="n"/>
      <c r="AW72" s="2633" t="n"/>
      <c r="AX72" s="2633" t="n"/>
      <c r="AY72" s="2633" t="n"/>
      <c r="AZ72" s="2633" t="n"/>
      <c r="BA72" s="2633" t="n"/>
      <c r="BB72" s="2633" t="n"/>
      <c r="BC72" s="2633" t="n"/>
      <c r="BD72" s="2633" t="n"/>
      <c r="BE72" s="2633" t="n"/>
      <c r="BF72" s="2627" t="n"/>
      <c r="BG72" s="2628">
        <f>SUM(AU72:BF72)</f>
        <v/>
      </c>
      <c r="BI72" s="2627" t="n"/>
      <c r="BJ72" s="2627" t="n"/>
      <c r="BK72" s="2627" t="n"/>
      <c r="BL72" s="2627" t="n"/>
      <c r="BM72" s="2627" t="n"/>
      <c r="BN72" s="2627" t="n"/>
      <c r="BO72" s="2627" t="n"/>
      <c r="BP72" s="2627" t="n"/>
      <c r="BQ72" s="2627" t="n"/>
      <c r="BR72" s="2627" t="n"/>
      <c r="BS72" s="2627" t="n"/>
      <c r="BT72" s="2627" t="n"/>
      <c r="BU72" s="2628">
        <f>SUM(BI72:BT72)</f>
        <v/>
      </c>
    </row>
    <row r="73" outlineLevel="1">
      <c r="A73" s="1470" t="n"/>
      <c r="B73" s="1456" t="inlineStr">
        <is>
          <t>소모품비</t>
        </is>
      </c>
      <c r="C73" s="1456" t="inlineStr">
        <is>
          <t>기타</t>
        </is>
      </c>
      <c r="D73" s="2625" t="n"/>
      <c r="E73" s="2625" t="n"/>
      <c r="F73" s="2625" t="n"/>
      <c r="G73" s="2625" t="n">
        <v>33343</v>
      </c>
      <c r="H73" s="2625" t="n">
        <v>26433600</v>
      </c>
      <c r="I73" s="2625" t="n">
        <v>-14070763</v>
      </c>
      <c r="J73" s="2625" t="n">
        <v>4903190</v>
      </c>
      <c r="K73" s="2625" t="n">
        <v>3655861</v>
      </c>
      <c r="L73" s="2625" t="n">
        <v>1695013</v>
      </c>
      <c r="M73" s="2625" t="n">
        <v>1290499</v>
      </c>
      <c r="N73" s="2625" t="n">
        <v>4201003</v>
      </c>
      <c r="O73" s="2625" t="n">
        <v>1180567</v>
      </c>
      <c r="P73" s="2626">
        <f>SUM(D73:O73)</f>
        <v/>
      </c>
      <c r="Q73" s="1464" t="inlineStr">
        <is>
          <t>실적평균</t>
        </is>
      </c>
      <c r="R73" s="1436" t="n"/>
      <c r="S73" s="2625" t="n">
        <v>1741962</v>
      </c>
      <c r="T73" s="2625" t="n">
        <v>1122636</v>
      </c>
      <c r="U73" s="2625" t="n">
        <v>1649559</v>
      </c>
      <c r="V73" s="2625" t="n">
        <v>521578</v>
      </c>
      <c r="W73" s="2633" t="n"/>
      <c r="X73" s="2633" t="n"/>
      <c r="Y73" s="2633" t="n"/>
      <c r="Z73" s="2633" t="n"/>
      <c r="AA73" s="2633" t="n"/>
      <c r="AB73" s="2633" t="n"/>
      <c r="AC73" s="2633" t="n"/>
      <c r="AD73" s="2633" t="n"/>
      <c r="AE73" s="2626">
        <f>SUM(S73:AD73)</f>
        <v/>
      </c>
      <c r="AF73" s="1464" t="inlineStr">
        <is>
          <t>전월</t>
        </is>
      </c>
      <c r="AG73" s="2633" t="n"/>
      <c r="AH73" s="2633" t="n"/>
      <c r="AI73" s="2633" t="n">
        <v>0</v>
      </c>
      <c r="AJ73" s="2633" t="n">
        <v>0</v>
      </c>
      <c r="AK73" s="2633" t="n">
        <v>0</v>
      </c>
      <c r="AL73" s="2633" t="n">
        <v>0</v>
      </c>
      <c r="AM73" s="2633" t="n"/>
      <c r="AN73" s="2633" t="n"/>
      <c r="AO73" s="2633" t="n"/>
      <c r="AP73" s="2633" t="n"/>
      <c r="AQ73" s="2633" t="n"/>
      <c r="AR73" s="2633" t="n"/>
      <c r="AS73" s="2626">
        <f>SUM(AG73:AR73)</f>
        <v/>
      </c>
      <c r="AU73" s="2633" t="n"/>
      <c r="AV73" s="2633" t="n"/>
      <c r="AW73" s="2633" t="n"/>
      <c r="AX73" s="2633" t="n"/>
      <c r="AY73" s="2633" t="n"/>
      <c r="AZ73" s="2633" t="n"/>
      <c r="BA73" s="2633" t="n"/>
      <c r="BB73" s="2633" t="n"/>
      <c r="BC73" s="2633" t="n"/>
      <c r="BD73" s="2633" t="n"/>
      <c r="BE73" s="2633" t="n"/>
      <c r="BF73" s="2627" t="n"/>
      <c r="BG73" s="2628">
        <f>SUM(AU73:BF73)</f>
        <v/>
      </c>
      <c r="BI73" s="2627" t="n"/>
      <c r="BJ73" s="2627" t="n"/>
      <c r="BK73" s="2627" t="n"/>
      <c r="BL73" s="2627" t="n"/>
      <c r="BM73" s="2627" t="n"/>
      <c r="BN73" s="2627" t="n"/>
      <c r="BO73" s="2627" t="n"/>
      <c r="BP73" s="2627" t="n"/>
      <c r="BQ73" s="2627" t="n"/>
      <c r="BR73" s="2627" t="n"/>
      <c r="BS73" s="2627" t="n"/>
      <c r="BT73" s="2627" t="n"/>
      <c r="BU73" s="2628">
        <f>SUM(BI73:BT73)</f>
        <v/>
      </c>
    </row>
    <row r="74" outlineLevel="1">
      <c r="A74" s="1470" t="n"/>
      <c r="B74" s="1456" t="inlineStr">
        <is>
          <t>지급수수료</t>
        </is>
      </c>
      <c r="C74" s="1456" t="inlineStr">
        <is>
          <t>로열티&amp;기타</t>
        </is>
      </c>
      <c r="D74" s="2625" t="n"/>
      <c r="E74" s="2625" t="n"/>
      <c r="F74" s="2625" t="n"/>
      <c r="G74" s="2625" t="n">
        <v>4450000</v>
      </c>
      <c r="H74" s="2625" t="n">
        <v>13866832</v>
      </c>
      <c r="I74" s="2625" t="n">
        <v>16878463</v>
      </c>
      <c r="J74" s="2625" t="n">
        <v>4687439</v>
      </c>
      <c r="K74" s="2625" t="n">
        <v>7038702</v>
      </c>
      <c r="L74" s="2625" t="n">
        <v>22199311</v>
      </c>
      <c r="M74" s="2625" t="n">
        <v>56027418</v>
      </c>
      <c r="N74" s="2625" t="n">
        <v>20859066</v>
      </c>
      <c r="O74" s="2625" t="n">
        <v>15109150</v>
      </c>
      <c r="P74" s="2626">
        <f>SUM(D74:O74)</f>
        <v/>
      </c>
      <c r="Q74" s="1464" t="inlineStr">
        <is>
          <t>실적평균</t>
        </is>
      </c>
      <c r="R74" s="1436" t="n"/>
      <c r="S74" s="2625" t="n">
        <v>21020635</v>
      </c>
      <c r="T74" s="2625" t="n">
        <v>19303454</v>
      </c>
      <c r="U74" s="2625" t="n">
        <v>23954307</v>
      </c>
      <c r="V74" s="2625" t="n">
        <v>23322437</v>
      </c>
      <c r="W74" s="2634" t="n">
        <v>25602884</v>
      </c>
      <c r="X74" s="2634" t="n">
        <v>23537713</v>
      </c>
      <c r="Y74" s="2634" t="n">
        <v>25516706</v>
      </c>
      <c r="Z74" s="2634" t="n">
        <v>25411538</v>
      </c>
      <c r="AA74" s="2634" t="n">
        <v>25152124</v>
      </c>
      <c r="AB74" s="2634" t="n">
        <v>57972412</v>
      </c>
      <c r="AC74" s="2634" t="n">
        <v>56600092</v>
      </c>
      <c r="AD74" s="2634" t="n">
        <v>300784452</v>
      </c>
      <c r="AE74" s="2626">
        <f>SUM(S74:AD74)</f>
        <v/>
      </c>
      <c r="AF74" s="1464" t="inlineStr">
        <is>
          <t>23년 6개월 평균</t>
        </is>
      </c>
      <c r="AG74" s="2634" t="n">
        <v>54054509</v>
      </c>
      <c r="AH74" s="2634" t="n">
        <v>43133489</v>
      </c>
      <c r="AI74" s="2634" t="n">
        <v>15176317</v>
      </c>
      <c r="AJ74" s="2634" t="n">
        <v>13032430</v>
      </c>
      <c r="AK74" s="2634">
        <f>136837343-SUM(AG74:AJ74)</f>
        <v/>
      </c>
      <c r="AL74" s="2634">
        <f>165063751-SUM(AG74:AK74)</f>
        <v/>
      </c>
      <c r="AM74" s="2634">
        <f>177383754-SUM(AG74:AL74)</f>
        <v/>
      </c>
      <c r="AN74" s="2634">
        <f>189080276-SUM(AG74:AM74)</f>
        <v/>
      </c>
      <c r="AO74" s="2634" t="n">
        <v>5190830</v>
      </c>
      <c r="AP74" s="2634">
        <f>209240934-SUM(AG74:AO74)</f>
        <v/>
      </c>
      <c r="AQ74" s="2634" t="n">
        <v>9996953</v>
      </c>
      <c r="AR74" s="2634">
        <f>229845566-SUM(AG74:AQ74)</f>
        <v/>
      </c>
      <c r="AS74" s="2626">
        <f>SUM(AG74:AR74)</f>
        <v/>
      </c>
      <c r="AT74" s="1440" t="inlineStr">
        <is>
          <t>7월 천만원</t>
        </is>
      </c>
      <c r="AU74" s="2634" t="n">
        <v>4527645</v>
      </c>
      <c r="AV74" s="2634">
        <f>8152011-AU74</f>
        <v/>
      </c>
      <c r="AW74" s="2634" t="n">
        <v>4012692</v>
      </c>
      <c r="AX74" s="2634" t="n">
        <v>3859005</v>
      </c>
      <c r="AY74" s="2634" t="n">
        <v>3762136</v>
      </c>
      <c r="AZ74" s="2634">
        <f>23426620-SUM(AU74:AY74)</f>
        <v/>
      </c>
      <c r="BA74" s="2634" t="n">
        <v>3012473</v>
      </c>
      <c r="BB74" s="2634" t="n">
        <v>1822851</v>
      </c>
      <c r="BC74" s="2634" t="n">
        <v>1436121</v>
      </c>
      <c r="BD74" s="2634">
        <f>30671797-SUM(AU74:BC74)</f>
        <v/>
      </c>
      <c r="BE74" s="2634">
        <f>31446719-SUM(AU74:BD74)</f>
        <v/>
      </c>
      <c r="BF74" s="2627" t="n">
        <v>1436121</v>
      </c>
      <c r="BG74" s="2628">
        <f>SUM(AU74:BF74)</f>
        <v/>
      </c>
      <c r="BI74" s="2629">
        <f>1686884+669784+842746+973732</f>
        <v/>
      </c>
      <c r="BJ74" s="2629">
        <f>300750+669784+842746+973732</f>
        <v/>
      </c>
      <c r="BK74" s="2629">
        <f>750+842746+973732</f>
        <v/>
      </c>
      <c r="BL74" s="2629">
        <f>690750+842746+973732</f>
        <v/>
      </c>
      <c r="BM74" s="2629">
        <f>491750+842746+973732</f>
        <v/>
      </c>
      <c r="BN74" s="2629">
        <f>750+842746+973732</f>
        <v/>
      </c>
      <c r="BO74" s="2629">
        <f>750+842746+973732</f>
        <v/>
      </c>
      <c r="BP74" s="2629">
        <f>750+842746+973732</f>
        <v/>
      </c>
      <c r="BQ74" s="2629">
        <f>110750+842746+973732</f>
        <v/>
      </c>
      <c r="BR74" s="2629">
        <f>750+842746+973732</f>
        <v/>
      </c>
      <c r="BS74" s="2629">
        <f>750+842746+973732</f>
        <v/>
      </c>
      <c r="BT74" s="2629">
        <f>65750+842746+973732</f>
        <v/>
      </c>
      <c r="BU74" s="2628">
        <f>SUM(BI74:BT74)</f>
        <v/>
      </c>
    </row>
    <row r="75" outlineLevel="1">
      <c r="A75" s="1470" t="n"/>
      <c r="B75" s="1456" t="inlineStr">
        <is>
          <t>광고선전비</t>
        </is>
      </c>
      <c r="C75" s="1456" t="inlineStr">
        <is>
          <t>마케팅</t>
        </is>
      </c>
      <c r="D75" s="2625" t="n"/>
      <c r="E75" s="2625" t="n"/>
      <c r="F75" s="2625" t="n"/>
      <c r="G75" s="2625" t="n"/>
      <c r="H75" s="2625" t="n">
        <v>0</v>
      </c>
      <c r="I75" s="2625" t="n">
        <v>0</v>
      </c>
      <c r="J75" s="2625" t="n">
        <v>0</v>
      </c>
      <c r="K75" s="2625" t="n">
        <v>0</v>
      </c>
      <c r="L75" s="2625" t="n">
        <v>0</v>
      </c>
      <c r="M75" s="2625" t="n">
        <v>0</v>
      </c>
      <c r="N75" s="2625" t="n">
        <v>0</v>
      </c>
      <c r="O75" s="2625" t="n">
        <v>0</v>
      </c>
      <c r="P75" s="2626">
        <f>SUM(D75:O75)</f>
        <v/>
      </c>
      <c r="Q75" s="1466" t="n"/>
      <c r="R75" s="1436" t="n"/>
      <c r="S75" s="2625" t="n">
        <v>0</v>
      </c>
      <c r="T75" s="2625" t="n">
        <v>0</v>
      </c>
      <c r="U75" s="2625" t="n">
        <v>0</v>
      </c>
      <c r="V75" s="2625" t="n">
        <v>0</v>
      </c>
      <c r="W75" s="2633" t="n"/>
      <c r="X75" s="2633" t="n"/>
      <c r="Y75" s="2633" t="n"/>
      <c r="Z75" s="2633" t="n"/>
      <c r="AA75" s="2633" t="n"/>
      <c r="AB75" s="2633" t="n"/>
      <c r="AC75" s="2633" t="n"/>
      <c r="AD75" s="2633" t="n"/>
      <c r="AE75" s="2626">
        <f>SUM(S75:AD75)</f>
        <v/>
      </c>
      <c r="AF75" s="1466" t="n"/>
      <c r="AG75" s="2633" t="n"/>
      <c r="AH75" s="2633" t="n"/>
      <c r="AI75" s="2633" t="n">
        <v>0</v>
      </c>
      <c r="AJ75" s="2633" t="n">
        <v>0</v>
      </c>
      <c r="AK75" s="2633" t="n">
        <v>0</v>
      </c>
      <c r="AL75" s="2633" t="n">
        <v>0</v>
      </c>
      <c r="AM75" s="2633" t="n"/>
      <c r="AN75" s="2633" t="n"/>
      <c r="AO75" s="2633" t="n"/>
      <c r="AP75" s="2633" t="n"/>
      <c r="AQ75" s="2633" t="n"/>
      <c r="AR75" s="2633" t="n"/>
      <c r="AS75" s="2626">
        <f>SUM(AG75:AR75)</f>
        <v/>
      </c>
      <c r="AU75" s="2633" t="n"/>
      <c r="AV75" s="2633" t="n"/>
      <c r="AW75" s="2633" t="n"/>
      <c r="AX75" s="2633" t="n"/>
      <c r="AY75" s="2633" t="n"/>
      <c r="AZ75" s="2633" t="n"/>
      <c r="BA75" s="2633" t="n"/>
      <c r="BB75" s="2633" t="n"/>
      <c r="BC75" s="2633" t="n"/>
      <c r="BD75" s="2633" t="n"/>
      <c r="BE75" s="2633" t="n"/>
      <c r="BF75" s="2627" t="n"/>
      <c r="BG75" s="2628">
        <f>SUM(AU75:BF75)</f>
        <v/>
      </c>
      <c r="BI75" s="2627" t="n"/>
      <c r="BJ75" s="2627" t="n"/>
      <c r="BK75" s="2627" t="n"/>
      <c r="BL75" s="2627" t="n"/>
      <c r="BM75" s="2627" t="n"/>
      <c r="BN75" s="2627" t="n"/>
      <c r="BO75" s="2627" t="n"/>
      <c r="BP75" s="2627" t="n"/>
      <c r="BQ75" s="2627" t="n"/>
      <c r="BR75" s="2627" t="n"/>
      <c r="BS75" s="2627" t="n"/>
      <c r="BT75" s="2627" t="n"/>
      <c r="BU75" s="2628">
        <f>SUM(BI75:BT75)</f>
        <v/>
      </c>
    </row>
    <row r="76" outlineLevel="1">
      <c r="A76" s="1470" t="n"/>
      <c r="B76" s="1456" t="inlineStr">
        <is>
          <t>판매촉진비</t>
        </is>
      </c>
      <c r="C76" s="1456" t="inlineStr">
        <is>
          <t>마케팅</t>
        </is>
      </c>
      <c r="D76" s="2625" t="n"/>
      <c r="E76" s="2625" t="n"/>
      <c r="F76" s="2625" t="n"/>
      <c r="G76" s="2625" t="n"/>
      <c r="H76" s="2625" t="n">
        <v>0</v>
      </c>
      <c r="I76" s="2625" t="n">
        <v>0</v>
      </c>
      <c r="J76" s="2625" t="n">
        <v>0</v>
      </c>
      <c r="K76" s="2625" t="n">
        <v>0</v>
      </c>
      <c r="L76" s="2625" t="n">
        <v>0</v>
      </c>
      <c r="M76" s="2625" t="n">
        <v>0</v>
      </c>
      <c r="N76" s="2625" t="n">
        <v>0</v>
      </c>
      <c r="O76" s="2625" t="n">
        <v>0</v>
      </c>
      <c r="P76" s="2626">
        <f>SUM(D76:O76)</f>
        <v/>
      </c>
      <c r="Q76" s="1466" t="n"/>
      <c r="R76" s="1436" t="n"/>
      <c r="S76" s="2625" t="n">
        <v>0</v>
      </c>
      <c r="T76" s="2625" t="n">
        <v>0</v>
      </c>
      <c r="U76" s="2625" t="n">
        <v>0</v>
      </c>
      <c r="V76" s="2625" t="n">
        <v>0</v>
      </c>
      <c r="W76" s="2633" t="n"/>
      <c r="X76" s="2633" t="n"/>
      <c r="Y76" s="2633" t="n"/>
      <c r="Z76" s="2633" t="n"/>
      <c r="AA76" s="2633" t="n"/>
      <c r="AB76" s="2633" t="n"/>
      <c r="AC76" s="2633" t="n"/>
      <c r="AD76" s="2633" t="n"/>
      <c r="AE76" s="2626">
        <f>SUM(S76:AD76)</f>
        <v/>
      </c>
      <c r="AF76" s="1466" t="n"/>
      <c r="AG76" s="2633" t="n"/>
      <c r="AH76" s="2633" t="n"/>
      <c r="AI76" s="2633" t="n">
        <v>0</v>
      </c>
      <c r="AJ76" s="2633" t="n">
        <v>0</v>
      </c>
      <c r="AK76" s="2633" t="n">
        <v>0</v>
      </c>
      <c r="AL76" s="2633" t="n">
        <v>0</v>
      </c>
      <c r="AM76" s="2633" t="n"/>
      <c r="AN76" s="2633" t="n"/>
      <c r="AO76" s="2633" t="n"/>
      <c r="AP76" s="2633" t="n"/>
      <c r="AQ76" s="2633" t="n"/>
      <c r="AR76" s="2633" t="n"/>
      <c r="AS76" s="2626">
        <f>SUM(AG76:AR76)</f>
        <v/>
      </c>
      <c r="AU76" s="2633" t="n"/>
      <c r="AV76" s="2633" t="n"/>
      <c r="AW76" s="2633" t="n"/>
      <c r="AX76" s="2633" t="n"/>
      <c r="AY76" s="2633" t="n"/>
      <c r="AZ76" s="2633" t="n"/>
      <c r="BA76" s="2633" t="n"/>
      <c r="BB76" s="2633" t="n"/>
      <c r="BC76" s="2633" t="n"/>
      <c r="BD76" s="2633" t="n"/>
      <c r="BE76" s="2633" t="n"/>
      <c r="BF76" s="2627" t="n"/>
      <c r="BG76" s="2628">
        <f>SUM(AU76:BF76)</f>
        <v/>
      </c>
      <c r="BI76" s="2627" t="n"/>
      <c r="BJ76" s="2627" t="n"/>
      <c r="BK76" s="2627" t="n"/>
      <c r="BL76" s="2627" t="n"/>
      <c r="BM76" s="2627" t="n"/>
      <c r="BN76" s="2627" t="n"/>
      <c r="BO76" s="2627" t="n"/>
      <c r="BP76" s="2627" t="n"/>
      <c r="BQ76" s="2627" t="n"/>
      <c r="BR76" s="2627" t="n"/>
      <c r="BS76" s="2627" t="n"/>
      <c r="BT76" s="2627" t="n"/>
      <c r="BU76" s="2628">
        <f>SUM(BI76:BT76)</f>
        <v/>
      </c>
    </row>
    <row r="77" outlineLevel="1">
      <c r="A77" s="1470" t="n"/>
      <c r="B77" s="1456" t="inlineStr">
        <is>
          <t>건물관리비</t>
        </is>
      </c>
      <c r="C77" s="1456" t="inlineStr">
        <is>
          <t>기타</t>
        </is>
      </c>
      <c r="D77" s="2625" t="n"/>
      <c r="E77" s="2625" t="n"/>
      <c r="F77" s="2625" t="n"/>
      <c r="G77" s="2625" t="n"/>
      <c r="H77" s="2625" t="n">
        <v>0</v>
      </c>
      <c r="I77" s="2625" t="n">
        <v>0</v>
      </c>
      <c r="J77" s="2625" t="n">
        <v>0</v>
      </c>
      <c r="K77" s="2625" t="n">
        <v>0</v>
      </c>
      <c r="L77" s="2625" t="n">
        <v>0</v>
      </c>
      <c r="M77" s="2625" t="n">
        <v>0</v>
      </c>
      <c r="N77" s="2625" t="n">
        <v>0</v>
      </c>
      <c r="O77" s="2625" t="n">
        <v>0</v>
      </c>
      <c r="P77" s="2626">
        <f>SUM(D77:O77)</f>
        <v/>
      </c>
      <c r="Q77" s="1466" t="n"/>
      <c r="R77" s="1436" t="n"/>
      <c r="S77" s="2625" t="n">
        <v>0</v>
      </c>
      <c r="T77" s="2625" t="n">
        <v>0</v>
      </c>
      <c r="U77" s="2625" t="n">
        <v>0</v>
      </c>
      <c r="V77" s="2625" t="n">
        <v>0</v>
      </c>
      <c r="W77" s="2633" t="n"/>
      <c r="X77" s="2633" t="n"/>
      <c r="Y77" s="2633" t="n"/>
      <c r="Z77" s="2633" t="n"/>
      <c r="AA77" s="2633" t="n"/>
      <c r="AB77" s="2633" t="n"/>
      <c r="AC77" s="2633" t="n"/>
      <c r="AD77" s="2633" t="n"/>
      <c r="AE77" s="2626">
        <f>SUM(S77:AD77)</f>
        <v/>
      </c>
      <c r="AF77" s="1466" t="n"/>
      <c r="AG77" s="2633" t="n"/>
      <c r="AH77" s="2633" t="n"/>
      <c r="AI77" s="2633" t="n">
        <v>0</v>
      </c>
      <c r="AJ77" s="2633" t="n">
        <v>0</v>
      </c>
      <c r="AK77" s="2633" t="n">
        <v>0</v>
      </c>
      <c r="AL77" s="2633" t="n">
        <v>0</v>
      </c>
      <c r="AM77" s="2633" t="n"/>
      <c r="AN77" s="2633" t="n"/>
      <c r="AO77" s="2633" t="n"/>
      <c r="AP77" s="2633" t="n"/>
      <c r="AQ77" s="2633" t="n"/>
      <c r="AR77" s="2633" t="n"/>
      <c r="AS77" s="2626">
        <f>SUM(AG77:AR77)</f>
        <v/>
      </c>
      <c r="AU77" s="2633" t="n"/>
      <c r="AV77" s="2633" t="n"/>
      <c r="AW77" s="2633" t="n"/>
      <c r="AX77" s="2633" t="n"/>
      <c r="AY77" s="2633" t="n"/>
      <c r="AZ77" s="2633" t="n"/>
      <c r="BA77" s="2633" t="n"/>
      <c r="BB77" s="2633" t="n"/>
      <c r="BC77" s="2633" t="n"/>
      <c r="BD77" s="2633" t="n"/>
      <c r="BE77" s="2633" t="n"/>
      <c r="BF77" s="2627" t="n"/>
      <c r="BG77" s="2628">
        <f>SUM(AU77:BF77)</f>
        <v/>
      </c>
      <c r="BI77" s="2627" t="n"/>
      <c r="BJ77" s="2627" t="n"/>
      <c r="BK77" s="2627" t="n"/>
      <c r="BL77" s="2627" t="n"/>
      <c r="BM77" s="2627" t="n"/>
      <c r="BN77" s="2627" t="n"/>
      <c r="BO77" s="2627" t="n"/>
      <c r="BP77" s="2627" t="n"/>
      <c r="BQ77" s="2627" t="n"/>
      <c r="BR77" s="2627" t="n"/>
      <c r="BS77" s="2627" t="n"/>
      <c r="BT77" s="2627" t="n"/>
      <c r="BU77" s="2628">
        <f>SUM(BI77:BT77)</f>
        <v/>
      </c>
    </row>
    <row r="78" outlineLevel="1">
      <c r="A78" s="1470" t="n"/>
      <c r="B78" s="1456" t="inlineStr">
        <is>
          <t>무형자산상각비</t>
        </is>
      </c>
      <c r="C78" s="1456" t="inlineStr">
        <is>
          <t>기타</t>
        </is>
      </c>
      <c r="D78" s="2625" t="n"/>
      <c r="E78" s="2625" t="n"/>
      <c r="F78" s="2625" t="n"/>
      <c r="G78" s="2625" t="n">
        <v>34040</v>
      </c>
      <c r="H78" s="2625" t="n">
        <v>53622</v>
      </c>
      <c r="I78" s="2625" t="n">
        <v>789359</v>
      </c>
      <c r="J78" s="2625" t="n">
        <v>847098</v>
      </c>
      <c r="K78" s="2625" t="n">
        <v>1024905</v>
      </c>
      <c r="L78" s="2625" t="n">
        <v>1090530</v>
      </c>
      <c r="M78" s="2625" t="n">
        <v>1090530</v>
      </c>
      <c r="N78" s="2625" t="n">
        <v>1112405</v>
      </c>
      <c r="O78" s="2625" t="n">
        <v>1216767</v>
      </c>
      <c r="P78" s="2626">
        <f>SUM(D78:O78)</f>
        <v/>
      </c>
      <c r="Q78" s="1466" t="n"/>
      <c r="R78" s="1436" t="n"/>
      <c r="S78" s="2625" t="n">
        <v>1216570</v>
      </c>
      <c r="T78" s="2625" t="n">
        <v>1237533</v>
      </c>
      <c r="U78" s="2625" t="n">
        <v>1237533</v>
      </c>
      <c r="V78" s="2625" t="n">
        <v>1237533</v>
      </c>
      <c r="W78" s="2633" t="n"/>
      <c r="X78" s="2633" t="n"/>
      <c r="Y78" s="2633" t="n"/>
      <c r="Z78" s="2633" t="n"/>
      <c r="AA78" s="2633" t="n"/>
      <c r="AB78" s="2633" t="n"/>
      <c r="AC78" s="2633" t="n"/>
      <c r="AD78" s="2633" t="n"/>
      <c r="AE78" s="2626">
        <f>SUM(S78:AD78)</f>
        <v/>
      </c>
      <c r="AF78" s="1466" t="inlineStr">
        <is>
          <t>전월</t>
        </is>
      </c>
      <c r="AG78" s="2633" t="n"/>
      <c r="AH78" s="2633" t="n"/>
      <c r="AI78" s="2633" t="n">
        <v>0</v>
      </c>
      <c r="AJ78" s="2633" t="n">
        <v>0</v>
      </c>
      <c r="AK78" s="2633" t="n">
        <v>0</v>
      </c>
      <c r="AL78" s="2633" t="n">
        <v>0</v>
      </c>
      <c r="AM78" s="2633" t="n"/>
      <c r="AN78" s="2633" t="n"/>
      <c r="AO78" s="2633" t="n"/>
      <c r="AP78" s="2633" t="n"/>
      <c r="AQ78" s="2633" t="n"/>
      <c r="AR78" s="2633" t="n"/>
      <c r="AS78" s="2626">
        <f>SUM(AG78:AR78)</f>
        <v/>
      </c>
      <c r="AU78" s="2633" t="n"/>
      <c r="AV78" s="2633" t="n"/>
      <c r="AW78" s="2633" t="n"/>
      <c r="AX78" s="2633" t="n"/>
      <c r="AY78" s="2633" t="n"/>
      <c r="AZ78" s="2633" t="n"/>
      <c r="BA78" s="2633" t="n"/>
      <c r="BB78" s="2633" t="n"/>
      <c r="BC78" s="2633" t="n"/>
      <c r="BD78" s="2633" t="n"/>
      <c r="BE78" s="2633" t="n"/>
      <c r="BF78" s="2627" t="n"/>
      <c r="BG78" s="2628">
        <f>SUM(AU78:BF78)</f>
        <v/>
      </c>
      <c r="BI78" s="2627" t="n"/>
      <c r="BJ78" s="2627" t="n"/>
      <c r="BK78" s="2627" t="n"/>
      <c r="BL78" s="2627" t="n"/>
      <c r="BM78" s="2627" t="n"/>
      <c r="BN78" s="2627" t="n"/>
      <c r="BO78" s="2627" t="n"/>
      <c r="BP78" s="2627" t="n"/>
      <c r="BQ78" s="2627" t="n"/>
      <c r="BR78" s="2627" t="n"/>
      <c r="BS78" s="2627" t="n"/>
      <c r="BT78" s="2627" t="n"/>
      <c r="BU78" s="2628">
        <f>SUM(BI78:BT78)</f>
        <v/>
      </c>
    </row>
    <row r="79" outlineLevel="1">
      <c r="A79" s="1470" t="n"/>
      <c r="B79" s="1456" t="inlineStr">
        <is>
          <t>잡비</t>
        </is>
      </c>
      <c r="C79" s="1456" t="inlineStr">
        <is>
          <t>기타</t>
        </is>
      </c>
      <c r="D79" s="2625" t="n"/>
      <c r="E79" s="2625" t="n"/>
      <c r="F79" s="2625" t="n"/>
      <c r="G79" s="2625" t="n"/>
      <c r="H79" s="2625" t="n">
        <v>0</v>
      </c>
      <c r="I79" s="2625" t="n">
        <v>0</v>
      </c>
      <c r="J79" s="2625" t="n">
        <v>0</v>
      </c>
      <c r="K79" s="2625" t="n">
        <v>0</v>
      </c>
      <c r="L79" s="2625" t="n">
        <v>0</v>
      </c>
      <c r="M79" s="2625" t="n">
        <v>0</v>
      </c>
      <c r="N79" s="2625" t="n">
        <v>0</v>
      </c>
      <c r="O79" s="2625" t="n">
        <v>0</v>
      </c>
      <c r="P79" s="2626">
        <f>SUM(D79:O79)</f>
        <v/>
      </c>
      <c r="Q79" s="1466" t="n"/>
      <c r="R79" s="1436" t="n"/>
      <c r="S79" s="2625" t="n">
        <v>0</v>
      </c>
      <c r="T79" s="2625" t="n">
        <v>0</v>
      </c>
      <c r="U79" s="2625" t="n">
        <v>0</v>
      </c>
      <c r="V79" s="2625" t="n">
        <v>0</v>
      </c>
      <c r="W79" s="2633" t="n"/>
      <c r="X79" s="2633" t="n"/>
      <c r="Y79" s="2633" t="n"/>
      <c r="Z79" s="2633" t="n"/>
      <c r="AA79" s="2633" t="n"/>
      <c r="AB79" s="2633" t="n"/>
      <c r="AC79" s="2633" t="n"/>
      <c r="AD79" s="2633" t="n"/>
      <c r="AE79" s="2626">
        <f>SUM(S79:AD79)</f>
        <v/>
      </c>
      <c r="AF79" s="1466" t="n"/>
      <c r="AG79" s="2633" t="n"/>
      <c r="AH79" s="2633" t="n"/>
      <c r="AI79" s="2633" t="n">
        <v>0</v>
      </c>
      <c r="AJ79" s="2633" t="n">
        <v>0</v>
      </c>
      <c r="AK79" s="2633" t="n">
        <v>0</v>
      </c>
      <c r="AL79" s="2633" t="n">
        <v>0</v>
      </c>
      <c r="AM79" s="2633" t="n"/>
      <c r="AN79" s="2633" t="n"/>
      <c r="AO79" s="2633" t="n"/>
      <c r="AP79" s="2633" t="n"/>
      <c r="AQ79" s="2633" t="n"/>
      <c r="AR79" s="2633" t="n"/>
      <c r="AS79" s="2626">
        <f>SUM(AG79:AR79)</f>
        <v/>
      </c>
      <c r="AU79" s="2633" t="n"/>
      <c r="AV79" s="2633" t="n"/>
      <c r="AW79" s="2633" t="n"/>
      <c r="AX79" s="2633" t="n"/>
      <c r="AY79" s="2633" t="n"/>
      <c r="AZ79" s="2633" t="n"/>
      <c r="BA79" s="2633" t="n"/>
      <c r="BB79" s="2633" t="n"/>
      <c r="BC79" s="2633" t="n"/>
      <c r="BD79" s="2633" t="n"/>
      <c r="BE79" s="2633" t="n"/>
      <c r="BF79" s="2627" t="n"/>
      <c r="BG79" s="2628">
        <f>SUM(AU79:BF79)</f>
        <v/>
      </c>
      <c r="BI79" s="2627" t="n"/>
      <c r="BJ79" s="2627" t="n"/>
      <c r="BK79" s="2627" t="n"/>
      <c r="BL79" s="2627" t="n"/>
      <c r="BM79" s="2627" t="n"/>
      <c r="BN79" s="2627" t="n"/>
      <c r="BO79" s="2627" t="n"/>
      <c r="BP79" s="2627" t="n"/>
      <c r="BQ79" s="2627" t="n"/>
      <c r="BR79" s="2627" t="n"/>
      <c r="BS79" s="2627" t="n"/>
      <c r="BT79" s="2627" t="n"/>
      <c r="BU79" s="2628">
        <f>SUM(BI79:BT79)</f>
        <v/>
      </c>
    </row>
    <row r="80" outlineLevel="1">
      <c r="A80" s="1470" t="n"/>
      <c r="B80" s="1456" t="inlineStr">
        <is>
          <t>협회비</t>
        </is>
      </c>
      <c r="C80" s="1456" t="inlineStr">
        <is>
          <t>기타</t>
        </is>
      </c>
      <c r="D80" s="2625" t="n"/>
      <c r="E80" s="2625" t="n"/>
      <c r="F80" s="2625" t="n"/>
      <c r="G80" s="2625" t="n"/>
      <c r="H80" s="2625" t="n">
        <v>0</v>
      </c>
      <c r="I80" s="2625" t="n">
        <v>0</v>
      </c>
      <c r="J80" s="2625" t="n">
        <v>0</v>
      </c>
      <c r="K80" s="2625" t="n">
        <v>0</v>
      </c>
      <c r="L80" s="2625" t="n">
        <v>0</v>
      </c>
      <c r="M80" s="2625" t="n">
        <v>0</v>
      </c>
      <c r="N80" s="2625" t="n">
        <v>0</v>
      </c>
      <c r="O80" s="2625" t="n">
        <v>0</v>
      </c>
      <c r="P80" s="2626">
        <f>SUM(D80:O80)</f>
        <v/>
      </c>
      <c r="Q80" s="1466" t="n"/>
      <c r="R80" s="1436" t="n"/>
      <c r="S80" s="2625" t="n">
        <v>0</v>
      </c>
      <c r="T80" s="2625" t="n">
        <v>0</v>
      </c>
      <c r="U80" s="2625" t="n">
        <v>0</v>
      </c>
      <c r="V80" s="2625" t="n">
        <v>0</v>
      </c>
      <c r="W80" s="2633" t="n"/>
      <c r="X80" s="2633" t="n"/>
      <c r="Y80" s="2633" t="n"/>
      <c r="Z80" s="2633" t="n"/>
      <c r="AA80" s="2633" t="n"/>
      <c r="AB80" s="2633" t="n"/>
      <c r="AC80" s="2633" t="n"/>
      <c r="AD80" s="2633" t="n"/>
      <c r="AE80" s="2626">
        <f>SUM(S80:AD80)</f>
        <v/>
      </c>
      <c r="AF80" s="1466" t="n"/>
      <c r="AG80" s="2633" t="n"/>
      <c r="AH80" s="2633" t="n"/>
      <c r="AI80" s="2633" t="n">
        <v>0</v>
      </c>
      <c r="AJ80" s="2633" t="n">
        <v>0</v>
      </c>
      <c r="AK80" s="2633" t="n">
        <v>0</v>
      </c>
      <c r="AL80" s="2633" t="n">
        <v>0</v>
      </c>
      <c r="AM80" s="2633" t="n"/>
      <c r="AN80" s="2633" t="n"/>
      <c r="AO80" s="2633" t="n"/>
      <c r="AP80" s="2633" t="n"/>
      <c r="AQ80" s="2633" t="n"/>
      <c r="AR80" s="2633" t="n"/>
      <c r="AS80" s="2626">
        <f>SUM(AG80:AR80)</f>
        <v/>
      </c>
      <c r="AU80" s="2633" t="n"/>
      <c r="AV80" s="2633" t="n"/>
      <c r="AW80" s="2633" t="n"/>
      <c r="AX80" s="2633" t="n"/>
      <c r="AY80" s="2633" t="n"/>
      <c r="AZ80" s="2633" t="n"/>
      <c r="BA80" s="2633" t="n"/>
      <c r="BB80" s="2633" t="n"/>
      <c r="BC80" s="2633" t="n"/>
      <c r="BD80" s="2633" t="n"/>
      <c r="BE80" s="2633" t="n"/>
      <c r="BF80" s="2627" t="n"/>
      <c r="BG80" s="2628">
        <f>SUM(AU80:BF80)</f>
        <v/>
      </c>
      <c r="BI80" s="2627" t="n"/>
      <c r="BJ80" s="2627" t="n"/>
      <c r="BK80" s="2627" t="n"/>
      <c r="BL80" s="2627" t="n"/>
      <c r="BM80" s="2627" t="n"/>
      <c r="BN80" s="2627" t="n"/>
      <c r="BO80" s="2627" t="n"/>
      <c r="BP80" s="2627" t="n"/>
      <c r="BQ80" s="2627" t="n"/>
      <c r="BR80" s="2627" t="n"/>
      <c r="BS80" s="2627" t="n"/>
      <c r="BT80" s="2627" t="n"/>
      <c r="BU80" s="2628">
        <f>SUM(BI80:BT80)</f>
        <v/>
      </c>
    </row>
    <row r="81" outlineLevel="1">
      <c r="A81" s="1470" t="n"/>
      <c r="B81" s="1456" t="inlineStr">
        <is>
          <t>외주용역비</t>
        </is>
      </c>
      <c r="C81" s="1456" t="inlineStr">
        <is>
          <t>기타</t>
        </is>
      </c>
      <c r="D81" s="2625" t="n"/>
      <c r="E81" s="2625" t="n"/>
      <c r="F81" s="2625" t="n"/>
      <c r="G81" s="2625" t="n"/>
      <c r="H81" s="2625" t="n">
        <v>0</v>
      </c>
      <c r="I81" s="2625" t="n">
        <v>0</v>
      </c>
      <c r="J81" s="2625" t="n">
        <v>41245785</v>
      </c>
      <c r="K81" s="2625" t="n">
        <v>48064380</v>
      </c>
      <c r="L81" s="2625" t="n">
        <v>14553000</v>
      </c>
      <c r="M81" s="2625" t="n">
        <v>4939820</v>
      </c>
      <c r="N81" s="2625" t="n">
        <v>5214400</v>
      </c>
      <c r="O81" s="2625" t="n">
        <v>184296600</v>
      </c>
      <c r="P81" s="2626">
        <f>SUM(D81:O81)</f>
        <v/>
      </c>
      <c r="Q81" s="1464" t="inlineStr">
        <is>
          <t>실적평균</t>
        </is>
      </c>
      <c r="R81" s="1436" t="n"/>
      <c r="S81" s="2625" t="n">
        <v>20114400</v>
      </c>
      <c r="T81" s="2625" t="n">
        <v>10606575</v>
      </c>
      <c r="U81" s="2625" t="n">
        <v>41965350</v>
      </c>
      <c r="V81" s="2625" t="n">
        <v>97289430</v>
      </c>
      <c r="W81" s="2633" t="n"/>
      <c r="X81" s="2633" t="n"/>
      <c r="Y81" s="2633" t="n"/>
      <c r="Z81" s="2633" t="n"/>
      <c r="AA81" s="2633" t="n"/>
      <c r="AB81" s="2633" t="n"/>
      <c r="AC81" s="2633" t="n"/>
      <c r="AD81" s="2633" t="n"/>
      <c r="AE81" s="2626">
        <f>SUM(S81:AD81)</f>
        <v/>
      </c>
      <c r="AF81" s="1464" t="inlineStr">
        <is>
          <t>사업계획 (컴투스 개발 외주 포함비용) ~ 약 1억</t>
        </is>
      </c>
      <c r="AG81" s="2633" t="n"/>
      <c r="AH81" s="2633" t="n"/>
      <c r="AI81" s="2633" t="n">
        <v>0</v>
      </c>
      <c r="AJ81" s="2633" t="n">
        <v>0</v>
      </c>
      <c r="AK81" s="2633" t="n">
        <v>0</v>
      </c>
      <c r="AL81" s="2633" t="n">
        <v>0</v>
      </c>
      <c r="AM81" s="2633" t="n"/>
      <c r="AN81" s="2633" t="n"/>
      <c r="AO81" s="2633" t="n"/>
      <c r="AP81" s="2633" t="n"/>
      <c r="AQ81" s="2633" t="n"/>
      <c r="AR81" s="2633" t="n"/>
      <c r="AS81" s="2626">
        <f>SUM(AG81:AR81)</f>
        <v/>
      </c>
      <c r="AU81" s="2633" t="n"/>
      <c r="AV81" s="2633" t="n"/>
      <c r="AW81" s="2633" t="n"/>
      <c r="AX81" s="2633" t="n"/>
      <c r="AY81" s="2633" t="n"/>
      <c r="AZ81" s="2633" t="n"/>
      <c r="BA81" s="2633" t="n"/>
      <c r="BB81" s="2633" t="n"/>
      <c r="BC81" s="2633" t="n"/>
      <c r="BD81" s="2633" t="n"/>
      <c r="BE81" s="2633" t="n"/>
      <c r="BF81" s="2627" t="n"/>
      <c r="BG81" s="2628">
        <f>SUM(AU81:BF81)</f>
        <v/>
      </c>
      <c r="BI81" s="2627" t="n"/>
      <c r="BJ81" s="2627" t="n"/>
      <c r="BK81" s="2627" t="n"/>
      <c r="BL81" s="2627" t="n"/>
      <c r="BM81" s="2627" t="n"/>
      <c r="BN81" s="2627" t="n"/>
      <c r="BO81" s="2627" t="n"/>
      <c r="BP81" s="2627" t="n"/>
      <c r="BQ81" s="2627" t="n"/>
      <c r="BR81" s="2627" t="n"/>
      <c r="BS81" s="2627" t="n"/>
      <c r="BT81" s="2627" t="n"/>
      <c r="BU81" s="2628">
        <f>SUM(BI81:BT81)</f>
        <v/>
      </c>
    </row>
    <row r="82" outlineLevel="1">
      <c r="A82" s="1470" t="n"/>
      <c r="B82" s="1456" t="inlineStr">
        <is>
          <t>매출채권및기타채권손상차손</t>
        </is>
      </c>
      <c r="C82" s="1456" t="inlineStr">
        <is>
          <t>기타</t>
        </is>
      </c>
      <c r="D82" s="2625" t="n"/>
      <c r="E82" s="2625" t="n"/>
      <c r="F82" s="2625" t="n"/>
      <c r="G82" s="2625" t="n"/>
      <c r="H82" s="2625" t="n">
        <v>0</v>
      </c>
      <c r="I82" s="2625" t="n">
        <v>0</v>
      </c>
      <c r="J82" s="2625" t="n">
        <v>0</v>
      </c>
      <c r="K82" s="2625" t="n">
        <v>0</v>
      </c>
      <c r="L82" s="2625" t="n">
        <v>0</v>
      </c>
      <c r="M82" s="2625" t="n">
        <v>0</v>
      </c>
      <c r="N82" s="2625" t="n">
        <v>0</v>
      </c>
      <c r="O82" s="2625" t="n">
        <v>0</v>
      </c>
      <c r="P82" s="2626">
        <f>SUM(D82:O82)</f>
        <v/>
      </c>
      <c r="Q82" s="1466" t="n"/>
      <c r="R82" s="1436" t="n"/>
      <c r="S82" s="2625" t="n">
        <v>0</v>
      </c>
      <c r="T82" s="2625" t="n">
        <v>0</v>
      </c>
      <c r="U82" s="2625" t="n">
        <v>0</v>
      </c>
      <c r="V82" s="2625" t="n">
        <v>0</v>
      </c>
      <c r="W82" s="2633" t="n"/>
      <c r="X82" s="2633" t="n"/>
      <c r="Y82" s="2633" t="n"/>
      <c r="Z82" s="2633" t="n"/>
      <c r="AA82" s="2633" t="n"/>
      <c r="AB82" s="2633" t="n"/>
      <c r="AC82" s="2633" t="n"/>
      <c r="AD82" s="2633" t="n"/>
      <c r="AE82" s="2626">
        <f>SUM(S82:AD82)</f>
        <v/>
      </c>
      <c r="AF82" s="1466" t="n"/>
      <c r="AG82" s="2633" t="n"/>
      <c r="AH82" s="2633" t="n"/>
      <c r="AI82" s="2633" t="n">
        <v>0</v>
      </c>
      <c r="AJ82" s="2633" t="n">
        <v>0</v>
      </c>
      <c r="AK82" s="2633" t="n">
        <v>0</v>
      </c>
      <c r="AL82" s="2633" t="n">
        <v>0</v>
      </c>
      <c r="AM82" s="2633" t="n"/>
      <c r="AN82" s="2633" t="n"/>
      <c r="AO82" s="2633" t="n"/>
      <c r="AP82" s="2633" t="n"/>
      <c r="AQ82" s="2633" t="n"/>
      <c r="AR82" s="2633" t="n"/>
      <c r="AS82" s="2626">
        <f>SUM(AG82:AR82)</f>
        <v/>
      </c>
      <c r="AU82" s="2633" t="n"/>
      <c r="AV82" s="2633" t="n"/>
      <c r="AW82" s="2633" t="n"/>
      <c r="AX82" s="2633" t="n"/>
      <c r="AY82" s="2633" t="n"/>
      <c r="AZ82" s="2633" t="n"/>
      <c r="BA82" s="2633" t="n"/>
      <c r="BB82" s="2633" t="n"/>
      <c r="BC82" s="2633" t="n"/>
      <c r="BD82" s="2633" t="n"/>
      <c r="BE82" s="2633" t="n"/>
      <c r="BF82" s="2627" t="n"/>
      <c r="BG82" s="2628">
        <f>SUM(AU82:BF82)</f>
        <v/>
      </c>
      <c r="BI82" s="2627" t="n"/>
      <c r="BJ82" s="2627" t="n"/>
      <c r="BK82" s="2627" t="n"/>
      <c r="BL82" s="2627" t="n"/>
      <c r="BM82" s="2627" t="n"/>
      <c r="BN82" s="2627" t="n"/>
      <c r="BO82" s="2627" t="n"/>
      <c r="BP82" s="2627" t="n"/>
      <c r="BQ82" s="2627" t="n"/>
      <c r="BR82" s="2627" t="n"/>
      <c r="BS82" s="2627" t="n"/>
      <c r="BT82" s="2627" t="n"/>
      <c r="BU82" s="2628">
        <f>SUM(BI82:BT82)</f>
        <v/>
      </c>
    </row>
    <row r="83" outlineLevel="1">
      <c r="A83" s="1470" t="n"/>
      <c r="B83" s="1456" t="inlineStr">
        <is>
          <t>운용리스료</t>
        </is>
      </c>
      <c r="C83" s="1456" t="inlineStr">
        <is>
          <t>기타</t>
        </is>
      </c>
      <c r="D83" s="2625" t="n"/>
      <c r="E83" s="2625" t="n"/>
      <c r="F83" s="2625" t="n"/>
      <c r="G83" s="2625" t="n"/>
      <c r="H83" s="2625" t="n">
        <v>0</v>
      </c>
      <c r="I83" s="2625" t="n">
        <v>0</v>
      </c>
      <c r="J83" s="2625" t="n">
        <v>0</v>
      </c>
      <c r="K83" s="2625" t="n">
        <v>0</v>
      </c>
      <c r="L83" s="2625" t="n">
        <v>0</v>
      </c>
      <c r="M83" s="2625" t="n">
        <v>0</v>
      </c>
      <c r="N83" s="2625" t="n">
        <v>0</v>
      </c>
      <c r="O83" s="2625" t="n">
        <v>0</v>
      </c>
      <c r="P83" s="2626">
        <f>SUM(D83:O83)</f>
        <v/>
      </c>
      <c r="Q83" s="1466" t="n"/>
      <c r="R83" s="1436" t="n"/>
      <c r="S83" s="2625" t="n">
        <v>0</v>
      </c>
      <c r="T83" s="2625" t="n">
        <v>0</v>
      </c>
      <c r="U83" s="2625" t="n">
        <v>0</v>
      </c>
      <c r="V83" s="2625" t="n">
        <v>0</v>
      </c>
      <c r="W83" s="2633" t="n"/>
      <c r="X83" s="2633" t="n"/>
      <c r="Y83" s="2633" t="n"/>
      <c r="Z83" s="2633" t="n"/>
      <c r="AA83" s="2633" t="n"/>
      <c r="AB83" s="2633" t="n"/>
      <c r="AC83" s="2633" t="n"/>
      <c r="AD83" s="2633" t="n"/>
      <c r="AE83" s="2626">
        <f>SUM(S83:AD83)</f>
        <v/>
      </c>
      <c r="AF83" s="1466" t="n"/>
      <c r="AG83" s="2633" t="n"/>
      <c r="AH83" s="2633" t="n"/>
      <c r="AI83" s="2633" t="n">
        <v>0</v>
      </c>
      <c r="AJ83" s="2633" t="n">
        <v>0</v>
      </c>
      <c r="AK83" s="2633" t="n">
        <v>0</v>
      </c>
      <c r="AL83" s="2633" t="n">
        <v>0</v>
      </c>
      <c r="AM83" s="2633" t="n"/>
      <c r="AN83" s="2633" t="n"/>
      <c r="AO83" s="2633" t="n"/>
      <c r="AP83" s="2633" t="n"/>
      <c r="AQ83" s="2633" t="n"/>
      <c r="AR83" s="2633" t="n"/>
      <c r="AS83" s="2626">
        <f>SUM(AG83:AR83)</f>
        <v/>
      </c>
      <c r="AU83" s="2633" t="n"/>
      <c r="AV83" s="2633" t="n"/>
      <c r="AW83" s="2633" t="n"/>
      <c r="AX83" s="2633" t="n"/>
      <c r="AY83" s="2633" t="n"/>
      <c r="AZ83" s="2633" t="n"/>
      <c r="BA83" s="2633" t="n"/>
      <c r="BB83" s="2633" t="n"/>
      <c r="BC83" s="2633" t="n"/>
      <c r="BD83" s="2633" t="n"/>
      <c r="BE83" s="2633" t="n"/>
      <c r="BF83" s="2627" t="n"/>
      <c r="BG83" s="2628">
        <f>SUM(AU83:BF83)</f>
        <v/>
      </c>
      <c r="BI83" s="2627" t="n"/>
      <c r="BJ83" s="2627" t="n"/>
      <c r="BK83" s="2627" t="n"/>
      <c r="BL83" s="2627" t="n"/>
      <c r="BM83" s="2627" t="n"/>
      <c r="BN83" s="2627" t="n"/>
      <c r="BO83" s="2627" t="n"/>
      <c r="BP83" s="2627" t="n"/>
      <c r="BQ83" s="2627" t="n"/>
      <c r="BR83" s="2627" t="n"/>
      <c r="BS83" s="2627" t="n"/>
      <c r="BT83" s="2627" t="n"/>
      <c r="BU83" s="2628">
        <f>SUM(BI83:BT83)</f>
        <v/>
      </c>
    </row>
    <row r="84" outlineLevel="1">
      <c r="A84" s="1470" t="n"/>
      <c r="B84" s="1456" t="inlineStr">
        <is>
          <t>주식보상비용</t>
        </is>
      </c>
      <c r="C84" s="1456" t="inlineStr">
        <is>
          <t>기타</t>
        </is>
      </c>
      <c r="D84" s="2625" t="n"/>
      <c r="E84" s="2625" t="n"/>
      <c r="F84" s="2625" t="n"/>
      <c r="G84" s="2625" t="n"/>
      <c r="H84" s="2625" t="n">
        <v>0</v>
      </c>
      <c r="I84" s="2625" t="n">
        <v>0</v>
      </c>
      <c r="J84" s="2625" t="n">
        <v>0</v>
      </c>
      <c r="K84" s="2625" t="n">
        <v>0</v>
      </c>
      <c r="L84" s="2625" t="n">
        <v>0</v>
      </c>
      <c r="M84" s="2625" t="n">
        <v>0</v>
      </c>
      <c r="N84" s="2625" t="n">
        <v>0</v>
      </c>
      <c r="O84" s="2625" t="n">
        <v>0</v>
      </c>
      <c r="P84" s="2626">
        <f>SUM(D84:O84)</f>
        <v/>
      </c>
      <c r="Q84" s="1466" t="n"/>
      <c r="R84" s="1436" t="n"/>
      <c r="S84" s="2625" t="n">
        <v>0</v>
      </c>
      <c r="T84" s="2625" t="n">
        <v>0</v>
      </c>
      <c r="U84" s="2625" t="n">
        <v>0</v>
      </c>
      <c r="V84" s="2625" t="n">
        <v>0</v>
      </c>
      <c r="W84" s="2633" t="n"/>
      <c r="X84" s="2633" t="n"/>
      <c r="Y84" s="2633" t="n"/>
      <c r="Z84" s="2633" t="n"/>
      <c r="AA84" s="2633" t="n"/>
      <c r="AB84" s="2633" t="n"/>
      <c r="AC84" s="2633" t="n"/>
      <c r="AD84" s="2633" t="n"/>
      <c r="AE84" s="2626">
        <f>SUM(S84:AD84)</f>
        <v/>
      </c>
      <c r="AF84" s="1466" t="n"/>
      <c r="AG84" s="2633" t="n"/>
      <c r="AH84" s="2633" t="n"/>
      <c r="AI84" s="2633" t="n">
        <v>0</v>
      </c>
      <c r="AJ84" s="2633" t="n">
        <v>0</v>
      </c>
      <c r="AK84" s="2633" t="n">
        <v>0</v>
      </c>
      <c r="AL84" s="2633" t="n">
        <v>0</v>
      </c>
      <c r="AM84" s="2633" t="n"/>
      <c r="AN84" s="2633" t="n"/>
      <c r="AO84" s="2633" t="n"/>
      <c r="AP84" s="2633" t="n"/>
      <c r="AQ84" s="2633" t="n"/>
      <c r="AR84" s="2633" t="n"/>
      <c r="AS84" s="2626">
        <f>SUM(AG84:AR84)</f>
        <v/>
      </c>
      <c r="AU84" s="2633" t="n"/>
      <c r="AV84" s="2633" t="n"/>
      <c r="AW84" s="2633" t="n"/>
      <c r="AX84" s="2633" t="n"/>
      <c r="AY84" s="2633" t="n"/>
      <c r="AZ84" s="2633" t="n"/>
      <c r="BA84" s="2633" t="n"/>
      <c r="BB84" s="2633" t="n"/>
      <c r="BC84" s="2633" t="n"/>
      <c r="BD84" s="2633" t="n"/>
      <c r="BE84" s="2633" t="n"/>
      <c r="BF84" s="2627" t="n"/>
      <c r="BG84" s="2628">
        <f>SUM(AU84:BF84)</f>
        <v/>
      </c>
      <c r="BI84" s="2627" t="n"/>
      <c r="BJ84" s="2627" t="n"/>
      <c r="BK84" s="2627" t="n"/>
      <c r="BL84" s="2627" t="n"/>
      <c r="BM84" s="2627" t="n"/>
      <c r="BN84" s="2627" t="n"/>
      <c r="BO84" s="2627" t="n"/>
      <c r="BP84" s="2627" t="n"/>
      <c r="BQ84" s="2627" t="n"/>
      <c r="BR84" s="2627" t="n"/>
      <c r="BS84" s="2627" t="n"/>
      <c r="BT84" s="2627" t="n"/>
      <c r="BU84" s="2628">
        <f>SUM(BI84:BT84)</f>
        <v/>
      </c>
    </row>
    <row r="85" outlineLevel="1">
      <c r="A85" s="1470" t="n"/>
      <c r="B85" s="1456" t="inlineStr">
        <is>
          <t>프로젝트손실충당부채전입액 &gt; 재고자산 평가 손실</t>
        </is>
      </c>
      <c r="C85" s="1456" t="inlineStr">
        <is>
          <t>기타</t>
        </is>
      </c>
      <c r="D85" s="2625" t="n"/>
      <c r="E85" s="2625" t="n"/>
      <c r="F85" s="2625" t="n"/>
      <c r="G85" s="2625" t="n"/>
      <c r="H85" s="2625" t="n">
        <v>0</v>
      </c>
      <c r="I85" s="2625" t="n">
        <v>0</v>
      </c>
      <c r="J85" s="2625" t="n">
        <v>0</v>
      </c>
      <c r="K85" s="2625" t="n">
        <v>0</v>
      </c>
      <c r="L85" s="2625" t="n">
        <v>0</v>
      </c>
      <c r="M85" s="2625" t="n">
        <v>0</v>
      </c>
      <c r="N85" s="2625" t="n">
        <v>0</v>
      </c>
      <c r="O85" s="2625" t="n">
        <v>0</v>
      </c>
      <c r="P85" s="2626">
        <f>SUM(D85:O85)</f>
        <v/>
      </c>
      <c r="Q85" s="1466" t="n"/>
      <c r="R85" s="1436" t="n"/>
      <c r="S85" s="2625" t="n">
        <v>0</v>
      </c>
      <c r="T85" s="2625" t="n">
        <v>0</v>
      </c>
      <c r="U85" s="2625" t="n">
        <v>0</v>
      </c>
      <c r="V85" s="2625" t="n">
        <v>0</v>
      </c>
      <c r="W85" s="2633" t="n"/>
      <c r="X85" s="2633" t="n"/>
      <c r="Y85" s="2633" t="n"/>
      <c r="Z85" s="2633" t="n"/>
      <c r="AA85" s="2633" t="n"/>
      <c r="AB85" s="2633" t="n"/>
      <c r="AC85" s="2633" t="n"/>
      <c r="AD85" s="2633" t="n"/>
      <c r="AE85" s="2626">
        <f>SUM(S85:AD85)</f>
        <v/>
      </c>
      <c r="AF85" s="1466" t="n"/>
      <c r="AG85" s="2633" t="n"/>
      <c r="AH85" s="2633" t="n"/>
      <c r="AI85" s="2633" t="n">
        <v>0</v>
      </c>
      <c r="AJ85" s="2633" t="n">
        <v>0</v>
      </c>
      <c r="AK85" s="2633" t="n">
        <v>0</v>
      </c>
      <c r="AL85" s="2633" t="n">
        <v>0</v>
      </c>
      <c r="AM85" s="2633" t="n"/>
      <c r="AN85" s="2633" t="n"/>
      <c r="AO85" s="2633" t="n"/>
      <c r="AP85" s="2633" t="n"/>
      <c r="AQ85" s="2633" t="n"/>
      <c r="AR85" s="2633" t="n"/>
      <c r="AS85" s="2626">
        <f>SUM(AG85:AR85)</f>
        <v/>
      </c>
      <c r="AU85" s="2633" t="n"/>
      <c r="AV85" s="2633" t="n"/>
      <c r="AW85" s="2633" t="n"/>
      <c r="AX85" s="2633" t="n"/>
      <c r="AY85" s="2633" t="n"/>
      <c r="AZ85" s="2633" t="n"/>
      <c r="BA85" s="2633" t="n"/>
      <c r="BB85" s="2633" t="n"/>
      <c r="BC85" s="2633" t="n"/>
      <c r="BD85" s="2633" t="n"/>
      <c r="BE85" s="2633" t="n"/>
      <c r="BF85" s="2627" t="n"/>
      <c r="BG85" s="2628">
        <f>SUM(AU85:BF85)</f>
        <v/>
      </c>
      <c r="BI85" s="2627" t="n"/>
      <c r="BJ85" s="2627" t="n"/>
      <c r="BK85" s="2627" t="n"/>
      <c r="BL85" s="2627" t="n"/>
      <c r="BM85" s="2627" t="n"/>
      <c r="BN85" s="2627" t="n"/>
      <c r="BO85" s="2627" t="n"/>
      <c r="BP85" s="2627" t="n"/>
      <c r="BQ85" s="2627" t="n"/>
      <c r="BR85" s="2627" t="n"/>
      <c r="BS85" s="2627" t="n"/>
      <c r="BT85" s="2627" t="n"/>
      <c r="BU85" s="2628">
        <f>SUM(BI85:BT85)</f>
        <v/>
      </c>
    </row>
    <row r="86">
      <c r="A86" s="1470" t="n"/>
      <c r="B86" s="1471" t="inlineStr">
        <is>
          <t>III.매출총이익</t>
        </is>
      </c>
      <c r="C86" s="1471" t="n"/>
      <c r="D86" s="2622">
        <f>D5-D53</f>
        <v/>
      </c>
      <c r="E86" s="2622">
        <f>E5-E53</f>
        <v/>
      </c>
      <c r="F86" s="2622">
        <f>F5-F53</f>
        <v/>
      </c>
      <c r="G86" s="2622">
        <f>G5-G53</f>
        <v/>
      </c>
      <c r="H86" s="2622">
        <f>H5-H53</f>
        <v/>
      </c>
      <c r="I86" s="2622">
        <f>I5-I53</f>
        <v/>
      </c>
      <c r="J86" s="2622">
        <f>J5-J53</f>
        <v/>
      </c>
      <c r="K86" s="2622">
        <f>K5-K53</f>
        <v/>
      </c>
      <c r="L86" s="2622">
        <f>L5-L53</f>
        <v/>
      </c>
      <c r="M86" s="2622">
        <f>M5-M53</f>
        <v/>
      </c>
      <c r="N86" s="2622">
        <f>N5-N53</f>
        <v/>
      </c>
      <c r="O86" s="2622">
        <f>O5-O53</f>
        <v/>
      </c>
      <c r="P86" s="2623">
        <f>SUM(D86:O86)</f>
        <v/>
      </c>
      <c r="Q86" s="1466" t="n"/>
      <c r="R86" s="1436" t="n"/>
      <c r="S86" s="2622">
        <f>S5-S53</f>
        <v/>
      </c>
      <c r="T86" s="2622">
        <f>T5-T53</f>
        <v/>
      </c>
      <c r="U86" s="2622">
        <f>U5-U53</f>
        <v/>
      </c>
      <c r="V86" s="2622">
        <f>V5-V53</f>
        <v/>
      </c>
      <c r="W86" s="2622">
        <f>W5-W53</f>
        <v/>
      </c>
      <c r="X86" s="2622">
        <f>X5-X53</f>
        <v/>
      </c>
      <c r="Y86" s="2622">
        <f>Y5-Y53</f>
        <v/>
      </c>
      <c r="Z86" s="2622">
        <f>Z5-Z53</f>
        <v/>
      </c>
      <c r="AA86" s="2622">
        <f>AA5-AA53</f>
        <v/>
      </c>
      <c r="AB86" s="2622">
        <f>AB5-AB53</f>
        <v/>
      </c>
      <c r="AC86" s="2622">
        <f>AC5-AC53</f>
        <v/>
      </c>
      <c r="AD86" s="2622">
        <f>AD5-AD53</f>
        <v/>
      </c>
      <c r="AE86" s="2623">
        <f>SUM(S86:AD86)</f>
        <v/>
      </c>
      <c r="AF86" s="1466" t="n"/>
      <c r="AG86" s="2622">
        <f>AG5-AG53</f>
        <v/>
      </c>
      <c r="AH86" s="2622">
        <f>AH5-AH53</f>
        <v/>
      </c>
      <c r="AI86" s="2622">
        <f>AI5-AI53</f>
        <v/>
      </c>
      <c r="AJ86" s="2622">
        <f>AJ5-AJ53</f>
        <v/>
      </c>
      <c r="AK86" s="2622">
        <f>AK5-AK53</f>
        <v/>
      </c>
      <c r="AL86" s="2622">
        <f>AL5-AL53</f>
        <v/>
      </c>
      <c r="AM86" s="2622">
        <f>AM5-AM53</f>
        <v/>
      </c>
      <c r="AN86" s="2622">
        <f>AN5-AN53</f>
        <v/>
      </c>
      <c r="AO86" s="2622">
        <f>AO5-AO53</f>
        <v/>
      </c>
      <c r="AP86" s="2622">
        <f>AP5-AP53</f>
        <v/>
      </c>
      <c r="AQ86" s="2622">
        <f>AQ5-AQ53</f>
        <v/>
      </c>
      <c r="AR86" s="2622">
        <f>AR5-AR53</f>
        <v/>
      </c>
      <c r="AS86" s="2623">
        <f>SUM(AG86:AR86)</f>
        <v/>
      </c>
      <c r="AU86" s="2622">
        <f>AU5-AU53</f>
        <v/>
      </c>
      <c r="AV86" s="2622">
        <f>AV5-AV53</f>
        <v/>
      </c>
      <c r="AW86" s="2622">
        <f>AW5-AW53</f>
        <v/>
      </c>
      <c r="AX86" s="2622">
        <f>AX5-AX53</f>
        <v/>
      </c>
      <c r="AY86" s="2622">
        <f>AY5-AY53</f>
        <v/>
      </c>
      <c r="AZ86" s="2622">
        <f>AZ5-AZ53</f>
        <v/>
      </c>
      <c r="BA86" s="2622">
        <f>BA5-BA53</f>
        <v/>
      </c>
      <c r="BB86" s="2622">
        <f>BB5-BB53</f>
        <v/>
      </c>
      <c r="BC86" s="2622">
        <f>BC5-BC53</f>
        <v/>
      </c>
      <c r="BD86" s="2622">
        <f>BD5-BD53</f>
        <v/>
      </c>
      <c r="BE86" s="2622">
        <f>BE5-BE53</f>
        <v/>
      </c>
      <c r="BF86" s="2622">
        <f>BF5-BF53</f>
        <v/>
      </c>
      <c r="BG86" s="2624">
        <f>SUM(AU86:BF86)</f>
        <v/>
      </c>
      <c r="BI86" s="2622">
        <f>BI5-BI53</f>
        <v/>
      </c>
      <c r="BJ86" s="2622">
        <f>BJ5-BJ53</f>
        <v/>
      </c>
      <c r="BK86" s="2622">
        <f>BK5-BK53</f>
        <v/>
      </c>
      <c r="BL86" s="2622">
        <f>BL5-BL53</f>
        <v/>
      </c>
      <c r="BM86" s="2622">
        <f>BM5-BM53</f>
        <v/>
      </c>
      <c r="BN86" s="2622">
        <f>BN5-BN53</f>
        <v/>
      </c>
      <c r="BO86" s="2622">
        <f>BO5-BO53</f>
        <v/>
      </c>
      <c r="BP86" s="2622">
        <f>BP5-BP53</f>
        <v/>
      </c>
      <c r="BQ86" s="2622">
        <f>BQ5-BQ53</f>
        <v/>
      </c>
      <c r="BR86" s="2622">
        <f>BR5-BR53</f>
        <v/>
      </c>
      <c r="BS86" s="2622">
        <f>BS5-BS53</f>
        <v/>
      </c>
      <c r="BT86" s="2622">
        <f>BT5-BT53</f>
        <v/>
      </c>
      <c r="BU86" s="2624">
        <f>SUM(BI86:BT86)</f>
        <v/>
      </c>
    </row>
    <row r="87">
      <c r="A87" s="1470" t="n"/>
      <c r="B87" s="1471" t="inlineStr">
        <is>
          <t>IV.판매비와관리비</t>
        </is>
      </c>
      <c r="C87" s="1471" t="n"/>
      <c r="D87" s="2622">
        <f>SUM(D88:D120)</f>
        <v/>
      </c>
      <c r="E87" s="2622">
        <f>SUM(E88:E120)</f>
        <v/>
      </c>
      <c r="F87" s="2622">
        <f>SUM(F88:F120)</f>
        <v/>
      </c>
      <c r="G87" s="2622">
        <f>SUM(G88:G120)</f>
        <v/>
      </c>
      <c r="H87" s="2622">
        <f>SUM(H88:H120)</f>
        <v/>
      </c>
      <c r="I87" s="2622">
        <f>SUM(I88:I121)</f>
        <v/>
      </c>
      <c r="J87" s="2622">
        <f>SUM(J88:J121)</f>
        <v/>
      </c>
      <c r="K87" s="2622">
        <f>SUM(K88:K121)</f>
        <v/>
      </c>
      <c r="L87" s="2622">
        <f>SUM(L88:L121)</f>
        <v/>
      </c>
      <c r="M87" s="2622">
        <f>SUM(M88:M121)</f>
        <v/>
      </c>
      <c r="N87" s="2622">
        <f>SUM(N88:N121)</f>
        <v/>
      </c>
      <c r="O87" s="2622">
        <f>SUM(O88:O121)</f>
        <v/>
      </c>
      <c r="P87" s="2623">
        <f>SUM(D87:O87)</f>
        <v/>
      </c>
      <c r="Q87" s="1466" t="n"/>
      <c r="R87" s="1436" t="n"/>
      <c r="S87" s="2622">
        <f>SUM(S88:S121)</f>
        <v/>
      </c>
      <c r="T87" s="2622">
        <f>SUM(T88:T121)</f>
        <v/>
      </c>
      <c r="U87" s="2622">
        <f>SUM(U88:U121)</f>
        <v/>
      </c>
      <c r="V87" s="2622">
        <f>SUM(V88:V121)</f>
        <v/>
      </c>
      <c r="W87" s="2622">
        <f>SUM(W88:W121)</f>
        <v/>
      </c>
      <c r="X87" s="2622">
        <f>SUM(X88:X121)</f>
        <v/>
      </c>
      <c r="Y87" s="2622">
        <f>SUM(Y88:Y121)</f>
        <v/>
      </c>
      <c r="Z87" s="2622">
        <f>SUM(Z88:Z121)</f>
        <v/>
      </c>
      <c r="AA87" s="2622">
        <f>SUM(AA88:AA121)</f>
        <v/>
      </c>
      <c r="AB87" s="2622">
        <f>SUM(AB88:AB121)</f>
        <v/>
      </c>
      <c r="AC87" s="2622">
        <f>SUM(AC88:AC121)</f>
        <v/>
      </c>
      <c r="AD87" s="2622">
        <f>SUM(AD88:AD121)</f>
        <v/>
      </c>
      <c r="AE87" s="2623">
        <f>SUM(S87:AD87)</f>
        <v/>
      </c>
      <c r="AF87" s="1466" t="n"/>
      <c r="AG87" s="2622">
        <f>SUM(AG88:AG121)</f>
        <v/>
      </c>
      <c r="AH87" s="2622">
        <f>SUM(AH88:AH121)</f>
        <v/>
      </c>
      <c r="AI87" s="2622">
        <f>SUM(AI88:AI121)</f>
        <v/>
      </c>
      <c r="AJ87" s="2622">
        <f>SUM(AJ88:AJ121)</f>
        <v/>
      </c>
      <c r="AK87" s="2622">
        <f>SUM(AK88:AK121)</f>
        <v/>
      </c>
      <c r="AL87" s="2622">
        <f>SUM(AL88:AL121)</f>
        <v/>
      </c>
      <c r="AM87" s="2622">
        <f>SUM(AM88:AM121)</f>
        <v/>
      </c>
      <c r="AN87" s="2622">
        <f>SUM(AN88:AN121)</f>
        <v/>
      </c>
      <c r="AO87" s="2622">
        <f>SUM(AO88:AO121)</f>
        <v/>
      </c>
      <c r="AP87" s="2622">
        <f>SUM(AP88:AP121)</f>
        <v/>
      </c>
      <c r="AQ87" s="2622">
        <f>SUM(AQ88:AQ121)</f>
        <v/>
      </c>
      <c r="AR87" s="2622">
        <f>SUM(AR88:AR121)</f>
        <v/>
      </c>
      <c r="AS87" s="2623">
        <f>SUM(AG87:AR87)</f>
        <v/>
      </c>
      <c r="AU87" s="2622">
        <f>SUM(AU88:AU121)</f>
        <v/>
      </c>
      <c r="AV87" s="2622">
        <f>SUM(AV88:AV121)</f>
        <v/>
      </c>
      <c r="AW87" s="2622">
        <f>SUM(AW88:AW121)</f>
        <v/>
      </c>
      <c r="AX87" s="2622">
        <f>SUM(AX88:AX121)</f>
        <v/>
      </c>
      <c r="AY87" s="2622">
        <f>SUM(AY88:AY121)</f>
        <v/>
      </c>
      <c r="AZ87" s="2622">
        <f>SUM(AZ88:AZ121)</f>
        <v/>
      </c>
      <c r="BA87" s="2622">
        <f>SUM(BA88:BA121)</f>
        <v/>
      </c>
      <c r="BB87" s="2622">
        <f>SUM(BB88:BB121)</f>
        <v/>
      </c>
      <c r="BC87" s="2622">
        <f>SUM(BC88:BC121)</f>
        <v/>
      </c>
      <c r="BD87" s="2622">
        <f>SUM(BD88:BD121)</f>
        <v/>
      </c>
      <c r="BE87" s="2622">
        <f>SUM(BE88:BE121)</f>
        <v/>
      </c>
      <c r="BF87" s="2622">
        <f>SUM(BF88:BF121)</f>
        <v/>
      </c>
      <c r="BG87" s="2624">
        <f>SUM(AU87:BF87)</f>
        <v/>
      </c>
      <c r="BI87" s="2622">
        <f>SUM(BI88:BI121)</f>
        <v/>
      </c>
      <c r="BJ87" s="2622">
        <f>SUM(BJ88:BJ121)</f>
        <v/>
      </c>
      <c r="BK87" s="2622">
        <f>SUM(BK88:BK121)</f>
        <v/>
      </c>
      <c r="BL87" s="2622">
        <f>SUM(BL88:BL121)</f>
        <v/>
      </c>
      <c r="BM87" s="2622">
        <f>SUM(BM88:BM121)</f>
        <v/>
      </c>
      <c r="BN87" s="2622">
        <f>SUM(BN88:BN121)</f>
        <v/>
      </c>
      <c r="BO87" s="2622">
        <f>SUM(BO88:BO121)</f>
        <v/>
      </c>
      <c r="BP87" s="2622">
        <f>SUM(BP88:BP121)</f>
        <v/>
      </c>
      <c r="BQ87" s="2622">
        <f>SUM(BQ88:BQ121)</f>
        <v/>
      </c>
      <c r="BR87" s="2622">
        <f>SUM(BR88:BR121)</f>
        <v/>
      </c>
      <c r="BS87" s="2622">
        <f>SUM(BS88:BS121)</f>
        <v/>
      </c>
      <c r="BT87" s="2622">
        <f>SUM(BT88:BT121)</f>
        <v/>
      </c>
      <c r="BU87" s="2624">
        <f>SUM(BI87:BT87)</f>
        <v/>
      </c>
    </row>
    <row r="88" outlineLevel="1">
      <c r="A88" s="1470" t="n"/>
      <c r="B88" s="1456" t="inlineStr">
        <is>
          <t>급여</t>
        </is>
      </c>
      <c r="C88" s="1456" t="inlineStr">
        <is>
          <t>인건비 등</t>
        </is>
      </c>
      <c r="D88" s="2625" t="n"/>
      <c r="E88" s="2625" t="n"/>
      <c r="F88" s="2625" t="n"/>
      <c r="G88" s="2625" t="n">
        <v>71740770</v>
      </c>
      <c r="H88" s="2625" t="n">
        <v>77231880</v>
      </c>
      <c r="I88" s="2625" t="n">
        <v>69649380</v>
      </c>
      <c r="J88" s="2625" t="n">
        <v>79227970</v>
      </c>
      <c r="K88" s="2625" t="n">
        <v>129360737</v>
      </c>
      <c r="L88" s="2625" t="n">
        <v>145677557</v>
      </c>
      <c r="M88" s="2625" t="n">
        <v>127722980</v>
      </c>
      <c r="N88" s="2625" t="n">
        <v>144741910</v>
      </c>
      <c r="O88" s="2625" t="n">
        <v>204976875</v>
      </c>
      <c r="P88" s="2626">
        <f>SUM(D88:O88)</f>
        <v/>
      </c>
      <c r="Q88" s="1464" t="inlineStr">
        <is>
          <t>인원계획 조정(11월까지 매월 10명 증가 가정)</t>
        </is>
      </c>
      <c r="R88" s="1436" t="n"/>
      <c r="S88" s="2625" t="n">
        <v>93806982</v>
      </c>
      <c r="T88" s="2625" t="n">
        <v>102143134</v>
      </c>
      <c r="U88" s="2625" t="n">
        <v>138373680</v>
      </c>
      <c r="V88" s="2625" t="n">
        <v>130644662</v>
      </c>
      <c r="W88" s="2625" t="n">
        <v>934580783</v>
      </c>
      <c r="X88" s="2625" t="n">
        <v>917800682</v>
      </c>
      <c r="Y88" s="2625" t="n">
        <v>893783361</v>
      </c>
      <c r="Z88" s="2625" t="n">
        <v>962134146</v>
      </c>
      <c r="AA88" s="2625" t="n">
        <v>808947862</v>
      </c>
      <c r="AB88" s="2625" t="n">
        <v>520390885</v>
      </c>
      <c r="AC88" s="2625" t="n">
        <v>463584101</v>
      </c>
      <c r="AD88" s="2625" t="n">
        <v>119459980</v>
      </c>
      <c r="AE88" s="2626">
        <f>SUM(S88:AD88)</f>
        <v/>
      </c>
      <c r="AF88" s="1464" t="inlineStr">
        <is>
          <t>12월 실적</t>
        </is>
      </c>
      <c r="AG88" s="2625" t="n">
        <v>219862894</v>
      </c>
      <c r="AH88" s="2625" t="n">
        <v>213054394</v>
      </c>
      <c r="AI88" s="2625" t="n">
        <v>164561255</v>
      </c>
      <c r="AJ88" s="2625" t="n">
        <v>208362412</v>
      </c>
      <c r="AK88" s="2625" t="n">
        <v>191040112</v>
      </c>
      <c r="AL88" s="2625" t="n">
        <v>185722901</v>
      </c>
      <c r="AM88" s="2625" t="n">
        <v>132666072</v>
      </c>
      <c r="AN88" s="2625" t="n">
        <v>90461526</v>
      </c>
      <c r="AO88" s="2625" t="n">
        <v>-10035289</v>
      </c>
      <c r="AP88" s="2625" t="n">
        <v>39035205</v>
      </c>
      <c r="AQ88" s="2625" t="n">
        <v>29901076</v>
      </c>
      <c r="AR88" s="2625" t="n">
        <v>25322871</v>
      </c>
      <c r="AS88" s="2626">
        <f>SUM(AG88:AR88)</f>
        <v/>
      </c>
      <c r="AT88" s="1440" t="inlineStr">
        <is>
          <t>전월</t>
        </is>
      </c>
      <c r="AU88" s="2625">
        <f>27534240+223296</f>
        <v/>
      </c>
      <c r="AV88" s="2625" t="n">
        <v>27470626</v>
      </c>
      <c r="AW88" s="2625" t="n">
        <v>28531639</v>
      </c>
      <c r="AX88" s="2625" t="n">
        <v>29073306</v>
      </c>
      <c r="AY88" s="2625" t="n">
        <v>29073306</v>
      </c>
      <c r="AZ88" s="2625" t="n">
        <v>29015359</v>
      </c>
      <c r="BA88" s="2625" t="n">
        <v>28473306</v>
      </c>
      <c r="BB88" s="2625" t="n">
        <v>28473306</v>
      </c>
      <c r="BC88" s="2625" t="n">
        <v>29081828</v>
      </c>
      <c r="BD88" s="2625" t="n">
        <v>28473306</v>
      </c>
      <c r="BE88" s="2625" t="n">
        <v>28473306</v>
      </c>
      <c r="BF88" s="2627">
        <f>BE88</f>
        <v/>
      </c>
      <c r="BG88" s="2628">
        <f>SUM(AU88:BF88)</f>
        <v/>
      </c>
      <c r="BI88" s="2629">
        <f>BF88*1.02</f>
        <v/>
      </c>
      <c r="BJ88" s="2629">
        <f>BI88</f>
        <v/>
      </c>
      <c r="BK88" s="2629">
        <f>BJ88</f>
        <v/>
      </c>
      <c r="BL88" s="2629">
        <f>BK88</f>
        <v/>
      </c>
      <c r="BM88" s="2629">
        <f>BL88</f>
        <v/>
      </c>
      <c r="BN88" s="2629">
        <f>BM88</f>
        <v/>
      </c>
      <c r="BO88" s="2629">
        <f>BN88</f>
        <v/>
      </c>
      <c r="BP88" s="2629">
        <f>BO88</f>
        <v/>
      </c>
      <c r="BQ88" s="2629">
        <f>BP88</f>
        <v/>
      </c>
      <c r="BR88" s="2629">
        <f>BQ88</f>
        <v/>
      </c>
      <c r="BS88" s="2629">
        <f>BR88</f>
        <v/>
      </c>
      <c r="BT88" s="2629">
        <f>BS88</f>
        <v/>
      </c>
      <c r="BU88" s="2628">
        <f>SUM(BI88:BT88)</f>
        <v/>
      </c>
    </row>
    <row r="89" outlineLevel="1">
      <c r="A89" s="1470" t="n"/>
      <c r="B89" s="1456" t="inlineStr">
        <is>
          <t>상여</t>
        </is>
      </c>
      <c r="C89" s="1456" t="inlineStr">
        <is>
          <t>인건비 등</t>
        </is>
      </c>
      <c r="D89" s="2625" t="n"/>
      <c r="E89" s="2625" t="n"/>
      <c r="F89" s="2625" t="n"/>
      <c r="G89" s="2625" t="n"/>
      <c r="H89" s="2625" t="n">
        <v>0</v>
      </c>
      <c r="I89" s="2625" t="n">
        <v>0</v>
      </c>
      <c r="J89" s="2625" t="n">
        <v>0</v>
      </c>
      <c r="K89" s="2625" t="n">
        <v>0</v>
      </c>
      <c r="L89" s="2625" t="n">
        <v>0</v>
      </c>
      <c r="M89" s="2625" t="n">
        <v>0</v>
      </c>
      <c r="N89" s="2625" t="n">
        <v>0</v>
      </c>
      <c r="O89" s="2625" t="n">
        <v>0</v>
      </c>
      <c r="P89" s="2626">
        <f>SUM(D89:O89)</f>
        <v/>
      </c>
      <c r="Q89" s="1466" t="n"/>
      <c r="R89" s="1436" t="n"/>
      <c r="S89" s="2625" t="n">
        <v>0</v>
      </c>
      <c r="T89" s="2625" t="n">
        <v>0</v>
      </c>
      <c r="U89" s="2625" t="n">
        <v>0</v>
      </c>
      <c r="V89" s="2625" t="n">
        <v>0</v>
      </c>
      <c r="W89" s="2625" t="n">
        <v>0</v>
      </c>
      <c r="X89" s="2625" t="n">
        <v>0</v>
      </c>
      <c r="Y89" s="2625" t="n">
        <v>0</v>
      </c>
      <c r="Z89" s="2625" t="n">
        <v>0</v>
      </c>
      <c r="AA89" s="2625" t="n">
        <v>0</v>
      </c>
      <c r="AB89" s="2625" t="n">
        <v>0</v>
      </c>
      <c r="AC89" s="2625" t="n">
        <v>0</v>
      </c>
      <c r="AD89" s="2625" t="n">
        <v>0</v>
      </c>
      <c r="AE89" s="2626">
        <f>SUM(S89:AD89)</f>
        <v/>
      </c>
      <c r="AF89" s="1466" t="n"/>
      <c r="AG89" s="2625" t="n">
        <v>0</v>
      </c>
      <c r="AH89" s="2625" t="n">
        <v>0</v>
      </c>
      <c r="AI89" s="2625" t="n">
        <v>0</v>
      </c>
      <c r="AJ89" s="2625" t="n">
        <v>0</v>
      </c>
      <c r="AK89" s="2625" t="n">
        <v>0</v>
      </c>
      <c r="AL89" s="2625" t="n">
        <v>0</v>
      </c>
      <c r="AM89" s="2625" t="n">
        <v>0</v>
      </c>
      <c r="AN89" s="2625" t="n">
        <v>0</v>
      </c>
      <c r="AO89" s="2625" t="n">
        <v>0</v>
      </c>
      <c r="AP89" s="2625" t="n">
        <v>0</v>
      </c>
      <c r="AQ89" s="2625" t="n"/>
      <c r="AR89" s="2625" t="n">
        <v>0</v>
      </c>
      <c r="AS89" s="2626">
        <f>SUM(AG89:AR89)</f>
        <v/>
      </c>
      <c r="AU89" s="2625" t="n"/>
      <c r="AV89" s="2625" t="n">
        <v>0</v>
      </c>
      <c r="AW89" s="2625" t="n">
        <v>0</v>
      </c>
      <c r="AX89" s="2625" t="n">
        <v>0</v>
      </c>
      <c r="AY89" s="2625" t="n">
        <v>0</v>
      </c>
      <c r="AZ89" s="2625" t="n">
        <v>0</v>
      </c>
      <c r="BA89" s="2625" t="n">
        <v>0</v>
      </c>
      <c r="BB89" s="2625" t="n">
        <v>0</v>
      </c>
      <c r="BC89" s="2625" t="n"/>
      <c r="BD89" s="2625" t="n">
        <v>0</v>
      </c>
      <c r="BE89" s="2625" t="n">
        <v>0</v>
      </c>
      <c r="BF89" s="2627" t="n"/>
      <c r="BG89" s="2628">
        <f>SUM(AU89:BF89)</f>
        <v/>
      </c>
      <c r="BI89" s="2629" t="n"/>
      <c r="BJ89" s="2629" t="n"/>
      <c r="BK89" s="2629" t="n"/>
      <c r="BL89" s="2629" t="n"/>
      <c r="BM89" s="2629" t="n"/>
      <c r="BN89" s="2629" t="n"/>
      <c r="BO89" s="2629" t="n"/>
      <c r="BP89" s="2629" t="n"/>
      <c r="BQ89" s="2629" t="n"/>
      <c r="BR89" s="2629" t="n"/>
      <c r="BS89" s="2629" t="n"/>
      <c r="BT89" s="2629" t="n"/>
      <c r="BU89" s="2628">
        <f>SUM(BI89:BT89)</f>
        <v/>
      </c>
    </row>
    <row r="90" outlineLevel="1">
      <c r="A90" s="1470" t="n"/>
      <c r="B90" s="1456" t="inlineStr">
        <is>
          <t>퇴직급여</t>
        </is>
      </c>
      <c r="C90" s="1456" t="inlineStr">
        <is>
          <t>인건비 등</t>
        </is>
      </c>
      <c r="D90" s="2625" t="n"/>
      <c r="E90" s="2625" t="n"/>
      <c r="F90" s="2625" t="n"/>
      <c r="G90" s="2625" t="n">
        <v>375700</v>
      </c>
      <c r="H90" s="2625" t="n">
        <v>375700</v>
      </c>
      <c r="I90" s="2625" t="n">
        <v>372600</v>
      </c>
      <c r="J90" s="2625" t="n">
        <v>375700</v>
      </c>
      <c r="K90" s="2625" t="n">
        <v>813200</v>
      </c>
      <c r="L90" s="2625" t="n">
        <v>833240</v>
      </c>
      <c r="M90" s="2625" t="n">
        <v>4649920</v>
      </c>
      <c r="N90" s="2625" t="n">
        <v>7606360</v>
      </c>
      <c r="O90" s="2625" t="n">
        <v>9424590</v>
      </c>
      <c r="P90" s="2626">
        <f>SUM(D90:O90)</f>
        <v/>
      </c>
      <c r="Q90" s="1464" t="inlineStr">
        <is>
          <t>실적평균</t>
        </is>
      </c>
      <c r="R90" s="1436" t="n"/>
      <c r="S90" s="2625" t="n">
        <v>2675700</v>
      </c>
      <c r="T90" s="2625" t="n">
        <v>2675700</v>
      </c>
      <c r="U90" s="2625" t="n">
        <v>33045740</v>
      </c>
      <c r="V90" s="2625" t="n">
        <v>19553660</v>
      </c>
      <c r="W90" s="2625" t="n">
        <v>48966070</v>
      </c>
      <c r="X90" s="2625" t="n">
        <v>93854360</v>
      </c>
      <c r="Y90" s="2625" t="n">
        <v>61564360</v>
      </c>
      <c r="Z90" s="2625" t="n">
        <v>7500000</v>
      </c>
      <c r="AA90" s="2625" t="n">
        <v>213944080</v>
      </c>
      <c r="AB90" s="2625" t="n">
        <v>919203780</v>
      </c>
      <c r="AC90" s="2625" t="n">
        <v>58392980</v>
      </c>
      <c r="AD90" s="2625" t="n">
        <v>80089500</v>
      </c>
      <c r="AE90" s="2626">
        <f>SUM(S90:AD90)</f>
        <v/>
      </c>
      <c r="AF90" s="1464" t="inlineStr">
        <is>
          <t>퇴직자에따른 증가. 1분기 평균 가정(140명수준, 23년 1월 유사 가정</t>
        </is>
      </c>
      <c r="AG90" s="2625" t="n">
        <v>20619210</v>
      </c>
      <c r="AH90" s="2625" t="n">
        <v>22833750</v>
      </c>
      <c r="AI90" s="2625" t="n">
        <v>60122180</v>
      </c>
      <c r="AJ90" s="2625" t="n">
        <v>16649880</v>
      </c>
      <c r="AK90" s="2625" t="n">
        <v>15578010</v>
      </c>
      <c r="AL90" s="2625" t="n">
        <v>15059750</v>
      </c>
      <c r="AM90" s="2625" t="n">
        <v>37850790</v>
      </c>
      <c r="AN90" s="2625" t="n">
        <v>160390150</v>
      </c>
      <c r="AO90" s="2625" t="n">
        <v>33432940</v>
      </c>
      <c r="AP90" s="2625" t="n">
        <v>23736140</v>
      </c>
      <c r="AQ90" s="2625" t="n">
        <v>2486120</v>
      </c>
      <c r="AR90" s="2625" t="n">
        <v>2805600</v>
      </c>
      <c r="AS90" s="2626">
        <f>SUM(AG90:AR90)</f>
        <v/>
      </c>
      <c r="AT90" s="1440" t="inlineStr">
        <is>
          <t>전월</t>
        </is>
      </c>
      <c r="AU90" s="2625" t="n">
        <v>2486120</v>
      </c>
      <c r="AV90" s="2625" t="n">
        <v>2486120</v>
      </c>
      <c r="AW90" s="2625" t="n">
        <v>2598620</v>
      </c>
      <c r="AX90" s="2625" t="n">
        <v>2598620</v>
      </c>
      <c r="AY90" s="2625" t="n">
        <v>2598620</v>
      </c>
      <c r="AZ90" s="2625" t="n">
        <v>2598620</v>
      </c>
      <c r="BA90" s="2625" t="n">
        <v>2598620</v>
      </c>
      <c r="BB90" s="2625" t="n">
        <v>2598620</v>
      </c>
      <c r="BC90" s="2625" t="n">
        <v>2598620</v>
      </c>
      <c r="BD90" s="2625" t="n">
        <v>2598620</v>
      </c>
      <c r="BE90" s="2625" t="n">
        <v>2598620</v>
      </c>
      <c r="BF90" s="2627">
        <f>BE90</f>
        <v/>
      </c>
      <c r="BG90" s="2628">
        <f>SUM(AU90:BF90)</f>
        <v/>
      </c>
      <c r="BI90" s="2629">
        <f>BF90*1.02</f>
        <v/>
      </c>
      <c r="BJ90" s="2629">
        <f>BI90</f>
        <v/>
      </c>
      <c r="BK90" s="2629">
        <f>BJ90</f>
        <v/>
      </c>
      <c r="BL90" s="2629">
        <f>BK90</f>
        <v/>
      </c>
      <c r="BM90" s="2629">
        <f>BL90</f>
        <v/>
      </c>
      <c r="BN90" s="2629">
        <f>BM90</f>
        <v/>
      </c>
      <c r="BO90" s="2629">
        <f>BN90</f>
        <v/>
      </c>
      <c r="BP90" s="2629">
        <f>BO90</f>
        <v/>
      </c>
      <c r="BQ90" s="2629">
        <f>BP90</f>
        <v/>
      </c>
      <c r="BR90" s="2629">
        <f>BQ90</f>
        <v/>
      </c>
      <c r="BS90" s="2629">
        <f>BR90</f>
        <v/>
      </c>
      <c r="BT90" s="2629">
        <f>BS90</f>
        <v/>
      </c>
      <c r="BU90" s="2628">
        <f>SUM(BI90:BT90)</f>
        <v/>
      </c>
    </row>
    <row r="91" outlineLevel="1">
      <c r="A91" s="1470" t="n"/>
      <c r="B91" s="1456" t="inlineStr">
        <is>
          <t>복리후생비</t>
        </is>
      </c>
      <c r="C91" s="1456" t="inlineStr">
        <is>
          <t>인건비 등</t>
        </is>
      </c>
      <c r="D91" s="2625" t="n"/>
      <c r="E91" s="2625" t="n"/>
      <c r="F91" s="2625" t="n"/>
      <c r="G91" s="2625" t="n">
        <v>4560131</v>
      </c>
      <c r="H91" s="2625" t="n">
        <v>7996125</v>
      </c>
      <c r="I91" s="2625" t="n">
        <v>45266414</v>
      </c>
      <c r="J91" s="2625" t="n">
        <v>27887923</v>
      </c>
      <c r="K91" s="2625" t="n">
        <v>65306438</v>
      </c>
      <c r="L91" s="2625" t="n">
        <v>39937575</v>
      </c>
      <c r="M91" s="2625" t="n">
        <v>42017615</v>
      </c>
      <c r="N91" s="2625" t="n">
        <v>47502205</v>
      </c>
      <c r="O91" s="2625" t="n">
        <v>60623587</v>
      </c>
      <c r="P91" s="2626">
        <f>SUM(D91:O91)</f>
        <v/>
      </c>
      <c r="Q91" s="1464" t="inlineStr">
        <is>
          <t>인원계획에 따라 +5% 반영</t>
        </is>
      </c>
      <c r="R91" s="1436" t="n"/>
      <c r="S91" s="2625" t="n">
        <v>69195079</v>
      </c>
      <c r="T91" s="2625" t="n">
        <v>44262310</v>
      </c>
      <c r="U91" s="2625" t="n">
        <v>56007340</v>
      </c>
      <c r="V91" s="2625" t="n">
        <v>63290882</v>
      </c>
      <c r="W91" s="2625" t="n">
        <v>168979041</v>
      </c>
      <c r="X91" s="2625" t="n">
        <v>149147586</v>
      </c>
      <c r="Y91" s="2625" t="n">
        <v>144577659</v>
      </c>
      <c r="Z91" s="2625" t="n">
        <v>142910847</v>
      </c>
      <c r="AA91" s="2625" t="n">
        <v>129130025</v>
      </c>
      <c r="AB91" s="2625" t="n">
        <v>42754726</v>
      </c>
      <c r="AC91" s="2625" t="n">
        <v>-74282943</v>
      </c>
      <c r="AD91" s="2625" t="n">
        <v>52367605</v>
      </c>
      <c r="AE91" s="2626">
        <f>SUM(S91:AD91)</f>
        <v/>
      </c>
      <c r="AF91" s="1464" t="inlineStr">
        <is>
          <t>약 1억 가정(3월 실적 약 1억)~인원 감소효과 가정</t>
        </is>
      </c>
      <c r="AG91" s="2625" t="n">
        <v>53272610</v>
      </c>
      <c r="AH91" s="2625" t="n">
        <v>37427868</v>
      </c>
      <c r="AI91" s="2625" t="n">
        <v>26316451</v>
      </c>
      <c r="AJ91" s="2625" t="n">
        <v>41991674</v>
      </c>
      <c r="AK91" s="2625" t="n">
        <v>41684629</v>
      </c>
      <c r="AL91" s="2625" t="n">
        <v>27799557</v>
      </c>
      <c r="AM91" s="2625" t="n">
        <v>19669996</v>
      </c>
      <c r="AN91" s="2625" t="n">
        <v>-36005983</v>
      </c>
      <c r="AO91" s="2625" t="n">
        <v>-1282407</v>
      </c>
      <c r="AP91" s="2625" t="n">
        <v>-1847609</v>
      </c>
      <c r="AQ91" s="2625" t="n">
        <v>9730476</v>
      </c>
      <c r="AR91" s="2625" t="n">
        <v>7785786</v>
      </c>
      <c r="AS91" s="2626">
        <f>SUM(AG91:AR91)</f>
        <v/>
      </c>
      <c r="AT91" s="1440" t="inlineStr">
        <is>
          <t>3백만원 가정</t>
        </is>
      </c>
      <c r="AU91" s="2625" t="n">
        <v>3267547</v>
      </c>
      <c r="AV91" s="2625" t="n">
        <v>2859731</v>
      </c>
      <c r="AW91" s="2625" t="n">
        <v>3635409</v>
      </c>
      <c r="AX91" s="2625" t="n">
        <v>3699174</v>
      </c>
      <c r="AY91" s="2625" t="n">
        <v>3080161</v>
      </c>
      <c r="AZ91" s="2625" t="n">
        <v>6978046</v>
      </c>
      <c r="BA91" s="2625" t="n">
        <v>2737012</v>
      </c>
      <c r="BB91" s="2625" t="n">
        <v>2603214</v>
      </c>
      <c r="BC91" s="2625" t="n">
        <v>3209784</v>
      </c>
      <c r="BD91" s="2625" t="n">
        <v>4363434</v>
      </c>
      <c r="BE91" s="2625" t="n">
        <v>3653510</v>
      </c>
      <c r="BF91" s="2627" t="n">
        <v>3000000</v>
      </c>
      <c r="BG91" s="2628">
        <f>SUM(AU91:BF91)</f>
        <v/>
      </c>
      <c r="BH91" s="1440" t="inlineStr">
        <is>
          <t>3백만원 가정</t>
        </is>
      </c>
      <c r="BI91" s="2629" t="n">
        <v>3000000</v>
      </c>
      <c r="BJ91" s="2629" t="n">
        <v>3000000</v>
      </c>
      <c r="BK91" s="2629" t="n">
        <v>3000000</v>
      </c>
      <c r="BL91" s="2629" t="n">
        <v>3000000</v>
      </c>
      <c r="BM91" s="2629" t="n">
        <v>3000000</v>
      </c>
      <c r="BN91" s="2629" t="n">
        <v>3000000</v>
      </c>
      <c r="BO91" s="2629" t="n">
        <v>3000000</v>
      </c>
      <c r="BP91" s="2629" t="n">
        <v>3000000</v>
      </c>
      <c r="BQ91" s="2629" t="n">
        <v>3000000</v>
      </c>
      <c r="BR91" s="2629" t="n">
        <v>3000000</v>
      </c>
      <c r="BS91" s="2629" t="n">
        <v>3000000</v>
      </c>
      <c r="BT91" s="2629" t="n">
        <v>3000000</v>
      </c>
      <c r="BU91" s="2628">
        <f>SUM(BI91:BT91)</f>
        <v/>
      </c>
    </row>
    <row r="92" outlineLevel="1">
      <c r="A92" s="1470" t="n"/>
      <c r="B92" s="1456" t="inlineStr">
        <is>
          <t>감가상각비</t>
        </is>
      </c>
      <c r="C92" s="1456" t="inlineStr">
        <is>
          <t>기타</t>
        </is>
      </c>
      <c r="D92" s="2625" t="n"/>
      <c r="E92" s="2625" t="n"/>
      <c r="F92" s="2625" t="n"/>
      <c r="G92" s="2625" t="n">
        <v>5415866.541666666</v>
      </c>
      <c r="H92" s="2625" t="n">
        <v>-1943246.541666666</v>
      </c>
      <c r="I92" s="2625" t="n">
        <v>1987891</v>
      </c>
      <c r="J92" s="2625" t="n">
        <v>1907230</v>
      </c>
      <c r="K92" s="2625" t="n">
        <v>14213425</v>
      </c>
      <c r="L92" s="2625" t="n">
        <v>26143173</v>
      </c>
      <c r="M92" s="2625" t="n">
        <v>31818426</v>
      </c>
      <c r="N92" s="2625" t="n">
        <v>32822746</v>
      </c>
      <c r="O92" s="2625" t="n">
        <v>33596521</v>
      </c>
      <c r="P92" s="2626">
        <f>SUM(D92:O92)</f>
        <v/>
      </c>
      <c r="Q92" s="1464" t="n"/>
      <c r="R92" s="1436" t="n"/>
      <c r="S92" s="2625" t="n">
        <v>33329510</v>
      </c>
      <c r="T92" s="2625" t="n">
        <v>33461625</v>
      </c>
      <c r="U92" s="2625" t="n">
        <v>48673144</v>
      </c>
      <c r="V92" s="2625" t="n">
        <v>52980156</v>
      </c>
      <c r="W92" s="2625" t="n">
        <v>48847288</v>
      </c>
      <c r="X92" s="2625" t="n">
        <v>44505262</v>
      </c>
      <c r="Y92" s="2625" t="n">
        <v>41253178</v>
      </c>
      <c r="Z92" s="2625" t="n">
        <v>41283178</v>
      </c>
      <c r="AA92" s="2625" t="n">
        <v>41397842</v>
      </c>
      <c r="AB92" s="2625" t="n">
        <v>41397842</v>
      </c>
      <c r="AC92" s="2625" t="n">
        <v>11722939</v>
      </c>
      <c r="AD92" s="2625" t="n">
        <v>15035863</v>
      </c>
      <c r="AE92" s="2626">
        <f>SUM(S92:AD92)</f>
        <v/>
      </c>
      <c r="AF92" s="1466" t="inlineStr">
        <is>
          <t>전월</t>
        </is>
      </c>
      <c r="AG92" s="2625" t="n">
        <v>17185922</v>
      </c>
      <c r="AH92" s="2625" t="n">
        <v>17511674</v>
      </c>
      <c r="AI92" s="2625" t="n">
        <v>17348798</v>
      </c>
      <c r="AJ92" s="2625" t="n">
        <v>17348798</v>
      </c>
      <c r="AK92" s="2625" t="n">
        <v>17348798</v>
      </c>
      <c r="AL92" s="2625" t="n">
        <v>17348798</v>
      </c>
      <c r="AM92" s="2625" t="n">
        <v>16849294</v>
      </c>
      <c r="AN92" s="2625" t="n">
        <v>15837912</v>
      </c>
      <c r="AO92" s="2625" t="n">
        <v>15837912</v>
      </c>
      <c r="AP92" s="2625" t="n">
        <v>5442880</v>
      </c>
      <c r="AQ92" s="2625" t="n">
        <v>5438847</v>
      </c>
      <c r="AR92" s="2625" t="n">
        <v>5490359</v>
      </c>
      <c r="AS92" s="2626">
        <f>SUM(AG92:AR92)</f>
        <v/>
      </c>
      <c r="AT92" s="1440" t="inlineStr">
        <is>
          <t>전월</t>
        </is>
      </c>
      <c r="AU92" s="2625">
        <f>2869713+2569207</f>
        <v/>
      </c>
      <c r="AV92" s="2625" t="n">
        <v>5438920</v>
      </c>
      <c r="AW92" s="2625" t="n">
        <v>5438920</v>
      </c>
      <c r="AX92" s="2625" t="n">
        <v>5438920</v>
      </c>
      <c r="AY92" s="2625" t="n">
        <v>5438920</v>
      </c>
      <c r="AZ92" s="2625" t="n">
        <v>5438920</v>
      </c>
      <c r="BA92" s="2625" t="n">
        <v>5438920</v>
      </c>
      <c r="BB92" s="2625" t="n">
        <v>5438920</v>
      </c>
      <c r="BC92" s="2625" t="n">
        <v>5438920</v>
      </c>
      <c r="BD92" s="2625" t="n">
        <v>5438920</v>
      </c>
      <c r="BE92" s="2625" t="n">
        <v>5438920</v>
      </c>
      <c r="BF92" s="2627">
        <f>BE92</f>
        <v/>
      </c>
      <c r="BG92" s="2628">
        <f>SUM(AU92:BF92)</f>
        <v/>
      </c>
      <c r="BI92" s="2629" t="n">
        <v>5438920</v>
      </c>
      <c r="BJ92" s="2629" t="n">
        <v>5438920</v>
      </c>
      <c r="BK92" s="2629" t="n">
        <v>5438920</v>
      </c>
      <c r="BL92" s="2629" t="n">
        <v>5438920</v>
      </c>
      <c r="BM92" s="2629" t="n">
        <v>5438920</v>
      </c>
      <c r="BN92" s="2629" t="n">
        <v>5438920</v>
      </c>
      <c r="BO92" s="2629" t="n">
        <v>5438920</v>
      </c>
      <c r="BP92" s="2629" t="n">
        <v>5438920</v>
      </c>
      <c r="BQ92" s="2629" t="n">
        <v>5438920</v>
      </c>
      <c r="BR92" s="2629" t="n">
        <v>5438920</v>
      </c>
      <c r="BS92" s="2629" t="n">
        <v>5438920</v>
      </c>
      <c r="BT92" s="2629" t="n">
        <v>5438920</v>
      </c>
      <c r="BU92" s="2628">
        <f>SUM(BI92:BT92)</f>
        <v/>
      </c>
    </row>
    <row r="93" outlineLevel="1">
      <c r="A93" s="1470" t="n"/>
      <c r="B93" s="1456" t="inlineStr">
        <is>
          <t>여비교통비</t>
        </is>
      </c>
      <c r="C93" s="1456" t="inlineStr">
        <is>
          <t>인건비 등</t>
        </is>
      </c>
      <c r="D93" s="2625" t="n"/>
      <c r="E93" s="2625" t="n"/>
      <c r="F93" s="2625" t="n"/>
      <c r="G93" s="2625" t="n">
        <v>337150</v>
      </c>
      <c r="H93" s="2625" t="n">
        <v>784550</v>
      </c>
      <c r="I93" s="2625" t="n">
        <v>355740</v>
      </c>
      <c r="J93" s="2625" t="n">
        <v>1220575</v>
      </c>
      <c r="K93" s="2625" t="n">
        <v>1921130</v>
      </c>
      <c r="L93" s="2625" t="n">
        <v>1433300</v>
      </c>
      <c r="M93" s="2625" t="n">
        <v>2471040</v>
      </c>
      <c r="N93" s="2625" t="n">
        <v>1599270</v>
      </c>
      <c r="O93" s="2625" t="n">
        <v>1995090</v>
      </c>
      <c r="P93" s="2626">
        <f>SUM(D93:O93)</f>
        <v/>
      </c>
      <c r="Q93" s="1464" t="inlineStr">
        <is>
          <t>실적평균</t>
        </is>
      </c>
      <c r="R93" s="1436" t="n"/>
      <c r="S93" s="2625" t="n">
        <v>1613312</v>
      </c>
      <c r="T93" s="2625" t="n">
        <v>1948510</v>
      </c>
      <c r="U93" s="2625" t="n">
        <v>1949485</v>
      </c>
      <c r="V93" s="2625" t="n">
        <v>1708010</v>
      </c>
      <c r="W93" s="2625" t="n">
        <v>15524437</v>
      </c>
      <c r="X93" s="2625" t="n">
        <v>5588388</v>
      </c>
      <c r="Y93" s="2625" t="n">
        <v>11777991</v>
      </c>
      <c r="Z93" s="2625" t="n">
        <v>6524492</v>
      </c>
      <c r="AA93" s="2625" t="n">
        <v>4174372</v>
      </c>
      <c r="AB93" s="2625" t="n">
        <v>1277380</v>
      </c>
      <c r="AC93" s="2625" t="n">
        <v>2775773</v>
      </c>
      <c r="AD93" s="2625" t="n">
        <v>776784</v>
      </c>
      <c r="AE93" s="2626">
        <f>SUM(S93:AD93)</f>
        <v/>
      </c>
      <c r="AF93" s="1466" t="inlineStr">
        <is>
          <t>최근 3개월 평균</t>
        </is>
      </c>
      <c r="AG93" s="2625" t="n">
        <v>340600</v>
      </c>
      <c r="AH93" s="2625" t="n">
        <v>650047</v>
      </c>
      <c r="AI93" s="2625" t="n">
        <v>684700</v>
      </c>
      <c r="AJ93" s="2625" t="n">
        <v>1058480</v>
      </c>
      <c r="AK93" s="2625" t="n">
        <v>1284497</v>
      </c>
      <c r="AL93" s="2625" t="n">
        <v>621500</v>
      </c>
      <c r="AM93" s="2625" t="n">
        <v>1018600</v>
      </c>
      <c r="AN93" s="2625" t="n">
        <v>754700</v>
      </c>
      <c r="AO93" s="2625" t="n">
        <v>768400</v>
      </c>
      <c r="AP93" s="2625" t="n">
        <v>651800</v>
      </c>
      <c r="AQ93" s="2625" t="n">
        <v>778740</v>
      </c>
      <c r="AR93" s="2625" t="n">
        <v>718300</v>
      </c>
      <c r="AS93" s="2626">
        <f>SUM(AG93:AR93)</f>
        <v/>
      </c>
      <c r="AU93" s="2625" t="n">
        <v>530800</v>
      </c>
      <c r="AV93" s="2625" t="n">
        <v>744244</v>
      </c>
      <c r="AW93" s="2625" t="n">
        <v>810056</v>
      </c>
      <c r="AX93" s="2625" t="n">
        <v>526000</v>
      </c>
      <c r="AY93" s="2625" t="n">
        <v>505700</v>
      </c>
      <c r="AZ93" s="2625" t="n">
        <v>673400</v>
      </c>
      <c r="BA93" s="2625" t="n">
        <v>664000</v>
      </c>
      <c r="BB93" s="2625" t="n">
        <v>516528</v>
      </c>
      <c r="BC93" s="2625" t="n">
        <v>840128</v>
      </c>
      <c r="BD93" s="2625" t="n">
        <v>699000</v>
      </c>
      <c r="BE93" s="2625" t="n">
        <v>1404286</v>
      </c>
      <c r="BF93" s="2627" t="n">
        <v>664000</v>
      </c>
      <c r="BG93" s="2628">
        <f>SUM(AU93:BF93)</f>
        <v/>
      </c>
      <c r="BI93" s="2629">
        <f>AVERAGE(AU93:BC93)</f>
        <v/>
      </c>
      <c r="BJ93" s="2629">
        <f>BI93</f>
        <v/>
      </c>
      <c r="BK93" s="2629">
        <f>BJ93</f>
        <v/>
      </c>
      <c r="BL93" s="2629">
        <f>BK93</f>
        <v/>
      </c>
      <c r="BM93" s="2629">
        <f>BL93</f>
        <v/>
      </c>
      <c r="BN93" s="2629">
        <f>BM93</f>
        <v/>
      </c>
      <c r="BO93" s="2629">
        <f>BN93</f>
        <v/>
      </c>
      <c r="BP93" s="2629">
        <f>BO93</f>
        <v/>
      </c>
      <c r="BQ93" s="2629">
        <f>BP93</f>
        <v/>
      </c>
      <c r="BR93" s="2629">
        <f>BQ93</f>
        <v/>
      </c>
      <c r="BS93" s="2629">
        <f>BR93</f>
        <v/>
      </c>
      <c r="BT93" s="2629">
        <f>BS93</f>
        <v/>
      </c>
      <c r="BU93" s="2628">
        <f>SUM(BI93:BT93)</f>
        <v/>
      </c>
    </row>
    <row r="94" outlineLevel="1">
      <c r="A94" s="1470" t="n"/>
      <c r="B94" s="1456" t="inlineStr">
        <is>
          <t>접대비</t>
        </is>
      </c>
      <c r="C94" s="1456" t="inlineStr">
        <is>
          <t>기타</t>
        </is>
      </c>
      <c r="D94" s="2625" t="n"/>
      <c r="E94" s="2625" t="n"/>
      <c r="F94" s="2625" t="n"/>
      <c r="G94" s="2625" t="n">
        <v>0</v>
      </c>
      <c r="H94" s="2625" t="n">
        <v>3937390</v>
      </c>
      <c r="I94" s="2625" t="n">
        <v>5129607</v>
      </c>
      <c r="J94" s="2625" t="n">
        <v>5189590</v>
      </c>
      <c r="K94" s="2625" t="n">
        <v>3749300</v>
      </c>
      <c r="L94" s="2625" t="n">
        <v>3261573</v>
      </c>
      <c r="M94" s="2625" t="n">
        <v>3752500</v>
      </c>
      <c r="N94" s="2625" t="n">
        <v>2866150</v>
      </c>
      <c r="O94" s="2625" t="n">
        <v>4692840</v>
      </c>
      <c r="P94" s="2626">
        <f>SUM(D94:O94)</f>
        <v/>
      </c>
      <c r="Q94" s="1464" t="inlineStr">
        <is>
          <t>실적평균</t>
        </is>
      </c>
      <c r="R94" s="1436" t="n"/>
      <c r="S94" s="2625" t="n">
        <v>6214670</v>
      </c>
      <c r="T94" s="2625" t="n">
        <v>4939300</v>
      </c>
      <c r="U94" s="2625" t="n">
        <v>5722030</v>
      </c>
      <c r="V94" s="2625" t="n">
        <v>6149250</v>
      </c>
      <c r="W94" s="2625" t="n">
        <v>4254764</v>
      </c>
      <c r="X94" s="2625" t="n">
        <v>5252930</v>
      </c>
      <c r="Y94" s="2625" t="n">
        <v>6343700</v>
      </c>
      <c r="Z94" s="2625" t="n">
        <v>4259840</v>
      </c>
      <c r="AA94" s="2625" t="n">
        <v>6472656</v>
      </c>
      <c r="AB94" s="2625" t="n">
        <v>3767840</v>
      </c>
      <c r="AC94" s="2625" t="n">
        <v>1723520</v>
      </c>
      <c r="AD94" s="2625" t="n">
        <v>2391252</v>
      </c>
      <c r="AE94" s="2626">
        <f>SUM(S94:AD94)</f>
        <v/>
      </c>
      <c r="AF94" s="1466" t="inlineStr">
        <is>
          <t>최근 3개월 평균</t>
        </is>
      </c>
      <c r="AG94" s="2625" t="n">
        <v>1537807</v>
      </c>
      <c r="AH94" s="2625" t="n">
        <v>1798970</v>
      </c>
      <c r="AI94" s="2625" t="n">
        <v>1104370</v>
      </c>
      <c r="AJ94" s="2625" t="n">
        <v>2544400</v>
      </c>
      <c r="AK94" s="2625" t="n">
        <v>1910200</v>
      </c>
      <c r="AL94" s="2625" t="n">
        <v>3463500</v>
      </c>
      <c r="AM94" s="2625" t="n">
        <v>1820100</v>
      </c>
      <c r="AN94" s="2625" t="n">
        <v>3114700</v>
      </c>
      <c r="AO94" s="2625" t="n">
        <v>2070050</v>
      </c>
      <c r="AP94" s="2625" t="n">
        <v>899600</v>
      </c>
      <c r="AQ94" s="2625" t="n">
        <v>1295955</v>
      </c>
      <c r="AR94" s="2625" t="n">
        <v>2277300</v>
      </c>
      <c r="AS94" s="2626">
        <f>SUM(AG94:AR94)</f>
        <v/>
      </c>
      <c r="AU94" s="2625" t="n">
        <v>1160500</v>
      </c>
      <c r="AV94" s="2625" t="n">
        <v>1452800</v>
      </c>
      <c r="AW94" s="2625" t="n">
        <v>1567700</v>
      </c>
      <c r="AX94" s="2625" t="n">
        <v>757800</v>
      </c>
      <c r="AY94" s="2625" t="n">
        <v>1378300</v>
      </c>
      <c r="AZ94" s="2625" t="n">
        <v>1451900</v>
      </c>
      <c r="BA94" s="2625" t="n">
        <v>1754700</v>
      </c>
      <c r="BB94" s="2625" t="n">
        <v>4540600</v>
      </c>
      <c r="BC94" s="2625" t="n">
        <v>4247600</v>
      </c>
      <c r="BD94" s="2625" t="n">
        <v>3355500</v>
      </c>
      <c r="BE94" s="2625" t="n">
        <v>1764752</v>
      </c>
      <c r="BF94" s="2627" t="n">
        <v>1500000</v>
      </c>
      <c r="BG94" s="2628">
        <f>SUM(AU94:BF94)</f>
        <v/>
      </c>
      <c r="BH94" s="1440" t="inlineStr">
        <is>
          <t>1.5백만원</t>
        </is>
      </c>
      <c r="BI94" s="2629" t="n">
        <v>1500000</v>
      </c>
      <c r="BJ94" s="2629" t="n">
        <v>1500000</v>
      </c>
      <c r="BK94" s="2629" t="n">
        <v>1500000</v>
      </c>
      <c r="BL94" s="2629" t="n">
        <v>1500000</v>
      </c>
      <c r="BM94" s="2629" t="n">
        <v>1500000</v>
      </c>
      <c r="BN94" s="2629" t="n">
        <v>1500000</v>
      </c>
      <c r="BO94" s="2629" t="n">
        <v>1500000</v>
      </c>
      <c r="BP94" s="2629" t="n">
        <v>1500000</v>
      </c>
      <c r="BQ94" s="2629" t="n">
        <v>1500000</v>
      </c>
      <c r="BR94" s="2629" t="n">
        <v>1500000</v>
      </c>
      <c r="BS94" s="2629" t="n">
        <v>1500000</v>
      </c>
      <c r="BT94" s="2629" t="n">
        <v>1500000</v>
      </c>
      <c r="BU94" s="2628">
        <f>SUM(BI94:BT94)</f>
        <v/>
      </c>
    </row>
    <row r="95" outlineLevel="1">
      <c r="A95" s="1470" t="n"/>
      <c r="B95" s="1456" t="inlineStr">
        <is>
          <t>통신비</t>
        </is>
      </c>
      <c r="C95" s="1456" t="inlineStr">
        <is>
          <t>기타</t>
        </is>
      </c>
      <c r="D95" s="2625" t="n"/>
      <c r="E95" s="2625" t="n"/>
      <c r="F95" s="2625" t="n"/>
      <c r="G95" s="2625" t="n">
        <v>50150</v>
      </c>
      <c r="H95" s="2625" t="n">
        <v>54400</v>
      </c>
      <c r="I95" s="2625" t="n">
        <v>175100</v>
      </c>
      <c r="J95" s="2625" t="n">
        <v>77141</v>
      </c>
      <c r="K95" s="2625" t="n">
        <v>64600</v>
      </c>
      <c r="L95" s="2625" t="n">
        <v>11050</v>
      </c>
      <c r="M95" s="2625" t="n">
        <v>2100000</v>
      </c>
      <c r="N95" s="2625" t="n">
        <v>111050</v>
      </c>
      <c r="O95" s="2625" t="n">
        <v>82930</v>
      </c>
      <c r="P95" s="2626">
        <f>SUM(D95:O95)</f>
        <v/>
      </c>
      <c r="Q95" s="1464" t="inlineStr">
        <is>
          <t>실적평균</t>
        </is>
      </c>
      <c r="R95" s="1436" t="n"/>
      <c r="S95" s="2625" t="n">
        <v>88370</v>
      </c>
      <c r="T95" s="2625" t="n">
        <v>77320</v>
      </c>
      <c r="U95" s="2625" t="n">
        <v>98960</v>
      </c>
      <c r="V95" s="2625" t="n">
        <v>91250</v>
      </c>
      <c r="W95" s="2625" t="n">
        <v>161670</v>
      </c>
      <c r="X95" s="2625" t="n">
        <v>208680</v>
      </c>
      <c r="Y95" s="2625" t="n">
        <v>187830</v>
      </c>
      <c r="Z95" s="2625" t="n">
        <v>203190</v>
      </c>
      <c r="AA95" s="2625" t="n">
        <v>365050</v>
      </c>
      <c r="AB95" s="2625" t="n">
        <v>4953665</v>
      </c>
      <c r="AC95" s="2625" t="n">
        <v>101383</v>
      </c>
      <c r="AD95" s="2625" t="n">
        <v>140610</v>
      </c>
      <c r="AE95" s="2626">
        <f>SUM(S95:AD95)</f>
        <v/>
      </c>
      <c r="AF95" s="1466" t="inlineStr">
        <is>
          <t>최근 3개월 평균</t>
        </is>
      </c>
      <c r="AG95" s="2625" t="n">
        <v>149870</v>
      </c>
      <c r="AH95" s="2625" t="n">
        <v>133110</v>
      </c>
      <c r="AI95" s="2625" t="n">
        <v>170296</v>
      </c>
      <c r="AJ95" s="2625" t="n">
        <v>194912</v>
      </c>
      <c r="AK95" s="2625" t="n">
        <v>214253</v>
      </c>
      <c r="AL95" s="2625" t="n">
        <v>188260</v>
      </c>
      <c r="AM95" s="2625" t="n">
        <v>317640</v>
      </c>
      <c r="AN95" s="2625" t="n">
        <v>221923</v>
      </c>
      <c r="AO95" s="2625" t="n">
        <v>361803</v>
      </c>
      <c r="AP95" s="2625" t="n">
        <v>255003</v>
      </c>
      <c r="AQ95" s="2625" t="n">
        <v>176631</v>
      </c>
      <c r="AR95" s="2625">
        <f>174054+12750</f>
        <v/>
      </c>
      <c r="AS95" s="2626">
        <f>SUM(AG95:AR95)</f>
        <v/>
      </c>
      <c r="AU95" s="2625" t="n">
        <v>204903</v>
      </c>
      <c r="AV95" s="2625" t="n">
        <v>181453</v>
      </c>
      <c r="AW95" s="2625" t="n">
        <v>181393</v>
      </c>
      <c r="AX95" s="2625" t="n">
        <v>231153</v>
      </c>
      <c r="AY95" s="2625" t="n">
        <v>1964498</v>
      </c>
      <c r="AZ95" s="2625" t="n">
        <v>485854</v>
      </c>
      <c r="BA95" s="2625" t="n">
        <v>580978</v>
      </c>
      <c r="BB95" s="2625" t="n">
        <v>438553</v>
      </c>
      <c r="BC95" s="2625" t="n">
        <v>225353</v>
      </c>
      <c r="BD95" s="2625" t="n">
        <v>225053</v>
      </c>
      <c r="BE95" s="2625" t="n">
        <v>225353</v>
      </c>
      <c r="BF95" s="2627">
        <f>BE95</f>
        <v/>
      </c>
      <c r="BG95" s="2628">
        <f>SUM(AU95:BF95)</f>
        <v/>
      </c>
      <c r="BI95" s="2629">
        <f>AVERAGE(AU95:BC95)</f>
        <v/>
      </c>
      <c r="BJ95" s="2629">
        <f>BI95</f>
        <v/>
      </c>
      <c r="BK95" s="2629">
        <f>BJ95</f>
        <v/>
      </c>
      <c r="BL95" s="2629">
        <f>BK95</f>
        <v/>
      </c>
      <c r="BM95" s="2629">
        <f>BL95</f>
        <v/>
      </c>
      <c r="BN95" s="2629">
        <f>BM95</f>
        <v/>
      </c>
      <c r="BO95" s="2629">
        <f>BN95</f>
        <v/>
      </c>
      <c r="BP95" s="2629">
        <f>BO95</f>
        <v/>
      </c>
      <c r="BQ95" s="2629">
        <f>BP95</f>
        <v/>
      </c>
      <c r="BR95" s="2629">
        <f>BQ95</f>
        <v/>
      </c>
      <c r="BS95" s="2629">
        <f>BR95</f>
        <v/>
      </c>
      <c r="BT95" s="2629">
        <f>BS95</f>
        <v/>
      </c>
      <c r="BU95" s="2628">
        <f>SUM(BI95:BT95)</f>
        <v/>
      </c>
    </row>
    <row r="96" outlineLevel="1">
      <c r="A96" s="1470" t="n"/>
      <c r="B96" s="1456" t="inlineStr">
        <is>
          <t>수도광열비</t>
        </is>
      </c>
      <c r="C96" s="1456" t="inlineStr">
        <is>
          <t>기타</t>
        </is>
      </c>
      <c r="D96" s="2625" t="n"/>
      <c r="E96" s="2625" t="n"/>
      <c r="F96" s="2625" t="n"/>
      <c r="G96" s="2625" t="n">
        <v>0</v>
      </c>
      <c r="H96" s="2625" t="n">
        <v>0</v>
      </c>
      <c r="I96" s="2625" t="n">
        <v>0</v>
      </c>
      <c r="J96" s="2625" t="n">
        <v>0</v>
      </c>
      <c r="K96" s="2625" t="n">
        <v>0</v>
      </c>
      <c r="L96" s="2625" t="n">
        <v>0</v>
      </c>
      <c r="M96" s="2625" t="n">
        <v>0</v>
      </c>
      <c r="N96" s="2625" t="n">
        <v>0</v>
      </c>
      <c r="O96" s="2625" t="n">
        <v>0</v>
      </c>
      <c r="P96" s="2626">
        <f>SUM(D96:O96)</f>
        <v/>
      </c>
      <c r="Q96" s="1466" t="n"/>
      <c r="R96" s="1436" t="n"/>
      <c r="S96" s="2625" t="n">
        <v>0</v>
      </c>
      <c r="T96" s="2625" t="n">
        <v>0</v>
      </c>
      <c r="U96" s="2625" t="n">
        <v>0</v>
      </c>
      <c r="V96" s="2625" t="n">
        <v>0</v>
      </c>
      <c r="W96" s="2625" t="n">
        <v>0</v>
      </c>
      <c r="X96" s="2625" t="n">
        <v>0</v>
      </c>
      <c r="Y96" s="2625" t="n">
        <v>0</v>
      </c>
      <c r="Z96" s="2625" t="n">
        <v>0</v>
      </c>
      <c r="AA96" s="2625" t="n">
        <v>0</v>
      </c>
      <c r="AB96" s="2625" t="n">
        <v>0</v>
      </c>
      <c r="AC96" s="2625" t="n">
        <v>0</v>
      </c>
      <c r="AD96" s="2625" t="n">
        <v>0</v>
      </c>
      <c r="AE96" s="2626">
        <f>SUM(S96:AD96)</f>
        <v/>
      </c>
      <c r="AF96" s="1466" t="n"/>
      <c r="AG96" s="2625" t="n">
        <v>0</v>
      </c>
      <c r="AH96" s="2625" t="n">
        <v>0</v>
      </c>
      <c r="AI96" s="2625" t="n">
        <v>0</v>
      </c>
      <c r="AJ96" s="2625" t="n">
        <v>0</v>
      </c>
      <c r="AK96" s="2625" t="n">
        <v>0</v>
      </c>
      <c r="AL96" s="2625" t="n">
        <v>0</v>
      </c>
      <c r="AM96" s="2625" t="n">
        <v>0</v>
      </c>
      <c r="AN96" s="2625" t="n">
        <v>0</v>
      </c>
      <c r="AO96" s="2625" t="n">
        <v>0</v>
      </c>
      <c r="AP96" s="2625" t="n">
        <v>0</v>
      </c>
      <c r="AQ96" s="2625" t="n"/>
      <c r="AR96" s="2625" t="n">
        <v>0</v>
      </c>
      <c r="AS96" s="2626">
        <f>SUM(AG96:AR96)</f>
        <v/>
      </c>
      <c r="AU96" s="2625" t="n"/>
      <c r="AV96" s="2625" t="n">
        <v>0</v>
      </c>
      <c r="AW96" s="2625" t="n">
        <v>0</v>
      </c>
      <c r="AX96" s="2625" t="n">
        <v>0</v>
      </c>
      <c r="AY96" s="2625" t="n">
        <v>0</v>
      </c>
      <c r="AZ96" s="2625" t="n">
        <v>0</v>
      </c>
      <c r="BA96" s="2625" t="n">
        <v>0</v>
      </c>
      <c r="BB96" s="2625" t="n"/>
      <c r="BC96" s="2625" t="n"/>
      <c r="BD96" s="2625" t="n">
        <v>0</v>
      </c>
      <c r="BE96" s="2625" t="n">
        <v>0</v>
      </c>
      <c r="BF96" s="2627" t="n"/>
      <c r="BG96" s="2628">
        <f>SUM(AU96:BF96)</f>
        <v/>
      </c>
      <c r="BI96" s="2629" t="n"/>
      <c r="BJ96" s="2629" t="n"/>
      <c r="BK96" s="2629" t="n"/>
      <c r="BL96" s="2629" t="n"/>
      <c r="BM96" s="2629" t="n"/>
      <c r="BN96" s="2629" t="n"/>
      <c r="BO96" s="2629" t="n"/>
      <c r="BP96" s="2629" t="n"/>
      <c r="BQ96" s="2629" t="n"/>
      <c r="BR96" s="2629" t="n"/>
      <c r="BS96" s="2629" t="n"/>
      <c r="BT96" s="2629" t="n"/>
      <c r="BU96" s="2628">
        <f>SUM(BI96:BT96)</f>
        <v/>
      </c>
    </row>
    <row r="97" outlineLevel="1">
      <c r="A97" s="1470" t="n"/>
      <c r="B97" s="1456" t="inlineStr">
        <is>
          <t>세금과공과금</t>
        </is>
      </c>
      <c r="C97" s="1456" t="inlineStr">
        <is>
          <t>기타</t>
        </is>
      </c>
      <c r="D97" s="2625" t="n"/>
      <c r="E97" s="2625" t="n"/>
      <c r="F97" s="2625" t="n"/>
      <c r="G97" s="2625" t="n">
        <v>72000000</v>
      </c>
      <c r="H97" s="2625" t="n">
        <v>0</v>
      </c>
      <c r="I97" s="2625" t="n">
        <v>126780</v>
      </c>
      <c r="J97" s="2625" t="n">
        <v>583750</v>
      </c>
      <c r="K97" s="2625" t="n">
        <v>0</v>
      </c>
      <c r="L97" s="2625" t="n">
        <v>0</v>
      </c>
      <c r="M97" s="2629" t="n">
        <v>0</v>
      </c>
      <c r="N97" s="2625" t="n">
        <v>0</v>
      </c>
      <c r="O97" s="2625" t="n">
        <v>434460</v>
      </c>
      <c r="P97" s="2626">
        <f>SUM(D97:O97)</f>
        <v/>
      </c>
      <c r="Q97" s="1464" t="inlineStr">
        <is>
          <t>유상증자 관련 등록세 등 3천3백만원 이상 예상</t>
        </is>
      </c>
      <c r="R97" s="1436" t="n"/>
      <c r="S97" s="2625" t="n">
        <v>813250</v>
      </c>
      <c r="T97" s="2625" t="n">
        <v>0</v>
      </c>
      <c r="U97" s="2625" t="n">
        <v>0</v>
      </c>
      <c r="V97" s="2625" t="n">
        <v>48240</v>
      </c>
      <c r="W97" s="2625" t="n">
        <v>4616510</v>
      </c>
      <c r="X97" s="2625" t="n">
        <v>4534820</v>
      </c>
      <c r="Y97" s="2625" t="n">
        <v>4460970</v>
      </c>
      <c r="Z97" s="2625" t="n">
        <v>5759040</v>
      </c>
      <c r="AA97" s="2625" t="n">
        <v>4246320</v>
      </c>
      <c r="AB97" s="2625" t="n">
        <v>3127940</v>
      </c>
      <c r="AC97" s="2625" t="n">
        <v>2913930</v>
      </c>
      <c r="AD97" s="2625" t="n">
        <v>1264530</v>
      </c>
      <c r="AE97" s="2626">
        <f>SUM(S97:AD97)</f>
        <v/>
      </c>
      <c r="AF97" s="1466" t="inlineStr">
        <is>
          <t>최근 3개월 평균</t>
        </is>
      </c>
      <c r="AG97" s="2625" t="n">
        <v>28184000</v>
      </c>
      <c r="AH97" s="2625" t="n">
        <v>1144480</v>
      </c>
      <c r="AI97" s="2625" t="n">
        <v>1162010</v>
      </c>
      <c r="AJ97" s="2625" t="n">
        <v>1107190</v>
      </c>
      <c r="AK97" s="2625" t="n">
        <v>961790</v>
      </c>
      <c r="AL97" s="2625" t="n">
        <v>925800</v>
      </c>
      <c r="AM97" s="2625" t="n">
        <v>586130</v>
      </c>
      <c r="AN97" s="2625" t="n">
        <v>886610</v>
      </c>
      <c r="AO97" s="2625" t="n">
        <v>204000</v>
      </c>
      <c r="AP97" s="2625" t="n">
        <v>307680</v>
      </c>
      <c r="AQ97" s="2625" t="n">
        <v>139770</v>
      </c>
      <c r="AR97" s="2625" t="n">
        <v>0</v>
      </c>
      <c r="AS97" s="2626">
        <f>SUM(AG97:AR97)</f>
        <v/>
      </c>
      <c r="AT97" s="1440" t="inlineStr">
        <is>
          <t>1백만원 가정</t>
        </is>
      </c>
      <c r="AU97" s="2625" t="n">
        <v>786740</v>
      </c>
      <c r="AV97" s="2625" t="n">
        <v>0</v>
      </c>
      <c r="AW97" s="2625" t="n">
        <v>192960</v>
      </c>
      <c r="AX97" s="2625" t="n">
        <v>0</v>
      </c>
      <c r="AY97" s="2625" t="n">
        <v>0</v>
      </c>
      <c r="AZ97" s="2625" t="n">
        <v>0</v>
      </c>
      <c r="BA97" s="2625" t="n">
        <v>48240</v>
      </c>
      <c r="BB97" s="2625" t="n">
        <v>250000</v>
      </c>
      <c r="BC97" s="2625" t="n">
        <v>100000</v>
      </c>
      <c r="BD97" s="2625" t="n">
        <v>0</v>
      </c>
      <c r="BE97" s="2625" t="n">
        <v>0</v>
      </c>
      <c r="BF97" s="2627" t="n">
        <v>500000</v>
      </c>
      <c r="BG97" s="2628">
        <f>SUM(AU97:BF97)</f>
        <v/>
      </c>
      <c r="BI97" s="2635">
        <f>500000+420*1350/12</f>
        <v/>
      </c>
      <c r="BJ97" s="2629">
        <f>500000+420*1350/12</f>
        <v/>
      </c>
      <c r="BK97" s="2629">
        <f>500000+420*1350/12</f>
        <v/>
      </c>
      <c r="BL97" s="2629">
        <f>500000+420*1350/12</f>
        <v/>
      </c>
      <c r="BM97" s="2629">
        <f>500000+420*1350/12</f>
        <v/>
      </c>
      <c r="BN97" s="2629">
        <f>500000+420*1350/12</f>
        <v/>
      </c>
      <c r="BO97" s="2629">
        <f>500000+420*1350/12</f>
        <v/>
      </c>
      <c r="BP97" s="2629">
        <f>500000+420*1350/12</f>
        <v/>
      </c>
      <c r="BQ97" s="2629">
        <f>500000+420*1350/12</f>
        <v/>
      </c>
      <c r="BR97" s="2629">
        <f>500000+420*1350/12</f>
        <v/>
      </c>
      <c r="BS97" s="2629">
        <f>500000+420*1350/12</f>
        <v/>
      </c>
      <c r="BT97" s="2629">
        <f>500000+420*1350/12</f>
        <v/>
      </c>
      <c r="BU97" s="2628">
        <f>SUM(BI97:BT97)</f>
        <v/>
      </c>
    </row>
    <row r="98" outlineLevel="1">
      <c r="A98" s="1470" t="n"/>
      <c r="B98" s="1456" t="inlineStr">
        <is>
          <t>지급임차료</t>
        </is>
      </c>
      <c r="C98" s="1456" t="inlineStr">
        <is>
          <t>기타</t>
        </is>
      </c>
      <c r="D98" s="2625" t="n"/>
      <c r="E98" s="2625" t="n"/>
      <c r="F98" s="2625" t="n"/>
      <c r="G98" s="2625" t="n">
        <v>0</v>
      </c>
      <c r="H98" s="2625" t="n">
        <v>0</v>
      </c>
      <c r="I98" s="2625" t="n">
        <v>120000</v>
      </c>
      <c r="J98" s="2625" t="n">
        <v>178000</v>
      </c>
      <c r="K98" s="2625" t="n">
        <v>0</v>
      </c>
      <c r="L98" s="2625" t="n">
        <v>0</v>
      </c>
      <c r="M98" s="2625" t="n">
        <v>0</v>
      </c>
      <c r="N98" s="2625" t="n">
        <v>220000</v>
      </c>
      <c r="O98" s="2625" t="n">
        <v>220000</v>
      </c>
      <c r="P98" s="2626">
        <f>SUM(D98:O98)</f>
        <v/>
      </c>
      <c r="Q98" s="1464" t="n"/>
      <c r="R98" s="1436" t="n"/>
      <c r="S98" s="2625" t="n">
        <v>220000</v>
      </c>
      <c r="T98" s="2625" t="n">
        <v>220000</v>
      </c>
      <c r="U98" s="2625" t="n">
        <v>220000</v>
      </c>
      <c r="V98" s="2625" t="n">
        <v>220000</v>
      </c>
      <c r="W98" s="2625" t="n">
        <v>22670964</v>
      </c>
      <c r="X98" s="2625" t="n">
        <v>18009022</v>
      </c>
      <c r="Y98" s="2625" t="n">
        <v>34048396</v>
      </c>
      <c r="Z98" s="2625" t="n">
        <v>52082336</v>
      </c>
      <c r="AA98" s="2625" t="n">
        <v>30493889</v>
      </c>
      <c r="AB98" s="2625" t="n">
        <v>9437261</v>
      </c>
      <c r="AC98" s="2625" t="n">
        <v>110000</v>
      </c>
      <c r="AD98" s="2625" t="n">
        <v>-246215279</v>
      </c>
      <c r="AE98" s="2626">
        <f>SUM(S98:AD98)</f>
        <v/>
      </c>
      <c r="AF98" s="1466" t="inlineStr">
        <is>
          <t>전월(11월부터 사무실 임차료 감소:-2천만원)</t>
        </is>
      </c>
      <c r="AG98" s="2625" t="n">
        <v>110000</v>
      </c>
      <c r="AH98" s="2625" t="n">
        <v>110000</v>
      </c>
      <c r="AI98" s="2625" t="n">
        <v>110000</v>
      </c>
      <c r="AJ98" s="2625" t="n">
        <v>110000</v>
      </c>
      <c r="AK98" s="2625" t="n">
        <v>110000</v>
      </c>
      <c r="AL98" s="2625" t="n">
        <v>110000</v>
      </c>
      <c r="AM98" s="2625" t="n">
        <v>110000</v>
      </c>
      <c r="AN98" s="2625" t="n">
        <v>110000</v>
      </c>
      <c r="AO98" s="2625" t="n">
        <v>110000</v>
      </c>
      <c r="AP98" s="2625" t="n">
        <v>535680</v>
      </c>
      <c r="AQ98" s="2625" t="n">
        <v>535680</v>
      </c>
      <c r="AR98" s="2625" t="n">
        <v>535680</v>
      </c>
      <c r="AS98" s="2626">
        <f>SUM(AG98:AR98)</f>
        <v/>
      </c>
      <c r="AT98" s="1440" t="inlineStr">
        <is>
          <t>전월</t>
        </is>
      </c>
      <c r="AU98" s="2625" t="n">
        <v>535680</v>
      </c>
      <c r="AV98" s="2625" t="n">
        <v>535680</v>
      </c>
      <c r="AW98" s="2625" t="n">
        <v>535680</v>
      </c>
      <c r="AX98" s="2625" t="n">
        <v>535680</v>
      </c>
      <c r="AY98" s="2625" t="n">
        <v>535680</v>
      </c>
      <c r="AZ98" s="2625" t="n">
        <v>535680</v>
      </c>
      <c r="BA98" s="2625" t="n">
        <v>535680</v>
      </c>
      <c r="BB98" s="2625" t="n">
        <v>535680</v>
      </c>
      <c r="BC98" s="2625" t="n">
        <v>535680</v>
      </c>
      <c r="BD98" s="2625" t="n">
        <v>535680</v>
      </c>
      <c r="BE98" s="2625" t="n">
        <v>535680</v>
      </c>
      <c r="BF98" s="2627">
        <f>BE98</f>
        <v/>
      </c>
      <c r="BG98" s="2628">
        <f>SUM(AU98:BF98)</f>
        <v/>
      </c>
      <c r="BI98" s="2629" t="n">
        <v>535680</v>
      </c>
      <c r="BJ98" s="2629" t="n">
        <v>535680</v>
      </c>
      <c r="BK98" s="2629" t="n">
        <v>535680</v>
      </c>
      <c r="BL98" s="2629" t="n">
        <v>535680</v>
      </c>
      <c r="BM98" s="2629" t="n">
        <v>535680</v>
      </c>
      <c r="BN98" s="2629" t="n">
        <v>535680</v>
      </c>
      <c r="BO98" s="2629" t="n">
        <v>535680</v>
      </c>
      <c r="BP98" s="2629" t="n">
        <v>535680</v>
      </c>
      <c r="BQ98" s="2629" t="n">
        <v>535680</v>
      </c>
      <c r="BR98" s="2629" t="n">
        <v>535680</v>
      </c>
      <c r="BS98" s="2629" t="n">
        <v>535680</v>
      </c>
      <c r="BT98" s="2629" t="n">
        <v>535680</v>
      </c>
      <c r="BU98" s="2628">
        <f>SUM(BI98:BT98)</f>
        <v/>
      </c>
    </row>
    <row r="99" outlineLevel="1">
      <c r="A99" s="1470" t="n"/>
      <c r="B99" s="1456" t="inlineStr">
        <is>
          <t>경상연구개발비</t>
        </is>
      </c>
      <c r="C99" s="1456" t="inlineStr">
        <is>
          <t>인건비 등</t>
        </is>
      </c>
      <c r="D99" s="2625" t="n"/>
      <c r="E99" s="2625" t="n"/>
      <c r="F99" s="2625" t="n"/>
      <c r="G99" s="2625" t="n"/>
      <c r="H99" s="2625" t="n"/>
      <c r="I99" s="2625" t="n"/>
      <c r="J99" s="2625" t="n"/>
      <c r="K99" s="2625" t="n"/>
      <c r="L99" s="2625" t="n"/>
      <c r="M99" s="2625" t="n"/>
      <c r="N99" s="2625" t="n"/>
      <c r="O99" s="2625" t="n"/>
      <c r="P99" s="2626">
        <f>SUM(D99:O99)</f>
        <v/>
      </c>
      <c r="Q99" s="1464" t="n"/>
      <c r="R99" s="1436" t="n"/>
      <c r="S99" s="2625" t="n"/>
      <c r="T99" s="2625" t="n"/>
      <c r="U99" s="2625" t="n"/>
      <c r="V99" s="2625" t="n"/>
      <c r="W99" s="2625" t="n">
        <v>0</v>
      </c>
      <c r="X99" s="2625" t="n">
        <v>0</v>
      </c>
      <c r="Y99" s="2625" t="n">
        <v>0</v>
      </c>
      <c r="Z99" s="2625" t="n">
        <v>0</v>
      </c>
      <c r="AA99" s="2625" t="n">
        <v>0</v>
      </c>
      <c r="AB99" s="2625" t="n">
        <v>0</v>
      </c>
      <c r="AC99" s="2625" t="n">
        <v>0</v>
      </c>
      <c r="AD99" s="2625" t="n">
        <v>0</v>
      </c>
      <c r="AE99" s="2626">
        <f>SUM(S99:AD99)</f>
        <v/>
      </c>
      <c r="AF99" s="1464" t="n"/>
      <c r="AG99" s="2625" t="n">
        <v>0</v>
      </c>
      <c r="AH99" s="2625" t="n">
        <v>0</v>
      </c>
      <c r="AI99" s="2625" t="n">
        <v>0</v>
      </c>
      <c r="AJ99" s="2625" t="n">
        <v>0</v>
      </c>
      <c r="AK99" s="2625" t="n">
        <v>0</v>
      </c>
      <c r="AL99" s="2625" t="n">
        <v>0</v>
      </c>
      <c r="AM99" s="2625" t="n">
        <v>0</v>
      </c>
      <c r="AN99" s="2625" t="n">
        <v>0</v>
      </c>
      <c r="AO99" s="2625" t="n">
        <v>0</v>
      </c>
      <c r="AP99" s="2625" t="n">
        <v>0</v>
      </c>
      <c r="AQ99" s="2625" t="n"/>
      <c r="AR99" s="2625" t="n">
        <v>0</v>
      </c>
      <c r="AS99" s="2626">
        <f>SUM(AG99:AR99)</f>
        <v/>
      </c>
      <c r="AU99" s="2625" t="n"/>
      <c r="AV99" s="2625" t="n">
        <v>0</v>
      </c>
      <c r="AW99" s="2625" t="n">
        <v>0</v>
      </c>
      <c r="AX99" s="2625" t="n">
        <v>0</v>
      </c>
      <c r="AY99" s="2625" t="n">
        <v>0</v>
      </c>
      <c r="AZ99" s="2625" t="n">
        <v>0</v>
      </c>
      <c r="BA99" s="2625" t="n">
        <v>0</v>
      </c>
      <c r="BB99" s="2625" t="n"/>
      <c r="BC99" s="2625" t="n"/>
      <c r="BD99" s="2625" t="n">
        <v>0</v>
      </c>
      <c r="BE99" s="2625" t="n">
        <v>0</v>
      </c>
      <c r="BF99" s="2627" t="n"/>
      <c r="BG99" s="2628">
        <f>SUM(AU99:BF99)</f>
        <v/>
      </c>
      <c r="BI99" s="2629" t="n"/>
      <c r="BJ99" s="2629" t="n"/>
      <c r="BK99" s="2629" t="n"/>
      <c r="BL99" s="2629" t="n"/>
      <c r="BM99" s="2629" t="n"/>
      <c r="BN99" s="2629" t="n"/>
      <c r="BO99" s="2629" t="n"/>
      <c r="BP99" s="2629" t="n"/>
      <c r="BQ99" s="2629" t="n"/>
      <c r="BR99" s="2629" t="n"/>
      <c r="BS99" s="2629" t="n"/>
      <c r="BT99" s="2629" t="n"/>
      <c r="BU99" s="2628">
        <f>SUM(BI99:BT99)</f>
        <v/>
      </c>
    </row>
    <row r="100" outlineLevel="1">
      <c r="A100" s="1470" t="n"/>
      <c r="B100" s="1456" t="inlineStr">
        <is>
          <t>수선비</t>
        </is>
      </c>
      <c r="C100" s="1456" t="inlineStr">
        <is>
          <t>기타</t>
        </is>
      </c>
      <c r="D100" s="2625" t="n"/>
      <c r="E100" s="2625" t="n"/>
      <c r="F100" s="2625" t="n"/>
      <c r="G100" s="2625" t="n">
        <v>0</v>
      </c>
      <c r="H100" s="2625" t="n">
        <v>0</v>
      </c>
      <c r="I100" s="2625" t="n">
        <v>0</v>
      </c>
      <c r="J100" s="2625" t="n">
        <v>0</v>
      </c>
      <c r="K100" s="2625" t="n">
        <v>0</v>
      </c>
      <c r="L100" s="2625" t="n">
        <v>0</v>
      </c>
      <c r="M100" s="2625" t="n">
        <v>0</v>
      </c>
      <c r="N100" s="2625" t="n">
        <v>0</v>
      </c>
      <c r="O100" s="2625" t="n">
        <v>0</v>
      </c>
      <c r="P100" s="2626">
        <f>SUM(D100:O100)</f>
        <v/>
      </c>
      <c r="Q100" s="1466" t="n"/>
      <c r="R100" s="1436" t="n"/>
      <c r="S100" s="2625" t="n">
        <v>0</v>
      </c>
      <c r="T100" s="2625" t="n">
        <v>0</v>
      </c>
      <c r="U100" s="2625" t="n">
        <v>0</v>
      </c>
      <c r="V100" s="2625" t="n">
        <v>0</v>
      </c>
      <c r="W100" s="2625" t="n">
        <v>0</v>
      </c>
      <c r="X100" s="2625" t="n">
        <v>0</v>
      </c>
      <c r="Y100" s="2625" t="n">
        <v>0</v>
      </c>
      <c r="Z100" s="2625" t="n">
        <v>0</v>
      </c>
      <c r="AA100" s="2625" t="n">
        <v>0</v>
      </c>
      <c r="AB100" s="2625" t="n">
        <v>0</v>
      </c>
      <c r="AC100" s="2625" t="n">
        <v>0</v>
      </c>
      <c r="AD100" s="2625" t="n">
        <v>0</v>
      </c>
      <c r="AE100" s="2626">
        <f>SUM(S100:AD100)</f>
        <v/>
      </c>
      <c r="AF100" s="1466" t="n"/>
      <c r="AG100" s="2625" t="n">
        <v>0</v>
      </c>
      <c r="AH100" s="2625" t="n">
        <v>0</v>
      </c>
      <c r="AI100" s="2625" t="n">
        <v>0</v>
      </c>
      <c r="AJ100" s="2625" t="n">
        <v>0</v>
      </c>
      <c r="AK100" s="2625" t="n">
        <v>0</v>
      </c>
      <c r="AL100" s="2625" t="n">
        <v>0</v>
      </c>
      <c r="AM100" s="2625" t="n">
        <v>0</v>
      </c>
      <c r="AN100" s="2625" t="n">
        <v>0</v>
      </c>
      <c r="AO100" s="2625" t="n">
        <v>0</v>
      </c>
      <c r="AP100" s="2625" t="n">
        <v>0</v>
      </c>
      <c r="AQ100" s="2625" t="n"/>
      <c r="AR100" s="2625" t="n">
        <v>0</v>
      </c>
      <c r="AS100" s="2626">
        <f>SUM(AG100:AR100)</f>
        <v/>
      </c>
      <c r="AU100" s="2625" t="n"/>
      <c r="AV100" s="2625" t="n">
        <v>0</v>
      </c>
      <c r="AW100" s="2625" t="n">
        <v>0</v>
      </c>
      <c r="AX100" s="2625" t="n">
        <v>0</v>
      </c>
      <c r="AY100" s="2625" t="n">
        <v>0</v>
      </c>
      <c r="AZ100" s="2625" t="n">
        <v>0</v>
      </c>
      <c r="BA100" s="2625" t="n">
        <v>0</v>
      </c>
      <c r="BB100" s="2625" t="n"/>
      <c r="BC100" s="2625" t="n"/>
      <c r="BD100" s="2625" t="n">
        <v>0</v>
      </c>
      <c r="BE100" s="2625" t="n">
        <v>0</v>
      </c>
      <c r="BF100" s="2627" t="n"/>
      <c r="BG100" s="2628">
        <f>SUM(AU100:BF100)</f>
        <v/>
      </c>
      <c r="BI100" s="2629" t="n"/>
      <c r="BJ100" s="2629" t="n"/>
      <c r="BK100" s="2629" t="n"/>
      <c r="BL100" s="2629" t="n"/>
      <c r="BM100" s="2629" t="n"/>
      <c r="BN100" s="2629" t="n"/>
      <c r="BO100" s="2629" t="n"/>
      <c r="BP100" s="2629" t="n"/>
      <c r="BQ100" s="2629" t="n"/>
      <c r="BR100" s="2629" t="n"/>
      <c r="BS100" s="2629" t="n"/>
      <c r="BT100" s="2629" t="n"/>
      <c r="BU100" s="2628">
        <f>SUM(BI100:BT100)</f>
        <v/>
      </c>
    </row>
    <row r="101" outlineLevel="1">
      <c r="A101" s="1470" t="n"/>
      <c r="B101" s="1456" t="inlineStr">
        <is>
          <t>보험료</t>
        </is>
      </c>
      <c r="C101" s="1456" t="inlineStr">
        <is>
          <t>기타</t>
        </is>
      </c>
      <c r="D101" s="2625" t="n"/>
      <c r="E101" s="2625" t="n"/>
      <c r="F101" s="2625" t="n"/>
      <c r="G101" s="2625" t="n">
        <v>0</v>
      </c>
      <c r="H101" s="2625" t="n">
        <v>0</v>
      </c>
      <c r="I101" s="2625" t="n">
        <v>0</v>
      </c>
      <c r="J101" s="2625" t="n">
        <v>449904</v>
      </c>
      <c r="K101" s="2625" t="n">
        <v>1643154</v>
      </c>
      <c r="L101" s="2625" t="n">
        <v>1456213</v>
      </c>
      <c r="M101" s="2625" t="n">
        <v>1504754</v>
      </c>
      <c r="N101" s="2625" t="n">
        <v>1456213</v>
      </c>
      <c r="O101" s="2625" t="n">
        <v>1504754</v>
      </c>
      <c r="P101" s="2626">
        <f>SUM(D101:O101)</f>
        <v/>
      </c>
      <c r="Q101" s="1466" t="inlineStr">
        <is>
          <t>전월기준</t>
        </is>
      </c>
      <c r="R101" s="1436" t="n"/>
      <c r="S101" s="2625" t="n">
        <v>1504754</v>
      </c>
      <c r="T101" s="2625" t="n">
        <v>1359133</v>
      </c>
      <c r="U101" s="2625" t="n">
        <v>1504754</v>
      </c>
      <c r="V101" s="2625" t="n">
        <v>1456213</v>
      </c>
      <c r="W101" s="2625" t="n">
        <v>2706254</v>
      </c>
      <c r="X101" s="2625" t="n">
        <v>1456213</v>
      </c>
      <c r="Y101" s="2625" t="n">
        <v>-653755</v>
      </c>
      <c r="Z101" s="2625" t="n">
        <v>3401538</v>
      </c>
      <c r="AA101" s="2625" t="n">
        <v>3182553</v>
      </c>
      <c r="AB101" s="2625" t="n">
        <v>3288638</v>
      </c>
      <c r="AC101" s="2625" t="n">
        <v>3182553</v>
      </c>
      <c r="AD101" s="2625" t="n">
        <v>3288638</v>
      </c>
      <c r="AE101" s="2626">
        <f>SUM(S101:AD101)</f>
        <v/>
      </c>
      <c r="AF101" s="1466" t="inlineStr">
        <is>
          <t>최근 3개월 평균</t>
        </is>
      </c>
      <c r="AG101" s="2625" t="n">
        <v>3288638</v>
      </c>
      <c r="AH101" s="2625" t="n">
        <v>3076468</v>
      </c>
      <c r="AI101" s="2625" t="n">
        <v>3288638</v>
      </c>
      <c r="AJ101" s="2625" t="n">
        <v>7661615</v>
      </c>
      <c r="AK101" s="2625" t="n">
        <v>3380835</v>
      </c>
      <c r="AL101" s="2625" t="n">
        <v>3281336</v>
      </c>
      <c r="AM101" s="2625" t="n">
        <v>1030527</v>
      </c>
      <c r="AN101" s="2625" t="n">
        <v>881532</v>
      </c>
      <c r="AO101" s="2625" t="n">
        <v>853096</v>
      </c>
      <c r="AP101" s="2625" t="n">
        <v>881532</v>
      </c>
      <c r="AQ101" s="2625" t="n">
        <v>853096</v>
      </c>
      <c r="AR101" s="2625" t="n">
        <v>917824</v>
      </c>
      <c r="AS101" s="2626">
        <f>SUM(AG101:AR101)</f>
        <v/>
      </c>
      <c r="AU101" s="2625" t="n">
        <v>917826</v>
      </c>
      <c r="AV101" s="2625" t="n">
        <v>829004</v>
      </c>
      <c r="AW101" s="2625" t="n">
        <v>917826</v>
      </c>
      <c r="AX101" s="2625" t="n">
        <v>888219</v>
      </c>
      <c r="AY101" s="2625" t="n">
        <v>1805081</v>
      </c>
      <c r="AZ101" s="2625" t="n">
        <v>2965866</v>
      </c>
      <c r="BA101" s="2625" t="n">
        <v>36292</v>
      </c>
      <c r="BB101" s="2625" t="n">
        <v>36292</v>
      </c>
      <c r="BC101" s="2625" t="n">
        <v>35121</v>
      </c>
      <c r="BD101" s="2625" t="n">
        <v>36292</v>
      </c>
      <c r="BE101" s="2625" t="n">
        <v>36294</v>
      </c>
      <c r="BF101" s="2627">
        <f>BE101</f>
        <v/>
      </c>
      <c r="BG101" s="2628">
        <f>SUM(AU101:BF101)</f>
        <v/>
      </c>
      <c r="BI101" s="2629">
        <f>AVERAGE(AU101:BC101)</f>
        <v/>
      </c>
      <c r="BJ101" s="2629">
        <f>BI101</f>
        <v/>
      </c>
      <c r="BK101" s="2629">
        <f>BJ101</f>
        <v/>
      </c>
      <c r="BL101" s="2629">
        <f>BK101</f>
        <v/>
      </c>
      <c r="BM101" s="2629">
        <f>BL101</f>
        <v/>
      </c>
      <c r="BN101" s="2629">
        <f>BM101</f>
        <v/>
      </c>
      <c r="BO101" s="2629">
        <f>BN101</f>
        <v/>
      </c>
      <c r="BP101" s="2629">
        <f>BO101</f>
        <v/>
      </c>
      <c r="BQ101" s="2629">
        <f>BP101</f>
        <v/>
      </c>
      <c r="BR101" s="2629">
        <f>BQ101</f>
        <v/>
      </c>
      <c r="BS101" s="2629">
        <f>BR101</f>
        <v/>
      </c>
      <c r="BT101" s="2629">
        <f>BS101</f>
        <v/>
      </c>
      <c r="BU101" s="2628">
        <f>SUM(BI101:BT101)</f>
        <v/>
      </c>
    </row>
    <row r="102" outlineLevel="1">
      <c r="A102" s="1470" t="n"/>
      <c r="B102" s="1456" t="inlineStr">
        <is>
          <t>차량유지비</t>
        </is>
      </c>
      <c r="C102" s="1456" t="inlineStr">
        <is>
          <t>기타</t>
        </is>
      </c>
      <c r="D102" s="2625" t="n"/>
      <c r="E102" s="2625" t="n"/>
      <c r="F102" s="2625" t="n"/>
      <c r="G102" s="2625" t="n">
        <v>0</v>
      </c>
      <c r="H102" s="2625" t="n">
        <v>0</v>
      </c>
      <c r="I102" s="2625" t="n">
        <v>0</v>
      </c>
      <c r="J102" s="2625" t="n">
        <v>0</v>
      </c>
      <c r="K102" s="2625" t="n">
        <v>0</v>
      </c>
      <c r="L102" s="2625" t="n">
        <v>0</v>
      </c>
      <c r="M102" s="2625" t="n">
        <v>0</v>
      </c>
      <c r="N102" s="2625" t="n">
        <v>0</v>
      </c>
      <c r="O102" s="2625" t="n">
        <v>0</v>
      </c>
      <c r="P102" s="2626">
        <f>SUM(D102:O102)</f>
        <v/>
      </c>
      <c r="Q102" s="1466" t="n"/>
      <c r="R102" s="1436" t="n"/>
      <c r="S102" s="2625" t="n">
        <v>0</v>
      </c>
      <c r="T102" s="2625" t="n">
        <v>0</v>
      </c>
      <c r="U102" s="2625" t="n">
        <v>0</v>
      </c>
      <c r="V102" s="2625" t="n">
        <v>0</v>
      </c>
      <c r="W102" s="2625" t="n">
        <v>0</v>
      </c>
      <c r="X102" s="2625" t="n">
        <v>0</v>
      </c>
      <c r="Y102" s="2625" t="n">
        <v>0</v>
      </c>
      <c r="Z102" s="2625" t="n">
        <v>0</v>
      </c>
      <c r="AA102" s="2625" t="n">
        <v>0</v>
      </c>
      <c r="AB102" s="2625" t="n">
        <v>0</v>
      </c>
      <c r="AC102" s="2625" t="n">
        <v>0</v>
      </c>
      <c r="AD102" s="2625" t="n">
        <v>0</v>
      </c>
      <c r="AE102" s="2626">
        <f>SUM(S102:AD102)</f>
        <v/>
      </c>
      <c r="AF102" s="1466" t="n"/>
      <c r="AG102" s="2625" t="n">
        <v>0</v>
      </c>
      <c r="AH102" s="2625" t="n">
        <v>0</v>
      </c>
      <c r="AI102" s="2625" t="n">
        <v>0</v>
      </c>
      <c r="AJ102" s="2625" t="n">
        <v>0</v>
      </c>
      <c r="AK102" s="2625" t="n">
        <v>0</v>
      </c>
      <c r="AL102" s="2625" t="n">
        <v>0</v>
      </c>
      <c r="AM102" s="2625" t="n">
        <v>0</v>
      </c>
      <c r="AN102" s="2625" t="n">
        <v>0</v>
      </c>
      <c r="AO102" s="2625" t="n">
        <v>0</v>
      </c>
      <c r="AP102" s="2625" t="n">
        <v>0</v>
      </c>
      <c r="AQ102" s="2625" t="n"/>
      <c r="AR102" s="2625" t="n">
        <v>0</v>
      </c>
      <c r="AS102" s="2626">
        <f>SUM(AG102:AR102)</f>
        <v/>
      </c>
      <c r="AU102" s="2625" t="n"/>
      <c r="AV102" s="2625" t="n">
        <v>0</v>
      </c>
      <c r="AW102" s="2625" t="n">
        <v>0</v>
      </c>
      <c r="AX102" s="2625" t="n">
        <v>0</v>
      </c>
      <c r="AY102" s="2625" t="n">
        <v>0</v>
      </c>
      <c r="AZ102" s="2625" t="n">
        <v>0</v>
      </c>
      <c r="BA102" s="2625" t="n">
        <v>0</v>
      </c>
      <c r="BB102" s="2625" t="n"/>
      <c r="BC102" s="2625" t="n"/>
      <c r="BD102" s="2625" t="n">
        <v>0</v>
      </c>
      <c r="BE102" s="2625" t="n">
        <v>0</v>
      </c>
      <c r="BF102" s="2627" t="n"/>
      <c r="BG102" s="2628">
        <f>SUM(AU102:BF102)</f>
        <v/>
      </c>
      <c r="BI102" s="2629" t="n"/>
      <c r="BJ102" s="2629" t="n"/>
      <c r="BK102" s="2629" t="n"/>
      <c r="BL102" s="2629" t="n"/>
      <c r="BM102" s="2629" t="n"/>
      <c r="BN102" s="2629" t="n"/>
      <c r="BO102" s="2629" t="n"/>
      <c r="BP102" s="2629" t="n"/>
      <c r="BQ102" s="2629" t="n"/>
      <c r="BR102" s="2629" t="n"/>
      <c r="BS102" s="2629" t="n"/>
      <c r="BT102" s="2629" t="n"/>
      <c r="BU102" s="2628">
        <f>SUM(BI102:BT102)</f>
        <v/>
      </c>
    </row>
    <row r="103" outlineLevel="1">
      <c r="A103" s="1470" t="n"/>
      <c r="B103" s="1456" t="inlineStr">
        <is>
          <t>운반비</t>
        </is>
      </c>
      <c r="C103" s="1456" t="inlineStr">
        <is>
          <t>기타</t>
        </is>
      </c>
      <c r="D103" s="2625" t="n"/>
      <c r="E103" s="2625" t="n"/>
      <c r="F103" s="2625" t="n"/>
      <c r="G103" s="2625" t="n">
        <v>0</v>
      </c>
      <c r="H103" s="2625" t="n">
        <v>0</v>
      </c>
      <c r="I103" s="2625" t="n">
        <v>0</v>
      </c>
      <c r="J103" s="2625" t="n">
        <v>0</v>
      </c>
      <c r="K103" s="2625" t="n">
        <v>0</v>
      </c>
      <c r="L103" s="2625" t="n">
        <v>0</v>
      </c>
      <c r="M103" s="2625" t="n">
        <v>0</v>
      </c>
      <c r="N103" s="2625" t="n">
        <v>0</v>
      </c>
      <c r="O103" s="2625" t="n">
        <v>0</v>
      </c>
      <c r="P103" s="2626">
        <f>SUM(D103:O103)</f>
        <v/>
      </c>
      <c r="Q103" s="1466" t="n"/>
      <c r="R103" s="1436" t="n"/>
      <c r="S103" s="2625" t="n">
        <v>0</v>
      </c>
      <c r="T103" s="2625" t="n">
        <v>0</v>
      </c>
      <c r="U103" s="2625" t="n">
        <v>0</v>
      </c>
      <c r="V103" s="2625" t="n">
        <v>0</v>
      </c>
      <c r="W103" s="2625" t="n">
        <v>0</v>
      </c>
      <c r="X103" s="2625" t="n">
        <v>0</v>
      </c>
      <c r="Y103" s="2625" t="n">
        <v>0</v>
      </c>
      <c r="Z103" s="2625" t="n">
        <v>0</v>
      </c>
      <c r="AA103" s="2625" t="n">
        <v>0</v>
      </c>
      <c r="AB103" s="2625" t="n">
        <v>0</v>
      </c>
      <c r="AC103" s="2625" t="n">
        <v>0</v>
      </c>
      <c r="AD103" s="2625" t="n">
        <v>0</v>
      </c>
      <c r="AE103" s="2626">
        <f>SUM(S103:AD103)</f>
        <v/>
      </c>
      <c r="AF103" s="1466" t="n"/>
      <c r="AG103" s="2625" t="n">
        <v>0</v>
      </c>
      <c r="AH103" s="2625" t="n">
        <v>0</v>
      </c>
      <c r="AI103" s="2625" t="n">
        <v>0</v>
      </c>
      <c r="AJ103" s="2625" t="n">
        <v>0</v>
      </c>
      <c r="AK103" s="2625" t="n">
        <v>0</v>
      </c>
      <c r="AL103" s="2625" t="n">
        <v>0</v>
      </c>
      <c r="AM103" s="2625" t="n">
        <v>0</v>
      </c>
      <c r="AN103" s="2625" t="n">
        <v>0</v>
      </c>
      <c r="AO103" s="2625" t="n">
        <v>0</v>
      </c>
      <c r="AP103" s="2625" t="n">
        <v>0</v>
      </c>
      <c r="AQ103" s="2625" t="n"/>
      <c r="AR103" s="2625" t="n">
        <v>0</v>
      </c>
      <c r="AS103" s="2626">
        <f>SUM(AG103:AR103)</f>
        <v/>
      </c>
      <c r="AU103" s="2625" t="n"/>
      <c r="AV103" s="2625" t="n">
        <v>0</v>
      </c>
      <c r="AW103" s="2625" t="n">
        <v>0</v>
      </c>
      <c r="AX103" s="2625" t="n">
        <v>0</v>
      </c>
      <c r="AY103" s="2625" t="n">
        <v>0</v>
      </c>
      <c r="AZ103" s="2625" t="n">
        <v>0</v>
      </c>
      <c r="BA103" s="2625" t="n">
        <v>0</v>
      </c>
      <c r="BB103" s="2625" t="n"/>
      <c r="BC103" s="2625" t="n"/>
      <c r="BD103" s="2625" t="n">
        <v>0</v>
      </c>
      <c r="BE103" s="2625" t="n">
        <v>0</v>
      </c>
      <c r="BF103" s="2627" t="n"/>
      <c r="BG103" s="2628">
        <f>SUM(AU103:BF103)</f>
        <v/>
      </c>
      <c r="BI103" s="2629" t="n"/>
      <c r="BJ103" s="2629" t="n"/>
      <c r="BK103" s="2629" t="n"/>
      <c r="BL103" s="2629" t="n"/>
      <c r="BM103" s="2629" t="n"/>
      <c r="BN103" s="2629" t="n"/>
      <c r="BO103" s="2629" t="n"/>
      <c r="BP103" s="2629" t="n"/>
      <c r="BQ103" s="2629" t="n"/>
      <c r="BR103" s="2629" t="n"/>
      <c r="BS103" s="2629" t="n"/>
      <c r="BT103" s="2629" t="n"/>
      <c r="BU103" s="2628">
        <f>SUM(BI103:BT103)</f>
        <v/>
      </c>
    </row>
    <row r="104" outlineLevel="1">
      <c r="A104" s="1470" t="n"/>
      <c r="B104" s="1456" t="inlineStr">
        <is>
          <t>교육훈련비</t>
        </is>
      </c>
      <c r="C104" s="1456" t="inlineStr">
        <is>
          <t>인건비 등</t>
        </is>
      </c>
      <c r="D104" s="2625" t="n"/>
      <c r="E104" s="2625" t="n"/>
      <c r="F104" s="2625" t="n"/>
      <c r="G104" s="2625" t="n">
        <v>0</v>
      </c>
      <c r="H104" s="2625" t="n">
        <v>130000</v>
      </c>
      <c r="I104" s="2625" t="n">
        <v>120000</v>
      </c>
      <c r="J104" s="2625" t="n">
        <v>150000</v>
      </c>
      <c r="K104" s="2625" t="n">
        <v>397000</v>
      </c>
      <c r="L104" s="2625" t="n">
        <v>549000</v>
      </c>
      <c r="M104" s="2625" t="n">
        <v>748793</v>
      </c>
      <c r="N104" s="2625" t="n">
        <v>223637</v>
      </c>
      <c r="O104" s="2625" t="n">
        <v>1132500</v>
      </c>
      <c r="P104" s="2626">
        <f>SUM(D104:O104)</f>
        <v/>
      </c>
      <c r="Q104" s="1464" t="inlineStr">
        <is>
          <t>실적평균</t>
        </is>
      </c>
      <c r="R104" s="1436" t="n"/>
      <c r="S104" s="2625" t="n">
        <v>1865354</v>
      </c>
      <c r="T104" s="2625" t="n">
        <v>1739100</v>
      </c>
      <c r="U104" s="2625" t="n">
        <v>905250</v>
      </c>
      <c r="V104" s="2625" t="n">
        <v>3007677</v>
      </c>
      <c r="W104" s="2625" t="n">
        <v>591500</v>
      </c>
      <c r="X104" s="2625" t="n">
        <v>630450</v>
      </c>
      <c r="Y104" s="2625" t="n">
        <v>503200</v>
      </c>
      <c r="Z104" s="2625" t="n">
        <v>899300</v>
      </c>
      <c r="AA104" s="2625" t="n">
        <v>225250</v>
      </c>
      <c r="AB104" s="2625" t="n">
        <v>583550</v>
      </c>
      <c r="AC104" s="2625" t="n">
        <v>3300388</v>
      </c>
      <c r="AD104" s="2625" t="n">
        <v>612492</v>
      </c>
      <c r="AE104" s="2626">
        <f>SUM(S104:AD104)</f>
        <v/>
      </c>
      <c r="AF104" s="1466" t="inlineStr">
        <is>
          <t>최근 3개월 평균</t>
        </is>
      </c>
      <c r="AG104" s="2625" t="n">
        <v>20400</v>
      </c>
      <c r="AH104" s="2625" t="n">
        <v>76500</v>
      </c>
      <c r="AI104" s="2625" t="n">
        <v>0</v>
      </c>
      <c r="AJ104" s="2625" t="n">
        <v>298350</v>
      </c>
      <c r="AK104" s="2625" t="n">
        <v>161500</v>
      </c>
      <c r="AL104" s="2625" t="n">
        <v>272000</v>
      </c>
      <c r="AM104" s="2625" t="n">
        <v>0</v>
      </c>
      <c r="AN104" s="2625" t="n">
        <v>0</v>
      </c>
      <c r="AO104" s="2625" t="n">
        <v>0</v>
      </c>
      <c r="AP104" s="2625" t="n">
        <v>0</v>
      </c>
      <c r="AQ104" s="2625" t="n">
        <v>8400</v>
      </c>
      <c r="AR104" s="2625" t="n">
        <v>3000</v>
      </c>
      <c r="AS104" s="2626">
        <f>SUM(AG104:AR104)</f>
        <v/>
      </c>
      <c r="AU104" s="2625" t="n"/>
      <c r="AV104" s="2625" t="n">
        <v>0</v>
      </c>
      <c r="AW104" s="2625" t="n">
        <v>0</v>
      </c>
      <c r="AX104" s="2625" t="n">
        <v>0</v>
      </c>
      <c r="AY104" s="2625" t="n">
        <v>0</v>
      </c>
      <c r="AZ104" s="2625" t="n">
        <v>0</v>
      </c>
      <c r="BA104" s="2625" t="n">
        <v>290000</v>
      </c>
      <c r="BB104" s="2625" t="n"/>
      <c r="BC104" s="2625" t="n">
        <v>0</v>
      </c>
      <c r="BD104" s="2625" t="n">
        <v>0</v>
      </c>
      <c r="BE104" s="2625" t="n">
        <v>0</v>
      </c>
      <c r="BF104" s="2627" t="n"/>
      <c r="BG104" s="2628">
        <f>SUM(AU104:BF104)</f>
        <v/>
      </c>
      <c r="BI104" s="2629" t="n"/>
      <c r="BJ104" s="2629" t="n"/>
      <c r="BK104" s="2629" t="n"/>
      <c r="BL104" s="2629" t="n"/>
      <c r="BM104" s="2629" t="n"/>
      <c r="BN104" s="2629" t="n"/>
      <c r="BO104" s="2629" t="n"/>
      <c r="BP104" s="2629" t="n"/>
      <c r="BQ104" s="2629" t="n"/>
      <c r="BR104" s="2629" t="n"/>
      <c r="BS104" s="2629" t="n"/>
      <c r="BT104" s="2629" t="n"/>
      <c r="BU104" s="2628">
        <f>SUM(BI104:BT104)</f>
        <v/>
      </c>
    </row>
    <row r="105" outlineLevel="1">
      <c r="A105" s="1470" t="n"/>
      <c r="B105" s="1456" t="inlineStr">
        <is>
          <t>도서인쇄비</t>
        </is>
      </c>
      <c r="C105" s="1456" t="inlineStr">
        <is>
          <t>기타</t>
        </is>
      </c>
      <c r="D105" s="2625" t="n"/>
      <c r="E105" s="2625" t="n"/>
      <c r="F105" s="2625" t="n"/>
      <c r="G105" s="2625" t="n">
        <v>0</v>
      </c>
      <c r="H105" s="2625" t="n">
        <v>19950</v>
      </c>
      <c r="I105" s="2625" t="n">
        <v>0</v>
      </c>
      <c r="J105" s="2625" t="n">
        <v>34460</v>
      </c>
      <c r="K105" s="2625" t="n">
        <v>30780</v>
      </c>
      <c r="L105" s="2625" t="n">
        <v>13500</v>
      </c>
      <c r="M105" s="2625" t="n">
        <v>11000</v>
      </c>
      <c r="N105" s="2625" t="n">
        <v>32240</v>
      </c>
      <c r="O105" s="2625" t="n">
        <v>22000</v>
      </c>
      <c r="P105" s="2626">
        <f>SUM(D105:O105)</f>
        <v/>
      </c>
      <c r="Q105" s="1466" t="n"/>
      <c r="R105" s="1436" t="n"/>
      <c r="S105" s="2625" t="n">
        <v>29800</v>
      </c>
      <c r="T105" s="2625" t="n">
        <v>29800</v>
      </c>
      <c r="U105" s="2625" t="n">
        <v>27900</v>
      </c>
      <c r="V105" s="2625" t="n">
        <v>11700</v>
      </c>
      <c r="W105" s="2625" t="n">
        <v>28600</v>
      </c>
      <c r="X105" s="2625" t="n">
        <v>55180</v>
      </c>
      <c r="Y105" s="2625" t="n">
        <v>24500</v>
      </c>
      <c r="Z105" s="2625" t="n">
        <v>95400</v>
      </c>
      <c r="AA105" s="2625" t="n">
        <v>0</v>
      </c>
      <c r="AB105" s="2625" t="n">
        <v>61200</v>
      </c>
      <c r="AC105" s="2625" t="n">
        <v>0</v>
      </c>
      <c r="AD105" s="2625" t="n">
        <v>0</v>
      </c>
      <c r="AE105" s="2626">
        <f>SUM(S105:AD105)</f>
        <v/>
      </c>
      <c r="AF105" s="1466" t="n"/>
      <c r="AG105" s="2625" t="n">
        <v>0</v>
      </c>
      <c r="AH105" s="2625" t="n">
        <v>0</v>
      </c>
      <c r="AI105" s="2625" t="n">
        <v>0</v>
      </c>
      <c r="AJ105" s="2625" t="n">
        <v>0</v>
      </c>
      <c r="AK105" s="2625" t="n">
        <v>0</v>
      </c>
      <c r="AL105" s="2625" t="n">
        <v>0</v>
      </c>
      <c r="AM105" s="2625" t="n">
        <v>0</v>
      </c>
      <c r="AN105" s="2625" t="n">
        <v>0</v>
      </c>
      <c r="AO105" s="2625" t="n">
        <v>0</v>
      </c>
      <c r="AP105" s="2625" t="n">
        <v>0</v>
      </c>
      <c r="AQ105" s="2625" t="n"/>
      <c r="AR105" s="2625" t="n">
        <v>0</v>
      </c>
      <c r="AS105" s="2626">
        <f>SUM(AG105:AR105)</f>
        <v/>
      </c>
      <c r="AU105" s="2625" t="n"/>
      <c r="AV105" s="2625" t="n">
        <v>0</v>
      </c>
      <c r="AW105" s="2625" t="n">
        <v>0</v>
      </c>
      <c r="AX105" s="2625" t="n">
        <v>0</v>
      </c>
      <c r="AY105" s="2625" t="n">
        <v>0</v>
      </c>
      <c r="AZ105" s="2625" t="n">
        <v>0</v>
      </c>
      <c r="BA105" s="2625" t="n">
        <v>0</v>
      </c>
      <c r="BB105" s="2625" t="n"/>
      <c r="BC105" s="2625" t="n"/>
      <c r="BD105" s="2625" t="n">
        <v>0</v>
      </c>
      <c r="BE105" s="2625" t="n">
        <v>0</v>
      </c>
      <c r="BF105" s="2627" t="n"/>
      <c r="BG105" s="2628">
        <f>SUM(AU105:BF105)</f>
        <v/>
      </c>
      <c r="BI105" s="2629" t="n"/>
      <c r="BJ105" s="2629" t="n"/>
      <c r="BK105" s="2629" t="n"/>
      <c r="BL105" s="2629" t="n"/>
      <c r="BM105" s="2629" t="n"/>
      <c r="BN105" s="2629" t="n"/>
      <c r="BO105" s="2629" t="n"/>
      <c r="BP105" s="2629" t="n"/>
      <c r="BQ105" s="2629" t="n"/>
      <c r="BR105" s="2629" t="n"/>
      <c r="BS105" s="2629" t="n"/>
      <c r="BT105" s="2629" t="n"/>
      <c r="BU105" s="2628">
        <f>SUM(BI105:BT105)</f>
        <v/>
      </c>
    </row>
    <row r="106" outlineLevel="1">
      <c r="A106" s="1470" t="n"/>
      <c r="B106" s="1456" t="inlineStr">
        <is>
          <t>사무용품비</t>
        </is>
      </c>
      <c r="C106" s="1456" t="inlineStr">
        <is>
          <t>기타</t>
        </is>
      </c>
      <c r="D106" s="2625" t="n"/>
      <c r="E106" s="2625" t="n"/>
      <c r="F106" s="2625" t="n"/>
      <c r="G106" s="2625" t="n">
        <v>0</v>
      </c>
      <c r="H106" s="2625" t="n">
        <v>0</v>
      </c>
      <c r="I106" s="2625" t="n">
        <v>0</v>
      </c>
      <c r="J106" s="2625" t="n">
        <v>0</v>
      </c>
      <c r="K106" s="2625" t="n">
        <v>0</v>
      </c>
      <c r="L106" s="2625" t="n">
        <v>0</v>
      </c>
      <c r="M106" s="2625" t="n">
        <v>0</v>
      </c>
      <c r="N106" s="2625" t="n">
        <v>0</v>
      </c>
      <c r="O106" s="2625" t="n">
        <v>0</v>
      </c>
      <c r="P106" s="2626">
        <f>SUM(D106:O106)</f>
        <v/>
      </c>
      <c r="Q106" s="1464" t="n"/>
      <c r="R106" s="1436" t="n"/>
      <c r="S106" s="2625" t="n">
        <v>0</v>
      </c>
      <c r="T106" s="2625" t="n">
        <v>0</v>
      </c>
      <c r="U106" s="2625" t="n">
        <v>0</v>
      </c>
      <c r="V106" s="2625" t="n">
        <v>0</v>
      </c>
      <c r="W106" s="2625" t="n">
        <v>0</v>
      </c>
      <c r="X106" s="2625" t="n">
        <v>0</v>
      </c>
      <c r="Y106" s="2625" t="n">
        <v>0</v>
      </c>
      <c r="Z106" s="2625" t="n">
        <v>0</v>
      </c>
      <c r="AA106" s="2625" t="n">
        <v>0</v>
      </c>
      <c r="AB106" s="2625" t="n">
        <v>0</v>
      </c>
      <c r="AC106" s="2625" t="n">
        <v>0</v>
      </c>
      <c r="AD106" s="2625" t="n">
        <v>0</v>
      </c>
      <c r="AE106" s="2626">
        <f>SUM(S106:AD106)</f>
        <v/>
      </c>
      <c r="AF106" s="1464" t="n"/>
      <c r="AG106" s="2625" t="n">
        <v>0</v>
      </c>
      <c r="AH106" s="2625" t="n">
        <v>0</v>
      </c>
      <c r="AI106" s="2625" t="n">
        <v>0</v>
      </c>
      <c r="AJ106" s="2625" t="n">
        <v>0</v>
      </c>
      <c r="AK106" s="2625" t="n">
        <v>0</v>
      </c>
      <c r="AL106" s="2625" t="n">
        <v>0</v>
      </c>
      <c r="AM106" s="2625" t="n">
        <v>0</v>
      </c>
      <c r="AN106" s="2625" t="n">
        <v>0</v>
      </c>
      <c r="AO106" s="2625" t="n">
        <v>0</v>
      </c>
      <c r="AP106" s="2625" t="n">
        <v>0</v>
      </c>
      <c r="AQ106" s="2625" t="n"/>
      <c r="AR106" s="2625" t="n">
        <v>0</v>
      </c>
      <c r="AS106" s="2626">
        <f>SUM(AG106:AR106)</f>
        <v/>
      </c>
      <c r="AU106" s="2625" t="n"/>
      <c r="AV106" s="2625" t="n">
        <v>0</v>
      </c>
      <c r="AW106" s="2625" t="n">
        <v>0</v>
      </c>
      <c r="AX106" s="2625" t="n">
        <v>0</v>
      </c>
      <c r="AY106" s="2625" t="n">
        <v>0</v>
      </c>
      <c r="AZ106" s="2625" t="n">
        <v>0</v>
      </c>
      <c r="BA106" s="2625" t="n">
        <v>0</v>
      </c>
      <c r="BB106" s="2625" t="n"/>
      <c r="BC106" s="2625" t="n"/>
      <c r="BD106" s="2625" t="n">
        <v>0</v>
      </c>
      <c r="BE106" s="2625" t="n">
        <v>0</v>
      </c>
      <c r="BF106" s="2627" t="n"/>
      <c r="BG106" s="2628">
        <f>SUM(AU106:BF106)</f>
        <v/>
      </c>
      <c r="BI106" s="2629" t="n"/>
      <c r="BJ106" s="2629" t="n"/>
      <c r="BK106" s="2629" t="n"/>
      <c r="BL106" s="2629" t="n"/>
      <c r="BM106" s="2629" t="n"/>
      <c r="BN106" s="2629" t="n"/>
      <c r="BO106" s="2629" t="n"/>
      <c r="BP106" s="2629" t="n"/>
      <c r="BQ106" s="2629" t="n"/>
      <c r="BR106" s="2629" t="n"/>
      <c r="BS106" s="2629" t="n"/>
      <c r="BT106" s="2629" t="n"/>
      <c r="BU106" s="2628">
        <f>SUM(BI106:BT106)</f>
        <v/>
      </c>
    </row>
    <row r="107" outlineLevel="1">
      <c r="A107" s="1470" t="n"/>
      <c r="B107" s="1456" t="inlineStr">
        <is>
          <t>소모품비</t>
        </is>
      </c>
      <c r="C107" s="1456" t="inlineStr">
        <is>
          <t>기타</t>
        </is>
      </c>
      <c r="D107" s="2625" t="n"/>
      <c r="E107" s="2625" t="n"/>
      <c r="F107" s="2625" t="n"/>
      <c r="G107" s="2625" t="n">
        <v>0</v>
      </c>
      <c r="H107" s="2625" t="n">
        <v>3640000</v>
      </c>
      <c r="I107" s="2625" t="n">
        <v>2184345</v>
      </c>
      <c r="J107" s="2625" t="n">
        <v>450000</v>
      </c>
      <c r="K107" s="2625" t="n">
        <v>32184459</v>
      </c>
      <c r="L107" s="2625" t="n">
        <v>6315228</v>
      </c>
      <c r="M107" s="2625" t="n">
        <v>73387655</v>
      </c>
      <c r="N107" s="2625" t="n">
        <v>38818999</v>
      </c>
      <c r="O107" s="2625" t="n">
        <v>623911</v>
      </c>
      <c r="P107" s="2626">
        <f>SUM(D107:O107)</f>
        <v/>
      </c>
      <c r="Q107" s="1464" t="inlineStr">
        <is>
          <t>실적평균</t>
        </is>
      </c>
      <c r="R107" s="1436" t="n"/>
      <c r="S107" s="2625" t="n">
        <v>13098655</v>
      </c>
      <c r="T107" s="2625" t="n">
        <v>3990819</v>
      </c>
      <c r="U107" s="2625" t="n">
        <v>18364000</v>
      </c>
      <c r="V107" s="2625" t="n">
        <v>557900</v>
      </c>
      <c r="W107" s="2625" t="n">
        <v>2314877</v>
      </c>
      <c r="X107" s="2625" t="n">
        <v>1885056</v>
      </c>
      <c r="Y107" s="2625" t="n">
        <v>440612</v>
      </c>
      <c r="Z107" s="2625" t="n">
        <v>740447</v>
      </c>
      <c r="AA107" s="2625" t="n">
        <v>2230033</v>
      </c>
      <c r="AB107" s="2625" t="n">
        <v>2497600</v>
      </c>
      <c r="AC107" s="2625" t="n">
        <v>676224</v>
      </c>
      <c r="AD107" s="2625" t="n">
        <v>6235481</v>
      </c>
      <c r="AE107" s="2626">
        <f>SUM(S107:AD107)</f>
        <v/>
      </c>
      <c r="AF107" s="1466" t="inlineStr">
        <is>
          <t>최근 3개월 평균</t>
        </is>
      </c>
      <c r="AG107" s="2625" t="n">
        <v>0</v>
      </c>
      <c r="AH107" s="2625" t="n">
        <v>1697351</v>
      </c>
      <c r="AI107" s="2625" t="n">
        <v>704582</v>
      </c>
      <c r="AJ107" s="2625" t="n">
        <v>729500</v>
      </c>
      <c r="AK107" s="2625" t="n">
        <v>495000</v>
      </c>
      <c r="AL107" s="2625" t="n">
        <v>495000</v>
      </c>
      <c r="AM107" s="2625" t="n">
        <v>50455</v>
      </c>
      <c r="AN107" s="2625" t="n">
        <v>90865</v>
      </c>
      <c r="AO107" s="2625" t="n">
        <v>0</v>
      </c>
      <c r="AP107" s="2625" t="n">
        <v>793365</v>
      </c>
      <c r="AQ107" s="2625" t="n"/>
      <c r="AR107" s="2625" t="n">
        <v>0</v>
      </c>
      <c r="AS107" s="2626">
        <f>SUM(AG107:AR107)</f>
        <v/>
      </c>
      <c r="AU107" s="2625" t="n">
        <v>90373</v>
      </c>
      <c r="AV107" s="2625" t="n">
        <v>62728</v>
      </c>
      <c r="AW107" s="2625" t="n">
        <v>62455</v>
      </c>
      <c r="AX107" s="2625" t="n">
        <v>152700</v>
      </c>
      <c r="AY107" s="2625" t="n">
        <v>36827</v>
      </c>
      <c r="AZ107" s="2625" t="n">
        <v>0</v>
      </c>
      <c r="BA107" s="2625" t="n">
        <v>0</v>
      </c>
      <c r="BB107" s="2625" t="n"/>
      <c r="BC107" s="2625" t="n">
        <v>0</v>
      </c>
      <c r="BD107" s="2625" t="n">
        <v>0</v>
      </c>
      <c r="BE107" s="2625" t="n">
        <v>1198700</v>
      </c>
      <c r="BF107" s="2627" t="n">
        <v>0</v>
      </c>
      <c r="BG107" s="2628">
        <f>SUM(AU107:BF107)</f>
        <v/>
      </c>
      <c r="BH107" s="1440" t="inlineStr">
        <is>
          <t>10만원</t>
        </is>
      </c>
      <c r="BI107" s="2629" t="n">
        <v>100000</v>
      </c>
      <c r="BJ107" s="2629" t="n">
        <v>100000</v>
      </c>
      <c r="BK107" s="2629" t="n">
        <v>100000</v>
      </c>
      <c r="BL107" s="2629" t="n">
        <v>100000</v>
      </c>
      <c r="BM107" s="2629" t="n">
        <v>100000</v>
      </c>
      <c r="BN107" s="2629" t="n">
        <v>100000</v>
      </c>
      <c r="BO107" s="2629" t="n">
        <v>100000</v>
      </c>
      <c r="BP107" s="2629" t="n">
        <v>100000</v>
      </c>
      <c r="BQ107" s="2629" t="n">
        <v>100000</v>
      </c>
      <c r="BR107" s="2629" t="n">
        <v>100000</v>
      </c>
      <c r="BS107" s="2629" t="n">
        <v>100000</v>
      </c>
      <c r="BT107" s="2629" t="n">
        <v>100000</v>
      </c>
      <c r="BU107" s="2628">
        <f>SUM(BI107:BT107)</f>
        <v/>
      </c>
    </row>
    <row r="108" outlineLevel="1">
      <c r="A108" s="1470" t="n"/>
      <c r="B108" s="1456" t="inlineStr">
        <is>
          <t>지급수수료</t>
        </is>
      </c>
      <c r="C108" s="1456" t="inlineStr">
        <is>
          <t>지급수수료</t>
        </is>
      </c>
      <c r="D108" s="2625" t="n"/>
      <c r="E108" s="2625" t="n"/>
      <c r="F108" s="2625" t="n"/>
      <c r="G108" s="2625" t="n">
        <v>2114000</v>
      </c>
      <c r="H108" s="2625" t="n">
        <v>282037</v>
      </c>
      <c r="I108" s="2625" t="n">
        <v>30057615</v>
      </c>
      <c r="J108" s="2625" t="n">
        <v>7168065</v>
      </c>
      <c r="K108" s="2625" t="n">
        <v>153685820</v>
      </c>
      <c r="L108" s="2625" t="n">
        <v>99545528</v>
      </c>
      <c r="M108" s="2629" t="n">
        <v>88411934</v>
      </c>
      <c r="N108" s="2625" t="n">
        <v>1725760</v>
      </c>
      <c r="O108" s="2625" t="n">
        <v>97634385</v>
      </c>
      <c r="P108" s="2626">
        <f>SUM(D108:O108)</f>
        <v/>
      </c>
      <c r="Q108" s="1464" t="inlineStr">
        <is>
          <t>보안비용 0.3억/ 증자비용 7백/기타 3백 가정</t>
        </is>
      </c>
      <c r="R108" s="1436" t="n"/>
      <c r="S108" s="2625" t="n">
        <v>64567073</v>
      </c>
      <c r="T108" s="2625" t="n">
        <v>55444857</v>
      </c>
      <c r="U108" s="2625" t="n">
        <v>120420365</v>
      </c>
      <c r="V108" s="2625" t="n">
        <v>64866158</v>
      </c>
      <c r="W108" s="2634">
        <f>93197387-W74</f>
        <v/>
      </c>
      <c r="X108" s="2634">
        <f>136778336-X74</f>
        <v/>
      </c>
      <c r="Y108" s="2634">
        <f>86683175-Y74</f>
        <v/>
      </c>
      <c r="Z108" s="2634">
        <f>105851921-Z74</f>
        <v/>
      </c>
      <c r="AA108" s="2634">
        <f>137100248-AA74</f>
        <v/>
      </c>
      <c r="AB108" s="2634">
        <f>105145005-AB74</f>
        <v/>
      </c>
      <c r="AC108" s="2634">
        <f>74154752-AC74</f>
        <v/>
      </c>
      <c r="AD108" s="2634">
        <f>347762082-AD74</f>
        <v/>
      </c>
      <c r="AE108" s="2626">
        <f>SUM(S108:AD108)</f>
        <v/>
      </c>
      <c r="AF108" s="1466" t="inlineStr">
        <is>
          <t>최근 3개월 평균</t>
        </is>
      </c>
      <c r="AG108" s="2634">
        <f>66192979-AG74</f>
        <v/>
      </c>
      <c r="AH108" s="2634">
        <f>61915511-AH74</f>
        <v/>
      </c>
      <c r="AI108" s="2634">
        <f>40661919-AI74</f>
        <v/>
      </c>
      <c r="AJ108" s="2634" t="n">
        <v>9080273</v>
      </c>
      <c r="AK108" s="2634" t="n">
        <v>15495228</v>
      </c>
      <c r="AL108" s="2634" t="n">
        <v>8488339</v>
      </c>
      <c r="AM108" s="2634">
        <f>17410357-AM74</f>
        <v/>
      </c>
      <c r="AN108" s="2634">
        <f>16040094-AN74</f>
        <v/>
      </c>
      <c r="AO108" s="2634" t="n">
        <v>8302153</v>
      </c>
      <c r="AP108" s="2634" t="n">
        <v>9797191</v>
      </c>
      <c r="AQ108" s="2634" t="n">
        <v>3792095</v>
      </c>
      <c r="AR108" s="2634" t="n">
        <v>5715369</v>
      </c>
      <c r="AS108" s="2626">
        <f>SUM(AG108:AR108)</f>
        <v/>
      </c>
      <c r="AT108" s="1440" t="inlineStr">
        <is>
          <t>4백만원 가정</t>
        </is>
      </c>
      <c r="AU108" s="2625" t="n">
        <v>7769373</v>
      </c>
      <c r="AV108" s="2625">
        <f>11971329-3624366</f>
        <v/>
      </c>
      <c r="AW108" s="2625" t="n">
        <v>8138537</v>
      </c>
      <c r="AX108" s="2625" t="n">
        <v>9010660</v>
      </c>
      <c r="AY108" s="2625" t="n">
        <v>572560</v>
      </c>
      <c r="AZ108" s="2625">
        <f>10534650-3640776</f>
        <v/>
      </c>
      <c r="BA108" s="2625" t="n">
        <v>2247487</v>
      </c>
      <c r="BB108" s="2625" t="n">
        <v>1636073</v>
      </c>
      <c r="BC108" s="2625" t="n">
        <v>9890059</v>
      </c>
      <c r="BD108" s="2625" t="n">
        <v>2218356</v>
      </c>
      <c r="BE108" s="2625" t="n">
        <v>2283380</v>
      </c>
      <c r="BF108" s="2627">
        <f>BE108+2700000+740705/2</f>
        <v/>
      </c>
      <c r="BG108" s="2628">
        <f>SUM(AU108:BF108)</f>
        <v/>
      </c>
      <c r="BH108" s="2636">
        <f>44000*1350-9000*1350</f>
        <v/>
      </c>
      <c r="BI108" s="2635">
        <f>1327087+9000*1350/12</f>
        <v/>
      </c>
      <c r="BJ108" s="2629">
        <f>1327087+9000*1350/12</f>
        <v/>
      </c>
      <c r="BK108" s="2629">
        <f>4501087+9000*1350/12</f>
        <v/>
      </c>
      <c r="BL108" s="2629">
        <f>1327087+9000*1350/12</f>
        <v/>
      </c>
      <c r="BM108" s="2629">
        <f>1327087+9000*1350/12</f>
        <v/>
      </c>
      <c r="BN108" s="2629">
        <f>4477087+9000*1350/12</f>
        <v/>
      </c>
      <c r="BO108" s="2629">
        <f>1327087+9000*1350/12</f>
        <v/>
      </c>
      <c r="BP108" s="2629">
        <f>1327087+9000*1350/12</f>
        <v/>
      </c>
      <c r="BQ108" s="2629">
        <f>4477087+9000*1350/12</f>
        <v/>
      </c>
      <c r="BR108" s="2629">
        <f>1327087+9000*1350/12</f>
        <v/>
      </c>
      <c r="BS108" s="2629">
        <f>1327087+9000*1350/12</f>
        <v/>
      </c>
      <c r="BT108" s="2629">
        <f>4027087</f>
        <v/>
      </c>
      <c r="BU108" s="2628">
        <f>SUM(BI108:BT108)</f>
        <v/>
      </c>
    </row>
    <row r="109" outlineLevel="1">
      <c r="A109" s="1470" t="n"/>
      <c r="B109" s="1456" t="n"/>
      <c r="C109" s="1456" t="n"/>
      <c r="D109" s="2625" t="n"/>
      <c r="E109" s="2625" t="n"/>
      <c r="F109" s="2625" t="n"/>
      <c r="G109" s="2625" t="n"/>
      <c r="H109" s="2625" t="n"/>
      <c r="I109" s="2625" t="n"/>
      <c r="J109" s="2625" t="n"/>
      <c r="K109" s="2625" t="n"/>
      <c r="L109" s="2625" t="n"/>
      <c r="M109" s="2629" t="n"/>
      <c r="N109" s="2625" t="n"/>
      <c r="O109" s="2625" t="n"/>
      <c r="P109" s="2626" t="n"/>
      <c r="Q109" s="1464" t="n"/>
      <c r="R109" s="1436" t="n"/>
      <c r="S109" s="2625" t="n"/>
      <c r="T109" s="2625" t="n"/>
      <c r="U109" s="2625" t="n"/>
      <c r="V109" s="2625" t="n"/>
      <c r="W109" s="2634" t="n"/>
      <c r="X109" s="2634" t="n"/>
      <c r="Y109" s="2634" t="n"/>
      <c r="Z109" s="2634" t="n"/>
      <c r="AA109" s="2634" t="n"/>
      <c r="AB109" s="2634" t="n"/>
      <c r="AC109" s="2634" t="n"/>
      <c r="AD109" s="2634" t="n"/>
      <c r="AE109" s="2626" t="n"/>
      <c r="AF109" s="1466" t="n"/>
      <c r="AG109" s="2634" t="n"/>
      <c r="AH109" s="2634" t="n"/>
      <c r="AI109" s="2634" t="n"/>
      <c r="AJ109" s="2634" t="n"/>
      <c r="AK109" s="2634" t="n"/>
      <c r="AL109" s="2634" t="n"/>
      <c r="AM109" s="2634" t="n"/>
      <c r="AN109" s="2634" t="n"/>
      <c r="AO109" s="2634" t="n"/>
      <c r="AP109" s="2634" t="n"/>
      <c r="AQ109" s="2634" t="n"/>
      <c r="AR109" s="2634" t="n"/>
      <c r="AS109" s="2626" t="n"/>
      <c r="AU109" s="2625" t="n"/>
      <c r="AV109" s="2625" t="n"/>
      <c r="AW109" s="2625" t="n"/>
      <c r="AX109" s="2625" t="n"/>
      <c r="AY109" s="2625" t="n"/>
      <c r="AZ109" s="2625" t="n"/>
      <c r="BA109" s="2625" t="n"/>
      <c r="BB109" s="2625" t="n"/>
      <c r="BC109" s="2625" t="n"/>
      <c r="BD109" s="2625" t="n"/>
      <c r="BE109" s="2625" t="n"/>
      <c r="BF109" s="2627" t="n"/>
      <c r="BG109" s="2628" t="n"/>
      <c r="BI109" s="2635" t="n"/>
      <c r="BJ109" s="2629" t="n"/>
      <c r="BK109" s="2629" t="n"/>
      <c r="BL109" s="2629" t="n"/>
      <c r="BM109" s="2629" t="n"/>
      <c r="BN109" s="2629" t="n"/>
      <c r="BO109" s="2629" t="n"/>
      <c r="BP109" s="2629" t="n"/>
      <c r="BQ109" s="2629" t="n"/>
      <c r="BR109" s="2629" t="n"/>
      <c r="BS109" s="2629" t="n"/>
      <c r="BT109" s="2629" t="n"/>
      <c r="BU109" s="2628" t="n"/>
    </row>
    <row r="110" outlineLevel="1">
      <c r="A110" s="1470" t="n"/>
      <c r="B110" s="1456" t="inlineStr">
        <is>
          <t>광고선전비</t>
        </is>
      </c>
      <c r="C110" s="1456" t="inlineStr">
        <is>
          <t>마케팅</t>
        </is>
      </c>
      <c r="D110" s="2625" t="n"/>
      <c r="E110" s="2625" t="n"/>
      <c r="F110" s="2625" t="n"/>
      <c r="G110" s="2625" t="n">
        <v>0</v>
      </c>
      <c r="H110" s="2625" t="n">
        <v>0</v>
      </c>
      <c r="I110" s="2625" t="n">
        <v>0</v>
      </c>
      <c r="J110" s="2625" t="n">
        <v>0</v>
      </c>
      <c r="K110" s="2625" t="n">
        <v>0</v>
      </c>
      <c r="L110" s="2625" t="n">
        <v>0</v>
      </c>
      <c r="M110" s="2625" t="n">
        <v>0</v>
      </c>
      <c r="N110" s="2625" t="n">
        <v>0</v>
      </c>
      <c r="O110" s="2625" t="n">
        <v>0</v>
      </c>
      <c r="P110" s="2626">
        <f>SUM(D110:O110)</f>
        <v/>
      </c>
      <c r="Q110" s="1466" t="n"/>
      <c r="R110" s="1436" t="n"/>
      <c r="S110" s="2625" t="n">
        <v>0</v>
      </c>
      <c r="T110" s="2625" t="n">
        <v>0</v>
      </c>
      <c r="U110" s="2625" t="n">
        <v>0</v>
      </c>
      <c r="V110" s="2625" t="n">
        <v>0</v>
      </c>
      <c r="W110" s="2625" t="n">
        <v>0</v>
      </c>
      <c r="X110" s="2625" t="n">
        <v>0</v>
      </c>
      <c r="Y110" s="2625" t="n">
        <v>10000000</v>
      </c>
      <c r="Z110" s="2625" t="n">
        <v>13114114</v>
      </c>
      <c r="AA110" s="2625" t="n">
        <v>2000000</v>
      </c>
      <c r="AB110" s="2625" t="n">
        <v>4821240</v>
      </c>
      <c r="AC110" s="2625" t="n">
        <v>0</v>
      </c>
      <c r="AD110" s="2625" t="n">
        <v>0</v>
      </c>
      <c r="AE110" s="2626">
        <f>SUM(S110:AD110)</f>
        <v/>
      </c>
      <c r="AF110" s="1466" t="inlineStr">
        <is>
          <t>진행하지 않는 것으로</t>
        </is>
      </c>
      <c r="AG110" s="2625" t="n">
        <v>0</v>
      </c>
      <c r="AH110" s="2625" t="n">
        <v>0</v>
      </c>
      <c r="AI110" s="2625" t="n">
        <v>0</v>
      </c>
      <c r="AJ110" s="2625" t="n">
        <v>0</v>
      </c>
      <c r="AK110" s="2625" t="n">
        <v>0</v>
      </c>
      <c r="AL110" s="2625" t="n">
        <v>0</v>
      </c>
      <c r="AM110" s="2625" t="n">
        <v>0</v>
      </c>
      <c r="AN110" s="2625" t="n">
        <v>0</v>
      </c>
      <c r="AO110" s="2625" t="n">
        <v>0</v>
      </c>
      <c r="AP110" s="2625" t="n">
        <v>0</v>
      </c>
      <c r="AQ110" s="2625" t="n"/>
      <c r="AR110" s="2625" t="n">
        <v>0</v>
      </c>
      <c r="AS110" s="2626">
        <f>SUM(AG110:AR110)</f>
        <v/>
      </c>
      <c r="AU110" s="2625" t="n"/>
      <c r="AV110" s="2625" t="n">
        <v>0</v>
      </c>
      <c r="AW110" s="2625" t="n">
        <v>0</v>
      </c>
      <c r="AX110" s="2625" t="n">
        <v>0</v>
      </c>
      <c r="AY110" s="2625" t="n">
        <v>0</v>
      </c>
      <c r="AZ110" s="2625" t="n">
        <v>0</v>
      </c>
      <c r="BA110" s="2625" t="n">
        <v>0</v>
      </c>
      <c r="BB110" s="2625" t="n"/>
      <c r="BC110" s="2625" t="n"/>
      <c r="BD110" s="2625" t="n">
        <v>0</v>
      </c>
      <c r="BE110" s="2625" t="n">
        <v>0</v>
      </c>
      <c r="BF110" s="2627" t="n"/>
      <c r="BG110" s="2628">
        <f>SUM(AU110:BF110)</f>
        <v/>
      </c>
      <c r="BI110" s="2629" t="n"/>
      <c r="BJ110" s="2629" t="n"/>
      <c r="BK110" s="2629" t="n"/>
      <c r="BL110" s="2629" t="n"/>
      <c r="BM110" s="2629" t="n"/>
      <c r="BN110" s="2629" t="n"/>
      <c r="BO110" s="2629" t="n"/>
      <c r="BP110" s="2629" t="n"/>
      <c r="BQ110" s="2629" t="n"/>
      <c r="BR110" s="2629" t="n"/>
      <c r="BS110" s="2629" t="n"/>
      <c r="BT110" s="2629" t="n"/>
      <c r="BU110" s="2628">
        <f>SUM(BI110:BT110)</f>
        <v/>
      </c>
    </row>
    <row r="111" outlineLevel="1">
      <c r="A111" s="1470" t="n"/>
      <c r="B111" s="1456" t="inlineStr">
        <is>
          <t>판매촉진비</t>
        </is>
      </c>
      <c r="C111" s="1456" t="inlineStr">
        <is>
          <t>마케팅</t>
        </is>
      </c>
      <c r="D111" s="2625" t="n"/>
      <c r="E111" s="2625" t="n"/>
      <c r="F111" s="2625" t="n"/>
      <c r="G111" s="2625" t="n">
        <v>0</v>
      </c>
      <c r="H111" s="2625" t="n">
        <v>0</v>
      </c>
      <c r="I111" s="2625" t="n">
        <v>0</v>
      </c>
      <c r="J111" s="2625" t="n">
        <v>0</v>
      </c>
      <c r="K111" s="2625" t="n">
        <v>0</v>
      </c>
      <c r="L111" s="2625" t="n">
        <v>0</v>
      </c>
      <c r="M111" s="2625" t="n">
        <v>0</v>
      </c>
      <c r="N111" s="2625" t="n">
        <v>0</v>
      </c>
      <c r="O111" s="2625" t="n">
        <v>0</v>
      </c>
      <c r="P111" s="2626">
        <f>SUM(D111:O111)</f>
        <v/>
      </c>
      <c r="Q111" s="1466" t="n"/>
      <c r="R111" s="1436" t="n"/>
      <c r="S111" s="2625" t="n">
        <v>0</v>
      </c>
      <c r="T111" s="2625" t="n">
        <v>0</v>
      </c>
      <c r="U111" s="2625" t="n">
        <v>0</v>
      </c>
      <c r="V111" s="2625" t="n">
        <v>0</v>
      </c>
      <c r="W111" s="2625" t="n">
        <v>0</v>
      </c>
      <c r="X111" s="2625" t="n">
        <v>0</v>
      </c>
      <c r="Y111" s="2625" t="n">
        <v>331317</v>
      </c>
      <c r="Z111" s="2625" t="n">
        <v>37608</v>
      </c>
      <c r="AA111" s="2625" t="n">
        <v>47631</v>
      </c>
      <c r="AB111" s="2625" t="n">
        <v>42403</v>
      </c>
      <c r="AC111" s="2625" t="n">
        <v>0</v>
      </c>
      <c r="AD111" s="2625" t="n">
        <v>30000</v>
      </c>
      <c r="AE111" s="2626">
        <f>SUM(S111:AD111)</f>
        <v/>
      </c>
      <c r="AF111" s="1466" t="inlineStr">
        <is>
          <t>진행하지 않는 것으로</t>
        </is>
      </c>
      <c r="AG111" s="2625" t="n">
        <v>30000</v>
      </c>
      <c r="AH111" s="2625" t="n">
        <v>30000</v>
      </c>
      <c r="AI111" s="2625" t="n">
        <v>30000</v>
      </c>
      <c r="AJ111" s="2625" t="n">
        <v>30000</v>
      </c>
      <c r="AK111" s="2625" t="n">
        <v>2040000</v>
      </c>
      <c r="AL111" s="2625" t="n">
        <v>0</v>
      </c>
      <c r="AM111" s="2625" t="n">
        <v>0</v>
      </c>
      <c r="AN111" s="2625" t="n">
        <v>0</v>
      </c>
      <c r="AO111" s="2625" t="n">
        <v>0</v>
      </c>
      <c r="AP111" s="2625" t="n">
        <v>0</v>
      </c>
      <c r="AQ111" s="2625" t="n"/>
      <c r="AR111" s="2625" t="n">
        <v>0</v>
      </c>
      <c r="AS111" s="2626">
        <f>SUM(AG111:AR111)</f>
        <v/>
      </c>
      <c r="AU111" s="2625" t="n"/>
      <c r="AV111" s="2625" t="n">
        <v>0</v>
      </c>
      <c r="AW111" s="2625" t="n">
        <v>0</v>
      </c>
      <c r="AX111" s="2625" t="n">
        <v>0</v>
      </c>
      <c r="AY111" s="2625" t="n">
        <v>0</v>
      </c>
      <c r="AZ111" s="2625" t="n">
        <v>0</v>
      </c>
      <c r="BA111" s="2625" t="n">
        <v>0</v>
      </c>
      <c r="BB111" s="2625" t="n"/>
      <c r="BC111" s="2625" t="n"/>
      <c r="BD111" s="2625" t="n">
        <v>0</v>
      </c>
      <c r="BE111" s="2625" t="n">
        <v>0</v>
      </c>
      <c r="BF111" s="2627" t="n"/>
      <c r="BG111" s="2628">
        <f>SUM(AU111:BF111)</f>
        <v/>
      </c>
      <c r="BI111" s="2629" t="n"/>
      <c r="BJ111" s="2629" t="n"/>
      <c r="BK111" s="2629" t="n"/>
      <c r="BL111" s="2629" t="n"/>
      <c r="BM111" s="2629" t="n"/>
      <c r="BN111" s="2629" t="n"/>
      <c r="BO111" s="2629" t="n"/>
      <c r="BP111" s="2629" t="n"/>
      <c r="BQ111" s="2629" t="n"/>
      <c r="BR111" s="2629" t="n"/>
      <c r="BS111" s="2629" t="n"/>
      <c r="BT111" s="2629" t="n"/>
      <c r="BU111" s="2628">
        <f>SUM(BI111:BT111)</f>
        <v/>
      </c>
    </row>
    <row r="112" outlineLevel="1">
      <c r="A112" s="1470" t="n"/>
      <c r="B112" s="1456" t="inlineStr">
        <is>
          <t>건물관리비</t>
        </is>
      </c>
      <c r="C112" s="1456" t="inlineStr">
        <is>
          <t>기타</t>
        </is>
      </c>
      <c r="D112" s="2625" t="n"/>
      <c r="E112" s="2625" t="n"/>
      <c r="F112" s="2625" t="n"/>
      <c r="G112" s="2625" t="n">
        <v>451145</v>
      </c>
      <c r="H112" s="2625" t="n">
        <v>945259</v>
      </c>
      <c r="I112" s="2625" t="n">
        <v>1051199</v>
      </c>
      <c r="J112" s="2625" t="n">
        <v>1184527</v>
      </c>
      <c r="K112" s="2625" t="n">
        <v>1307010</v>
      </c>
      <c r="L112" s="2625" t="n">
        <v>1549031</v>
      </c>
      <c r="M112" s="2625" t="n">
        <v>2017771</v>
      </c>
      <c r="N112" s="2625" t="n">
        <v>2698831</v>
      </c>
      <c r="O112" s="2625" t="n">
        <v>3144681</v>
      </c>
      <c r="P112" s="2626">
        <f>SUM(D112:O112)</f>
        <v/>
      </c>
      <c r="Q112" s="1464" t="inlineStr">
        <is>
          <t>실적평균</t>
        </is>
      </c>
      <c r="R112" s="1436" t="n"/>
      <c r="S112" s="2625" t="n">
        <v>3696321</v>
      </c>
      <c r="T112" s="2625" t="n">
        <v>4135573</v>
      </c>
      <c r="U112" s="2625" t="n">
        <v>5605487</v>
      </c>
      <c r="V112" s="2625" t="n">
        <v>5891774</v>
      </c>
      <c r="W112" s="2625" t="n">
        <v>4262330</v>
      </c>
      <c r="X112" s="2625" t="n">
        <v>4813270</v>
      </c>
      <c r="Y112" s="2625" t="n">
        <v>6023516</v>
      </c>
      <c r="Z112" s="2625" t="n">
        <v>7224321</v>
      </c>
      <c r="AA112" s="2625" t="n">
        <v>7214291</v>
      </c>
      <c r="AB112" s="2625" t="n">
        <v>8286093</v>
      </c>
      <c r="AC112" s="2625" t="n">
        <v>1591370</v>
      </c>
      <c r="AD112" s="2625" t="n">
        <v>1918840</v>
      </c>
      <c r="AE112" s="2626">
        <f>SUM(S112:AD112)</f>
        <v/>
      </c>
      <c r="AF112" s="1466" t="inlineStr">
        <is>
          <t>전월</t>
        </is>
      </c>
      <c r="AG112" s="2625" t="n">
        <v>2151167</v>
      </c>
      <c r="AH112" s="2625" t="n">
        <v>2389923</v>
      </c>
      <c r="AI112" s="2625" t="n">
        <v>1958770</v>
      </c>
      <c r="AJ112" s="2625" t="n">
        <v>1825851</v>
      </c>
      <c r="AK112" s="2625" t="n">
        <v>1712894</v>
      </c>
      <c r="AL112" s="2625" t="n">
        <v>1842793</v>
      </c>
      <c r="AM112" s="2625" t="n">
        <v>2154452</v>
      </c>
      <c r="AN112" s="2625" t="n">
        <v>2018956</v>
      </c>
      <c r="AO112" s="2625" t="n">
        <v>2128366</v>
      </c>
      <c r="AP112" s="2625" t="n">
        <v>1128691</v>
      </c>
      <c r="AQ112" s="2625" t="n">
        <v>300000</v>
      </c>
      <c r="AR112" s="2625" t="n">
        <v>300000</v>
      </c>
      <c r="AS112" s="2626">
        <f>SUM(AG112:AR112)</f>
        <v/>
      </c>
      <c r="AU112" s="2625" t="n">
        <v>300000</v>
      </c>
      <c r="AV112" s="2625" t="n">
        <v>300000</v>
      </c>
      <c r="AW112" s="2625" t="n">
        <v>300000</v>
      </c>
      <c r="AX112" s="2625" t="n">
        <v>300000</v>
      </c>
      <c r="AY112" s="2625" t="n">
        <v>300000</v>
      </c>
      <c r="AZ112" s="2625" t="n">
        <v>300000</v>
      </c>
      <c r="BA112" s="2625" t="n">
        <v>300000</v>
      </c>
      <c r="BB112" s="2625" t="n">
        <v>300000</v>
      </c>
      <c r="BC112" s="2625" t="n">
        <v>300000</v>
      </c>
      <c r="BD112" s="2625" t="n">
        <v>300000</v>
      </c>
      <c r="BE112" s="2625" t="n">
        <v>300000</v>
      </c>
      <c r="BF112" s="2627" t="n">
        <v>300000</v>
      </c>
      <c r="BG112" s="2628">
        <f>SUM(AU112:BF112)</f>
        <v/>
      </c>
      <c r="BI112" s="2629" t="n">
        <v>300000</v>
      </c>
      <c r="BJ112" s="2629" t="n">
        <v>300000</v>
      </c>
      <c r="BK112" s="2629" t="n">
        <v>300000</v>
      </c>
      <c r="BL112" s="2629" t="n">
        <v>300000</v>
      </c>
      <c r="BM112" s="2629" t="n">
        <v>300000</v>
      </c>
      <c r="BN112" s="2629" t="n">
        <v>300000</v>
      </c>
      <c r="BO112" s="2629" t="n">
        <v>300000</v>
      </c>
      <c r="BP112" s="2629" t="n">
        <v>300000</v>
      </c>
      <c r="BQ112" s="2629" t="n">
        <v>300000</v>
      </c>
      <c r="BR112" s="2629" t="n">
        <v>300000</v>
      </c>
      <c r="BS112" s="2629" t="n">
        <v>300000</v>
      </c>
      <c r="BT112" s="2629" t="n">
        <v>300000</v>
      </c>
      <c r="BU112" s="2628">
        <f>SUM(BI112:BT112)</f>
        <v/>
      </c>
    </row>
    <row r="113" outlineLevel="1">
      <c r="A113" s="1470" t="n"/>
      <c r="B113" s="1456" t="inlineStr">
        <is>
          <t>무형자산상각비</t>
        </is>
      </c>
      <c r="C113" s="1456" t="inlineStr">
        <is>
          <t>기타</t>
        </is>
      </c>
      <c r="D113" s="2625" t="n"/>
      <c r="E113" s="2625" t="n"/>
      <c r="F113" s="2625" t="n"/>
      <c r="G113" s="2625" t="n"/>
      <c r="H113" s="2625" t="n">
        <v>0</v>
      </c>
      <c r="I113" s="2625" t="n">
        <v>39583332</v>
      </c>
      <c r="J113" s="2625" t="n">
        <v>0</v>
      </c>
      <c r="K113" s="2625" t="n">
        <v>-39583332</v>
      </c>
      <c r="L113" s="2625" t="n">
        <v>0</v>
      </c>
      <c r="M113" s="2625" t="n">
        <v>0</v>
      </c>
      <c r="N113" s="2625" t="n">
        <v>0</v>
      </c>
      <c r="O113" s="2625" t="n">
        <v>0</v>
      </c>
      <c r="P113" s="2626">
        <f>SUM(D113:O113)</f>
        <v/>
      </c>
      <c r="Q113" s="1466" t="n"/>
      <c r="R113" s="1436" t="n"/>
      <c r="S113" s="2625" t="n">
        <v>0</v>
      </c>
      <c r="T113" s="2625" t="n">
        <v>0</v>
      </c>
      <c r="U113" s="2625" t="n">
        <v>0</v>
      </c>
      <c r="V113" s="2625" t="n">
        <v>0</v>
      </c>
      <c r="W113" s="2625" t="n">
        <v>1344074</v>
      </c>
      <c r="X113" s="2625" t="n">
        <v>1366828</v>
      </c>
      <c r="Y113" s="2625" t="n">
        <v>1366827</v>
      </c>
      <c r="Z113" s="2625" t="n">
        <v>1366827</v>
      </c>
      <c r="AA113" s="2625" t="n">
        <v>1366827</v>
      </c>
      <c r="AB113" s="2625" t="n">
        <v>1366827</v>
      </c>
      <c r="AC113" s="2625" t="n">
        <v>1366827</v>
      </c>
      <c r="AD113" s="2625" t="n">
        <v>1238608</v>
      </c>
      <c r="AE113" s="2626">
        <f>SUM(S113:AD113)</f>
        <v/>
      </c>
      <c r="AF113" s="1466" t="inlineStr">
        <is>
          <t>최근 3개월 평균</t>
        </is>
      </c>
      <c r="AG113" s="2625" t="n">
        <v>1234462</v>
      </c>
      <c r="AH113" s="2625" t="n">
        <v>1234462</v>
      </c>
      <c r="AI113" s="2625" t="n">
        <v>1426855</v>
      </c>
      <c r="AJ113" s="2625" t="n">
        <v>1298593</v>
      </c>
      <c r="AK113" s="2625" t="n">
        <v>1298593</v>
      </c>
      <c r="AL113" s="2625" t="n">
        <v>1298593</v>
      </c>
      <c r="AM113" s="2625" t="n">
        <v>1298593</v>
      </c>
      <c r="AN113" s="2625" t="n">
        <v>1298593</v>
      </c>
      <c r="AO113" s="2625" t="n">
        <v>1298593</v>
      </c>
      <c r="AP113" s="2625" t="n">
        <v>1298593</v>
      </c>
      <c r="AQ113" s="2625" t="n">
        <v>1298593</v>
      </c>
      <c r="AR113" s="2625" t="n">
        <v>1166092</v>
      </c>
      <c r="AS113" s="2626">
        <f>SUM(AG113:AR113)</f>
        <v/>
      </c>
      <c r="AT113" s="1440" t="inlineStr">
        <is>
          <t>전월</t>
        </is>
      </c>
      <c r="AU113" s="2625">
        <f>190584+1108056</f>
        <v/>
      </c>
      <c r="AV113" s="2625" t="n">
        <v>1298640</v>
      </c>
      <c r="AW113" s="2625" t="n">
        <v>1298640</v>
      </c>
      <c r="AX113" s="2625" t="n">
        <v>1298640</v>
      </c>
      <c r="AY113" s="2625" t="n">
        <v>1298640</v>
      </c>
      <c r="AZ113" s="2625" t="n">
        <v>1298640</v>
      </c>
      <c r="BA113" s="2625" t="n">
        <v>1298640</v>
      </c>
      <c r="BB113" s="2625" t="n">
        <v>1298640</v>
      </c>
      <c r="BC113" s="2625" t="n">
        <v>1298640</v>
      </c>
      <c r="BD113" s="2625" t="n">
        <v>1298640</v>
      </c>
      <c r="BE113" s="2625" t="n">
        <v>1298640</v>
      </c>
      <c r="BF113" s="2627">
        <f>BE113</f>
        <v/>
      </c>
      <c r="BG113" s="2628">
        <f>SUM(AU113:BF113)</f>
        <v/>
      </c>
      <c r="BI113" s="2629" t="n">
        <v>1298640</v>
      </c>
      <c r="BJ113" s="2629" t="n">
        <v>1298640</v>
      </c>
      <c r="BK113" s="2629" t="n">
        <v>1298640</v>
      </c>
      <c r="BL113" s="2629" t="n">
        <v>1298640</v>
      </c>
      <c r="BM113" s="2629" t="n">
        <v>1298640</v>
      </c>
      <c r="BN113" s="2629" t="n">
        <v>1298640</v>
      </c>
      <c r="BO113" s="2629" t="n">
        <v>1298640</v>
      </c>
      <c r="BP113" s="2629" t="n">
        <v>1298640</v>
      </c>
      <c r="BQ113" s="2629" t="n">
        <v>1298640</v>
      </c>
      <c r="BR113" s="2629" t="n">
        <v>1298640</v>
      </c>
      <c r="BS113" s="2629" t="n">
        <v>1298640</v>
      </c>
      <c r="BT113" s="2629" t="n">
        <v>1298640</v>
      </c>
      <c r="BU113" s="2628">
        <f>SUM(BI113:BT113)</f>
        <v/>
      </c>
    </row>
    <row r="114" outlineLevel="1">
      <c r="A114" s="1470" t="n"/>
      <c r="B114" s="1456" t="inlineStr">
        <is>
          <t>잡비</t>
        </is>
      </c>
      <c r="C114" s="1456" t="inlineStr">
        <is>
          <t>기타</t>
        </is>
      </c>
      <c r="D114" s="2625" t="n"/>
      <c r="E114" s="2625" t="n"/>
      <c r="F114" s="2625" t="n"/>
      <c r="G114" s="2625" t="n"/>
      <c r="H114" s="2625" t="n">
        <v>0</v>
      </c>
      <c r="I114" s="2625" t="n">
        <v>0</v>
      </c>
      <c r="J114" s="2625" t="n">
        <v>0</v>
      </c>
      <c r="K114" s="2625" t="n">
        <v>0</v>
      </c>
      <c r="L114" s="2625" t="n">
        <v>0</v>
      </c>
      <c r="M114" s="2625" t="n">
        <v>0</v>
      </c>
      <c r="N114" s="2625" t="n">
        <v>0</v>
      </c>
      <c r="O114" s="2625" t="n">
        <v>0</v>
      </c>
      <c r="P114" s="2626">
        <f>SUM(D114:O114)</f>
        <v/>
      </c>
      <c r="Q114" s="1466" t="n"/>
      <c r="R114" s="1436" t="n"/>
      <c r="S114" s="2625" t="n">
        <v>0</v>
      </c>
      <c r="T114" s="2625" t="n">
        <v>0</v>
      </c>
      <c r="U114" s="2625" t="n">
        <v>0</v>
      </c>
      <c r="V114" s="2625" t="n">
        <v>0</v>
      </c>
      <c r="W114" s="2625" t="n">
        <v>0</v>
      </c>
      <c r="X114" s="2625" t="n">
        <v>0</v>
      </c>
      <c r="Y114" s="2625" t="n">
        <v>0</v>
      </c>
      <c r="Z114" s="2625" t="n">
        <v>0</v>
      </c>
      <c r="AA114" s="2625" t="n">
        <v>0</v>
      </c>
      <c r="AB114" s="2625" t="n">
        <v>0</v>
      </c>
      <c r="AC114" s="2625" t="n">
        <v>0</v>
      </c>
      <c r="AD114" s="2625" t="n">
        <v>0</v>
      </c>
      <c r="AE114" s="2626">
        <f>SUM(S114:AD114)</f>
        <v/>
      </c>
      <c r="AF114" s="1466" t="n"/>
      <c r="AG114" s="2625" t="n">
        <v>0</v>
      </c>
      <c r="AH114" s="2625" t="n">
        <v>0</v>
      </c>
      <c r="AI114" s="2625" t="n">
        <v>0</v>
      </c>
      <c r="AJ114" s="2625" t="n">
        <v>0</v>
      </c>
      <c r="AK114" s="2625" t="n">
        <v>0</v>
      </c>
      <c r="AL114" s="2625" t="n">
        <v>0</v>
      </c>
      <c r="AM114" s="2625" t="n">
        <v>0</v>
      </c>
      <c r="AN114" s="2625" t="n">
        <v>0</v>
      </c>
      <c r="AO114" s="2625" t="n">
        <v>0</v>
      </c>
      <c r="AP114" s="2625" t="n">
        <v>0</v>
      </c>
      <c r="AQ114" s="2625" t="n"/>
      <c r="AR114" s="2625" t="n">
        <v>0</v>
      </c>
      <c r="AS114" s="2626">
        <f>SUM(AG114:AR114)</f>
        <v/>
      </c>
      <c r="AU114" s="2625" t="n"/>
      <c r="AV114" s="2625" t="n">
        <v>0</v>
      </c>
      <c r="AW114" s="2625" t="n">
        <v>0</v>
      </c>
      <c r="AX114" s="2625" t="n">
        <v>0</v>
      </c>
      <c r="AY114" s="2625" t="n">
        <v>0</v>
      </c>
      <c r="AZ114" s="2625" t="n">
        <v>0</v>
      </c>
      <c r="BA114" s="2625" t="n">
        <v>0</v>
      </c>
      <c r="BB114" s="2625" t="n"/>
      <c r="BC114" s="2625" t="n"/>
      <c r="BD114" s="2625" t="n">
        <v>0</v>
      </c>
      <c r="BE114" s="2625" t="n">
        <v>0</v>
      </c>
      <c r="BF114" s="2627" t="n"/>
      <c r="BG114" s="2628">
        <f>SUM(AU114:BF114)</f>
        <v/>
      </c>
      <c r="BI114" s="2629" t="n"/>
      <c r="BJ114" s="2629" t="n"/>
      <c r="BK114" s="2629" t="n"/>
      <c r="BL114" s="2629" t="n"/>
      <c r="BM114" s="2629" t="n"/>
      <c r="BN114" s="2629" t="n"/>
      <c r="BO114" s="2629" t="n"/>
      <c r="BP114" s="2629" t="n"/>
      <c r="BQ114" s="2629" t="n"/>
      <c r="BR114" s="2629" t="n"/>
      <c r="BS114" s="2629" t="n"/>
      <c r="BT114" s="2629" t="n"/>
      <c r="BU114" s="2628">
        <f>SUM(BI114:BT114)</f>
        <v/>
      </c>
    </row>
    <row r="115" outlineLevel="1">
      <c r="A115" s="1470" t="n"/>
      <c r="B115" s="1456" t="inlineStr">
        <is>
          <t>협회비</t>
        </is>
      </c>
      <c r="C115" s="1456" t="inlineStr">
        <is>
          <t>기타</t>
        </is>
      </c>
      <c r="D115" s="2625" t="n"/>
      <c r="E115" s="2625" t="n"/>
      <c r="F115" s="2625" t="n"/>
      <c r="G115" s="2625" t="n"/>
      <c r="H115" s="2625" t="n">
        <v>0</v>
      </c>
      <c r="I115" s="2625" t="n">
        <v>0</v>
      </c>
      <c r="J115" s="2625" t="n">
        <v>0</v>
      </c>
      <c r="K115" s="2625" t="n">
        <v>0</v>
      </c>
      <c r="L115" s="2625" t="n">
        <v>0</v>
      </c>
      <c r="M115" s="2625" t="n">
        <v>0</v>
      </c>
      <c r="N115" s="2625" t="n">
        <v>0</v>
      </c>
      <c r="O115" s="2625" t="n">
        <v>0</v>
      </c>
      <c r="P115" s="2626">
        <f>SUM(D115:O115)</f>
        <v/>
      </c>
      <c r="Q115" s="1466" t="n"/>
      <c r="R115" s="1436" t="n"/>
      <c r="S115" s="2625" t="n">
        <v>0</v>
      </c>
      <c r="T115" s="2625" t="n">
        <v>0</v>
      </c>
      <c r="U115" s="2625" t="n">
        <v>0</v>
      </c>
      <c r="V115" s="2625" t="n">
        <v>0</v>
      </c>
      <c r="W115" s="2625" t="n">
        <v>0</v>
      </c>
      <c r="X115" s="2625" t="n">
        <v>0</v>
      </c>
      <c r="Y115" s="2625" t="n">
        <v>0</v>
      </c>
      <c r="Z115" s="2625" t="n">
        <v>0</v>
      </c>
      <c r="AA115" s="2625" t="n">
        <v>0</v>
      </c>
      <c r="AB115" s="2625" t="n">
        <v>0</v>
      </c>
      <c r="AC115" s="2625" t="n">
        <v>0</v>
      </c>
      <c r="AD115" s="2625" t="n">
        <v>0</v>
      </c>
      <c r="AE115" s="2626">
        <f>SUM(S115:AD115)</f>
        <v/>
      </c>
      <c r="AF115" s="1466" t="n"/>
      <c r="AG115" s="2625" t="n">
        <v>0</v>
      </c>
      <c r="AH115" s="2625" t="n">
        <v>0</v>
      </c>
      <c r="AI115" s="2625" t="n">
        <v>0</v>
      </c>
      <c r="AJ115" s="2625" t="n">
        <v>0</v>
      </c>
      <c r="AK115" s="2625" t="n">
        <v>0</v>
      </c>
      <c r="AL115" s="2625" t="n">
        <v>0</v>
      </c>
      <c r="AM115" s="2625" t="n">
        <v>0</v>
      </c>
      <c r="AN115" s="2625" t="n">
        <v>0</v>
      </c>
      <c r="AO115" s="2625" t="n">
        <v>0</v>
      </c>
      <c r="AP115" s="2625" t="n">
        <v>0</v>
      </c>
      <c r="AQ115" s="2625" t="n"/>
      <c r="AR115" s="2625" t="n">
        <v>0</v>
      </c>
      <c r="AS115" s="2626">
        <f>SUM(AG115:AR115)</f>
        <v/>
      </c>
      <c r="AU115" s="2625" t="n"/>
      <c r="AV115" s="2625" t="n">
        <v>0</v>
      </c>
      <c r="AW115" s="2625" t="n">
        <v>0</v>
      </c>
      <c r="AX115" s="2625" t="n">
        <v>0</v>
      </c>
      <c r="AY115" s="2625" t="n">
        <v>0</v>
      </c>
      <c r="AZ115" s="2625" t="n">
        <v>0</v>
      </c>
      <c r="BA115" s="2625" t="n">
        <v>0</v>
      </c>
      <c r="BB115" s="2625" t="n"/>
      <c r="BC115" s="2625" t="n"/>
      <c r="BD115" s="2625" t="n">
        <v>0</v>
      </c>
      <c r="BE115" s="2625" t="n">
        <v>0</v>
      </c>
      <c r="BF115" s="2627" t="n"/>
      <c r="BG115" s="2628">
        <f>SUM(AU115:BF115)</f>
        <v/>
      </c>
      <c r="BI115" s="2629" t="n"/>
      <c r="BJ115" s="2629" t="n"/>
      <c r="BK115" s="2629" t="n"/>
      <c r="BL115" s="2629" t="n"/>
      <c r="BM115" s="2629" t="n"/>
      <c r="BN115" s="2629" t="n"/>
      <c r="BO115" s="2629" t="n"/>
      <c r="BP115" s="2629" t="n"/>
      <c r="BQ115" s="2629" t="n"/>
      <c r="BR115" s="2629" t="n"/>
      <c r="BS115" s="2629" t="n"/>
      <c r="BT115" s="2629" t="n"/>
      <c r="BU115" s="2628">
        <f>SUM(BI115:BT115)</f>
        <v/>
      </c>
    </row>
    <row r="116" outlineLevel="1">
      <c r="A116" s="1470" t="n"/>
      <c r="B116" s="1456" t="inlineStr">
        <is>
          <t>외주용역비</t>
        </is>
      </c>
      <c r="C116" s="1456" t="inlineStr">
        <is>
          <t>기타</t>
        </is>
      </c>
      <c r="D116" s="2625" t="n"/>
      <c r="E116" s="2625" t="n"/>
      <c r="F116" s="2625" t="n"/>
      <c r="G116" s="2625" t="n"/>
      <c r="H116" s="2625" t="n">
        <v>0</v>
      </c>
      <c r="I116" s="2625" t="n">
        <v>0</v>
      </c>
      <c r="J116" s="2625" t="n">
        <v>0</v>
      </c>
      <c r="K116" s="2625" t="n">
        <v>0</v>
      </c>
      <c r="L116" s="2625" t="n">
        <v>150000000</v>
      </c>
      <c r="M116" s="2625" t="n">
        <v>0</v>
      </c>
      <c r="N116" s="2625" t="n">
        <v>0</v>
      </c>
      <c r="O116" s="2625" t="n">
        <v>0</v>
      </c>
      <c r="P116" s="2626">
        <f>SUM(D116:O116)</f>
        <v/>
      </c>
      <c r="Q116" s="1466" t="n"/>
      <c r="R116" s="1436" t="n"/>
      <c r="S116" s="2625" t="n">
        <v>0</v>
      </c>
      <c r="T116" s="2625" t="n">
        <v>0</v>
      </c>
      <c r="U116" s="2625" t="n">
        <v>0</v>
      </c>
      <c r="V116" s="2625" t="n">
        <v>0</v>
      </c>
      <c r="W116" s="2625" t="n">
        <v>118225910</v>
      </c>
      <c r="X116" s="2625" t="n">
        <v>145532520</v>
      </c>
      <c r="Y116" s="2625" t="n">
        <v>158381790</v>
      </c>
      <c r="Z116" s="2625" t="n">
        <v>131844930</v>
      </c>
      <c r="AA116" s="2625" t="n">
        <v>66119130</v>
      </c>
      <c r="AB116" s="2625" t="n">
        <v>0</v>
      </c>
      <c r="AC116" s="2625" t="n">
        <v>0</v>
      </c>
      <c r="AD116" s="2625" t="n">
        <v>0</v>
      </c>
      <c r="AE116" s="2626">
        <f>SUM(S116:AD116)</f>
        <v/>
      </c>
      <c r="AF116" s="1466" t="inlineStr">
        <is>
          <t>최소치 가정</t>
        </is>
      </c>
      <c r="AG116" s="2625" t="n">
        <v>0</v>
      </c>
      <c r="AH116" s="2625" t="n">
        <v>0</v>
      </c>
      <c r="AI116" s="2625" t="n">
        <v>0</v>
      </c>
      <c r="AJ116" s="2625" t="n">
        <v>0</v>
      </c>
      <c r="AK116" s="2625" t="n">
        <v>0</v>
      </c>
      <c r="AL116" s="2625" t="n">
        <v>0</v>
      </c>
      <c r="AM116" s="2625" t="n">
        <v>0</v>
      </c>
      <c r="AN116" s="2625" t="n">
        <v>0</v>
      </c>
      <c r="AO116" s="2625" t="n">
        <v>0</v>
      </c>
      <c r="AP116" s="2625" t="n">
        <v>0</v>
      </c>
      <c r="AQ116" s="2625" t="n"/>
      <c r="AR116" s="2625" t="n">
        <v>0</v>
      </c>
      <c r="AS116" s="2626">
        <f>SUM(AG116:AR116)</f>
        <v/>
      </c>
      <c r="AU116" s="2625" t="n"/>
      <c r="AV116" s="2625" t="n">
        <v>0</v>
      </c>
      <c r="AW116" s="2625" t="n">
        <v>0</v>
      </c>
      <c r="AX116" s="2625" t="n">
        <v>0</v>
      </c>
      <c r="AY116" s="2625" t="n">
        <v>0</v>
      </c>
      <c r="AZ116" s="2625" t="n">
        <v>0</v>
      </c>
      <c r="BA116" s="2625" t="n">
        <v>0</v>
      </c>
      <c r="BB116" s="2625" t="n"/>
      <c r="BC116" s="2625" t="n"/>
      <c r="BD116" s="2625" t="n">
        <v>0</v>
      </c>
      <c r="BE116" s="2625" t="n">
        <v>0</v>
      </c>
      <c r="BF116" s="2627" t="n"/>
      <c r="BG116" s="2628">
        <f>SUM(AU116:BF116)</f>
        <v/>
      </c>
      <c r="BI116" s="2629" t="n"/>
      <c r="BJ116" s="2629" t="n"/>
      <c r="BK116" s="2629" t="n"/>
      <c r="BL116" s="2629" t="n"/>
      <c r="BM116" s="2629" t="n"/>
      <c r="BN116" s="2629" t="n"/>
      <c r="BO116" s="2629" t="n"/>
      <c r="BP116" s="2629" t="n"/>
      <c r="BQ116" s="2629" t="n"/>
      <c r="BR116" s="2629" t="n"/>
      <c r="BS116" s="2629" t="n"/>
      <c r="BT116" s="2629" t="n"/>
      <c r="BU116" s="2628">
        <f>SUM(BI116:BT116)</f>
        <v/>
      </c>
    </row>
    <row r="117" outlineLevel="1">
      <c r="A117" s="1470" t="n"/>
      <c r="B117" s="1456" t="inlineStr">
        <is>
          <t>매출채권 손상차손</t>
        </is>
      </c>
      <c r="C117" s="1456" t="inlineStr">
        <is>
          <t>기타</t>
        </is>
      </c>
      <c r="D117" s="2625" t="n"/>
      <c r="E117" s="2625" t="n"/>
      <c r="F117" s="2625" t="n"/>
      <c r="G117" s="2625" t="n"/>
      <c r="H117" s="2625" t="n">
        <v>0</v>
      </c>
      <c r="I117" s="2625" t="n">
        <v>0</v>
      </c>
      <c r="J117" s="2625" t="n">
        <v>0</v>
      </c>
      <c r="K117" s="2625" t="n">
        <v>0</v>
      </c>
      <c r="L117" s="2625" t="n">
        <v>0</v>
      </c>
      <c r="M117" s="2625" t="n">
        <v>0</v>
      </c>
      <c r="N117" s="2625" t="n">
        <v>0</v>
      </c>
      <c r="O117" s="2625" t="n">
        <v>0</v>
      </c>
      <c r="P117" s="2626">
        <f>SUM(D117:O117)</f>
        <v/>
      </c>
      <c r="Q117" s="1466" t="n"/>
      <c r="R117" s="1436" t="n"/>
      <c r="S117" s="2625" t="n">
        <v>0</v>
      </c>
      <c r="T117" s="2625" t="n">
        <v>0</v>
      </c>
      <c r="U117" s="2625" t="n">
        <v>0</v>
      </c>
      <c r="V117" s="2625" t="n">
        <v>0</v>
      </c>
      <c r="W117" s="2625" t="n">
        <v>0</v>
      </c>
      <c r="X117" s="2625" t="n">
        <v>0</v>
      </c>
      <c r="Y117" s="2625" t="n">
        <v>0</v>
      </c>
      <c r="Z117" s="2625" t="n">
        <v>0</v>
      </c>
      <c r="AA117" s="2625" t="n">
        <v>0</v>
      </c>
      <c r="AB117" s="2625" t="n">
        <v>0</v>
      </c>
      <c r="AC117" s="2625" t="n">
        <v>0</v>
      </c>
      <c r="AD117" s="2625" t="n">
        <v>0</v>
      </c>
      <c r="AE117" s="2626">
        <f>SUM(S117:AD117)</f>
        <v/>
      </c>
      <c r="AF117" s="1466" t="n"/>
      <c r="AG117" s="2625" t="n">
        <v>0</v>
      </c>
      <c r="AH117" s="2625" t="n">
        <v>0</v>
      </c>
      <c r="AI117" s="2625" t="n">
        <v>0</v>
      </c>
      <c r="AJ117" s="2625" t="n">
        <v>0</v>
      </c>
      <c r="AK117" s="2625" t="n">
        <v>0</v>
      </c>
      <c r="AL117" s="2625" t="n">
        <v>0</v>
      </c>
      <c r="AM117" s="2625" t="n">
        <v>0</v>
      </c>
      <c r="AN117" s="2625" t="n">
        <v>0</v>
      </c>
      <c r="AO117" s="2625" t="n">
        <v>0</v>
      </c>
      <c r="AP117" s="2625" t="n">
        <v>0</v>
      </c>
      <c r="AQ117" s="2625" t="n"/>
      <c r="AR117" s="2625" t="n">
        <v>0</v>
      </c>
      <c r="AS117" s="2626">
        <f>SUM(AG117:AR117)</f>
        <v/>
      </c>
      <c r="AU117" s="2625" t="n"/>
      <c r="AV117" s="2625" t="n">
        <v>0</v>
      </c>
      <c r="AW117" s="2625" t="n">
        <v>0</v>
      </c>
      <c r="AX117" s="2625" t="n">
        <v>0</v>
      </c>
      <c r="AY117" s="2625" t="n">
        <v>0</v>
      </c>
      <c r="AZ117" s="2625" t="n">
        <v>0</v>
      </c>
      <c r="BA117" s="2625" t="n">
        <v>0</v>
      </c>
      <c r="BB117" s="2625" t="n"/>
      <c r="BC117" s="2625" t="n"/>
      <c r="BD117" s="2625" t="n">
        <v>0</v>
      </c>
      <c r="BE117" s="2625" t="n">
        <v>0</v>
      </c>
      <c r="BF117" s="2627" t="n"/>
      <c r="BG117" s="2628">
        <f>SUM(AU117:BF117)</f>
        <v/>
      </c>
      <c r="BI117" s="2629" t="n"/>
      <c r="BJ117" s="2629" t="n"/>
      <c r="BK117" s="2629" t="n"/>
      <c r="BL117" s="2629" t="n"/>
      <c r="BM117" s="2629" t="n"/>
      <c r="BN117" s="2629" t="n"/>
      <c r="BO117" s="2629" t="n"/>
      <c r="BP117" s="2629" t="n"/>
      <c r="BQ117" s="2629" t="n"/>
      <c r="BR117" s="2629" t="n"/>
      <c r="BS117" s="2629" t="n"/>
      <c r="BT117" s="2629" t="n"/>
      <c r="BU117" s="2628">
        <f>SUM(BI117:BT117)</f>
        <v/>
      </c>
    </row>
    <row r="118" outlineLevel="1">
      <c r="A118" s="1470" t="n"/>
      <c r="B118" s="1456" t="inlineStr">
        <is>
          <t>복구충당부채환입</t>
        </is>
      </c>
      <c r="C118" s="1456" t="inlineStr">
        <is>
          <t>기타</t>
        </is>
      </c>
      <c r="D118" s="2625" t="n"/>
      <c r="E118" s="2625" t="n"/>
      <c r="F118" s="2625" t="n"/>
      <c r="G118" s="2625" t="n"/>
      <c r="H118" s="2625" t="n">
        <v>0</v>
      </c>
      <c r="I118" s="2625" t="n">
        <v>0</v>
      </c>
      <c r="J118" s="2625" t="n">
        <v>0</v>
      </c>
      <c r="K118" s="2625" t="n">
        <v>0</v>
      </c>
      <c r="L118" s="2625" t="n">
        <v>0</v>
      </c>
      <c r="M118" s="2625" t="n">
        <v>0</v>
      </c>
      <c r="N118" s="2625" t="n">
        <v>0</v>
      </c>
      <c r="O118" s="2625" t="n">
        <v>0</v>
      </c>
      <c r="P118" s="2626">
        <f>SUM(D118:O118)</f>
        <v/>
      </c>
      <c r="Q118" s="1466" t="n"/>
      <c r="R118" s="1436" t="n"/>
      <c r="S118" s="2625" t="n">
        <v>0</v>
      </c>
      <c r="T118" s="2625" t="n">
        <v>0</v>
      </c>
      <c r="U118" s="2625" t="n">
        <v>0</v>
      </c>
      <c r="V118" s="2625" t="n">
        <v>0</v>
      </c>
      <c r="W118" s="2625" t="n">
        <v>0</v>
      </c>
      <c r="X118" s="2625" t="n">
        <v>0</v>
      </c>
      <c r="Y118" s="2625" t="n">
        <v>0</v>
      </c>
      <c r="Z118" s="2625" t="n">
        <v>0</v>
      </c>
      <c r="AA118" s="2625" t="n">
        <v>0</v>
      </c>
      <c r="AB118" s="2625" t="n">
        <v>0</v>
      </c>
      <c r="AC118" s="2625" t="n">
        <v>0</v>
      </c>
      <c r="AD118" s="2625" t="n">
        <v>0</v>
      </c>
      <c r="AE118" s="2626">
        <f>SUM(S118:AD118)</f>
        <v/>
      </c>
      <c r="AF118" s="1466" t="n"/>
      <c r="AG118" s="2625" t="n">
        <v>0</v>
      </c>
      <c r="AH118" s="2625" t="n">
        <v>0</v>
      </c>
      <c r="AI118" s="2625" t="n">
        <v>0</v>
      </c>
      <c r="AJ118" s="2625" t="n">
        <v>0</v>
      </c>
      <c r="AK118" s="2625" t="n">
        <v>0</v>
      </c>
      <c r="AL118" s="2625" t="n">
        <v>0</v>
      </c>
      <c r="AM118" s="2625" t="n">
        <v>0</v>
      </c>
      <c r="AN118" s="2625" t="n">
        <v>0</v>
      </c>
      <c r="AO118" s="2625" t="n">
        <v>0</v>
      </c>
      <c r="AP118" s="2625" t="n">
        <v>0</v>
      </c>
      <c r="AQ118" s="2625" t="n"/>
      <c r="AR118" s="2625" t="n">
        <v>0</v>
      </c>
      <c r="AS118" s="2626">
        <f>SUM(AG118:AR118)</f>
        <v/>
      </c>
      <c r="AU118" s="2625" t="n"/>
      <c r="AV118" s="2625" t="n">
        <v>0</v>
      </c>
      <c r="AW118" s="2625" t="n">
        <v>0</v>
      </c>
      <c r="AX118" s="2625" t="n">
        <v>0</v>
      </c>
      <c r="AY118" s="2625" t="n">
        <v>0</v>
      </c>
      <c r="AZ118" s="2625" t="n">
        <v>0</v>
      </c>
      <c r="BA118" s="2625" t="n">
        <v>0</v>
      </c>
      <c r="BB118" s="2625" t="n"/>
      <c r="BC118" s="2625" t="n"/>
      <c r="BD118" s="2625" t="n">
        <v>0</v>
      </c>
      <c r="BE118" s="2625" t="n">
        <v>0</v>
      </c>
      <c r="BF118" s="2627" t="n"/>
      <c r="BG118" s="2628">
        <f>SUM(AU118:BF118)</f>
        <v/>
      </c>
      <c r="BI118" s="2629" t="n"/>
      <c r="BJ118" s="2629" t="n"/>
      <c r="BK118" s="2629" t="n"/>
      <c r="BL118" s="2629" t="n"/>
      <c r="BM118" s="2629" t="n"/>
      <c r="BN118" s="2629" t="n"/>
      <c r="BO118" s="2629" t="n"/>
      <c r="BP118" s="2629" t="n"/>
      <c r="BQ118" s="2629" t="n"/>
      <c r="BR118" s="2629" t="n"/>
      <c r="BS118" s="2629" t="n"/>
      <c r="BT118" s="2629" t="n"/>
      <c r="BU118" s="2628">
        <f>SUM(BI118:BT118)</f>
        <v/>
      </c>
    </row>
    <row r="119" outlineLevel="1">
      <c r="A119" s="1470" t="n"/>
      <c r="B119" s="1456" t="inlineStr">
        <is>
          <t>하자보수비</t>
        </is>
      </c>
      <c r="C119" s="1456" t="inlineStr">
        <is>
          <t>기타</t>
        </is>
      </c>
      <c r="D119" s="2625" t="n"/>
      <c r="E119" s="2625" t="n"/>
      <c r="F119" s="2625" t="n"/>
      <c r="G119" s="2625" t="n"/>
      <c r="H119" s="2625" t="n">
        <v>0</v>
      </c>
      <c r="I119" s="2625" t="n">
        <v>0</v>
      </c>
      <c r="J119" s="2625" t="n">
        <v>0</v>
      </c>
      <c r="K119" s="2625" t="n">
        <v>0</v>
      </c>
      <c r="L119" s="2625" t="n">
        <v>0</v>
      </c>
      <c r="M119" s="2625" t="n">
        <v>0</v>
      </c>
      <c r="N119" s="2625" t="n">
        <v>0</v>
      </c>
      <c r="O119" s="2625" t="n">
        <v>0</v>
      </c>
      <c r="P119" s="2626">
        <f>SUM(D119:O119)</f>
        <v/>
      </c>
      <c r="Q119" s="1466" t="n"/>
      <c r="R119" s="1436" t="n"/>
      <c r="S119" s="2625" t="n">
        <v>0</v>
      </c>
      <c r="T119" s="2625" t="n">
        <v>0</v>
      </c>
      <c r="U119" s="2625" t="n">
        <v>0</v>
      </c>
      <c r="V119" s="2625" t="n">
        <v>0</v>
      </c>
      <c r="W119" s="2625" t="n">
        <v>0</v>
      </c>
      <c r="X119" s="2625" t="n">
        <v>0</v>
      </c>
      <c r="Y119" s="2625" t="n">
        <v>0</v>
      </c>
      <c r="Z119" s="2625" t="n">
        <v>0</v>
      </c>
      <c r="AA119" s="2625" t="n">
        <v>0</v>
      </c>
      <c r="AB119" s="2625" t="n">
        <v>0</v>
      </c>
      <c r="AC119" s="2625" t="n">
        <v>0</v>
      </c>
      <c r="AD119" s="2625" t="n">
        <v>0</v>
      </c>
      <c r="AE119" s="2626">
        <f>SUM(S119:AD119)</f>
        <v/>
      </c>
      <c r="AF119" s="1466" t="n"/>
      <c r="AG119" s="2625" t="n">
        <v>0</v>
      </c>
      <c r="AH119" s="2625" t="n">
        <v>0</v>
      </c>
      <c r="AI119" s="2625" t="n">
        <v>0</v>
      </c>
      <c r="AJ119" s="2625" t="n">
        <v>0</v>
      </c>
      <c r="AK119" s="2625" t="n">
        <v>0</v>
      </c>
      <c r="AL119" s="2625" t="n">
        <v>0</v>
      </c>
      <c r="AM119" s="2625" t="n">
        <v>0</v>
      </c>
      <c r="AN119" s="2625" t="n">
        <v>0</v>
      </c>
      <c r="AO119" s="2625" t="n">
        <v>0</v>
      </c>
      <c r="AP119" s="2625" t="n">
        <v>0</v>
      </c>
      <c r="AQ119" s="2625" t="n"/>
      <c r="AR119" s="2625" t="n">
        <v>0</v>
      </c>
      <c r="AS119" s="2626">
        <f>SUM(AG119:AR119)</f>
        <v/>
      </c>
      <c r="AU119" s="2625" t="n"/>
      <c r="AV119" s="2625" t="n">
        <v>0</v>
      </c>
      <c r="AW119" s="2625" t="n">
        <v>0</v>
      </c>
      <c r="AX119" s="2625" t="n">
        <v>0</v>
      </c>
      <c r="AY119" s="2625" t="n">
        <v>0</v>
      </c>
      <c r="AZ119" s="2625" t="n">
        <v>0</v>
      </c>
      <c r="BA119" s="2625" t="n">
        <v>0</v>
      </c>
      <c r="BB119" s="2625" t="n"/>
      <c r="BC119" s="2625" t="n"/>
      <c r="BD119" s="2625" t="n">
        <v>0</v>
      </c>
      <c r="BE119" s="2625" t="n">
        <v>0</v>
      </c>
      <c r="BF119" s="2627" t="n"/>
      <c r="BG119" s="2628">
        <f>SUM(AU119:BF119)</f>
        <v/>
      </c>
      <c r="BI119" s="2629" t="n"/>
      <c r="BJ119" s="2629" t="n"/>
      <c r="BK119" s="2629" t="n"/>
      <c r="BL119" s="2629" t="n"/>
      <c r="BM119" s="2629" t="n"/>
      <c r="BN119" s="2629" t="n"/>
      <c r="BO119" s="2629" t="n"/>
      <c r="BP119" s="2629" t="n"/>
      <c r="BQ119" s="2629" t="n"/>
      <c r="BR119" s="2629" t="n"/>
      <c r="BS119" s="2629" t="n"/>
      <c r="BT119" s="2629" t="n"/>
      <c r="BU119" s="2628">
        <f>SUM(BI119:BT119)</f>
        <v/>
      </c>
    </row>
    <row r="120" outlineLevel="1">
      <c r="A120" s="1470" t="n"/>
      <c r="B120" s="1456" t="inlineStr">
        <is>
          <t>주식보상비용</t>
        </is>
      </c>
      <c r="C120" s="1456" t="inlineStr">
        <is>
          <t>기타</t>
        </is>
      </c>
      <c r="D120" s="2625" t="n"/>
      <c r="E120" s="2625" t="n"/>
      <c r="F120" s="2625" t="n"/>
      <c r="G120" s="2625" t="n"/>
      <c r="H120" s="2625" t="n">
        <v>0</v>
      </c>
      <c r="I120" s="2625" t="n">
        <v>0</v>
      </c>
      <c r="J120" s="2625" t="n">
        <v>2195864</v>
      </c>
      <c r="K120" s="2625" t="n">
        <v>1791362</v>
      </c>
      <c r="L120" s="2625" t="n">
        <v>1733577</v>
      </c>
      <c r="M120" s="2625" t="n">
        <v>1791362</v>
      </c>
      <c r="N120" s="2625" t="n">
        <v>1733577</v>
      </c>
      <c r="O120" s="2625" t="n">
        <v>1791362</v>
      </c>
      <c r="P120" s="2626">
        <f>SUM(D120:O120)</f>
        <v/>
      </c>
      <c r="Q120" s="1466" t="n"/>
      <c r="R120" s="1436" t="n"/>
      <c r="S120" s="2625" t="n">
        <v>1791363</v>
      </c>
      <c r="T120" s="2625" t="n">
        <v>1618005</v>
      </c>
      <c r="U120" s="2625" t="n">
        <v>1791362</v>
      </c>
      <c r="V120" s="2625" t="n">
        <v>1733577</v>
      </c>
      <c r="W120" s="2625" t="n">
        <v>1791362</v>
      </c>
      <c r="X120" s="2625" t="n">
        <v>161186702</v>
      </c>
      <c r="Y120" s="2625" t="n">
        <v>-8298831</v>
      </c>
      <c r="Z120" s="2625" t="n">
        <v>51579007</v>
      </c>
      <c r="AA120" s="2625" t="n">
        <v>51521220</v>
      </c>
      <c r="AB120" s="2625" t="n">
        <v>-129666557</v>
      </c>
      <c r="AC120" s="2625" t="n">
        <v>124009790</v>
      </c>
      <c r="AD120" s="2625" t="n">
        <v>12419029</v>
      </c>
      <c r="AE120" s="2626">
        <f>SUM(S120:AD120)</f>
        <v/>
      </c>
      <c r="AF120" s="1475" t="inlineStr">
        <is>
          <t>3분기 장부 전액 손상에 따라 주식보상비용 추가 인식 안하는 걸로</t>
        </is>
      </c>
      <c r="AG120" s="2625" t="n">
        <v>26929586</v>
      </c>
      <c r="AH120" s="2625" t="n">
        <v>25192194</v>
      </c>
      <c r="AI120" s="2625" t="n">
        <v>14419872</v>
      </c>
      <c r="AJ120" s="2625" t="n">
        <v>24891757</v>
      </c>
      <c r="AK120" s="2625" t="n">
        <v>25721483</v>
      </c>
      <c r="AL120" s="2625" t="n">
        <v>15666623</v>
      </c>
      <c r="AM120" s="2625" t="n">
        <v>-36550069</v>
      </c>
      <c r="AN120" s="2625" t="n">
        <v>6747608</v>
      </c>
      <c r="AO120" s="2625" t="n">
        <v>7866280</v>
      </c>
      <c r="AP120" s="2625" t="n">
        <v>12685085</v>
      </c>
      <c r="AQ120" s="2625" t="n">
        <v>11152935</v>
      </c>
      <c r="AR120" s="2625" t="n">
        <v>12685085</v>
      </c>
      <c r="AS120" s="2626">
        <f>SUM(AG120:AR120)</f>
        <v/>
      </c>
      <c r="AU120" s="2625" t="n">
        <v>12685085</v>
      </c>
      <c r="AV120" s="2625" t="n">
        <v>11457497</v>
      </c>
      <c r="AW120" s="2625" t="n">
        <v>12685085</v>
      </c>
      <c r="AX120" s="2625" t="n">
        <v>12275889</v>
      </c>
      <c r="AY120" s="2625" t="n">
        <v>12685085</v>
      </c>
      <c r="AZ120" s="2625" t="n">
        <v>12275889</v>
      </c>
      <c r="BA120" s="2625" t="n">
        <v>12685085</v>
      </c>
      <c r="BB120" s="2625" t="n">
        <v>12685085</v>
      </c>
      <c r="BC120" s="2625" t="n">
        <v>12275889</v>
      </c>
      <c r="BD120" s="2625" t="n">
        <v>12685085</v>
      </c>
      <c r="BE120" s="2625" t="n">
        <v>12275889</v>
      </c>
      <c r="BF120" s="2627" t="n">
        <v>12685085</v>
      </c>
      <c r="BG120" s="2628">
        <f>SUM(AU120:BF120)</f>
        <v/>
      </c>
      <c r="BI120" s="2629">
        <f>BF120</f>
        <v/>
      </c>
      <c r="BJ120" s="2629" t="n">
        <v>12685085</v>
      </c>
      <c r="BK120" s="2629" t="n">
        <v>12685085</v>
      </c>
      <c r="BL120" s="2629" t="n">
        <v>12685085</v>
      </c>
      <c r="BM120" s="2635" t="n">
        <v>12685085</v>
      </c>
      <c r="BN120" s="2629" t="n"/>
      <c r="BO120" s="2629" t="n"/>
      <c r="BP120" s="2629" t="n"/>
      <c r="BQ120" s="2629" t="n"/>
      <c r="BR120" s="2629" t="n"/>
      <c r="BS120" s="2629" t="n"/>
      <c r="BT120" s="2629" t="n"/>
      <c r="BU120" s="2628">
        <f>SUM(BI120:BT120)</f>
        <v/>
      </c>
    </row>
    <row r="121" outlineLevel="1">
      <c r="A121" s="1470" t="n"/>
      <c r="B121" s="1456" t="inlineStr">
        <is>
          <t>프로젝트손실충당부채전입액 &gt; 재고자산 평가 손실</t>
        </is>
      </c>
      <c r="C121" s="1456" t="inlineStr">
        <is>
          <t>기타</t>
        </is>
      </c>
      <c r="D121" s="2625" t="n"/>
      <c r="E121" s="2625" t="n"/>
      <c r="F121" s="2625" t="n"/>
      <c r="G121" s="2625" t="n"/>
      <c r="H121" s="2625" t="n"/>
      <c r="I121" s="2625" t="n"/>
      <c r="J121" s="2625" t="n">
        <v>0</v>
      </c>
      <c r="K121" s="2625" t="n">
        <v>0</v>
      </c>
      <c r="L121" s="2625" t="n">
        <v>0</v>
      </c>
      <c r="M121" s="2625" t="n">
        <v>0</v>
      </c>
      <c r="N121" s="2625" t="n">
        <v>0</v>
      </c>
      <c r="O121" s="2625" t="n">
        <v>0</v>
      </c>
      <c r="P121" s="2626">
        <f>SUM(D121:O121)</f>
        <v/>
      </c>
      <c r="Q121" s="1436" t="n"/>
      <c r="R121" s="1436" t="n"/>
      <c r="S121" s="2625" t="n">
        <v>0</v>
      </c>
      <c r="T121" s="2625" t="n">
        <v>0</v>
      </c>
      <c r="U121" s="2625" t="n">
        <v>0</v>
      </c>
      <c r="V121" s="2625" t="n">
        <v>0</v>
      </c>
      <c r="W121" s="2625" t="n">
        <v>0</v>
      </c>
      <c r="X121" s="2625" t="n">
        <v>0</v>
      </c>
      <c r="Y121" s="2625" t="n">
        <v>0</v>
      </c>
      <c r="Z121" s="2625" t="n">
        <v>0</v>
      </c>
      <c r="AA121" s="2625" t="n">
        <v>0</v>
      </c>
      <c r="AB121" s="2625" t="n">
        <v>0</v>
      </c>
      <c r="AC121" s="2625" t="n">
        <v>0</v>
      </c>
      <c r="AD121" s="2625" t="n">
        <v>0</v>
      </c>
      <c r="AE121" s="2626">
        <f>SUM(S121:AD121)</f>
        <v/>
      </c>
      <c r="AF121" s="1476" t="n"/>
      <c r="AG121" s="2625" t="n">
        <v>0</v>
      </c>
      <c r="AH121" s="2625" t="n">
        <v>0</v>
      </c>
      <c r="AI121" s="2625" t="n">
        <v>0</v>
      </c>
      <c r="AJ121" s="2625" t="n">
        <v>0</v>
      </c>
      <c r="AK121" s="2625" t="n">
        <v>0</v>
      </c>
      <c r="AL121" s="2625" t="n">
        <v>0</v>
      </c>
      <c r="AM121" s="2625" t="n">
        <v>0</v>
      </c>
      <c r="AN121" s="2625" t="n">
        <v>0</v>
      </c>
      <c r="AO121" s="2625" t="n">
        <v>0</v>
      </c>
      <c r="AP121" s="2625" t="n">
        <v>0</v>
      </c>
      <c r="AQ121" s="2625" t="n"/>
      <c r="AR121" s="2625" t="n">
        <v>0</v>
      </c>
      <c r="AS121" s="2626">
        <f>SUM(AG121:AR121)</f>
        <v/>
      </c>
      <c r="AU121" s="2625" t="n"/>
      <c r="AV121" s="2625" t="n">
        <v>0</v>
      </c>
      <c r="AW121" s="2625" t="n">
        <v>0</v>
      </c>
      <c r="AX121" s="2625" t="n">
        <v>0</v>
      </c>
      <c r="AY121" s="2625" t="n">
        <v>0</v>
      </c>
      <c r="AZ121" s="2625" t="n">
        <v>0</v>
      </c>
      <c r="BA121" s="2625" t="n">
        <v>0</v>
      </c>
      <c r="BB121" s="2625" t="n"/>
      <c r="BC121" s="2625" t="n"/>
      <c r="BD121" s="2625" t="n">
        <v>0</v>
      </c>
      <c r="BE121" s="2625" t="n">
        <v>0</v>
      </c>
      <c r="BF121" s="2627" t="n"/>
      <c r="BG121" s="2628">
        <f>SUM(AU121:BF121)</f>
        <v/>
      </c>
      <c r="BI121" s="2629" t="n"/>
      <c r="BJ121" s="2629" t="n"/>
      <c r="BK121" s="2629" t="n"/>
      <c r="BL121" s="2629" t="n"/>
      <c r="BM121" s="2629" t="n"/>
      <c r="BN121" s="2629" t="n"/>
      <c r="BO121" s="2629" t="n"/>
      <c r="BP121" s="2629" t="n"/>
      <c r="BQ121" s="2629" t="n"/>
      <c r="BR121" s="2629" t="n"/>
      <c r="BS121" s="2629" t="n"/>
      <c r="BT121" s="2629" t="n"/>
      <c r="BU121" s="2628">
        <f>SUM(BI121:BT121)</f>
        <v/>
      </c>
    </row>
    <row r="122">
      <c r="A122" s="1470" t="n"/>
      <c r="B122" s="1471" t="inlineStr">
        <is>
          <t>Ⅲ. 영업이익(손실)</t>
        </is>
      </c>
      <c r="C122" s="1471" t="n"/>
      <c r="D122" s="2622">
        <f>D86-D87</f>
        <v/>
      </c>
      <c r="E122" s="2622">
        <f>E86-E87</f>
        <v/>
      </c>
      <c r="F122" s="2622">
        <f>F86-F87</f>
        <v/>
      </c>
      <c r="G122" s="2622">
        <f>G86-G87</f>
        <v/>
      </c>
      <c r="H122" s="2622">
        <f>H86-H87</f>
        <v/>
      </c>
      <c r="I122" s="2622">
        <f>I86-I87</f>
        <v/>
      </c>
      <c r="J122" s="2622">
        <f>J86-J87</f>
        <v/>
      </c>
      <c r="K122" s="2622">
        <f>K86-K87</f>
        <v/>
      </c>
      <c r="L122" s="2622">
        <f>L86-L87</f>
        <v/>
      </c>
      <c r="M122" s="2622">
        <f>M86-M87</f>
        <v/>
      </c>
      <c r="N122" s="2622">
        <f>N86-N87</f>
        <v/>
      </c>
      <c r="O122" s="2622">
        <f>O86-O87</f>
        <v/>
      </c>
      <c r="P122" s="2623">
        <f>SUM(D122:O122)</f>
        <v/>
      </c>
      <c r="Q122" s="1436" t="n"/>
      <c r="R122" s="1436" t="n"/>
      <c r="S122" s="2622">
        <f>S86-S87</f>
        <v/>
      </c>
      <c r="T122" s="2622">
        <f>T86-T87</f>
        <v/>
      </c>
      <c r="U122" s="2622">
        <f>U86-U87</f>
        <v/>
      </c>
      <c r="V122" s="2622">
        <f>V86-V87</f>
        <v/>
      </c>
      <c r="W122" s="2622">
        <f>W86-W87</f>
        <v/>
      </c>
      <c r="X122" s="2622">
        <f>X86-X87</f>
        <v/>
      </c>
      <c r="Y122" s="2622">
        <f>Y86-Y87</f>
        <v/>
      </c>
      <c r="Z122" s="2622">
        <f>Z86-Z87</f>
        <v/>
      </c>
      <c r="AA122" s="2622">
        <f>AA86-AA87</f>
        <v/>
      </c>
      <c r="AB122" s="2622">
        <f>AB86-AB87</f>
        <v/>
      </c>
      <c r="AC122" s="2622">
        <f>AC86-AC87</f>
        <v/>
      </c>
      <c r="AD122" s="2622">
        <f>AD86-AD87</f>
        <v/>
      </c>
      <c r="AE122" s="2623">
        <f>SUM(S122:AD122)</f>
        <v/>
      </c>
      <c r="AF122" s="1477" t="n"/>
      <c r="AG122" s="2622">
        <f>AG86-AG87</f>
        <v/>
      </c>
      <c r="AH122" s="2622">
        <f>AH86-AH87</f>
        <v/>
      </c>
      <c r="AI122" s="2622">
        <f>AI86-AI87</f>
        <v/>
      </c>
      <c r="AJ122" s="2622">
        <f>AJ86-AJ87</f>
        <v/>
      </c>
      <c r="AK122" s="2622">
        <f>AK86-AK87</f>
        <v/>
      </c>
      <c r="AL122" s="2622">
        <f>AL86-AL87</f>
        <v/>
      </c>
      <c r="AM122" s="2622">
        <f>AM86-AM87</f>
        <v/>
      </c>
      <c r="AN122" s="2622">
        <f>AN86-AN87</f>
        <v/>
      </c>
      <c r="AO122" s="2622">
        <f>AO86-AO87</f>
        <v/>
      </c>
      <c r="AP122" s="2622">
        <f>AP86-AP87</f>
        <v/>
      </c>
      <c r="AQ122" s="2622">
        <f>AQ86-AQ87</f>
        <v/>
      </c>
      <c r="AR122" s="2622">
        <f>AR86-AR87</f>
        <v/>
      </c>
      <c r="AS122" s="2623">
        <f>SUM(AG122:AR122)</f>
        <v/>
      </c>
      <c r="AU122" s="2622">
        <f>AU86-AU87</f>
        <v/>
      </c>
      <c r="AV122" s="2622">
        <f>AV86-AV87</f>
        <v/>
      </c>
      <c r="AW122" s="2622">
        <f>AW86-AW87</f>
        <v/>
      </c>
      <c r="AX122" s="2622">
        <f>AX86-AX87</f>
        <v/>
      </c>
      <c r="AY122" s="2622">
        <f>AY86-AY87</f>
        <v/>
      </c>
      <c r="AZ122" s="2622">
        <f>AZ86-AZ87</f>
        <v/>
      </c>
      <c r="BA122" s="2622">
        <f>BA86-BA87</f>
        <v/>
      </c>
      <c r="BB122" s="2622">
        <f>BB86-BB87</f>
        <v/>
      </c>
      <c r="BC122" s="2622">
        <f>BC86-BC87</f>
        <v/>
      </c>
      <c r="BD122" s="2622">
        <f>BD86-BD87</f>
        <v/>
      </c>
      <c r="BE122" s="2622">
        <f>BE86-BE87</f>
        <v/>
      </c>
      <c r="BF122" s="2622">
        <f>BF86-BF87</f>
        <v/>
      </c>
      <c r="BG122" s="2624">
        <f>SUM(AU122:BF122)</f>
        <v/>
      </c>
      <c r="BI122" s="2622">
        <f>BI86-BI87</f>
        <v/>
      </c>
      <c r="BJ122" s="2622">
        <f>BJ86-BJ87</f>
        <v/>
      </c>
      <c r="BK122" s="2622">
        <f>BK86-BK87</f>
        <v/>
      </c>
      <c r="BL122" s="2622">
        <f>BL86-BL87</f>
        <v/>
      </c>
      <c r="BM122" s="2622">
        <f>BM86-BM87</f>
        <v/>
      </c>
      <c r="BN122" s="2622">
        <f>BN86-BN87</f>
        <v/>
      </c>
      <c r="BO122" s="2622">
        <f>BO86-BO87</f>
        <v/>
      </c>
      <c r="BP122" s="2622">
        <f>BP86-BP87</f>
        <v/>
      </c>
      <c r="BQ122" s="2622">
        <f>BQ86-BQ87</f>
        <v/>
      </c>
      <c r="BR122" s="2622">
        <f>BR86-BR87</f>
        <v/>
      </c>
      <c r="BS122" s="2622">
        <f>BS86-BS87</f>
        <v/>
      </c>
      <c r="BT122" s="2622">
        <f>BT86-BT87</f>
        <v/>
      </c>
      <c r="BU122" s="2624">
        <f>SUM(BI122:BT122)</f>
        <v/>
      </c>
    </row>
    <row r="123">
      <c r="A123" s="1436" t="n"/>
      <c r="B123" s="1436" t="n"/>
      <c r="C123" s="1436" t="n"/>
      <c r="D123" s="2614" t="n"/>
      <c r="E123" s="2614" t="n"/>
      <c r="F123" s="2614" t="n"/>
      <c r="G123" s="1436" t="n"/>
      <c r="H123" s="1436" t="n"/>
      <c r="I123" s="2614" t="n">
        <v>0</v>
      </c>
      <c r="J123" s="2614" t="n">
        <v>0</v>
      </c>
      <c r="K123" s="2614" t="n">
        <v>0</v>
      </c>
      <c r="L123" s="2614" t="n"/>
      <c r="M123" s="2614" t="n"/>
      <c r="N123" s="2614" t="n"/>
      <c r="O123" s="2614" t="n"/>
      <c r="P123" s="2614" t="n"/>
      <c r="Q123" s="1436" t="n"/>
      <c r="R123" s="1436" t="n"/>
      <c r="S123" s="2614" t="n"/>
      <c r="T123" s="2614" t="n"/>
      <c r="U123" s="2614" t="n"/>
      <c r="V123" s="2614" t="n"/>
      <c r="W123" s="2614" t="n"/>
      <c r="X123" s="2614" t="n"/>
      <c r="Y123" s="2614" t="n"/>
      <c r="Z123" s="2614" t="n"/>
      <c r="AA123" s="2614" t="n"/>
      <c r="AB123" s="2614" t="n"/>
      <c r="AC123" s="2614" t="n"/>
      <c r="AD123" s="2614" t="n"/>
      <c r="AE123" s="2614" t="n"/>
      <c r="AF123" s="1436" t="n"/>
      <c r="AG123" s="2614" t="n"/>
      <c r="AH123" s="2614" t="n"/>
      <c r="AI123" s="2614" t="n"/>
      <c r="AJ123" s="2614" t="n"/>
      <c r="AK123" s="2614" t="n"/>
      <c r="AL123" s="2614" t="n"/>
      <c r="AM123" s="2614" t="n"/>
      <c r="AN123" s="2614" t="n"/>
      <c r="AO123" s="2614" t="n"/>
      <c r="AP123" s="2614" t="n"/>
      <c r="AQ123" s="1436" t="n"/>
      <c r="AR123" s="1436" t="n"/>
      <c r="AS123" s="2614" t="n"/>
      <c r="AU123" s="1436" t="n"/>
      <c r="AV123" s="1436" t="n"/>
      <c r="AW123" s="1436" t="n"/>
      <c r="AX123" s="1436" t="n"/>
      <c r="AY123" s="1436" t="n"/>
      <c r="AZ123" s="1436" t="n"/>
      <c r="BA123" s="1436" t="n"/>
      <c r="BB123" s="1436" t="n"/>
      <c r="BC123" s="1436" t="n"/>
      <c r="BD123" s="1436" t="n"/>
      <c r="BE123" s="1436" t="n"/>
      <c r="BF123" s="1436" t="n"/>
      <c r="BG123" s="2614" t="n"/>
      <c r="BI123" s="1436" t="n"/>
      <c r="BJ123" s="1436" t="n"/>
      <c r="BK123" s="1436" t="n"/>
      <c r="BL123" s="1436" t="n"/>
      <c r="BM123" s="1436" t="n"/>
      <c r="BN123" s="1436" t="n"/>
      <c r="BO123" s="1436" t="n"/>
      <c r="BP123" s="1436" t="n"/>
      <c r="BQ123" s="1436" t="n"/>
      <c r="BR123" s="1436" t="n"/>
      <c r="BS123" s="1436" t="n"/>
      <c r="BT123" s="1436" t="n"/>
      <c r="BU123" s="2614" t="n"/>
    </row>
    <row r="124">
      <c r="A124" s="1436" t="n"/>
      <c r="B124" s="1478" t="inlineStr">
        <is>
          <t>Ⅳ. 금융수익</t>
        </is>
      </c>
      <c r="C124" s="1436" t="inlineStr">
        <is>
          <t>금융수익</t>
        </is>
      </c>
      <c r="D124" s="2637">
        <f>SUM(D125:D140)</f>
        <v/>
      </c>
      <c r="E124" s="2637">
        <f>SUM(E125:E140)</f>
        <v/>
      </c>
      <c r="F124" s="2637">
        <f>SUM(F125:F140)</f>
        <v/>
      </c>
      <c r="G124" s="2637">
        <f>SUM(G125:G140)</f>
        <v/>
      </c>
      <c r="H124" s="2637">
        <f>SUM(H125:H140)</f>
        <v/>
      </c>
      <c r="I124" s="2637">
        <f>SUM(I125:I140)</f>
        <v/>
      </c>
      <c r="J124" s="2637">
        <f>SUM(J125:J140)</f>
        <v/>
      </c>
      <c r="K124" s="2637">
        <f>SUM(K125:K140)</f>
        <v/>
      </c>
      <c r="L124" s="2637">
        <f>SUM(L125:L140)</f>
        <v/>
      </c>
      <c r="M124" s="2637">
        <f>SUM(M125:M140)</f>
        <v/>
      </c>
      <c r="N124" s="2637">
        <f>SUM(N125:N140)</f>
        <v/>
      </c>
      <c r="O124" s="2637">
        <f>SUM(O125:O140)</f>
        <v/>
      </c>
      <c r="P124" s="2623">
        <f>SUM(D124:O124)</f>
        <v/>
      </c>
      <c r="Q124" s="1436" t="n"/>
      <c r="R124" s="1436" t="n"/>
      <c r="S124" s="2637">
        <f>SUM(S125:S140)</f>
        <v/>
      </c>
      <c r="T124" s="2637">
        <f>SUM(T125:T140)</f>
        <v/>
      </c>
      <c r="U124" s="2637">
        <f>SUM(U125:U140)</f>
        <v/>
      </c>
      <c r="V124" s="2637">
        <f>SUM(V125:V140)</f>
        <v/>
      </c>
      <c r="W124" s="2637">
        <f>SUM(W125:W140)</f>
        <v/>
      </c>
      <c r="X124" s="2637">
        <f>SUM(X125:X140)</f>
        <v/>
      </c>
      <c r="Y124" s="2637">
        <f>SUM(Y125:Y140)</f>
        <v/>
      </c>
      <c r="Z124" s="2637">
        <f>SUM(Z125:Z140)</f>
        <v/>
      </c>
      <c r="AA124" s="2637">
        <f>SUM(AA125:AA140)</f>
        <v/>
      </c>
      <c r="AB124" s="2637">
        <f>SUM(AB125:AB140)</f>
        <v/>
      </c>
      <c r="AC124" s="2637">
        <f>SUM(AC125:AC140)</f>
        <v/>
      </c>
      <c r="AD124" s="2637">
        <f>SUM(AD125:AD140)</f>
        <v/>
      </c>
      <c r="AE124" s="2623">
        <f>SUM(S124:AD124)</f>
        <v/>
      </c>
      <c r="AF124" s="1436" t="n"/>
      <c r="AG124" s="2637">
        <f>SUM(AG125:AG140)</f>
        <v/>
      </c>
      <c r="AH124" s="2637">
        <f>SUM(AH125:AH140)</f>
        <v/>
      </c>
      <c r="AI124" s="2637">
        <f>SUM(AI125:AI140)</f>
        <v/>
      </c>
      <c r="AJ124" s="2637">
        <f>SUM(AJ125:AJ140)</f>
        <v/>
      </c>
      <c r="AK124" s="2637">
        <f>SUM(AK125:AK140)</f>
        <v/>
      </c>
      <c r="AL124" s="2637">
        <f>SUM(AL125:AL140)</f>
        <v/>
      </c>
      <c r="AM124" s="2637">
        <f>SUM(AM125:AM140)</f>
        <v/>
      </c>
      <c r="AN124" s="2637">
        <f>SUM(AN125:AN140)</f>
        <v/>
      </c>
      <c r="AO124" s="2637">
        <f>SUM(AO125:AO140)</f>
        <v/>
      </c>
      <c r="AP124" s="2637">
        <f>SUM(AP125:AP140)</f>
        <v/>
      </c>
      <c r="AQ124" s="2637">
        <f>SUM(AQ125:AQ140)</f>
        <v/>
      </c>
      <c r="AR124" s="2637">
        <f>SUM(AR125:AR140)</f>
        <v/>
      </c>
      <c r="AS124" s="2623">
        <f>SUM(AG124:AR124)</f>
        <v/>
      </c>
      <c r="AU124" s="2637" t="n">
        <v>0</v>
      </c>
      <c r="AV124" s="2637" t="n">
        <v>0</v>
      </c>
      <c r="AW124" s="2637" t="n"/>
      <c r="AX124" s="2637" t="n"/>
      <c r="AY124" s="2637" t="n"/>
      <c r="AZ124" s="2637" t="n"/>
      <c r="BA124" s="2637" t="n"/>
      <c r="BB124" s="2637" t="n"/>
      <c r="BC124" s="2637" t="n"/>
      <c r="BD124" s="2637" t="n"/>
      <c r="BE124" s="2637" t="n"/>
      <c r="BF124" s="2637" t="n"/>
      <c r="BG124" s="2624">
        <f>SUM(AU124:BF124)</f>
        <v/>
      </c>
      <c r="BI124" s="2637" t="n"/>
      <c r="BJ124" s="2637" t="n"/>
      <c r="BK124" s="2637" t="n"/>
      <c r="BL124" s="2637" t="n"/>
      <c r="BM124" s="2637" t="n"/>
      <c r="BN124" s="2637" t="n"/>
      <c r="BO124" s="2637" t="n"/>
      <c r="BP124" s="2637" t="n"/>
      <c r="BQ124" s="2637" t="n"/>
      <c r="BR124" s="2637" t="n"/>
      <c r="BS124" s="2637" t="n"/>
      <c r="BT124" s="2637" t="n"/>
      <c r="BU124" s="2624">
        <f>SUM(BI124:BT124)</f>
        <v/>
      </c>
    </row>
    <row r="125" hidden="1" outlineLevel="1">
      <c r="A125" s="1436" t="n"/>
      <c r="B125" s="1480" t="inlineStr">
        <is>
          <t>이자수익</t>
        </is>
      </c>
      <c r="C125" s="1436" t="n"/>
      <c r="D125" s="2625" t="n"/>
      <c r="E125" s="2625" t="n"/>
      <c r="F125" s="2625" t="n"/>
      <c r="G125" s="2625" t="n"/>
      <c r="H125" s="2625" t="n"/>
      <c r="I125" s="2625" t="n">
        <v>23885618</v>
      </c>
      <c r="J125" s="2625" t="n">
        <v>0</v>
      </c>
      <c r="K125" s="2625" t="n">
        <v>0</v>
      </c>
      <c r="L125" s="2625" t="n">
        <v>39353981</v>
      </c>
      <c r="M125" s="2625" t="n">
        <v>0</v>
      </c>
      <c r="N125" s="2625" t="n">
        <v>0</v>
      </c>
      <c r="O125" s="2625" t="n">
        <v>58740405</v>
      </c>
      <c r="P125" s="2626">
        <f>SUM(D125:O125)</f>
        <v/>
      </c>
      <c r="Q125" s="1436" t="n"/>
      <c r="R125" s="1436" t="n"/>
      <c r="S125" s="2625" t="n">
        <v>0</v>
      </c>
      <c r="T125" s="2625" t="n">
        <v>0</v>
      </c>
      <c r="U125" s="2625" t="n">
        <v>131216902</v>
      </c>
      <c r="V125" s="2625" t="n">
        <v>0</v>
      </c>
      <c r="W125" s="2625" t="n">
        <v>0</v>
      </c>
      <c r="X125" s="2625" t="n">
        <v>113512386</v>
      </c>
      <c r="Y125" s="2625" t="n">
        <v>21193973</v>
      </c>
      <c r="Z125" s="2625" t="n">
        <v>0</v>
      </c>
      <c r="AA125" s="2625" t="n">
        <v>59134642</v>
      </c>
      <c r="AB125" s="2625" t="n">
        <v>10993425</v>
      </c>
      <c r="AC125" s="2625" t="n">
        <v>0</v>
      </c>
      <c r="AD125" s="2625" t="n">
        <v>34045394</v>
      </c>
      <c r="AE125" s="2626">
        <f>SUM(S125:AD125)</f>
        <v/>
      </c>
      <c r="AF125" s="1436" t="n"/>
      <c r="AG125" s="2625" t="n">
        <v>0</v>
      </c>
      <c r="AH125" s="2625" t="n">
        <v>0</v>
      </c>
      <c r="AI125" s="2625" t="n">
        <v>41084439</v>
      </c>
      <c r="AJ125" s="2625" t="n">
        <v>0</v>
      </c>
      <c r="AK125" s="2625" t="n">
        <v>12708904</v>
      </c>
      <c r="AL125" s="2625">
        <f>78736157-SUM(AG125:AK125)</f>
        <v/>
      </c>
      <c r="AM125" s="2625" t="n">
        <v>0</v>
      </c>
      <c r="AN125" s="2625" t="n">
        <v>13407533</v>
      </c>
      <c r="AO125" s="2625" t="n">
        <v>7467234</v>
      </c>
      <c r="AP125" s="2625" t="n">
        <v>0</v>
      </c>
      <c r="AQ125" s="2625" t="n">
        <v>1009685</v>
      </c>
      <c r="AR125" s="2627" t="n">
        <v>3392011</v>
      </c>
      <c r="AS125" s="2626">
        <f>SUM(AG125:AR125)</f>
        <v/>
      </c>
      <c r="AT125" s="2615">
        <f>SUM(AG125:AP125)</f>
        <v/>
      </c>
      <c r="AU125" s="2627" t="n"/>
      <c r="AV125" s="2627" t="n"/>
      <c r="AW125" s="2627" t="n"/>
      <c r="AX125" s="2627" t="n"/>
      <c r="AY125" s="2627" t="n"/>
      <c r="AZ125" s="2627" t="n"/>
      <c r="BA125" s="2627" t="n"/>
      <c r="BB125" s="2627" t="n"/>
      <c r="BC125" s="2627" t="n"/>
      <c r="BD125" s="2627" t="n"/>
      <c r="BE125" s="2627" t="n"/>
      <c r="BF125" s="2627" t="n"/>
      <c r="BG125" s="2628">
        <f>SUM(AU125:BF125)</f>
        <v/>
      </c>
      <c r="BI125" s="2627" t="n"/>
      <c r="BJ125" s="2627" t="n"/>
      <c r="BK125" s="2627" t="n"/>
      <c r="BL125" s="2627" t="n"/>
      <c r="BM125" s="2627" t="n"/>
      <c r="BN125" s="2627" t="n"/>
      <c r="BO125" s="2627" t="n"/>
      <c r="BP125" s="2627" t="n"/>
      <c r="BQ125" s="2627" t="n"/>
      <c r="BR125" s="2627" t="n"/>
      <c r="BS125" s="2627" t="n"/>
      <c r="BT125" s="2627" t="n"/>
      <c r="BU125" s="2628">
        <f>SUM(BI125:BT125)</f>
        <v/>
      </c>
    </row>
    <row r="126" hidden="1" outlineLevel="1">
      <c r="A126" s="1436" t="n"/>
      <c r="B126" s="1480" t="inlineStr">
        <is>
          <t>배당금수익</t>
        </is>
      </c>
      <c r="C126" s="1436" t="n"/>
      <c r="D126" s="2625" t="n"/>
      <c r="E126" s="2625" t="n"/>
      <c r="F126" s="2625" t="n"/>
      <c r="G126" s="2625" t="n"/>
      <c r="H126" s="2625" t="n"/>
      <c r="I126" s="2625" t="n"/>
      <c r="J126" s="2625" t="n">
        <v>0</v>
      </c>
      <c r="K126" s="2625" t="n">
        <v>0</v>
      </c>
      <c r="L126" s="2625" t="n">
        <v>0</v>
      </c>
      <c r="M126" s="2625" t="n">
        <v>0</v>
      </c>
      <c r="N126" s="2625" t="n">
        <v>0</v>
      </c>
      <c r="O126" s="2625" t="n">
        <v>0</v>
      </c>
      <c r="P126" s="2626">
        <f>SUM(D126:O126)</f>
        <v/>
      </c>
      <c r="Q126" s="1436" t="n"/>
      <c r="R126" s="1436" t="n"/>
      <c r="S126" s="2625" t="n">
        <v>0</v>
      </c>
      <c r="T126" s="2625" t="n">
        <v>0</v>
      </c>
      <c r="U126" s="2625" t="n">
        <v>0</v>
      </c>
      <c r="V126" s="2625" t="n">
        <v>0</v>
      </c>
      <c r="W126" s="2625" t="n">
        <v>0</v>
      </c>
      <c r="X126" s="2625" t="n">
        <v>0</v>
      </c>
      <c r="Y126" s="2625" t="n">
        <v>0</v>
      </c>
      <c r="Z126" s="2625" t="n">
        <v>0</v>
      </c>
      <c r="AA126" s="2625" t="n">
        <v>0</v>
      </c>
      <c r="AB126" s="2625" t="n">
        <v>0</v>
      </c>
      <c r="AC126" s="2625" t="n">
        <v>0</v>
      </c>
      <c r="AD126" s="2625" t="n">
        <v>0</v>
      </c>
      <c r="AE126" s="2626">
        <f>SUM(S126:AD126)</f>
        <v/>
      </c>
      <c r="AF126" s="1436" t="n"/>
      <c r="AG126" s="2625" t="n">
        <v>0</v>
      </c>
      <c r="AH126" s="2625" t="n">
        <v>0</v>
      </c>
      <c r="AI126" s="2625" t="n">
        <v>0</v>
      </c>
      <c r="AJ126" s="2625" t="n">
        <v>0</v>
      </c>
      <c r="AK126" s="2625" t="n">
        <v>0</v>
      </c>
      <c r="AL126" s="2625" t="n"/>
      <c r="AM126" s="2625" t="n">
        <v>0</v>
      </c>
      <c r="AN126" s="2625" t="n">
        <v>0</v>
      </c>
      <c r="AO126" s="2625" t="n"/>
      <c r="AP126" s="2625" t="n">
        <v>0</v>
      </c>
      <c r="AQ126" s="2625" t="n">
        <v>0</v>
      </c>
      <c r="AR126" s="2627" t="n">
        <v>35509256</v>
      </c>
      <c r="AS126" s="2626">
        <f>SUM(AG126:AR126)</f>
        <v/>
      </c>
      <c r="AT126" s="2615">
        <f>SUM(AG126:AP126)</f>
        <v/>
      </c>
      <c r="AU126" s="2627" t="n"/>
      <c r="AV126" s="2627" t="n"/>
      <c r="AW126" s="2627" t="n"/>
      <c r="AX126" s="2627" t="n"/>
      <c r="AY126" s="2627" t="n"/>
      <c r="AZ126" s="2627" t="n"/>
      <c r="BA126" s="2627" t="n"/>
      <c r="BB126" s="2627" t="n"/>
      <c r="BC126" s="2627" t="n"/>
      <c r="BD126" s="2627" t="n"/>
      <c r="BE126" s="2627" t="n"/>
      <c r="BF126" s="2627" t="n"/>
      <c r="BG126" s="2628">
        <f>SUM(AU126:BF126)</f>
        <v/>
      </c>
      <c r="BI126" s="2627" t="n"/>
      <c r="BJ126" s="2627" t="n"/>
      <c r="BK126" s="2627" t="n"/>
      <c r="BL126" s="2627" t="n"/>
      <c r="BM126" s="2627" t="n"/>
      <c r="BN126" s="2627" t="n"/>
      <c r="BO126" s="2627" t="n"/>
      <c r="BP126" s="2627" t="n"/>
      <c r="BQ126" s="2627" t="n"/>
      <c r="BR126" s="2627" t="n"/>
      <c r="BS126" s="2627" t="n"/>
      <c r="BT126" s="2627" t="n"/>
      <c r="BU126" s="2628">
        <f>SUM(BI126:BT126)</f>
        <v/>
      </c>
    </row>
    <row r="127" hidden="1" outlineLevel="1">
      <c r="A127" s="1436" t="n"/>
      <c r="B127" s="1480" t="inlineStr">
        <is>
          <t>금융상품처분이익</t>
        </is>
      </c>
      <c r="C127" s="1436" t="n"/>
      <c r="D127" s="2625" t="n"/>
      <c r="E127" s="2625" t="n"/>
      <c r="F127" s="2625" t="n"/>
      <c r="G127" s="2625" t="n"/>
      <c r="H127" s="2625" t="n"/>
      <c r="I127" s="2625" t="n"/>
      <c r="J127" s="2625" t="n">
        <v>0</v>
      </c>
      <c r="K127" s="2625" t="n">
        <v>0</v>
      </c>
      <c r="L127" s="2625" t="n">
        <v>0</v>
      </c>
      <c r="M127" s="2625" t="n">
        <v>0</v>
      </c>
      <c r="N127" s="2625" t="n">
        <v>0</v>
      </c>
      <c r="O127" s="2625" t="n">
        <v>0</v>
      </c>
      <c r="P127" s="2626">
        <f>SUM(D127:O127)</f>
        <v/>
      </c>
      <c r="Q127" s="1436" t="n"/>
      <c r="R127" s="1436" t="n"/>
      <c r="S127" s="2625" t="n">
        <v>0</v>
      </c>
      <c r="T127" s="2625" t="n">
        <v>0</v>
      </c>
      <c r="U127" s="2625" t="n">
        <v>0</v>
      </c>
      <c r="V127" s="2625" t="n">
        <v>0</v>
      </c>
      <c r="W127" s="2625" t="n">
        <v>0</v>
      </c>
      <c r="X127" s="2625" t="n">
        <v>0</v>
      </c>
      <c r="Y127" s="2625" t="n">
        <v>0</v>
      </c>
      <c r="Z127" s="2625" t="n">
        <v>0</v>
      </c>
      <c r="AA127" s="2625" t="n">
        <v>0</v>
      </c>
      <c r="AB127" s="2625" t="n">
        <v>0</v>
      </c>
      <c r="AC127" s="2625" t="n">
        <v>0</v>
      </c>
      <c r="AD127" s="2625" t="n">
        <v>0</v>
      </c>
      <c r="AE127" s="2626">
        <f>SUM(S127:AD127)</f>
        <v/>
      </c>
      <c r="AF127" s="1436" t="n"/>
      <c r="AG127" s="2625" t="n">
        <v>0</v>
      </c>
      <c r="AH127" s="2625" t="n">
        <v>0</v>
      </c>
      <c r="AI127" s="2625" t="n">
        <v>0</v>
      </c>
      <c r="AJ127" s="2625" t="n">
        <v>0</v>
      </c>
      <c r="AK127" s="2625" t="n">
        <v>0</v>
      </c>
      <c r="AL127" s="2625" t="n"/>
      <c r="AM127" s="2625" t="n">
        <v>0</v>
      </c>
      <c r="AN127" s="2625" t="n">
        <v>0</v>
      </c>
      <c r="AO127" s="2625" t="n"/>
      <c r="AP127" s="2625" t="n">
        <v>0</v>
      </c>
      <c r="AQ127" s="2625" t="n">
        <v>0</v>
      </c>
      <c r="AR127" s="2627" t="n">
        <v>0</v>
      </c>
      <c r="AS127" s="2626">
        <f>SUM(AG127:AR127)</f>
        <v/>
      </c>
      <c r="AT127" s="2615">
        <f>SUM(AG127:AP127)</f>
        <v/>
      </c>
      <c r="AU127" s="2627" t="n"/>
      <c r="AV127" s="2627" t="n"/>
      <c r="AW127" s="2627" t="n"/>
      <c r="AX127" s="2627" t="n"/>
      <c r="AY127" s="2627" t="n"/>
      <c r="AZ127" s="2627" t="n"/>
      <c r="BA127" s="2627" t="n"/>
      <c r="BB127" s="2627" t="n"/>
      <c r="BC127" s="2627" t="n"/>
      <c r="BD127" s="2627" t="n"/>
      <c r="BE127" s="2627" t="n"/>
      <c r="BF127" s="2627" t="n"/>
      <c r="BG127" s="2628">
        <f>SUM(AU127:BF127)</f>
        <v/>
      </c>
      <c r="BI127" s="2627" t="n"/>
      <c r="BJ127" s="2627" t="n"/>
      <c r="BK127" s="2627" t="n"/>
      <c r="BL127" s="2627" t="n"/>
      <c r="BM127" s="2627" t="n"/>
      <c r="BN127" s="2627" t="n"/>
      <c r="BO127" s="2627" t="n"/>
      <c r="BP127" s="2627" t="n"/>
      <c r="BQ127" s="2627" t="n"/>
      <c r="BR127" s="2627" t="n"/>
      <c r="BS127" s="2627" t="n"/>
      <c r="BT127" s="2627" t="n"/>
      <c r="BU127" s="2628">
        <f>SUM(BI127:BT127)</f>
        <v/>
      </c>
    </row>
    <row r="128" hidden="1" outlineLevel="1">
      <c r="A128" s="1436" t="n"/>
      <c r="B128" s="1480" t="inlineStr">
        <is>
          <t>매도가능금융자산평가이익</t>
        </is>
      </c>
      <c r="C128" s="1436" t="n"/>
      <c r="D128" s="2625" t="n"/>
      <c r="E128" s="2625" t="n"/>
      <c r="F128" s="2625" t="n"/>
      <c r="G128" s="2625" t="n"/>
      <c r="H128" s="2625" t="n"/>
      <c r="I128" s="2625" t="n"/>
      <c r="J128" s="2625" t="n"/>
      <c r="K128" s="2625" t="n"/>
      <c r="L128" s="2625" t="n">
        <v>0</v>
      </c>
      <c r="M128" s="2625" t="n">
        <v>0</v>
      </c>
      <c r="N128" s="2625" t="n">
        <v>0</v>
      </c>
      <c r="O128" s="2625" t="n">
        <v>0</v>
      </c>
      <c r="P128" s="2626">
        <f>SUM(D128:O128)</f>
        <v/>
      </c>
      <c r="Q128" s="1436" t="n"/>
      <c r="R128" s="1436" t="n"/>
      <c r="S128" s="2625" t="n">
        <v>0</v>
      </c>
      <c r="T128" s="2625" t="n">
        <v>0</v>
      </c>
      <c r="U128" s="2625" t="n">
        <v>0</v>
      </c>
      <c r="V128" s="2625" t="n">
        <v>0</v>
      </c>
      <c r="W128" s="2625" t="n">
        <v>0</v>
      </c>
      <c r="X128" s="2625" t="n">
        <v>0</v>
      </c>
      <c r="Y128" s="2625" t="n">
        <v>0</v>
      </c>
      <c r="Z128" s="2625" t="n">
        <v>0</v>
      </c>
      <c r="AA128" s="2625" t="n">
        <v>0</v>
      </c>
      <c r="AB128" s="2625" t="n">
        <v>0</v>
      </c>
      <c r="AC128" s="2625" t="n">
        <v>0</v>
      </c>
      <c r="AD128" s="2625" t="n">
        <v>0</v>
      </c>
      <c r="AE128" s="2626">
        <f>SUM(S128:AD128)</f>
        <v/>
      </c>
      <c r="AF128" s="1436" t="n"/>
      <c r="AG128" s="2625" t="n">
        <v>0</v>
      </c>
      <c r="AH128" s="2625" t="n">
        <v>0</v>
      </c>
      <c r="AI128" s="2625" t="n">
        <v>0</v>
      </c>
      <c r="AJ128" s="2625" t="n">
        <v>0</v>
      </c>
      <c r="AK128" s="2625" t="n">
        <v>0</v>
      </c>
      <c r="AL128" s="2625" t="n"/>
      <c r="AM128" s="2625" t="n">
        <v>0</v>
      </c>
      <c r="AN128" s="2625" t="n">
        <v>0</v>
      </c>
      <c r="AO128" s="2625" t="n">
        <v>10882120</v>
      </c>
      <c r="AP128" s="2625" t="n">
        <v>0</v>
      </c>
      <c r="AQ128" s="2625" t="n">
        <v>0</v>
      </c>
      <c r="AR128" s="2627" t="n">
        <v>-7028246</v>
      </c>
      <c r="AS128" s="2626">
        <f>SUM(AG128:AR128)</f>
        <v/>
      </c>
      <c r="AT128" s="2615">
        <f>SUM(AG128:AP128)</f>
        <v/>
      </c>
      <c r="AU128" s="2627" t="n"/>
      <c r="AV128" s="2627" t="n"/>
      <c r="AW128" s="2627" t="n"/>
      <c r="AX128" s="2627" t="n"/>
      <c r="AY128" s="2627" t="n"/>
      <c r="AZ128" s="2627" t="n"/>
      <c r="BA128" s="2627" t="n"/>
      <c r="BB128" s="2627" t="n"/>
      <c r="BC128" s="2627" t="n"/>
      <c r="BD128" s="2627" t="n"/>
      <c r="BE128" s="2627" t="n"/>
      <c r="BF128" s="2627" t="n"/>
      <c r="BG128" s="2628">
        <f>SUM(AU128:BF128)</f>
        <v/>
      </c>
      <c r="BI128" s="2627" t="n"/>
      <c r="BJ128" s="2627" t="n"/>
      <c r="BK128" s="2627" t="n"/>
      <c r="BL128" s="2627" t="n"/>
      <c r="BM128" s="2627" t="n"/>
      <c r="BN128" s="2627" t="n"/>
      <c r="BO128" s="2627" t="n"/>
      <c r="BP128" s="2627" t="n"/>
      <c r="BQ128" s="2627" t="n"/>
      <c r="BR128" s="2627" t="n"/>
      <c r="BS128" s="2627" t="n"/>
      <c r="BT128" s="2627" t="n"/>
      <c r="BU128" s="2628">
        <f>SUM(BI128:BT128)</f>
        <v/>
      </c>
    </row>
    <row r="129" hidden="1" outlineLevel="1">
      <c r="A129" s="1436" t="n"/>
      <c r="B129" s="1480" t="inlineStr">
        <is>
          <t>단기금융상품평가이익</t>
        </is>
      </c>
      <c r="C129" s="1436" t="n"/>
      <c r="D129" s="2625" t="n"/>
      <c r="E129" s="2625" t="n"/>
      <c r="F129" s="2625" t="n"/>
      <c r="G129" s="2625" t="n"/>
      <c r="H129" s="2625" t="n"/>
      <c r="I129" s="2625" t="n"/>
      <c r="J129" s="2625" t="n">
        <v>0</v>
      </c>
      <c r="K129" s="2625" t="n">
        <v>0</v>
      </c>
      <c r="L129" s="2625" t="n">
        <v>0</v>
      </c>
      <c r="M129" s="2625" t="n">
        <v>0</v>
      </c>
      <c r="N129" s="2625" t="n">
        <v>0</v>
      </c>
      <c r="O129" s="2625" t="n">
        <v>0</v>
      </c>
      <c r="P129" s="2626">
        <f>SUM(D129:O129)</f>
        <v/>
      </c>
      <c r="Q129" s="1436" t="n"/>
      <c r="R129" s="1436" t="n"/>
      <c r="S129" s="2625" t="n">
        <v>0</v>
      </c>
      <c r="T129" s="2625" t="n">
        <v>0</v>
      </c>
      <c r="U129" s="2625" t="n">
        <v>0</v>
      </c>
      <c r="V129" s="2625" t="n">
        <v>0</v>
      </c>
      <c r="W129" s="2625" t="n">
        <v>0</v>
      </c>
      <c r="X129" s="2625" t="n">
        <v>0</v>
      </c>
      <c r="Y129" s="2625" t="n">
        <v>0</v>
      </c>
      <c r="Z129" s="2625" t="n">
        <v>0</v>
      </c>
      <c r="AA129" s="2625" t="n">
        <v>0</v>
      </c>
      <c r="AB129" s="2625" t="n">
        <v>0</v>
      </c>
      <c r="AC129" s="2625" t="n">
        <v>0</v>
      </c>
      <c r="AD129" s="2625" t="n">
        <v>0</v>
      </c>
      <c r="AE129" s="2626">
        <f>SUM(S129:AD129)</f>
        <v/>
      </c>
      <c r="AF129" s="1436" t="n"/>
      <c r="AG129" s="2625" t="n">
        <v>0</v>
      </c>
      <c r="AH129" s="2625" t="n">
        <v>0</v>
      </c>
      <c r="AI129" s="2625" t="n">
        <v>0</v>
      </c>
      <c r="AJ129" s="2625" t="n">
        <v>0</v>
      </c>
      <c r="AK129" s="2625" t="n">
        <v>0</v>
      </c>
      <c r="AL129" s="2625" t="n"/>
      <c r="AM129" s="2625" t="n">
        <v>0</v>
      </c>
      <c r="AN129" s="2625" t="n">
        <v>0</v>
      </c>
      <c r="AO129" s="2625" t="n"/>
      <c r="AP129" s="2625" t="n">
        <v>0</v>
      </c>
      <c r="AQ129" s="2625" t="n">
        <v>0</v>
      </c>
      <c r="AR129" s="2627" t="n">
        <v>0</v>
      </c>
      <c r="AS129" s="2626">
        <f>SUM(AG129:AR129)</f>
        <v/>
      </c>
      <c r="AT129" s="2615">
        <f>SUM(AG129:AP129)</f>
        <v/>
      </c>
      <c r="AU129" s="2627" t="n"/>
      <c r="AV129" s="2627" t="n"/>
      <c r="AW129" s="2627" t="n"/>
      <c r="AX129" s="2627" t="n"/>
      <c r="AY129" s="2627" t="n"/>
      <c r="AZ129" s="2627" t="n"/>
      <c r="BA129" s="2627" t="n"/>
      <c r="BB129" s="2627" t="n"/>
      <c r="BC129" s="2627" t="n"/>
      <c r="BD129" s="2627" t="n"/>
      <c r="BE129" s="2627" t="n"/>
      <c r="BF129" s="2627" t="n"/>
      <c r="BG129" s="2628">
        <f>SUM(AU129:BF129)</f>
        <v/>
      </c>
      <c r="BI129" s="2627" t="n"/>
      <c r="BJ129" s="2627" t="n"/>
      <c r="BK129" s="2627" t="n"/>
      <c r="BL129" s="2627" t="n"/>
      <c r="BM129" s="2627" t="n"/>
      <c r="BN129" s="2627" t="n"/>
      <c r="BO129" s="2627" t="n"/>
      <c r="BP129" s="2627" t="n"/>
      <c r="BQ129" s="2627" t="n"/>
      <c r="BR129" s="2627" t="n"/>
      <c r="BS129" s="2627" t="n"/>
      <c r="BT129" s="2627" t="n"/>
      <c r="BU129" s="2628">
        <f>SUM(BI129:BT129)</f>
        <v/>
      </c>
    </row>
    <row r="130" hidden="1" outlineLevel="1">
      <c r="A130" s="1436" t="n"/>
      <c r="B130" s="1480" t="inlineStr">
        <is>
          <t>장기금융상품평가이익</t>
        </is>
      </c>
      <c r="C130" s="1436" t="n"/>
      <c r="D130" s="2625" t="n"/>
      <c r="E130" s="2625" t="n"/>
      <c r="F130" s="2625" t="n"/>
      <c r="G130" s="2625" t="n"/>
      <c r="H130" s="2625" t="n"/>
      <c r="I130" s="2625" t="n"/>
      <c r="J130" s="2625" t="n">
        <v>0</v>
      </c>
      <c r="K130" s="2625" t="n">
        <v>0</v>
      </c>
      <c r="L130" s="2625" t="n">
        <v>0</v>
      </c>
      <c r="M130" s="2625" t="n">
        <v>0</v>
      </c>
      <c r="N130" s="2625" t="n">
        <v>0</v>
      </c>
      <c r="O130" s="2625" t="n">
        <v>0</v>
      </c>
      <c r="P130" s="2626">
        <f>SUM(D130:O130)</f>
        <v/>
      </c>
      <c r="Q130" s="1436" t="n"/>
      <c r="R130" s="1436" t="n"/>
      <c r="S130" s="2625" t="n">
        <v>0</v>
      </c>
      <c r="T130" s="2625" t="n">
        <v>0</v>
      </c>
      <c r="U130" s="2625" t="n">
        <v>0</v>
      </c>
      <c r="V130" s="2625" t="n">
        <v>0</v>
      </c>
      <c r="W130" s="2625" t="n">
        <v>0</v>
      </c>
      <c r="X130" s="2625" t="n">
        <v>0</v>
      </c>
      <c r="Y130" s="2625" t="n">
        <v>0</v>
      </c>
      <c r="Z130" s="2625" t="n">
        <v>0</v>
      </c>
      <c r="AA130" s="2625" t="n">
        <v>0</v>
      </c>
      <c r="AB130" s="2625" t="n">
        <v>0</v>
      </c>
      <c r="AC130" s="2625" t="n">
        <v>0</v>
      </c>
      <c r="AD130" s="2625" t="n">
        <v>0</v>
      </c>
      <c r="AE130" s="2626">
        <f>SUM(S130:AD130)</f>
        <v/>
      </c>
      <c r="AF130" s="1436" t="n"/>
      <c r="AG130" s="2625" t="n">
        <v>0</v>
      </c>
      <c r="AH130" s="2625" t="n">
        <v>0</v>
      </c>
      <c r="AI130" s="2625" t="n">
        <v>0</v>
      </c>
      <c r="AJ130" s="2625" t="n">
        <v>0</v>
      </c>
      <c r="AK130" s="2625" t="n">
        <v>0</v>
      </c>
      <c r="AL130" s="2625" t="n"/>
      <c r="AM130" s="2625" t="n">
        <v>0</v>
      </c>
      <c r="AN130" s="2625" t="n">
        <v>0</v>
      </c>
      <c r="AO130" s="2625" t="n"/>
      <c r="AP130" s="2625" t="n">
        <v>0</v>
      </c>
      <c r="AQ130" s="2625" t="n">
        <v>0</v>
      </c>
      <c r="AR130" s="2627" t="n">
        <v>0</v>
      </c>
      <c r="AS130" s="2626">
        <f>SUM(AG130:AR130)</f>
        <v/>
      </c>
      <c r="AT130" s="2615">
        <f>SUM(AG130:AP130)</f>
        <v/>
      </c>
      <c r="AU130" s="2627" t="n"/>
      <c r="AV130" s="2627" t="n"/>
      <c r="AW130" s="2627" t="n"/>
      <c r="AX130" s="2627" t="n"/>
      <c r="AY130" s="2627" t="n"/>
      <c r="AZ130" s="2627" t="n"/>
      <c r="BA130" s="2627" t="n"/>
      <c r="BB130" s="2627" t="n"/>
      <c r="BC130" s="2627" t="n"/>
      <c r="BD130" s="2627" t="n"/>
      <c r="BE130" s="2627" t="n"/>
      <c r="BF130" s="2627" t="n"/>
      <c r="BG130" s="2628">
        <f>SUM(AU130:BF130)</f>
        <v/>
      </c>
      <c r="BI130" s="2627" t="n"/>
      <c r="BJ130" s="2627" t="n"/>
      <c r="BK130" s="2627" t="n"/>
      <c r="BL130" s="2627" t="n"/>
      <c r="BM130" s="2627" t="n"/>
      <c r="BN130" s="2627" t="n"/>
      <c r="BO130" s="2627" t="n"/>
      <c r="BP130" s="2627" t="n"/>
      <c r="BQ130" s="2627" t="n"/>
      <c r="BR130" s="2627" t="n"/>
      <c r="BS130" s="2627" t="n"/>
      <c r="BT130" s="2627" t="n"/>
      <c r="BU130" s="2628">
        <f>SUM(BI130:BT130)</f>
        <v/>
      </c>
    </row>
    <row r="131" hidden="1" outlineLevel="1">
      <c r="A131" s="1436" t="n"/>
      <c r="B131" s="1480" t="inlineStr">
        <is>
          <t>단기금융상품처분이익</t>
        </is>
      </c>
      <c r="C131" s="1436" t="n"/>
      <c r="D131" s="2625" t="n"/>
      <c r="E131" s="2625" t="n"/>
      <c r="F131" s="2625" t="n"/>
      <c r="G131" s="2625" t="n"/>
      <c r="H131" s="2625" t="n"/>
      <c r="I131" s="2625" t="n"/>
      <c r="J131" s="2625" t="n">
        <v>0</v>
      </c>
      <c r="K131" s="2625" t="n">
        <v>0</v>
      </c>
      <c r="L131" s="2625" t="n">
        <v>0</v>
      </c>
      <c r="M131" s="2625" t="n">
        <v>0</v>
      </c>
      <c r="N131" s="2625" t="n">
        <v>0</v>
      </c>
      <c r="O131" s="2625" t="n">
        <v>0</v>
      </c>
      <c r="P131" s="2626">
        <f>SUM(D131:O131)</f>
        <v/>
      </c>
      <c r="Q131" s="1436" t="n"/>
      <c r="R131" s="1436" t="n"/>
      <c r="S131" s="2625" t="n">
        <v>0</v>
      </c>
      <c r="T131" s="2625" t="n">
        <v>0</v>
      </c>
      <c r="U131" s="2625" t="n">
        <v>0</v>
      </c>
      <c r="V131" s="2625" t="n">
        <v>0</v>
      </c>
      <c r="W131" s="2625" t="n">
        <v>0</v>
      </c>
      <c r="X131" s="2625" t="n">
        <v>0</v>
      </c>
      <c r="Y131" s="2625" t="n">
        <v>0</v>
      </c>
      <c r="Z131" s="2625" t="n">
        <v>0</v>
      </c>
      <c r="AA131" s="2625" t="n">
        <v>0</v>
      </c>
      <c r="AB131" s="2625" t="n">
        <v>0</v>
      </c>
      <c r="AC131" s="2625" t="n">
        <v>0</v>
      </c>
      <c r="AD131" s="2625" t="n">
        <v>0</v>
      </c>
      <c r="AE131" s="2626">
        <f>SUM(S131:AD131)</f>
        <v/>
      </c>
      <c r="AF131" s="1436" t="n"/>
      <c r="AG131" s="2625" t="n">
        <v>0</v>
      </c>
      <c r="AH131" s="2625" t="n">
        <v>0</v>
      </c>
      <c r="AI131" s="2625" t="n">
        <v>0</v>
      </c>
      <c r="AJ131" s="2625" t="n">
        <v>0</v>
      </c>
      <c r="AK131" s="2625" t="n">
        <v>0</v>
      </c>
      <c r="AL131" s="2625" t="n"/>
      <c r="AM131" s="2625" t="n">
        <v>0</v>
      </c>
      <c r="AN131" s="2625" t="n">
        <v>0</v>
      </c>
      <c r="AO131" s="2625" t="n"/>
      <c r="AP131" s="2625" t="n">
        <v>0</v>
      </c>
      <c r="AQ131" s="2625" t="n">
        <v>0</v>
      </c>
      <c r="AR131" s="2627" t="n">
        <v>0</v>
      </c>
      <c r="AS131" s="2626">
        <f>SUM(AG131:AR131)</f>
        <v/>
      </c>
      <c r="AT131" s="2615">
        <f>SUM(AG131:AP131)</f>
        <v/>
      </c>
      <c r="AU131" s="2627" t="n"/>
      <c r="AV131" s="2627" t="n"/>
      <c r="AW131" s="2627" t="n"/>
      <c r="AX131" s="2627" t="n"/>
      <c r="AY131" s="2627" t="n"/>
      <c r="AZ131" s="2627" t="n"/>
      <c r="BA131" s="2627" t="n"/>
      <c r="BB131" s="2627" t="n"/>
      <c r="BC131" s="2627" t="n"/>
      <c r="BD131" s="2627" t="n"/>
      <c r="BE131" s="2627" t="n"/>
      <c r="BF131" s="2627" t="n"/>
      <c r="BG131" s="2628">
        <f>SUM(AU131:BF131)</f>
        <v/>
      </c>
      <c r="BI131" s="2627" t="n"/>
      <c r="BJ131" s="2627" t="n"/>
      <c r="BK131" s="2627" t="n"/>
      <c r="BL131" s="2627" t="n"/>
      <c r="BM131" s="2627" t="n"/>
      <c r="BN131" s="2627" t="n"/>
      <c r="BO131" s="2627" t="n"/>
      <c r="BP131" s="2627" t="n"/>
      <c r="BQ131" s="2627" t="n"/>
      <c r="BR131" s="2627" t="n"/>
      <c r="BS131" s="2627" t="n"/>
      <c r="BT131" s="2627" t="n"/>
      <c r="BU131" s="2628">
        <f>SUM(BI131:BT131)</f>
        <v/>
      </c>
    </row>
    <row r="132" hidden="1" outlineLevel="1">
      <c r="A132" s="1436" t="n"/>
      <c r="B132" s="1480" t="inlineStr">
        <is>
          <t>파생상품평가이익</t>
        </is>
      </c>
      <c r="C132" s="1436" t="n"/>
      <c r="D132" s="2625" t="n"/>
      <c r="E132" s="2625" t="n"/>
      <c r="F132" s="2625" t="n"/>
      <c r="G132" s="2625" t="n"/>
      <c r="H132" s="2625" t="n"/>
      <c r="I132" s="2625" t="n"/>
      <c r="J132" s="2625" t="n">
        <v>0</v>
      </c>
      <c r="K132" s="2625" t="n">
        <v>0</v>
      </c>
      <c r="L132" s="2625" t="n">
        <v>0</v>
      </c>
      <c r="M132" s="2625" t="n">
        <v>0</v>
      </c>
      <c r="N132" s="2625" t="n">
        <v>0</v>
      </c>
      <c r="O132" s="2625" t="n">
        <v>0</v>
      </c>
      <c r="P132" s="2626">
        <f>SUM(D132:O132)</f>
        <v/>
      </c>
      <c r="Q132" s="1436" t="n"/>
      <c r="R132" s="1436" t="n"/>
      <c r="S132" s="2625" t="n">
        <v>0</v>
      </c>
      <c r="T132" s="2625" t="n">
        <v>0</v>
      </c>
      <c r="U132" s="2625" t="n">
        <v>0</v>
      </c>
      <c r="V132" s="2625" t="n">
        <v>0</v>
      </c>
      <c r="W132" s="2625" t="n">
        <v>0</v>
      </c>
      <c r="X132" s="2625" t="n">
        <v>0</v>
      </c>
      <c r="Y132" s="2625" t="n">
        <v>0</v>
      </c>
      <c r="Z132" s="2625" t="n">
        <v>0</v>
      </c>
      <c r="AA132" s="2625" t="n">
        <v>0</v>
      </c>
      <c r="AB132" s="2625" t="n">
        <v>0</v>
      </c>
      <c r="AC132" s="2625" t="n">
        <v>0</v>
      </c>
      <c r="AD132" s="2625" t="n">
        <v>0</v>
      </c>
      <c r="AE132" s="2626">
        <f>SUM(S132:AD132)</f>
        <v/>
      </c>
      <c r="AF132" s="1436" t="n"/>
      <c r="AG132" s="2625" t="n">
        <v>0</v>
      </c>
      <c r="AH132" s="2625" t="n">
        <v>0</v>
      </c>
      <c r="AI132" s="2625" t="n">
        <v>0</v>
      </c>
      <c r="AJ132" s="2625" t="n">
        <v>0</v>
      </c>
      <c r="AK132" s="2625" t="n">
        <v>0</v>
      </c>
      <c r="AL132" s="2625" t="n"/>
      <c r="AM132" s="2625" t="n">
        <v>0</v>
      </c>
      <c r="AN132" s="2625" t="n">
        <v>0</v>
      </c>
      <c r="AO132" s="2625" t="n"/>
      <c r="AP132" s="2625" t="n">
        <v>0</v>
      </c>
      <c r="AQ132" s="2625" t="n">
        <v>0</v>
      </c>
      <c r="AR132" s="2627" t="n">
        <v>0</v>
      </c>
      <c r="AS132" s="2626">
        <f>SUM(AG132:AR132)</f>
        <v/>
      </c>
      <c r="AT132" s="2615">
        <f>SUM(AG132:AP132)</f>
        <v/>
      </c>
      <c r="AU132" s="2627" t="n"/>
      <c r="AV132" s="2627" t="n"/>
      <c r="AW132" s="2627" t="n"/>
      <c r="AX132" s="2627" t="n"/>
      <c r="AY132" s="2627" t="n"/>
      <c r="AZ132" s="2627" t="n"/>
      <c r="BA132" s="2627" t="n"/>
      <c r="BB132" s="2627" t="n"/>
      <c r="BC132" s="2627" t="n"/>
      <c r="BD132" s="2627" t="n"/>
      <c r="BE132" s="2627" t="n"/>
      <c r="BF132" s="2627" t="n"/>
      <c r="BG132" s="2628">
        <f>SUM(AU132:BF132)</f>
        <v/>
      </c>
      <c r="BI132" s="2627" t="n"/>
      <c r="BJ132" s="2627" t="n"/>
      <c r="BK132" s="2627" t="n"/>
      <c r="BL132" s="2627" t="n"/>
      <c r="BM132" s="2627" t="n"/>
      <c r="BN132" s="2627" t="n"/>
      <c r="BO132" s="2627" t="n"/>
      <c r="BP132" s="2627" t="n"/>
      <c r="BQ132" s="2627" t="n"/>
      <c r="BR132" s="2627" t="n"/>
      <c r="BS132" s="2627" t="n"/>
      <c r="BT132" s="2627" t="n"/>
      <c r="BU132" s="2628">
        <f>SUM(BI132:BT132)</f>
        <v/>
      </c>
    </row>
    <row r="133" hidden="1" outlineLevel="1">
      <c r="A133" s="1436" t="n"/>
      <c r="B133" s="1480" t="inlineStr">
        <is>
          <t>파생상품거래이익</t>
        </is>
      </c>
      <c r="C133" s="1436" t="n"/>
      <c r="D133" s="2625" t="n"/>
      <c r="E133" s="2625" t="n"/>
      <c r="F133" s="2625" t="n"/>
      <c r="G133" s="2625" t="n"/>
      <c r="H133" s="2625" t="n"/>
      <c r="I133" s="2625" t="n"/>
      <c r="J133" s="2625" t="n">
        <v>0</v>
      </c>
      <c r="K133" s="2625" t="n">
        <v>0</v>
      </c>
      <c r="L133" s="2625" t="n">
        <v>0</v>
      </c>
      <c r="M133" s="2625" t="n">
        <v>0</v>
      </c>
      <c r="N133" s="2625" t="n">
        <v>0</v>
      </c>
      <c r="O133" s="2625" t="n">
        <v>0</v>
      </c>
      <c r="P133" s="2626">
        <f>SUM(D133:O133)</f>
        <v/>
      </c>
      <c r="Q133" s="1436" t="n"/>
      <c r="R133" s="1436" t="n"/>
      <c r="S133" s="2625" t="n">
        <v>0</v>
      </c>
      <c r="T133" s="2625" t="n">
        <v>0</v>
      </c>
      <c r="U133" s="2625" t="n">
        <v>0</v>
      </c>
      <c r="V133" s="2625" t="n">
        <v>0</v>
      </c>
      <c r="W133" s="2625" t="n">
        <v>0</v>
      </c>
      <c r="X133" s="2625" t="n">
        <v>0</v>
      </c>
      <c r="Y133" s="2625" t="n">
        <v>0</v>
      </c>
      <c r="Z133" s="2625" t="n">
        <v>0</v>
      </c>
      <c r="AA133" s="2625" t="n">
        <v>0</v>
      </c>
      <c r="AB133" s="2625" t="n">
        <v>0</v>
      </c>
      <c r="AC133" s="2625" t="n">
        <v>0</v>
      </c>
      <c r="AD133" s="2625" t="n">
        <v>0</v>
      </c>
      <c r="AE133" s="2626">
        <f>SUM(S133:AD133)</f>
        <v/>
      </c>
      <c r="AF133" s="1436" t="n"/>
      <c r="AG133" s="2625" t="n">
        <v>0</v>
      </c>
      <c r="AH133" s="2625" t="n">
        <v>0</v>
      </c>
      <c r="AI133" s="2625" t="n">
        <v>0</v>
      </c>
      <c r="AJ133" s="2625" t="n">
        <v>0</v>
      </c>
      <c r="AK133" s="2625" t="n">
        <v>0</v>
      </c>
      <c r="AL133" s="2625" t="n"/>
      <c r="AM133" s="2625" t="n">
        <v>0</v>
      </c>
      <c r="AN133" s="2625" t="n">
        <v>0</v>
      </c>
      <c r="AO133" s="2625" t="n"/>
      <c r="AP133" s="2625" t="n">
        <v>0</v>
      </c>
      <c r="AQ133" s="2625" t="n">
        <v>0</v>
      </c>
      <c r="AR133" s="2627" t="n">
        <v>0</v>
      </c>
      <c r="AS133" s="2626">
        <f>SUM(AG133:AR133)</f>
        <v/>
      </c>
      <c r="AT133" s="2615">
        <f>SUM(AG133:AP133)</f>
        <v/>
      </c>
      <c r="AU133" s="2627" t="n"/>
      <c r="AV133" s="2627" t="n"/>
      <c r="AW133" s="2627" t="n"/>
      <c r="AX133" s="2627" t="n"/>
      <c r="AY133" s="2627" t="n"/>
      <c r="AZ133" s="2627" t="n"/>
      <c r="BA133" s="2627" t="n"/>
      <c r="BB133" s="2627" t="n"/>
      <c r="BC133" s="2627" t="n"/>
      <c r="BD133" s="2627" t="n"/>
      <c r="BE133" s="2627" t="n"/>
      <c r="BF133" s="2627" t="n"/>
      <c r="BG133" s="2628">
        <f>SUM(AU133:BF133)</f>
        <v/>
      </c>
      <c r="BI133" s="2627" t="n"/>
      <c r="BJ133" s="2627" t="n"/>
      <c r="BK133" s="2627" t="n"/>
      <c r="BL133" s="2627" t="n"/>
      <c r="BM133" s="2627" t="n"/>
      <c r="BN133" s="2627" t="n"/>
      <c r="BO133" s="2627" t="n"/>
      <c r="BP133" s="2627" t="n"/>
      <c r="BQ133" s="2627" t="n"/>
      <c r="BR133" s="2627" t="n"/>
      <c r="BS133" s="2627" t="n"/>
      <c r="BT133" s="2627" t="n"/>
      <c r="BU133" s="2628">
        <f>SUM(BI133:BT133)</f>
        <v/>
      </c>
    </row>
    <row r="134" hidden="1" outlineLevel="1">
      <c r="A134" s="1436" t="n"/>
      <c r="B134" s="1480" t="inlineStr">
        <is>
          <t>프로젝트손실충당부채환입액</t>
        </is>
      </c>
      <c r="C134" s="1436" t="n"/>
      <c r="D134" s="2625" t="n"/>
      <c r="E134" s="2625" t="n"/>
      <c r="F134" s="2625" t="n"/>
      <c r="G134" s="2625" t="n"/>
      <c r="H134" s="2625" t="n"/>
      <c r="I134" s="2625" t="n"/>
      <c r="J134" s="2625" t="n"/>
      <c r="K134" s="2625" t="n"/>
      <c r="L134" s="2625" t="n"/>
      <c r="M134" s="2625" t="n"/>
      <c r="N134" s="2625" t="n"/>
      <c r="O134" s="2625" t="n"/>
      <c r="P134" s="2626">
        <f>SUM(D134:O134)</f>
        <v/>
      </c>
      <c r="Q134" s="1436" t="n"/>
      <c r="R134" s="1436" t="n"/>
      <c r="S134" s="2625" t="n">
        <v>0</v>
      </c>
      <c r="T134" s="2625" t="n">
        <v>0</v>
      </c>
      <c r="U134" s="2625" t="n">
        <v>0</v>
      </c>
      <c r="V134" s="2625" t="n">
        <v>0</v>
      </c>
      <c r="W134" s="2625" t="n">
        <v>0</v>
      </c>
      <c r="X134" s="2625" t="n">
        <v>0</v>
      </c>
      <c r="Y134" s="2625" t="n">
        <v>0</v>
      </c>
      <c r="Z134" s="2625" t="n">
        <v>0</v>
      </c>
      <c r="AA134" s="2625" t="n">
        <v>0</v>
      </c>
      <c r="AB134" s="2625" t="n">
        <v>0</v>
      </c>
      <c r="AC134" s="2625" t="n">
        <v>0</v>
      </c>
      <c r="AD134" s="2625" t="n">
        <v>0</v>
      </c>
      <c r="AE134" s="2626">
        <f>SUM(S134:AD134)</f>
        <v/>
      </c>
      <c r="AF134" s="1436" t="n"/>
      <c r="AG134" s="2625" t="n">
        <v>0</v>
      </c>
      <c r="AH134" s="2625" t="n">
        <v>0</v>
      </c>
      <c r="AI134" s="2625" t="n">
        <v>0</v>
      </c>
      <c r="AJ134" s="2625" t="n">
        <v>0</v>
      </c>
      <c r="AK134" s="2625" t="n">
        <v>0</v>
      </c>
      <c r="AL134" s="2625" t="n"/>
      <c r="AM134" s="2625" t="n">
        <v>0</v>
      </c>
      <c r="AN134" s="2625" t="n">
        <v>0</v>
      </c>
      <c r="AO134" s="2625" t="n"/>
      <c r="AP134" s="2625" t="n">
        <v>0</v>
      </c>
      <c r="AQ134" s="2625" t="n">
        <v>0</v>
      </c>
      <c r="AR134" s="2627" t="n">
        <v>0</v>
      </c>
      <c r="AS134" s="2626">
        <f>SUM(AG134:AR134)</f>
        <v/>
      </c>
      <c r="AT134" s="2615">
        <f>SUM(AG134:AP134)</f>
        <v/>
      </c>
      <c r="AU134" s="2627" t="n"/>
      <c r="AV134" s="2627" t="n"/>
      <c r="AW134" s="2627" t="n"/>
      <c r="AX134" s="2627" t="n"/>
      <c r="AY134" s="2627" t="n"/>
      <c r="AZ134" s="2627" t="n"/>
      <c r="BA134" s="2627" t="n"/>
      <c r="BB134" s="2627" t="n"/>
      <c r="BC134" s="2627" t="n"/>
      <c r="BD134" s="2627" t="n"/>
      <c r="BE134" s="2627" t="n"/>
      <c r="BF134" s="2627" t="n"/>
      <c r="BG134" s="2628">
        <f>SUM(AU134:BF134)</f>
        <v/>
      </c>
      <c r="BI134" s="2627" t="n"/>
      <c r="BJ134" s="2627" t="n"/>
      <c r="BK134" s="2627" t="n"/>
      <c r="BL134" s="2627" t="n"/>
      <c r="BM134" s="2627" t="n"/>
      <c r="BN134" s="2627" t="n"/>
      <c r="BO134" s="2627" t="n"/>
      <c r="BP134" s="2627" t="n"/>
      <c r="BQ134" s="2627" t="n"/>
      <c r="BR134" s="2627" t="n"/>
      <c r="BS134" s="2627" t="n"/>
      <c r="BT134" s="2627" t="n"/>
      <c r="BU134" s="2628">
        <f>SUM(BI134:BT134)</f>
        <v/>
      </c>
    </row>
    <row r="135" hidden="1" outlineLevel="1">
      <c r="A135" s="1436" t="n"/>
      <c r="B135" s="1480" t="inlineStr">
        <is>
          <t>단기금융부채평가이익</t>
        </is>
      </c>
      <c r="C135" s="1436" t="n"/>
      <c r="D135" s="2625" t="n"/>
      <c r="E135" s="2625" t="n"/>
      <c r="F135" s="2625" t="n"/>
      <c r="G135" s="2625" t="n"/>
      <c r="H135" s="2625" t="n"/>
      <c r="I135" s="2625" t="n"/>
      <c r="J135" s="2625" t="n">
        <v>0</v>
      </c>
      <c r="K135" s="2625" t="n">
        <v>0</v>
      </c>
      <c r="L135" s="2625" t="n">
        <v>0</v>
      </c>
      <c r="M135" s="2625" t="n">
        <v>0</v>
      </c>
      <c r="N135" s="2625" t="n">
        <v>0</v>
      </c>
      <c r="O135" s="2625" t="n">
        <v>0</v>
      </c>
      <c r="P135" s="2626">
        <f>SUM(D135:O135)</f>
        <v/>
      </c>
      <c r="Q135" s="1436" t="n"/>
      <c r="R135" s="1436" t="n"/>
      <c r="S135" s="2625" t="n">
        <v>0</v>
      </c>
      <c r="T135" s="2625" t="n">
        <v>0</v>
      </c>
      <c r="U135" s="2625" t="n">
        <v>0</v>
      </c>
      <c r="V135" s="2625" t="n">
        <v>0</v>
      </c>
      <c r="W135" s="2625" t="n">
        <v>0</v>
      </c>
      <c r="X135" s="2625" t="n">
        <v>0</v>
      </c>
      <c r="Y135" s="2625" t="n">
        <v>0</v>
      </c>
      <c r="Z135" s="2625" t="n">
        <v>0</v>
      </c>
      <c r="AA135" s="2625" t="n">
        <v>0</v>
      </c>
      <c r="AB135" s="2625" t="n">
        <v>0</v>
      </c>
      <c r="AC135" s="2625" t="n">
        <v>0</v>
      </c>
      <c r="AD135" s="2625" t="n">
        <v>0</v>
      </c>
      <c r="AE135" s="2626">
        <f>SUM(S135:AD135)</f>
        <v/>
      </c>
      <c r="AF135" s="1436" t="n"/>
      <c r="AG135" s="2625" t="n">
        <v>0</v>
      </c>
      <c r="AH135" s="2625" t="n">
        <v>0</v>
      </c>
      <c r="AI135" s="2625" t="n">
        <v>0</v>
      </c>
      <c r="AJ135" s="2625" t="n">
        <v>0</v>
      </c>
      <c r="AK135" s="2625" t="n">
        <v>0</v>
      </c>
      <c r="AL135" s="2625" t="n"/>
      <c r="AM135" s="2625" t="n">
        <v>0</v>
      </c>
      <c r="AN135" s="2625" t="n">
        <v>0</v>
      </c>
      <c r="AO135" s="2625" t="n"/>
      <c r="AP135" s="2625" t="n">
        <v>0</v>
      </c>
      <c r="AQ135" s="2625" t="n">
        <v>0</v>
      </c>
      <c r="AR135" s="2627" t="n">
        <v>0</v>
      </c>
      <c r="AS135" s="2626">
        <f>SUM(AG135:AR135)</f>
        <v/>
      </c>
      <c r="AT135" s="2615">
        <f>SUM(AG135:AP135)</f>
        <v/>
      </c>
      <c r="AU135" s="2627" t="n"/>
      <c r="AV135" s="2627" t="n"/>
      <c r="AW135" s="2627" t="n"/>
      <c r="AX135" s="2627" t="n"/>
      <c r="AY135" s="2627" t="n"/>
      <c r="AZ135" s="2627" t="n"/>
      <c r="BA135" s="2627" t="n"/>
      <c r="BB135" s="2627" t="n"/>
      <c r="BC135" s="2627" t="n"/>
      <c r="BD135" s="2627" t="n"/>
      <c r="BE135" s="2627" t="n"/>
      <c r="BF135" s="2627" t="n"/>
      <c r="BG135" s="2628">
        <f>SUM(AU135:BF135)</f>
        <v/>
      </c>
      <c r="BI135" s="2627" t="n"/>
      <c r="BJ135" s="2627" t="n"/>
      <c r="BK135" s="2627" t="n"/>
      <c r="BL135" s="2627" t="n"/>
      <c r="BM135" s="2627" t="n"/>
      <c r="BN135" s="2627" t="n"/>
      <c r="BO135" s="2627" t="n"/>
      <c r="BP135" s="2627" t="n"/>
      <c r="BQ135" s="2627" t="n"/>
      <c r="BR135" s="2627" t="n"/>
      <c r="BS135" s="2627" t="n"/>
      <c r="BT135" s="2627" t="n"/>
      <c r="BU135" s="2628">
        <f>SUM(BI135:BT135)</f>
        <v/>
      </c>
    </row>
    <row r="136" hidden="1" outlineLevel="1">
      <c r="A136" s="1436" t="n"/>
      <c r="B136" s="1480" t="inlineStr">
        <is>
          <t>단기매매비파생상품처분이익</t>
        </is>
      </c>
      <c r="C136" s="1436" t="n"/>
      <c r="D136" s="2625" t="n"/>
      <c r="E136" s="2625" t="n"/>
      <c r="F136" s="2625" t="n"/>
      <c r="G136" s="2625" t="n"/>
      <c r="H136" s="2625" t="n"/>
      <c r="I136" s="2625" t="n"/>
      <c r="J136" s="2625" t="n">
        <v>0</v>
      </c>
      <c r="K136" s="2625" t="n">
        <v>0</v>
      </c>
      <c r="L136" s="2625" t="n">
        <v>0</v>
      </c>
      <c r="M136" s="2625" t="n">
        <v>0</v>
      </c>
      <c r="N136" s="2625" t="n">
        <v>0</v>
      </c>
      <c r="O136" s="2625" t="n">
        <v>0</v>
      </c>
      <c r="P136" s="2626">
        <f>SUM(D136:O136)</f>
        <v/>
      </c>
      <c r="Q136" s="1436" t="n"/>
      <c r="R136" s="1436" t="n"/>
      <c r="S136" s="2625" t="n">
        <v>0</v>
      </c>
      <c r="T136" s="2625" t="n">
        <v>0</v>
      </c>
      <c r="U136" s="2625" t="n">
        <v>0</v>
      </c>
      <c r="V136" s="2625" t="n">
        <v>0</v>
      </c>
      <c r="W136" s="2625" t="n">
        <v>0</v>
      </c>
      <c r="X136" s="2625" t="n">
        <v>0</v>
      </c>
      <c r="Y136" s="2625" t="n">
        <v>0</v>
      </c>
      <c r="Z136" s="2625" t="n">
        <v>0</v>
      </c>
      <c r="AA136" s="2625" t="n">
        <v>0</v>
      </c>
      <c r="AB136" s="2625" t="n">
        <v>0</v>
      </c>
      <c r="AC136" s="2625" t="n">
        <v>0</v>
      </c>
      <c r="AD136" s="2625" t="n">
        <v>0</v>
      </c>
      <c r="AE136" s="2626">
        <f>SUM(S136:AD136)</f>
        <v/>
      </c>
      <c r="AF136" s="1436" t="n"/>
      <c r="AG136" s="2625" t="n">
        <v>0</v>
      </c>
      <c r="AH136" s="2625" t="n">
        <v>0</v>
      </c>
      <c r="AI136" s="2625" t="n">
        <v>0</v>
      </c>
      <c r="AJ136" s="2625" t="n">
        <v>0</v>
      </c>
      <c r="AK136" s="2625" t="n">
        <v>0</v>
      </c>
      <c r="AL136" s="2625" t="n"/>
      <c r="AM136" s="2625" t="n">
        <v>0</v>
      </c>
      <c r="AN136" s="2625" t="n">
        <v>0</v>
      </c>
      <c r="AO136" s="2625" t="n"/>
      <c r="AP136" s="2625" t="n">
        <v>0</v>
      </c>
      <c r="AQ136" s="2625" t="n">
        <v>0</v>
      </c>
      <c r="AR136" s="2627" t="n">
        <v>0</v>
      </c>
      <c r="AS136" s="2626">
        <f>SUM(AG136:AR136)</f>
        <v/>
      </c>
      <c r="AT136" s="2615">
        <f>SUM(AG136:AP136)</f>
        <v/>
      </c>
      <c r="AU136" s="2627" t="n"/>
      <c r="AV136" s="2627" t="n"/>
      <c r="AW136" s="2627" t="n"/>
      <c r="AX136" s="2627" t="n"/>
      <c r="AY136" s="2627" t="n"/>
      <c r="AZ136" s="2627" t="n"/>
      <c r="BA136" s="2627" t="n"/>
      <c r="BB136" s="2627" t="n"/>
      <c r="BC136" s="2627" t="n"/>
      <c r="BD136" s="2627" t="n"/>
      <c r="BE136" s="2627" t="n"/>
      <c r="BF136" s="2627" t="n"/>
      <c r="BG136" s="2628">
        <f>SUM(AU136:BF136)</f>
        <v/>
      </c>
      <c r="BI136" s="2627" t="n"/>
      <c r="BJ136" s="2627" t="n"/>
      <c r="BK136" s="2627" t="n"/>
      <c r="BL136" s="2627" t="n"/>
      <c r="BM136" s="2627" t="n"/>
      <c r="BN136" s="2627" t="n"/>
      <c r="BO136" s="2627" t="n"/>
      <c r="BP136" s="2627" t="n"/>
      <c r="BQ136" s="2627" t="n"/>
      <c r="BR136" s="2627" t="n"/>
      <c r="BS136" s="2627" t="n"/>
      <c r="BT136" s="2627" t="n"/>
      <c r="BU136" s="2628">
        <f>SUM(BI136:BT136)</f>
        <v/>
      </c>
    </row>
    <row r="137" hidden="1" outlineLevel="1">
      <c r="A137" s="1436" t="n"/>
      <c r="B137" s="1480" t="inlineStr">
        <is>
          <t>비지배지분부채평가이익</t>
        </is>
      </c>
      <c r="C137" s="1436" t="n"/>
      <c r="D137" s="2625" t="n"/>
      <c r="E137" s="2625" t="n"/>
      <c r="F137" s="2625" t="n"/>
      <c r="G137" s="2625" t="n"/>
      <c r="H137" s="2625" t="n"/>
      <c r="I137" s="2625" t="n"/>
      <c r="J137" s="2625" t="n"/>
      <c r="K137" s="2625" t="n"/>
      <c r="L137" s="2625" t="n"/>
      <c r="M137" s="2625" t="n"/>
      <c r="N137" s="2625" t="n"/>
      <c r="O137" s="2625" t="n"/>
      <c r="P137" s="2626">
        <f>SUM(D137:O137)</f>
        <v/>
      </c>
      <c r="Q137" s="1436" t="n"/>
      <c r="R137" s="1436" t="n"/>
      <c r="S137" s="2625" t="n">
        <v>0</v>
      </c>
      <c r="T137" s="2625" t="n">
        <v>0</v>
      </c>
      <c r="U137" s="2625" t="n">
        <v>0</v>
      </c>
      <c r="V137" s="2625" t="n">
        <v>0</v>
      </c>
      <c r="W137" s="2625" t="n">
        <v>0</v>
      </c>
      <c r="X137" s="2625" t="n">
        <v>0</v>
      </c>
      <c r="Y137" s="2625" t="n">
        <v>0</v>
      </c>
      <c r="Z137" s="2625" t="n">
        <v>0</v>
      </c>
      <c r="AA137" s="2625" t="n">
        <v>0</v>
      </c>
      <c r="AB137" s="2625" t="n">
        <v>0</v>
      </c>
      <c r="AC137" s="2625" t="n">
        <v>0</v>
      </c>
      <c r="AD137" s="2625" t="n">
        <v>0</v>
      </c>
      <c r="AE137" s="2626">
        <f>SUM(S137:AD137)</f>
        <v/>
      </c>
      <c r="AF137" s="1436" t="n"/>
      <c r="AG137" s="2625" t="n">
        <v>0</v>
      </c>
      <c r="AH137" s="2625" t="n">
        <v>0</v>
      </c>
      <c r="AI137" s="2625" t="n">
        <v>0</v>
      </c>
      <c r="AJ137" s="2625" t="n">
        <v>0</v>
      </c>
      <c r="AK137" s="2625" t="n">
        <v>0</v>
      </c>
      <c r="AL137" s="2625" t="n"/>
      <c r="AM137" s="2625" t="n">
        <v>0</v>
      </c>
      <c r="AN137" s="2625" t="n">
        <v>0</v>
      </c>
      <c r="AO137" s="2625" t="n"/>
      <c r="AP137" s="2625" t="n">
        <v>0</v>
      </c>
      <c r="AQ137" s="2625" t="n">
        <v>0</v>
      </c>
      <c r="AR137" s="2627" t="n">
        <v>0</v>
      </c>
      <c r="AS137" s="2626">
        <f>SUM(AG137:AR137)</f>
        <v/>
      </c>
      <c r="AT137" s="2615">
        <f>SUM(AG137:AP137)</f>
        <v/>
      </c>
      <c r="AU137" s="2627" t="n"/>
      <c r="AV137" s="2627" t="n"/>
      <c r="AW137" s="2627" t="n"/>
      <c r="AX137" s="2627" t="n"/>
      <c r="AY137" s="2627" t="n"/>
      <c r="AZ137" s="2627" t="n"/>
      <c r="BA137" s="2627" t="n"/>
      <c r="BB137" s="2627" t="n"/>
      <c r="BC137" s="2627" t="n"/>
      <c r="BD137" s="2627" t="n"/>
      <c r="BE137" s="2627" t="n"/>
      <c r="BF137" s="2627" t="n"/>
      <c r="BG137" s="2628">
        <f>SUM(AU137:BF137)</f>
        <v/>
      </c>
      <c r="BI137" s="2627" t="n"/>
      <c r="BJ137" s="2627" t="n"/>
      <c r="BK137" s="2627" t="n"/>
      <c r="BL137" s="2627" t="n"/>
      <c r="BM137" s="2627" t="n"/>
      <c r="BN137" s="2627" t="n"/>
      <c r="BO137" s="2627" t="n"/>
      <c r="BP137" s="2627" t="n"/>
      <c r="BQ137" s="2627" t="n"/>
      <c r="BR137" s="2627" t="n"/>
      <c r="BS137" s="2627" t="n"/>
      <c r="BT137" s="2627" t="n"/>
      <c r="BU137" s="2628">
        <f>SUM(BI137:BT137)</f>
        <v/>
      </c>
    </row>
    <row r="138" hidden="1" outlineLevel="1">
      <c r="A138" s="1436" t="n"/>
      <c r="B138" s="1480" t="inlineStr">
        <is>
          <t>단기투자자산처분이익</t>
        </is>
      </c>
      <c r="C138" s="1436" t="n"/>
      <c r="D138" s="2625" t="n"/>
      <c r="E138" s="2625" t="n"/>
      <c r="F138" s="2625" t="n"/>
      <c r="G138" s="2625" t="n"/>
      <c r="H138" s="2625" t="n"/>
      <c r="I138" s="2625" t="n"/>
      <c r="J138" s="2625" t="n">
        <v>0</v>
      </c>
      <c r="K138" s="2625" t="n">
        <v>0</v>
      </c>
      <c r="L138" s="2625" t="n">
        <v>0</v>
      </c>
      <c r="M138" s="2625" t="n">
        <v>0</v>
      </c>
      <c r="N138" s="2625" t="n">
        <v>0</v>
      </c>
      <c r="O138" s="2625" t="n">
        <v>0</v>
      </c>
      <c r="P138" s="2626">
        <f>SUM(D138:O138)</f>
        <v/>
      </c>
      <c r="Q138" s="1436" t="n"/>
      <c r="R138" s="1436" t="n"/>
      <c r="S138" s="2625" t="n">
        <v>0</v>
      </c>
      <c r="T138" s="2625" t="n">
        <v>0</v>
      </c>
      <c r="U138" s="2625" t="n">
        <v>0</v>
      </c>
      <c r="V138" s="2625" t="n">
        <v>0</v>
      </c>
      <c r="W138" s="2625" t="n">
        <v>0</v>
      </c>
      <c r="X138" s="2625" t="n">
        <v>0</v>
      </c>
      <c r="Y138" s="2625" t="n">
        <v>0</v>
      </c>
      <c r="Z138" s="2625" t="n">
        <v>0</v>
      </c>
      <c r="AA138" s="2625" t="n">
        <v>0</v>
      </c>
      <c r="AB138" s="2625" t="n">
        <v>0</v>
      </c>
      <c r="AC138" s="2625" t="n">
        <v>0</v>
      </c>
      <c r="AD138" s="2625" t="n">
        <v>0</v>
      </c>
      <c r="AE138" s="2626">
        <f>SUM(S138:AD138)</f>
        <v/>
      </c>
      <c r="AF138" s="1436" t="n"/>
      <c r="AG138" s="2625" t="n">
        <v>0</v>
      </c>
      <c r="AH138" s="2625" t="n">
        <v>0</v>
      </c>
      <c r="AI138" s="2625" t="n">
        <v>0</v>
      </c>
      <c r="AJ138" s="2625" t="n">
        <v>0</v>
      </c>
      <c r="AK138" s="2625" t="n">
        <v>0</v>
      </c>
      <c r="AL138" s="2625" t="n"/>
      <c r="AM138" s="2625" t="n">
        <v>0</v>
      </c>
      <c r="AN138" s="2625" t="n">
        <v>0</v>
      </c>
      <c r="AO138" s="2625" t="n"/>
      <c r="AP138" s="2625" t="n">
        <v>0</v>
      </c>
      <c r="AQ138" s="2625" t="n">
        <v>0</v>
      </c>
      <c r="AR138" s="2627" t="n">
        <v>0</v>
      </c>
      <c r="AS138" s="2626">
        <f>SUM(AG138:AR138)</f>
        <v/>
      </c>
      <c r="AT138" s="2615">
        <f>SUM(AG138:AP138)</f>
        <v/>
      </c>
      <c r="AU138" s="2627" t="n"/>
      <c r="AV138" s="2627" t="n"/>
      <c r="AW138" s="2627" t="n"/>
      <c r="AX138" s="2627" t="n"/>
      <c r="AY138" s="2627" t="n"/>
      <c r="AZ138" s="2627" t="n"/>
      <c r="BA138" s="2627" t="n"/>
      <c r="BB138" s="2627" t="n"/>
      <c r="BC138" s="2627" t="n"/>
      <c r="BD138" s="2627" t="n"/>
      <c r="BE138" s="2627" t="n"/>
      <c r="BF138" s="2627" t="n"/>
      <c r="BG138" s="2628">
        <f>SUM(AU138:BF138)</f>
        <v/>
      </c>
      <c r="BI138" s="2627" t="n"/>
      <c r="BJ138" s="2627" t="n"/>
      <c r="BK138" s="2627" t="n"/>
      <c r="BL138" s="2627" t="n"/>
      <c r="BM138" s="2627" t="n"/>
      <c r="BN138" s="2627" t="n"/>
      <c r="BO138" s="2627" t="n"/>
      <c r="BP138" s="2627" t="n"/>
      <c r="BQ138" s="2627" t="n"/>
      <c r="BR138" s="2627" t="n"/>
      <c r="BS138" s="2627" t="n"/>
      <c r="BT138" s="2627" t="n"/>
      <c r="BU138" s="2628">
        <f>SUM(BI138:BT138)</f>
        <v/>
      </c>
    </row>
    <row r="139" hidden="1" outlineLevel="1">
      <c r="A139" s="1436" t="n"/>
      <c r="B139" s="1480" t="inlineStr">
        <is>
          <t>장기투자자산처분이익</t>
        </is>
      </c>
      <c r="C139" s="1436" t="n"/>
      <c r="D139" s="2625" t="n"/>
      <c r="E139" s="2625" t="n"/>
      <c r="F139" s="2625" t="n"/>
      <c r="G139" s="2625" t="n"/>
      <c r="H139" s="2625" t="n"/>
      <c r="I139" s="2625" t="n"/>
      <c r="J139" s="2625" t="n">
        <v>0</v>
      </c>
      <c r="K139" s="2625" t="n">
        <v>0</v>
      </c>
      <c r="L139" s="2625" t="n">
        <v>0</v>
      </c>
      <c r="M139" s="2625" t="n">
        <v>0</v>
      </c>
      <c r="N139" s="2625" t="n">
        <v>0</v>
      </c>
      <c r="O139" s="2625" t="n">
        <v>0</v>
      </c>
      <c r="P139" s="2626">
        <f>SUM(D139:O139)</f>
        <v/>
      </c>
      <c r="Q139" s="1436" t="n"/>
      <c r="R139" s="1436" t="n"/>
      <c r="S139" s="2625" t="n">
        <v>0</v>
      </c>
      <c r="T139" s="2625" t="n">
        <v>0</v>
      </c>
      <c r="U139" s="2625" t="n">
        <v>0</v>
      </c>
      <c r="V139" s="2625" t="n">
        <v>0</v>
      </c>
      <c r="W139" s="2625" t="n">
        <v>0</v>
      </c>
      <c r="X139" s="2625" t="n">
        <v>0</v>
      </c>
      <c r="Y139" s="2625" t="n">
        <v>0</v>
      </c>
      <c r="Z139" s="2625" t="n">
        <v>0</v>
      </c>
      <c r="AA139" s="2625" t="n">
        <v>0</v>
      </c>
      <c r="AB139" s="2625" t="n">
        <v>0</v>
      </c>
      <c r="AC139" s="2625" t="n">
        <v>0</v>
      </c>
      <c r="AD139" s="2625" t="n">
        <v>0</v>
      </c>
      <c r="AE139" s="2626">
        <f>SUM(S139:AD139)</f>
        <v/>
      </c>
      <c r="AF139" s="1436" t="n"/>
      <c r="AG139" s="2625" t="n">
        <v>0</v>
      </c>
      <c r="AH139" s="2625" t="n">
        <v>0</v>
      </c>
      <c r="AI139" s="2625" t="n">
        <v>0</v>
      </c>
      <c r="AJ139" s="2625" t="n">
        <v>0</v>
      </c>
      <c r="AK139" s="2625" t="n">
        <v>0</v>
      </c>
      <c r="AL139" s="2625" t="n"/>
      <c r="AM139" s="2625" t="n">
        <v>0</v>
      </c>
      <c r="AN139" s="2625" t="n">
        <v>0</v>
      </c>
      <c r="AO139" s="2625" t="n"/>
      <c r="AP139" s="2625" t="n">
        <v>0</v>
      </c>
      <c r="AQ139" s="2625" t="n">
        <v>0</v>
      </c>
      <c r="AR139" s="2627" t="n">
        <v>0</v>
      </c>
      <c r="AS139" s="2626">
        <f>SUM(AG139:AR139)</f>
        <v/>
      </c>
      <c r="AT139" s="2615">
        <f>SUM(AG139:AP139)</f>
        <v/>
      </c>
      <c r="AU139" s="2627" t="n"/>
      <c r="AV139" s="2627" t="n"/>
      <c r="AW139" s="2627" t="n"/>
      <c r="AX139" s="2627" t="n"/>
      <c r="AY139" s="2627" t="n"/>
      <c r="AZ139" s="2627" t="n"/>
      <c r="BA139" s="2627" t="n"/>
      <c r="BB139" s="2627" t="n"/>
      <c r="BC139" s="2627" t="n"/>
      <c r="BD139" s="2627" t="n"/>
      <c r="BE139" s="2627" t="n"/>
      <c r="BF139" s="2627" t="n"/>
      <c r="BG139" s="2628">
        <f>SUM(AU139:BF139)</f>
        <v/>
      </c>
      <c r="BI139" s="2627" t="n"/>
      <c r="BJ139" s="2627" t="n"/>
      <c r="BK139" s="2627" t="n"/>
      <c r="BL139" s="2627" t="n"/>
      <c r="BM139" s="2627" t="n"/>
      <c r="BN139" s="2627" t="n"/>
      <c r="BO139" s="2627" t="n"/>
      <c r="BP139" s="2627" t="n"/>
      <c r="BQ139" s="2627" t="n"/>
      <c r="BR139" s="2627" t="n"/>
      <c r="BS139" s="2627" t="n"/>
      <c r="BT139" s="2627" t="n"/>
      <c r="BU139" s="2628">
        <f>SUM(BI139:BT139)</f>
        <v/>
      </c>
    </row>
    <row r="140" hidden="1" outlineLevel="1">
      <c r="A140" s="1436" t="n"/>
      <c r="B140" s="1480" t="inlineStr">
        <is>
          <t>매도가능금융자산처분이익</t>
        </is>
      </c>
      <c r="C140" s="1436" t="n"/>
      <c r="D140" s="2625" t="n"/>
      <c r="E140" s="2625" t="n"/>
      <c r="F140" s="2625" t="n"/>
      <c r="G140" s="2625" t="n"/>
      <c r="H140" s="2625" t="n"/>
      <c r="I140" s="2625" t="n"/>
      <c r="J140" s="2625" t="n">
        <v>0</v>
      </c>
      <c r="K140" s="2625" t="n">
        <v>0</v>
      </c>
      <c r="L140" s="2625" t="n">
        <v>0</v>
      </c>
      <c r="M140" s="2625" t="n">
        <v>0</v>
      </c>
      <c r="N140" s="2625" t="n">
        <v>0</v>
      </c>
      <c r="O140" s="2625" t="n">
        <v>0</v>
      </c>
      <c r="P140" s="2626">
        <f>SUM(D140:O140)</f>
        <v/>
      </c>
      <c r="Q140" s="1436" t="n"/>
      <c r="R140" s="1436" t="n"/>
      <c r="S140" s="2625" t="n">
        <v>0</v>
      </c>
      <c r="T140" s="2625" t="n">
        <v>0</v>
      </c>
      <c r="U140" s="2625" t="n">
        <v>0</v>
      </c>
      <c r="V140" s="2625" t="n">
        <v>0</v>
      </c>
      <c r="W140" s="2625" t="n">
        <v>0</v>
      </c>
      <c r="X140" s="2625" t="n">
        <v>0</v>
      </c>
      <c r="Y140" s="2625" t="n">
        <v>0</v>
      </c>
      <c r="Z140" s="2625" t="n">
        <v>0</v>
      </c>
      <c r="AA140" s="2625" t="n">
        <v>0</v>
      </c>
      <c r="AB140" s="2625" t="n">
        <v>0</v>
      </c>
      <c r="AC140" s="2625" t="n">
        <v>0</v>
      </c>
      <c r="AD140" s="2625" t="n">
        <v>0</v>
      </c>
      <c r="AE140" s="2626">
        <f>SUM(S140:AD140)</f>
        <v/>
      </c>
      <c r="AF140" s="1436" t="n"/>
      <c r="AG140" s="2625" t="n">
        <v>0</v>
      </c>
      <c r="AH140" s="2625" t="n">
        <v>0</v>
      </c>
      <c r="AI140" s="2625" t="n">
        <v>0</v>
      </c>
      <c r="AJ140" s="2625" t="n">
        <v>0</v>
      </c>
      <c r="AK140" s="2625" t="n">
        <v>0</v>
      </c>
      <c r="AL140" s="2625" t="n"/>
      <c r="AM140" s="2625" t="n">
        <v>0</v>
      </c>
      <c r="AN140" s="2625" t="n">
        <v>0</v>
      </c>
      <c r="AO140" s="2625" t="n"/>
      <c r="AP140" s="2625" t="n">
        <v>0</v>
      </c>
      <c r="AQ140" s="2625" t="n">
        <v>0</v>
      </c>
      <c r="AR140" s="2627" t="n">
        <v>0</v>
      </c>
      <c r="AS140" s="2626">
        <f>SUM(AG140:AR140)</f>
        <v/>
      </c>
      <c r="AT140" s="2615">
        <f>SUM(AG140:AP140)</f>
        <v/>
      </c>
      <c r="AU140" s="2627" t="n"/>
      <c r="AV140" s="2627" t="n"/>
      <c r="AW140" s="2627" t="n"/>
      <c r="AX140" s="2627" t="n"/>
      <c r="AY140" s="2627" t="n"/>
      <c r="AZ140" s="2627" t="n"/>
      <c r="BA140" s="2627" t="n"/>
      <c r="BB140" s="2627" t="n"/>
      <c r="BC140" s="2627" t="n"/>
      <c r="BD140" s="2627" t="n"/>
      <c r="BE140" s="2627" t="n"/>
      <c r="BF140" s="2627" t="n"/>
      <c r="BG140" s="2628">
        <f>SUM(AU140:BF140)</f>
        <v/>
      </c>
      <c r="BI140" s="2627" t="n"/>
      <c r="BJ140" s="2627" t="n"/>
      <c r="BK140" s="2627" t="n"/>
      <c r="BL140" s="2627" t="n"/>
      <c r="BM140" s="2627" t="n"/>
      <c r="BN140" s="2627" t="n"/>
      <c r="BO140" s="2627" t="n"/>
      <c r="BP140" s="2627" t="n"/>
      <c r="BQ140" s="2627" t="n"/>
      <c r="BR140" s="2627" t="n"/>
      <c r="BS140" s="2627" t="n"/>
      <c r="BT140" s="2627" t="n"/>
      <c r="BU140" s="2628">
        <f>SUM(BI140:BT140)</f>
        <v/>
      </c>
    </row>
    <row r="141" collapsed="1">
      <c r="A141" s="1436" t="n"/>
      <c r="B141" s="1478" t="inlineStr">
        <is>
          <t>Ⅴ. 금융비용</t>
        </is>
      </c>
      <c r="C141" s="1436" t="inlineStr">
        <is>
          <t>금융비용</t>
        </is>
      </c>
      <c r="D141" s="2637">
        <f>SUM(D142:D158)</f>
        <v/>
      </c>
      <c r="E141" s="2637">
        <f>SUM(E142:E158)</f>
        <v/>
      </c>
      <c r="F141" s="2637">
        <f>SUM(F142:F158)</f>
        <v/>
      </c>
      <c r="G141" s="2637">
        <f>SUM(G142:G158)</f>
        <v/>
      </c>
      <c r="H141" s="2637">
        <f>SUM(H142:H158)</f>
        <v/>
      </c>
      <c r="I141" s="2637">
        <f>SUM(I142:I158)</f>
        <v/>
      </c>
      <c r="J141" s="2637">
        <f>SUM(J142:J158)</f>
        <v/>
      </c>
      <c r="K141" s="2637">
        <f>SUM(K142:K158)</f>
        <v/>
      </c>
      <c r="L141" s="2637">
        <f>SUM(L142:L158)</f>
        <v/>
      </c>
      <c r="M141" s="2637">
        <f>SUM(M142:M158)</f>
        <v/>
      </c>
      <c r="N141" s="2637">
        <f>SUM(N142:N158)</f>
        <v/>
      </c>
      <c r="O141" s="2637">
        <f>SUM(O142:O158)</f>
        <v/>
      </c>
      <c r="P141" s="2623">
        <f>SUM(D141:O141)</f>
        <v/>
      </c>
      <c r="Q141" s="1436" t="n"/>
      <c r="R141" s="1436" t="n"/>
      <c r="S141" s="2637">
        <f>SUM(S142:S158)</f>
        <v/>
      </c>
      <c r="T141" s="2637">
        <f>SUM(T142:T158)</f>
        <v/>
      </c>
      <c r="U141" s="2637">
        <f>SUM(U142:U158)</f>
        <v/>
      </c>
      <c r="V141" s="2637">
        <f>SUM(V142:V158)</f>
        <v/>
      </c>
      <c r="W141" s="2637">
        <f>SUM(W142:W158)</f>
        <v/>
      </c>
      <c r="X141" s="2637">
        <f>SUM(X142:X158)</f>
        <v/>
      </c>
      <c r="Y141" s="2637">
        <f>SUM(Y142:Y158)</f>
        <v/>
      </c>
      <c r="Z141" s="2637">
        <f>SUM(Z142:Z158)</f>
        <v/>
      </c>
      <c r="AA141" s="2637">
        <f>SUM(AA142:AA158)</f>
        <v/>
      </c>
      <c r="AB141" s="2637">
        <f>SUM(AB142:AB158)</f>
        <v/>
      </c>
      <c r="AC141" s="2637">
        <f>SUM(AC142:AC158)</f>
        <v/>
      </c>
      <c r="AD141" s="2637">
        <f>SUM(AD142:AD158)</f>
        <v/>
      </c>
      <c r="AE141" s="2623">
        <f>SUM(S141:AD141)</f>
        <v/>
      </c>
      <c r="AF141" s="1436" t="n"/>
      <c r="AG141" s="2637">
        <f>SUM(AG142:AG158)</f>
        <v/>
      </c>
      <c r="AH141" s="2637">
        <f>SUM(AH142:AH158)</f>
        <v/>
      </c>
      <c r="AI141" s="2637">
        <f>SUM(AI142:AI158)</f>
        <v/>
      </c>
      <c r="AJ141" s="2637">
        <f>SUM(AJ142:AJ158)</f>
        <v/>
      </c>
      <c r="AK141" s="2637">
        <f>SUM(AK142:AK158)</f>
        <v/>
      </c>
      <c r="AL141" s="2637">
        <f>SUM(AL142:AL158)</f>
        <v/>
      </c>
      <c r="AM141" s="2637">
        <f>SUM(AM142:AM158)</f>
        <v/>
      </c>
      <c r="AN141" s="2637">
        <f>SUM(AN142:AN158)</f>
        <v/>
      </c>
      <c r="AO141" s="2637">
        <f>SUM(AO142:AO158)</f>
        <v/>
      </c>
      <c r="AP141" s="2637">
        <f>SUM(AP142:AP158)</f>
        <v/>
      </c>
      <c r="AQ141" s="2637">
        <f>SUM(AQ142:AQ158)</f>
        <v/>
      </c>
      <c r="AR141" s="2637">
        <f>SUM(AR142:AR158)</f>
        <v/>
      </c>
      <c r="AS141" s="2623">
        <f>SUM(AG141:AR141)</f>
        <v/>
      </c>
      <c r="AT141" s="2615">
        <f>SUM(AG141:AP141)</f>
        <v/>
      </c>
      <c r="AU141" s="2637" t="n">
        <v>0</v>
      </c>
      <c r="AV141" s="2637" t="n">
        <v>0</v>
      </c>
      <c r="AW141" s="2637" t="n"/>
      <c r="AX141" s="2637" t="n"/>
      <c r="AY141" s="2637" t="n"/>
      <c r="AZ141" s="2637" t="n"/>
      <c r="BA141" s="2637" t="n"/>
      <c r="BB141" s="2637" t="n"/>
      <c r="BC141" s="2637" t="n"/>
      <c r="BD141" s="2637" t="n"/>
      <c r="BE141" s="2637" t="n"/>
      <c r="BF141" s="2637" t="n"/>
      <c r="BG141" s="2624">
        <f>SUM(AU141:BF141)</f>
        <v/>
      </c>
      <c r="BI141" s="2637" t="n"/>
      <c r="BJ141" s="2637" t="n"/>
      <c r="BK141" s="2637" t="n"/>
      <c r="BL141" s="2637" t="n"/>
      <c r="BM141" s="2637" t="n"/>
      <c r="BN141" s="2637" t="n"/>
      <c r="BO141" s="2637" t="n"/>
      <c r="BP141" s="2637" t="n"/>
      <c r="BQ141" s="2637" t="n"/>
      <c r="BR141" s="2637" t="n"/>
      <c r="BS141" s="2637" t="n"/>
      <c r="BT141" s="2637" t="n"/>
      <c r="BU141" s="2624">
        <f>SUM(BI141:BT141)</f>
        <v/>
      </c>
    </row>
    <row r="142" hidden="1" outlineLevel="1">
      <c r="A142" s="1436" t="n"/>
      <c r="B142" s="1480" t="inlineStr">
        <is>
          <t>이자비용</t>
        </is>
      </c>
      <c r="C142" s="1436" t="n"/>
      <c r="D142" s="2625" t="n"/>
      <c r="E142" s="2625" t="n"/>
      <c r="F142" s="2625" t="n"/>
      <c r="G142" s="2625" t="n">
        <v>244180.6227955901</v>
      </c>
      <c r="H142" s="2625" t="n">
        <v>234326.3772044099</v>
      </c>
      <c r="I142" s="2625" t="n">
        <v>837020</v>
      </c>
      <c r="J142" s="2625" t="n">
        <v>802518</v>
      </c>
      <c r="K142" s="2625" t="n">
        <v>767909</v>
      </c>
      <c r="L142" s="2625" t="n">
        <v>1632828</v>
      </c>
      <c r="M142" s="2625" t="n">
        <v>2025854</v>
      </c>
      <c r="N142" s="2625" t="n">
        <v>1947594</v>
      </c>
      <c r="O142" s="2625" t="n">
        <v>1881361</v>
      </c>
      <c r="P142" s="2626">
        <f>SUM(D142:O142)</f>
        <v/>
      </c>
      <c r="Q142" s="1436" t="n"/>
      <c r="R142" s="1436" t="n"/>
      <c r="S142" s="2625" t="n">
        <v>1879740</v>
      </c>
      <c r="T142" s="2625" t="n">
        <v>1810199</v>
      </c>
      <c r="U142" s="2625" t="n">
        <v>3441733</v>
      </c>
      <c r="V142" s="2625" t="n">
        <v>3379014</v>
      </c>
      <c r="W142" s="2625" t="n">
        <v>2374823</v>
      </c>
      <c r="X142" s="2625" t="n">
        <v>5224297</v>
      </c>
      <c r="Y142" s="2625" t="n">
        <v>5131821</v>
      </c>
      <c r="Z142" s="2625" t="n">
        <v>5038941</v>
      </c>
      <c r="AA142" s="2625" t="n">
        <v>4945654</v>
      </c>
      <c r="AB142" s="2625" t="n">
        <v>4851961</v>
      </c>
      <c r="AC142" s="2625" t="n">
        <v>1379260</v>
      </c>
      <c r="AD142" s="2625" t="n">
        <v>1352075</v>
      </c>
      <c r="AE142" s="2626">
        <f>SUM(S142:AD142)</f>
        <v/>
      </c>
      <c r="AF142" s="1436" t="n"/>
      <c r="AG142" s="2625" t="n">
        <v>1324761</v>
      </c>
      <c r="AH142" s="2625" t="n">
        <v>1297319</v>
      </c>
      <c r="AI142" s="2625" t="n">
        <v>1269749</v>
      </c>
      <c r="AJ142" s="2625" t="n">
        <v>1242048</v>
      </c>
      <c r="AK142" s="2625" t="n">
        <v>1214217</v>
      </c>
      <c r="AL142" s="2625">
        <f>7534351-SUM(AG142:AK142)</f>
        <v/>
      </c>
      <c r="AM142" s="2625" t="n">
        <v>1158164</v>
      </c>
      <c r="AN142" s="2625" t="n">
        <v>1129939</v>
      </c>
      <c r="AO142" s="2625" t="n">
        <v>1101583</v>
      </c>
      <c r="AP142" s="2625" t="n">
        <v>0</v>
      </c>
      <c r="AQ142" s="2625" t="n">
        <v>0</v>
      </c>
      <c r="AR142" s="2627" t="n">
        <v>0</v>
      </c>
      <c r="AS142" s="2626">
        <f>SUM(AG142:AR142)</f>
        <v/>
      </c>
      <c r="AT142" s="2615">
        <f>SUM(AG142:AP142)</f>
        <v/>
      </c>
      <c r="AU142" s="2627" t="n"/>
      <c r="AV142" s="2627" t="n"/>
      <c r="AW142" s="2627" t="n"/>
      <c r="AX142" s="2627" t="n"/>
      <c r="AY142" s="2627" t="n"/>
      <c r="AZ142" s="2627" t="n"/>
      <c r="BA142" s="2627" t="n"/>
      <c r="BB142" s="2627" t="n"/>
      <c r="BC142" s="2627" t="n"/>
      <c r="BD142" s="2627" t="n"/>
      <c r="BE142" s="2627" t="n"/>
      <c r="BF142" s="2627" t="n"/>
      <c r="BG142" s="2628">
        <f>SUM(AU142:BF142)</f>
        <v/>
      </c>
      <c r="BI142" s="2627" t="n"/>
      <c r="BJ142" s="2627" t="n"/>
      <c r="BK142" s="2627" t="n"/>
      <c r="BL142" s="2627" t="n"/>
      <c r="BM142" s="2627" t="n"/>
      <c r="BN142" s="2627" t="n"/>
      <c r="BO142" s="2627" t="n"/>
      <c r="BP142" s="2627" t="n"/>
      <c r="BQ142" s="2627" t="n"/>
      <c r="BR142" s="2627" t="n"/>
      <c r="BS142" s="2627" t="n"/>
      <c r="BT142" s="2627" t="n"/>
      <c r="BU142" s="2628">
        <f>SUM(BI142:BT142)</f>
        <v/>
      </c>
    </row>
    <row r="143" hidden="1" outlineLevel="1">
      <c r="A143" s="1436" t="n"/>
      <c r="B143" s="1480" t="inlineStr">
        <is>
          <t>단기금융상품평가손실</t>
        </is>
      </c>
      <c r="C143" s="1436" t="n"/>
      <c r="D143" s="2625" t="n"/>
      <c r="E143" s="2625" t="n"/>
      <c r="F143" s="2625" t="n"/>
      <c r="G143" s="2625" t="n"/>
      <c r="H143" s="2625" t="n"/>
      <c r="I143" s="2625" t="n">
        <v>0</v>
      </c>
      <c r="J143" s="2625" t="n">
        <v>0</v>
      </c>
      <c r="K143" s="2625" t="n">
        <v>0</v>
      </c>
      <c r="L143" s="2625" t="n">
        <v>0</v>
      </c>
      <c r="M143" s="2625" t="n">
        <v>0</v>
      </c>
      <c r="N143" s="2625" t="n">
        <v>0</v>
      </c>
      <c r="O143" s="2625" t="n">
        <v>0</v>
      </c>
      <c r="P143" s="2626">
        <f>SUM(D143:O143)</f>
        <v/>
      </c>
      <c r="Q143" s="1436" t="n"/>
      <c r="R143" s="1436" t="n"/>
      <c r="S143" s="2625" t="n">
        <v>0</v>
      </c>
      <c r="T143" s="2625" t="n">
        <v>0</v>
      </c>
      <c r="U143" s="2625" t="n">
        <v>0</v>
      </c>
      <c r="V143" s="2625" t="n">
        <v>0</v>
      </c>
      <c r="W143" s="2625" t="n">
        <v>0</v>
      </c>
      <c r="X143" s="2625" t="n">
        <v>0</v>
      </c>
      <c r="Y143" s="2625" t="n">
        <v>0</v>
      </c>
      <c r="Z143" s="2625" t="n">
        <v>0</v>
      </c>
      <c r="AA143" s="2625" t="n">
        <v>0</v>
      </c>
      <c r="AB143" s="2625" t="n">
        <v>0</v>
      </c>
      <c r="AC143" s="2625" t="n">
        <v>0</v>
      </c>
      <c r="AD143" s="2625" t="n">
        <v>0</v>
      </c>
      <c r="AE143" s="2626">
        <f>SUM(S143:AD143)</f>
        <v/>
      </c>
      <c r="AF143" s="1436" t="n"/>
      <c r="AG143" s="2625" t="n">
        <v>0</v>
      </c>
      <c r="AH143" s="2625" t="n">
        <v>0</v>
      </c>
      <c r="AI143" s="2625" t="n">
        <v>0</v>
      </c>
      <c r="AJ143" s="2625" t="n">
        <v>0</v>
      </c>
      <c r="AK143" s="2625" t="n">
        <v>0</v>
      </c>
      <c r="AL143" s="2625" t="n"/>
      <c r="AM143" s="2625" t="n">
        <v>0</v>
      </c>
      <c r="AN143" s="2625" t="n">
        <v>0</v>
      </c>
      <c r="AO143" s="2625" t="n"/>
      <c r="AP143" s="2625" t="n">
        <v>0</v>
      </c>
      <c r="AQ143" s="2625" t="n">
        <v>0</v>
      </c>
      <c r="AR143" s="2627" t="n">
        <v>0</v>
      </c>
      <c r="AS143" s="2626">
        <f>SUM(AG143:AR143)</f>
        <v/>
      </c>
      <c r="AT143" s="2615">
        <f>SUM(AG143:AP143)</f>
        <v/>
      </c>
      <c r="AU143" s="2627" t="n"/>
      <c r="AV143" s="2627" t="n"/>
      <c r="AW143" s="2627" t="n"/>
      <c r="AX143" s="2627" t="n"/>
      <c r="AY143" s="2627" t="n"/>
      <c r="AZ143" s="2627" t="n"/>
      <c r="BA143" s="2627" t="n"/>
      <c r="BB143" s="2627" t="n"/>
      <c r="BC143" s="2627" t="n"/>
      <c r="BD143" s="2627" t="n"/>
      <c r="BE143" s="2627" t="n"/>
      <c r="BF143" s="2627" t="n"/>
      <c r="BG143" s="2628">
        <f>SUM(AU143:BF143)</f>
        <v/>
      </c>
      <c r="BI143" s="2627" t="n"/>
      <c r="BJ143" s="2627" t="n"/>
      <c r="BK143" s="2627" t="n"/>
      <c r="BL143" s="2627" t="n"/>
      <c r="BM143" s="2627" t="n"/>
      <c r="BN143" s="2627" t="n"/>
      <c r="BO143" s="2627" t="n"/>
      <c r="BP143" s="2627" t="n"/>
      <c r="BQ143" s="2627" t="n"/>
      <c r="BR143" s="2627" t="n"/>
      <c r="BS143" s="2627" t="n"/>
      <c r="BT143" s="2627" t="n"/>
      <c r="BU143" s="2628">
        <f>SUM(BI143:BT143)</f>
        <v/>
      </c>
    </row>
    <row r="144" hidden="1" outlineLevel="1">
      <c r="A144" s="1436" t="n"/>
      <c r="B144" s="1480" t="inlineStr">
        <is>
          <t>장기금융상품평가손실</t>
        </is>
      </c>
      <c r="C144" s="1436" t="n"/>
      <c r="D144" s="2625" t="n"/>
      <c r="E144" s="2625" t="n"/>
      <c r="F144" s="2625" t="n"/>
      <c r="G144" s="2625" t="n"/>
      <c r="H144" s="2625" t="n"/>
      <c r="I144" s="2625" t="n">
        <v>0</v>
      </c>
      <c r="J144" s="2625" t="n">
        <v>0</v>
      </c>
      <c r="K144" s="2625" t="n">
        <v>0</v>
      </c>
      <c r="L144" s="2625" t="n">
        <v>0</v>
      </c>
      <c r="M144" s="2625" t="n">
        <v>0</v>
      </c>
      <c r="N144" s="2625" t="n">
        <v>0</v>
      </c>
      <c r="O144" s="2625" t="n">
        <v>0</v>
      </c>
      <c r="P144" s="2626">
        <f>SUM(D144:O144)</f>
        <v/>
      </c>
      <c r="Q144" s="1436" t="n"/>
      <c r="R144" s="1436" t="n"/>
      <c r="S144" s="2625" t="n">
        <v>0</v>
      </c>
      <c r="T144" s="2625" t="n">
        <v>0</v>
      </c>
      <c r="U144" s="2625" t="n">
        <v>0</v>
      </c>
      <c r="V144" s="2625" t="n">
        <v>0</v>
      </c>
      <c r="W144" s="2625" t="n">
        <v>0</v>
      </c>
      <c r="X144" s="2625" t="n">
        <v>0</v>
      </c>
      <c r="Y144" s="2625" t="n">
        <v>0</v>
      </c>
      <c r="Z144" s="2625" t="n">
        <v>0</v>
      </c>
      <c r="AA144" s="2625" t="n">
        <v>0</v>
      </c>
      <c r="AB144" s="2625" t="n">
        <v>0</v>
      </c>
      <c r="AC144" s="2625" t="n">
        <v>0</v>
      </c>
      <c r="AD144" s="2625" t="n">
        <v>0</v>
      </c>
      <c r="AE144" s="2626">
        <f>SUM(S144:AD144)</f>
        <v/>
      </c>
      <c r="AF144" s="1436" t="n"/>
      <c r="AG144" s="2625" t="n">
        <v>0</v>
      </c>
      <c r="AH144" s="2625" t="n">
        <v>0</v>
      </c>
      <c r="AI144" s="2625" t="n">
        <v>0</v>
      </c>
      <c r="AJ144" s="2625" t="n">
        <v>0</v>
      </c>
      <c r="AK144" s="2625" t="n">
        <v>0</v>
      </c>
      <c r="AL144" s="2625" t="n"/>
      <c r="AM144" s="2625" t="n">
        <v>0</v>
      </c>
      <c r="AN144" s="2625" t="n">
        <v>0</v>
      </c>
      <c r="AO144" s="2625" t="n"/>
      <c r="AP144" s="2625" t="n">
        <v>0</v>
      </c>
      <c r="AQ144" s="2625" t="n">
        <v>0</v>
      </c>
      <c r="AR144" s="2627" t="n">
        <v>0</v>
      </c>
      <c r="AS144" s="2626">
        <f>SUM(AG144:AR144)</f>
        <v/>
      </c>
      <c r="AT144" s="2615">
        <f>SUM(AG144:AP144)</f>
        <v/>
      </c>
      <c r="AU144" s="2627" t="n"/>
      <c r="AV144" s="2627" t="n"/>
      <c r="AW144" s="2627" t="n"/>
      <c r="AX144" s="2627" t="n"/>
      <c r="AY144" s="2627" t="n"/>
      <c r="AZ144" s="2627" t="n"/>
      <c r="BA144" s="2627" t="n"/>
      <c r="BB144" s="2627" t="n"/>
      <c r="BC144" s="2627" t="n"/>
      <c r="BD144" s="2627" t="n"/>
      <c r="BE144" s="2627" t="n"/>
      <c r="BF144" s="2627" t="n"/>
      <c r="BG144" s="2628">
        <f>SUM(AU144:BF144)</f>
        <v/>
      </c>
      <c r="BI144" s="2627" t="n"/>
      <c r="BJ144" s="2627" t="n"/>
      <c r="BK144" s="2627" t="n"/>
      <c r="BL144" s="2627" t="n"/>
      <c r="BM144" s="2627" t="n"/>
      <c r="BN144" s="2627" t="n"/>
      <c r="BO144" s="2627" t="n"/>
      <c r="BP144" s="2627" t="n"/>
      <c r="BQ144" s="2627" t="n"/>
      <c r="BR144" s="2627" t="n"/>
      <c r="BS144" s="2627" t="n"/>
      <c r="BT144" s="2627" t="n"/>
      <c r="BU144" s="2628">
        <f>SUM(BI144:BT144)</f>
        <v/>
      </c>
    </row>
    <row r="145" hidden="1" outlineLevel="1">
      <c r="A145" s="1436" t="n"/>
      <c r="B145" s="1480" t="inlineStr">
        <is>
          <t>단기금융상품처분손실</t>
        </is>
      </c>
      <c r="C145" s="1436" t="n"/>
      <c r="D145" s="2625" t="n"/>
      <c r="E145" s="2625" t="n"/>
      <c r="F145" s="2625" t="n"/>
      <c r="G145" s="2625" t="n"/>
      <c r="H145" s="2625" t="n"/>
      <c r="I145" s="2625" t="n">
        <v>0</v>
      </c>
      <c r="J145" s="2625" t="n">
        <v>0</v>
      </c>
      <c r="K145" s="2625" t="n">
        <v>0</v>
      </c>
      <c r="L145" s="2625" t="n">
        <v>0</v>
      </c>
      <c r="M145" s="2625" t="n">
        <v>0</v>
      </c>
      <c r="N145" s="2625" t="n">
        <v>0</v>
      </c>
      <c r="O145" s="2625" t="n">
        <v>0</v>
      </c>
      <c r="P145" s="2626">
        <f>SUM(D145:O145)</f>
        <v/>
      </c>
      <c r="Q145" s="1436" t="n"/>
      <c r="R145" s="1436" t="n"/>
      <c r="S145" s="2625" t="n">
        <v>0</v>
      </c>
      <c r="T145" s="2625" t="n">
        <v>0</v>
      </c>
      <c r="U145" s="2625" t="n">
        <v>0</v>
      </c>
      <c r="V145" s="2625" t="n">
        <v>0</v>
      </c>
      <c r="W145" s="2625" t="n">
        <v>0</v>
      </c>
      <c r="X145" s="2625" t="n">
        <v>0</v>
      </c>
      <c r="Y145" s="2625" t="n">
        <v>0</v>
      </c>
      <c r="Z145" s="2625" t="n">
        <v>0</v>
      </c>
      <c r="AA145" s="2625" t="n">
        <v>0</v>
      </c>
      <c r="AB145" s="2625" t="n">
        <v>0</v>
      </c>
      <c r="AC145" s="2625" t="n">
        <v>0</v>
      </c>
      <c r="AD145" s="2625" t="n">
        <v>0</v>
      </c>
      <c r="AE145" s="2626">
        <f>SUM(S145:AD145)</f>
        <v/>
      </c>
      <c r="AF145" s="1436" t="n"/>
      <c r="AG145" s="2625" t="n">
        <v>0</v>
      </c>
      <c r="AH145" s="2625" t="n">
        <v>0</v>
      </c>
      <c r="AI145" s="2625" t="n">
        <v>0</v>
      </c>
      <c r="AJ145" s="2625" t="n">
        <v>0</v>
      </c>
      <c r="AK145" s="2625" t="n">
        <v>0</v>
      </c>
      <c r="AL145" s="2625" t="n"/>
      <c r="AM145" s="2625" t="n">
        <v>0</v>
      </c>
      <c r="AN145" s="2625" t="n">
        <v>0</v>
      </c>
      <c r="AO145" s="2625" t="n"/>
      <c r="AP145" s="2625" t="n">
        <v>0</v>
      </c>
      <c r="AQ145" s="2625" t="n">
        <v>0</v>
      </c>
      <c r="AR145" s="2627" t="n">
        <v>0</v>
      </c>
      <c r="AS145" s="2626">
        <f>SUM(AG145:AR145)</f>
        <v/>
      </c>
      <c r="AT145" s="2615">
        <f>SUM(AG145:AP145)</f>
        <v/>
      </c>
      <c r="AU145" s="2627" t="n"/>
      <c r="AV145" s="2627" t="n"/>
      <c r="AW145" s="2627" t="n"/>
      <c r="AX145" s="2627" t="n"/>
      <c r="AY145" s="2627" t="n"/>
      <c r="AZ145" s="2627" t="n"/>
      <c r="BA145" s="2627" t="n"/>
      <c r="BB145" s="2627" t="n"/>
      <c r="BC145" s="2627" t="n"/>
      <c r="BD145" s="2627" t="n"/>
      <c r="BE145" s="2627" t="n"/>
      <c r="BF145" s="2627" t="n"/>
      <c r="BG145" s="2628">
        <f>SUM(AU145:BF145)</f>
        <v/>
      </c>
      <c r="BI145" s="2627" t="n"/>
      <c r="BJ145" s="2627" t="n"/>
      <c r="BK145" s="2627" t="n"/>
      <c r="BL145" s="2627" t="n"/>
      <c r="BM145" s="2627" t="n"/>
      <c r="BN145" s="2627" t="n"/>
      <c r="BO145" s="2627" t="n"/>
      <c r="BP145" s="2627" t="n"/>
      <c r="BQ145" s="2627" t="n"/>
      <c r="BR145" s="2627" t="n"/>
      <c r="BS145" s="2627" t="n"/>
      <c r="BT145" s="2627" t="n"/>
      <c r="BU145" s="2628">
        <f>SUM(BI145:BT145)</f>
        <v/>
      </c>
    </row>
    <row r="146" hidden="1" outlineLevel="1">
      <c r="A146" s="1436" t="n"/>
      <c r="B146" s="1480" t="inlineStr">
        <is>
          <t>파생상품평가손실</t>
        </is>
      </c>
      <c r="C146" s="1436" t="n"/>
      <c r="D146" s="2625" t="n"/>
      <c r="E146" s="2625" t="n"/>
      <c r="F146" s="2625" t="n"/>
      <c r="G146" s="2625" t="n"/>
      <c r="H146" s="2625" t="n"/>
      <c r="I146" s="2625" t="n">
        <v>0</v>
      </c>
      <c r="J146" s="2625" t="n">
        <v>0</v>
      </c>
      <c r="K146" s="2625" t="n">
        <v>0</v>
      </c>
      <c r="L146" s="2625" t="n">
        <v>0</v>
      </c>
      <c r="M146" s="2625" t="n">
        <v>0</v>
      </c>
      <c r="N146" s="2625" t="n">
        <v>0</v>
      </c>
      <c r="O146" s="2625" t="n">
        <v>0</v>
      </c>
      <c r="P146" s="2626">
        <f>SUM(D146:O146)</f>
        <v/>
      </c>
      <c r="Q146" s="1436" t="n"/>
      <c r="R146" s="1436" t="n"/>
      <c r="S146" s="2625" t="n">
        <v>0</v>
      </c>
      <c r="T146" s="2625" t="n">
        <v>0</v>
      </c>
      <c r="U146" s="2625" t="n">
        <v>0</v>
      </c>
      <c r="V146" s="2625" t="n">
        <v>0</v>
      </c>
      <c r="W146" s="2625" t="n">
        <v>0</v>
      </c>
      <c r="X146" s="2625" t="n">
        <v>0</v>
      </c>
      <c r="Y146" s="2625" t="n">
        <v>0</v>
      </c>
      <c r="Z146" s="2625" t="n">
        <v>0</v>
      </c>
      <c r="AA146" s="2625" t="n">
        <v>0</v>
      </c>
      <c r="AB146" s="2625" t="n">
        <v>0</v>
      </c>
      <c r="AC146" s="2625" t="n">
        <v>0</v>
      </c>
      <c r="AD146" s="2625" t="n">
        <v>0</v>
      </c>
      <c r="AE146" s="2626">
        <f>SUM(S146:AD146)</f>
        <v/>
      </c>
      <c r="AF146" s="1436" t="n"/>
      <c r="AG146" s="2625" t="n">
        <v>0</v>
      </c>
      <c r="AH146" s="2625" t="n">
        <v>0</v>
      </c>
      <c r="AI146" s="2625" t="n">
        <v>0</v>
      </c>
      <c r="AJ146" s="2625" t="n">
        <v>0</v>
      </c>
      <c r="AK146" s="2625" t="n">
        <v>0</v>
      </c>
      <c r="AL146" s="2625" t="n"/>
      <c r="AM146" s="2625" t="n">
        <v>0</v>
      </c>
      <c r="AN146" s="2625" t="n">
        <v>0</v>
      </c>
      <c r="AO146" s="2625" t="n"/>
      <c r="AP146" s="2625" t="n">
        <v>0</v>
      </c>
      <c r="AQ146" s="2625" t="n">
        <v>0</v>
      </c>
      <c r="AR146" s="2627" t="n">
        <v>0</v>
      </c>
      <c r="AS146" s="2626">
        <f>SUM(AG146:AR146)</f>
        <v/>
      </c>
      <c r="AT146" s="2615">
        <f>SUM(AG146:AP146)</f>
        <v/>
      </c>
      <c r="AU146" s="2627" t="n"/>
      <c r="AV146" s="2627" t="n"/>
      <c r="AW146" s="2627" t="n"/>
      <c r="AX146" s="2627" t="n"/>
      <c r="AY146" s="2627" t="n"/>
      <c r="AZ146" s="2627" t="n"/>
      <c r="BA146" s="2627" t="n"/>
      <c r="BB146" s="2627" t="n"/>
      <c r="BC146" s="2627" t="n"/>
      <c r="BD146" s="2627" t="n"/>
      <c r="BE146" s="2627" t="n"/>
      <c r="BF146" s="2627" t="n"/>
      <c r="BG146" s="2628">
        <f>SUM(AU146:BF146)</f>
        <v/>
      </c>
      <c r="BI146" s="2627" t="n"/>
      <c r="BJ146" s="2627" t="n"/>
      <c r="BK146" s="2627" t="n"/>
      <c r="BL146" s="2627" t="n"/>
      <c r="BM146" s="2627" t="n"/>
      <c r="BN146" s="2627" t="n"/>
      <c r="BO146" s="2627" t="n"/>
      <c r="BP146" s="2627" t="n"/>
      <c r="BQ146" s="2627" t="n"/>
      <c r="BR146" s="2627" t="n"/>
      <c r="BS146" s="2627" t="n"/>
      <c r="BT146" s="2627" t="n"/>
      <c r="BU146" s="2628">
        <f>SUM(BI146:BT146)</f>
        <v/>
      </c>
    </row>
    <row r="147" hidden="1" outlineLevel="1">
      <c r="A147" s="1436" t="n"/>
      <c r="B147" s="1480" t="inlineStr">
        <is>
          <t>파생상품거래손실</t>
        </is>
      </c>
      <c r="C147" s="1436" t="n"/>
      <c r="D147" s="2625" t="n"/>
      <c r="E147" s="2625" t="n"/>
      <c r="F147" s="2625" t="n"/>
      <c r="G147" s="2625" t="n"/>
      <c r="H147" s="2625" t="n"/>
      <c r="I147" s="2625" t="n">
        <v>0</v>
      </c>
      <c r="J147" s="2625" t="n">
        <v>0</v>
      </c>
      <c r="K147" s="2625" t="n">
        <v>0</v>
      </c>
      <c r="L147" s="2625" t="n">
        <v>0</v>
      </c>
      <c r="M147" s="2625" t="n">
        <v>0</v>
      </c>
      <c r="N147" s="2625" t="n">
        <v>0</v>
      </c>
      <c r="O147" s="2625" t="n">
        <v>0</v>
      </c>
      <c r="P147" s="2626">
        <f>SUM(D147:O147)</f>
        <v/>
      </c>
      <c r="Q147" s="1436" t="n"/>
      <c r="R147" s="1436" t="n"/>
      <c r="S147" s="2625" t="n">
        <v>0</v>
      </c>
      <c r="T147" s="2625" t="n">
        <v>0</v>
      </c>
      <c r="U147" s="2625" t="n">
        <v>0</v>
      </c>
      <c r="V147" s="2625" t="n">
        <v>0</v>
      </c>
      <c r="W147" s="2625" t="n">
        <v>0</v>
      </c>
      <c r="X147" s="2625" t="n">
        <v>0</v>
      </c>
      <c r="Y147" s="2625" t="n">
        <v>0</v>
      </c>
      <c r="Z147" s="2625" t="n">
        <v>0</v>
      </c>
      <c r="AA147" s="2625" t="n">
        <v>0</v>
      </c>
      <c r="AB147" s="2625" t="n">
        <v>0</v>
      </c>
      <c r="AC147" s="2625" t="n">
        <v>0</v>
      </c>
      <c r="AD147" s="2625" t="n">
        <v>0</v>
      </c>
      <c r="AE147" s="2626">
        <f>SUM(S147:AD147)</f>
        <v/>
      </c>
      <c r="AF147" s="1436" t="n"/>
      <c r="AG147" s="2625" t="n">
        <v>0</v>
      </c>
      <c r="AH147" s="2625" t="n">
        <v>0</v>
      </c>
      <c r="AI147" s="2625" t="n">
        <v>0</v>
      </c>
      <c r="AJ147" s="2625" t="n">
        <v>0</v>
      </c>
      <c r="AK147" s="2625" t="n">
        <v>0</v>
      </c>
      <c r="AL147" s="2625" t="n"/>
      <c r="AM147" s="2625" t="n">
        <v>0</v>
      </c>
      <c r="AN147" s="2625" t="n">
        <v>0</v>
      </c>
      <c r="AO147" s="2625" t="n"/>
      <c r="AP147" s="2625" t="n">
        <v>0</v>
      </c>
      <c r="AQ147" s="2625" t="n">
        <v>0</v>
      </c>
      <c r="AR147" s="2627" t="n">
        <v>0</v>
      </c>
      <c r="AS147" s="2626">
        <f>SUM(AG147:AR147)</f>
        <v/>
      </c>
      <c r="AT147" s="2615">
        <f>SUM(AG147:AP147)</f>
        <v/>
      </c>
      <c r="AU147" s="2627" t="n"/>
      <c r="AV147" s="2627" t="n"/>
      <c r="AW147" s="2627" t="n"/>
      <c r="AX147" s="2627" t="n"/>
      <c r="AY147" s="2627" t="n"/>
      <c r="AZ147" s="2627" t="n"/>
      <c r="BA147" s="2627" t="n"/>
      <c r="BB147" s="2627" t="n"/>
      <c r="BC147" s="2627" t="n"/>
      <c r="BD147" s="2627" t="n"/>
      <c r="BE147" s="2627" t="n"/>
      <c r="BF147" s="2627" t="n"/>
      <c r="BG147" s="2628">
        <f>SUM(AU147:BF147)</f>
        <v/>
      </c>
      <c r="BI147" s="2627" t="n"/>
      <c r="BJ147" s="2627" t="n"/>
      <c r="BK147" s="2627" t="n"/>
      <c r="BL147" s="2627" t="n"/>
      <c r="BM147" s="2627" t="n"/>
      <c r="BN147" s="2627" t="n"/>
      <c r="BO147" s="2627" t="n"/>
      <c r="BP147" s="2627" t="n"/>
      <c r="BQ147" s="2627" t="n"/>
      <c r="BR147" s="2627" t="n"/>
      <c r="BS147" s="2627" t="n"/>
      <c r="BT147" s="2627" t="n"/>
      <c r="BU147" s="2628">
        <f>SUM(BI147:BT147)</f>
        <v/>
      </c>
    </row>
    <row r="148" hidden="1" outlineLevel="1">
      <c r="A148" s="1436" t="n"/>
      <c r="B148" s="1481" t="inlineStr">
        <is>
          <t>비지배지분부채평가손실</t>
        </is>
      </c>
      <c r="C148" s="1436" t="n"/>
      <c r="D148" s="2625" t="n"/>
      <c r="E148" s="2625" t="n"/>
      <c r="F148" s="2625" t="n"/>
      <c r="G148" s="2625" t="n"/>
      <c r="H148" s="2625" t="n"/>
      <c r="I148" s="2625" t="n"/>
      <c r="J148" s="2625" t="n"/>
      <c r="K148" s="2625" t="n"/>
      <c r="L148" s="2625" t="n"/>
      <c r="M148" s="2625" t="n"/>
      <c r="N148" s="2625" t="n"/>
      <c r="O148" s="2625" t="n"/>
      <c r="P148" s="2626" t="n"/>
      <c r="Q148" s="1436" t="n"/>
      <c r="R148" s="1436" t="n"/>
      <c r="S148" s="2625" t="n"/>
      <c r="T148" s="2625" t="n"/>
      <c r="U148" s="2625" t="n"/>
      <c r="V148" s="2625" t="n"/>
      <c r="W148" s="2625" t="n"/>
      <c r="X148" s="2625" t="n"/>
      <c r="Y148" s="2625" t="n"/>
      <c r="Z148" s="2625" t="n"/>
      <c r="AA148" s="2625" t="n"/>
      <c r="AB148" s="2625" t="n"/>
      <c r="AC148" s="2625" t="n"/>
      <c r="AD148" s="2625" t="n"/>
      <c r="AE148" s="2626" t="n"/>
      <c r="AF148" s="1436" t="n"/>
      <c r="AG148" s="2625" t="n"/>
      <c r="AH148" s="2625" t="n"/>
      <c r="AI148" s="2625" t="n"/>
      <c r="AJ148" s="2625" t="n"/>
      <c r="AK148" s="2625" t="n"/>
      <c r="AL148" s="2625" t="n"/>
      <c r="AM148" s="2625" t="n"/>
      <c r="AN148" s="2625" t="n"/>
      <c r="AO148" s="2625" t="n"/>
      <c r="AP148" s="2625" t="n"/>
      <c r="AQ148" s="2625" t="n"/>
      <c r="AR148" s="2627" t="n"/>
      <c r="AS148" s="2626" t="n"/>
      <c r="AT148" s="2615" t="n"/>
      <c r="AU148" s="2627" t="n"/>
      <c r="AV148" s="2627" t="n"/>
      <c r="AW148" s="2627" t="n"/>
      <c r="AX148" s="2627" t="n"/>
      <c r="AY148" s="2627" t="n"/>
      <c r="AZ148" s="2627" t="n"/>
      <c r="BA148" s="2627" t="n"/>
      <c r="BB148" s="2627" t="n"/>
      <c r="BC148" s="2627" t="n"/>
      <c r="BD148" s="2627" t="n"/>
      <c r="BE148" s="2627" t="n"/>
      <c r="BF148" s="2627" t="n"/>
      <c r="BG148" s="2628" t="n"/>
      <c r="BI148" s="2627" t="n"/>
      <c r="BJ148" s="2627" t="n"/>
      <c r="BK148" s="2627" t="n"/>
      <c r="BL148" s="2627" t="n"/>
      <c r="BM148" s="2627" t="n"/>
      <c r="BN148" s="2627" t="n"/>
      <c r="BO148" s="2627" t="n"/>
      <c r="BP148" s="2627" t="n"/>
      <c r="BQ148" s="2627" t="n"/>
      <c r="BR148" s="2627" t="n"/>
      <c r="BS148" s="2627" t="n"/>
      <c r="BT148" s="2627" t="n"/>
      <c r="BU148" s="2628" t="n"/>
    </row>
    <row r="149" hidden="1" outlineLevel="1">
      <c r="A149" s="1436" t="n"/>
      <c r="B149" s="1480" t="inlineStr">
        <is>
          <t>단기금융부채평가손실</t>
        </is>
      </c>
      <c r="C149" s="1436" t="n"/>
      <c r="D149" s="2625" t="n"/>
      <c r="E149" s="2625" t="n"/>
      <c r="F149" s="2625" t="n"/>
      <c r="G149" s="2625" t="n"/>
      <c r="H149" s="2625" t="n"/>
      <c r="I149" s="2625" t="n">
        <v>0</v>
      </c>
      <c r="J149" s="2625" t="n">
        <v>0</v>
      </c>
      <c r="K149" s="2625" t="n">
        <v>0</v>
      </c>
      <c r="L149" s="2625" t="n">
        <v>0</v>
      </c>
      <c r="M149" s="2625" t="n">
        <v>0</v>
      </c>
      <c r="N149" s="2625" t="n">
        <v>0</v>
      </c>
      <c r="O149" s="2625" t="n">
        <v>0</v>
      </c>
      <c r="P149" s="2626">
        <f>SUM(D149:O149)</f>
        <v/>
      </c>
      <c r="Q149" s="1436" t="n"/>
      <c r="R149" s="1436" t="n"/>
      <c r="S149" s="2625" t="n">
        <v>0</v>
      </c>
      <c r="T149" s="2625" t="n">
        <v>0</v>
      </c>
      <c r="U149" s="2625" t="n">
        <v>0</v>
      </c>
      <c r="V149" s="2625" t="n">
        <v>0</v>
      </c>
      <c r="W149" s="2625" t="n">
        <v>0</v>
      </c>
      <c r="X149" s="2625" t="n">
        <v>0</v>
      </c>
      <c r="Y149" s="2625" t="n">
        <v>0</v>
      </c>
      <c r="Z149" s="2625" t="n">
        <v>0</v>
      </c>
      <c r="AA149" s="2625" t="n">
        <v>0</v>
      </c>
      <c r="AB149" s="2625" t="n">
        <v>0</v>
      </c>
      <c r="AC149" s="2625" t="n">
        <v>0</v>
      </c>
      <c r="AD149" s="2625" t="n">
        <v>0</v>
      </c>
      <c r="AE149" s="2626">
        <f>SUM(S149:AD149)</f>
        <v/>
      </c>
      <c r="AF149" s="1436" t="n"/>
      <c r="AG149" s="2625" t="n">
        <v>0</v>
      </c>
      <c r="AH149" s="2625" t="n">
        <v>0</v>
      </c>
      <c r="AI149" s="2625" t="n">
        <v>0</v>
      </c>
      <c r="AJ149" s="2625" t="n">
        <v>0</v>
      </c>
      <c r="AK149" s="2625" t="n">
        <v>0</v>
      </c>
      <c r="AL149" s="2625" t="n"/>
      <c r="AM149" s="2625" t="n">
        <v>0</v>
      </c>
      <c r="AN149" s="2625" t="n">
        <v>0</v>
      </c>
      <c r="AO149" s="2625" t="n"/>
      <c r="AP149" s="2625" t="n">
        <v>0</v>
      </c>
      <c r="AQ149" s="2625" t="n">
        <v>0</v>
      </c>
      <c r="AR149" s="2627" t="n">
        <v>0</v>
      </c>
      <c r="AS149" s="2626">
        <f>SUM(AG149:AR149)</f>
        <v/>
      </c>
      <c r="AT149" s="2615">
        <f>SUM(AG149:AP149)</f>
        <v/>
      </c>
      <c r="AU149" s="2627" t="n"/>
      <c r="AV149" s="2627" t="n"/>
      <c r="AW149" s="2627" t="n"/>
      <c r="AX149" s="2627" t="n"/>
      <c r="AY149" s="2627" t="n"/>
      <c r="AZ149" s="2627" t="n"/>
      <c r="BA149" s="2627" t="n"/>
      <c r="BB149" s="2627" t="n"/>
      <c r="BC149" s="2627" t="n"/>
      <c r="BD149" s="2627" t="n"/>
      <c r="BE149" s="2627" t="n"/>
      <c r="BF149" s="2627" t="n"/>
      <c r="BG149" s="2628">
        <f>SUM(AU149:BF149)</f>
        <v/>
      </c>
      <c r="BI149" s="2627" t="n"/>
      <c r="BJ149" s="2627" t="n"/>
      <c r="BK149" s="2627" t="n"/>
      <c r="BL149" s="2627" t="n"/>
      <c r="BM149" s="2627" t="n"/>
      <c r="BN149" s="2627" t="n"/>
      <c r="BO149" s="2627" t="n"/>
      <c r="BP149" s="2627" t="n"/>
      <c r="BQ149" s="2627" t="n"/>
      <c r="BR149" s="2627" t="n"/>
      <c r="BS149" s="2627" t="n"/>
      <c r="BT149" s="2627" t="n"/>
      <c r="BU149" s="2628">
        <f>SUM(BI149:BT149)</f>
        <v/>
      </c>
    </row>
    <row r="150" hidden="1" outlineLevel="1">
      <c r="A150" s="1436" t="n"/>
      <c r="B150" s="1480" t="inlineStr">
        <is>
          <t>단기금융부채처분손실</t>
        </is>
      </c>
      <c r="C150" s="1436" t="n"/>
      <c r="D150" s="2625" t="n"/>
      <c r="E150" s="2625" t="n"/>
      <c r="F150" s="2625" t="n"/>
      <c r="G150" s="2625" t="n"/>
      <c r="H150" s="2625" t="n"/>
      <c r="I150" s="2625" t="n"/>
      <c r="J150" s="2625" t="n"/>
      <c r="K150" s="2625" t="n"/>
      <c r="L150" s="2625" t="n"/>
      <c r="M150" s="2625" t="n"/>
      <c r="N150" s="2625" t="n"/>
      <c r="O150" s="2625" t="n"/>
      <c r="P150" s="2626" t="n"/>
      <c r="Q150" s="1436" t="n"/>
      <c r="R150" s="1436" t="n"/>
      <c r="S150" s="2625" t="n"/>
      <c r="T150" s="2625" t="n"/>
      <c r="U150" s="2625" t="n"/>
      <c r="V150" s="2625" t="n"/>
      <c r="W150" s="2625" t="n"/>
      <c r="X150" s="2625" t="n"/>
      <c r="Y150" s="2625" t="n"/>
      <c r="Z150" s="2625" t="n"/>
      <c r="AA150" s="2625" t="n"/>
      <c r="AB150" s="2625" t="n"/>
      <c r="AC150" s="2625" t="n"/>
      <c r="AD150" s="2625" t="n"/>
      <c r="AE150" s="2626">
        <f>SUM(S150:AD150)</f>
        <v/>
      </c>
      <c r="AF150" s="1436" t="n"/>
      <c r="AG150" s="2625" t="n">
        <v>0</v>
      </c>
      <c r="AH150" s="2625" t="n">
        <v>0</v>
      </c>
      <c r="AI150" s="2625" t="n">
        <v>0</v>
      </c>
      <c r="AJ150" s="2625" t="n">
        <v>0</v>
      </c>
      <c r="AK150" s="2625" t="n">
        <v>0</v>
      </c>
      <c r="AL150" s="2625" t="n"/>
      <c r="AM150" s="2625" t="n">
        <v>0</v>
      </c>
      <c r="AN150" s="2625" t="n">
        <v>0</v>
      </c>
      <c r="AO150" s="2625" t="n"/>
      <c r="AP150" s="2625" t="n">
        <v>0</v>
      </c>
      <c r="AQ150" s="2625" t="n">
        <v>0</v>
      </c>
      <c r="AR150" s="2627" t="n">
        <v>0</v>
      </c>
      <c r="AS150" s="2626">
        <f>SUM(AG150:AR150)</f>
        <v/>
      </c>
      <c r="AT150" s="2615">
        <f>SUM(AG150:AP150)</f>
        <v/>
      </c>
      <c r="AU150" s="2627" t="n"/>
      <c r="AV150" s="2627" t="n"/>
      <c r="AW150" s="2627" t="n"/>
      <c r="AX150" s="2627" t="n"/>
      <c r="AY150" s="2627" t="n"/>
      <c r="AZ150" s="2627" t="n"/>
      <c r="BA150" s="2627" t="n"/>
      <c r="BB150" s="2627" t="n"/>
      <c r="BC150" s="2627" t="n"/>
      <c r="BD150" s="2627" t="n"/>
      <c r="BE150" s="2627" t="n"/>
      <c r="BF150" s="2627" t="n"/>
      <c r="BG150" s="2628">
        <f>SUM(AU150:BF150)</f>
        <v/>
      </c>
      <c r="BI150" s="2627" t="n"/>
      <c r="BJ150" s="2627" t="n"/>
      <c r="BK150" s="2627" t="n"/>
      <c r="BL150" s="2627" t="n"/>
      <c r="BM150" s="2627" t="n"/>
      <c r="BN150" s="2627" t="n"/>
      <c r="BO150" s="2627" t="n"/>
      <c r="BP150" s="2627" t="n"/>
      <c r="BQ150" s="2627" t="n"/>
      <c r="BR150" s="2627" t="n"/>
      <c r="BS150" s="2627" t="n"/>
      <c r="BT150" s="2627" t="n"/>
      <c r="BU150" s="2628">
        <f>SUM(BI150:BT150)</f>
        <v/>
      </c>
    </row>
    <row r="151" hidden="1" outlineLevel="1">
      <c r="A151" s="1436" t="n"/>
      <c r="B151" s="1480" t="inlineStr">
        <is>
          <t>매도가능금융자산처분손실</t>
        </is>
      </c>
      <c r="C151" s="1436" t="n"/>
      <c r="D151" s="2625" t="n"/>
      <c r="E151" s="2625" t="n"/>
      <c r="F151" s="2625" t="n"/>
      <c r="G151" s="2625" t="n"/>
      <c r="H151" s="2625" t="n"/>
      <c r="I151" s="2625" t="n">
        <v>0</v>
      </c>
      <c r="J151" s="2625" t="n">
        <v>0</v>
      </c>
      <c r="K151" s="2625" t="n">
        <v>0</v>
      </c>
      <c r="L151" s="2625" t="n">
        <v>0</v>
      </c>
      <c r="M151" s="2625" t="n">
        <v>0</v>
      </c>
      <c r="N151" s="2625" t="n">
        <v>0</v>
      </c>
      <c r="O151" s="2625" t="n">
        <v>0</v>
      </c>
      <c r="P151" s="2626">
        <f>SUM(D151:O151)</f>
        <v/>
      </c>
      <c r="Q151" s="1436" t="n"/>
      <c r="R151" s="1436" t="n"/>
      <c r="S151" s="2625" t="n">
        <v>0</v>
      </c>
      <c r="T151" s="2625" t="n">
        <v>0</v>
      </c>
      <c r="U151" s="2625" t="n">
        <v>0</v>
      </c>
      <c r="V151" s="2625" t="n">
        <v>0</v>
      </c>
      <c r="W151" s="2625" t="n">
        <v>0</v>
      </c>
      <c r="X151" s="2625" t="n">
        <v>0</v>
      </c>
      <c r="Y151" s="2625" t="n">
        <v>0</v>
      </c>
      <c r="Z151" s="2625" t="n">
        <v>0</v>
      </c>
      <c r="AA151" s="2625" t="n">
        <v>0</v>
      </c>
      <c r="AB151" s="2625" t="n">
        <v>0</v>
      </c>
      <c r="AC151" s="2625" t="n">
        <v>0</v>
      </c>
      <c r="AD151" s="2625" t="n">
        <v>0</v>
      </c>
      <c r="AE151" s="2626">
        <f>SUM(S151:AD151)</f>
        <v/>
      </c>
      <c r="AF151" s="1436" t="n"/>
      <c r="AG151" s="2625" t="n">
        <v>0</v>
      </c>
      <c r="AH151" s="2625" t="n">
        <v>0</v>
      </c>
      <c r="AI151" s="2625" t="n">
        <v>0</v>
      </c>
      <c r="AJ151" s="2625" t="n">
        <v>0</v>
      </c>
      <c r="AK151" s="2625" t="n">
        <v>0</v>
      </c>
      <c r="AL151" s="2625" t="n"/>
      <c r="AM151" s="2625" t="n">
        <v>0</v>
      </c>
      <c r="AN151" s="2625" t="n">
        <v>0</v>
      </c>
      <c r="AO151" s="2625" t="n"/>
      <c r="AP151" s="2625" t="n">
        <v>0</v>
      </c>
      <c r="AQ151" s="2625" t="n">
        <v>0</v>
      </c>
      <c r="AR151" s="2627" t="n">
        <v>0</v>
      </c>
      <c r="AS151" s="2626">
        <f>SUM(AG151:AR151)</f>
        <v/>
      </c>
      <c r="AT151" s="2615">
        <f>SUM(AG151:AP151)</f>
        <v/>
      </c>
      <c r="AU151" s="2627" t="n"/>
      <c r="AV151" s="2627" t="n"/>
      <c r="AW151" s="2627" t="n"/>
      <c r="AX151" s="2627" t="n"/>
      <c r="AY151" s="2627" t="n"/>
      <c r="AZ151" s="2627" t="n"/>
      <c r="BA151" s="2627" t="n"/>
      <c r="BB151" s="2627" t="n"/>
      <c r="BC151" s="2627" t="n"/>
      <c r="BD151" s="2627" t="n"/>
      <c r="BE151" s="2627" t="n"/>
      <c r="BF151" s="2627" t="n"/>
      <c r="BG151" s="2628">
        <f>SUM(AU151:BF151)</f>
        <v/>
      </c>
      <c r="BI151" s="2627" t="n"/>
      <c r="BJ151" s="2627" t="n"/>
      <c r="BK151" s="2627" t="n"/>
      <c r="BL151" s="2627" t="n"/>
      <c r="BM151" s="2627" t="n"/>
      <c r="BN151" s="2627" t="n"/>
      <c r="BO151" s="2627" t="n"/>
      <c r="BP151" s="2627" t="n"/>
      <c r="BQ151" s="2627" t="n"/>
      <c r="BR151" s="2627" t="n"/>
      <c r="BS151" s="2627" t="n"/>
      <c r="BT151" s="2627" t="n"/>
      <c r="BU151" s="2628">
        <f>SUM(BI151:BT151)</f>
        <v/>
      </c>
    </row>
    <row r="152" hidden="1" outlineLevel="1">
      <c r="A152" s="1436" t="n"/>
      <c r="B152" s="1480" t="inlineStr">
        <is>
          <t>매도가능금융자산평가손실</t>
        </is>
      </c>
      <c r="C152" s="1436" t="n"/>
      <c r="D152" s="2625" t="n"/>
      <c r="E152" s="2625" t="n"/>
      <c r="F152" s="2625" t="n"/>
      <c r="G152" s="2625" t="n"/>
      <c r="H152" s="2625" t="n"/>
      <c r="I152" s="2625" t="n"/>
      <c r="J152" s="2625" t="n"/>
      <c r="K152" s="2625" t="n"/>
      <c r="L152" s="2625" t="n"/>
      <c r="M152" s="2625" t="n"/>
      <c r="N152" s="2625" t="n"/>
      <c r="O152" s="2625" t="n">
        <v>0</v>
      </c>
      <c r="P152" s="2626">
        <f>SUM(D152:O152)</f>
        <v/>
      </c>
      <c r="Q152" s="1436" t="n"/>
      <c r="R152" s="1436" t="n"/>
      <c r="S152" s="2625" t="n">
        <v>0</v>
      </c>
      <c r="T152" s="2625" t="n">
        <v>0</v>
      </c>
      <c r="U152" s="2625" t="n">
        <v>0</v>
      </c>
      <c r="V152" s="2625" t="n">
        <v>0</v>
      </c>
      <c r="W152" s="2625" t="n">
        <v>0</v>
      </c>
      <c r="X152" s="2625" t="n">
        <v>0</v>
      </c>
      <c r="Y152" s="2625" t="n">
        <v>0</v>
      </c>
      <c r="Z152" s="2625" t="n">
        <v>0</v>
      </c>
      <c r="AA152" s="2625" t="n">
        <v>0</v>
      </c>
      <c r="AB152" s="2625" t="n">
        <v>0</v>
      </c>
      <c r="AC152" s="2625" t="n">
        <v>0</v>
      </c>
      <c r="AD152" s="2625" t="n">
        <v>0</v>
      </c>
      <c r="AE152" s="2626">
        <f>SUM(S152:AD152)</f>
        <v/>
      </c>
      <c r="AF152" s="1436" t="n"/>
      <c r="AG152" s="2625" t="n">
        <v>0</v>
      </c>
      <c r="AH152" s="2625" t="n">
        <v>0</v>
      </c>
      <c r="AI152" s="2625" t="n">
        <v>0</v>
      </c>
      <c r="AJ152" s="2625" t="n">
        <v>0</v>
      </c>
      <c r="AK152" s="2625" t="n">
        <v>0</v>
      </c>
      <c r="AL152" s="2625" t="n"/>
      <c r="AM152" s="2625" t="n">
        <v>0</v>
      </c>
      <c r="AN152" s="2625" t="n">
        <v>0</v>
      </c>
      <c r="AO152" s="2625" t="n"/>
      <c r="AP152" s="2625" t="n">
        <v>0</v>
      </c>
      <c r="AQ152" s="2625" t="n">
        <v>0</v>
      </c>
      <c r="AR152" s="2627" t="n">
        <v>0</v>
      </c>
      <c r="AS152" s="2626">
        <f>SUM(AG152:AR152)</f>
        <v/>
      </c>
      <c r="AT152" s="2615">
        <f>SUM(AG152:AP152)</f>
        <v/>
      </c>
      <c r="AU152" s="2627" t="n"/>
      <c r="AV152" s="2627" t="n"/>
      <c r="AW152" s="2627" t="n"/>
      <c r="AX152" s="2627" t="n"/>
      <c r="AY152" s="2627" t="n"/>
      <c r="AZ152" s="2627" t="n"/>
      <c r="BA152" s="2627" t="n"/>
      <c r="BB152" s="2627" t="n"/>
      <c r="BC152" s="2627" t="n"/>
      <c r="BD152" s="2627" t="n"/>
      <c r="BE152" s="2627" t="n"/>
      <c r="BF152" s="2627" t="n"/>
      <c r="BG152" s="2628">
        <f>SUM(AU152:BF152)</f>
        <v/>
      </c>
      <c r="BI152" s="2627" t="n"/>
      <c r="BJ152" s="2627" t="n"/>
      <c r="BK152" s="2627" t="n"/>
      <c r="BL152" s="2627" t="n"/>
      <c r="BM152" s="2627" t="n"/>
      <c r="BN152" s="2627" t="n"/>
      <c r="BO152" s="2627" t="n"/>
      <c r="BP152" s="2627" t="n"/>
      <c r="BQ152" s="2627" t="n"/>
      <c r="BR152" s="2627" t="n"/>
      <c r="BS152" s="2627" t="n"/>
      <c r="BT152" s="2627" t="n"/>
      <c r="BU152" s="2628">
        <f>SUM(BI152:BT152)</f>
        <v/>
      </c>
    </row>
    <row r="153" hidden="1" outlineLevel="1">
      <c r="A153" s="1436" t="n"/>
      <c r="B153" s="1480" t="inlineStr">
        <is>
          <t>매도가능금융자산감액손실</t>
        </is>
      </c>
      <c r="C153" s="1436" t="n"/>
      <c r="D153" s="2625" t="n"/>
      <c r="E153" s="2625" t="n"/>
      <c r="F153" s="2625" t="n"/>
      <c r="G153" s="2625" t="n"/>
      <c r="H153" s="2625" t="n"/>
      <c r="I153" s="2625" t="n"/>
      <c r="J153" s="2625" t="n"/>
      <c r="K153" s="2625" t="n"/>
      <c r="L153" s="2625" t="n">
        <v>0</v>
      </c>
      <c r="M153" s="2625" t="n">
        <v>0</v>
      </c>
      <c r="N153" s="2625" t="n">
        <v>0</v>
      </c>
      <c r="O153" s="2625" t="n">
        <v>0</v>
      </c>
      <c r="P153" s="2626">
        <f>SUM(D153:O153)</f>
        <v/>
      </c>
      <c r="Q153" s="1436" t="n"/>
      <c r="R153" s="1436" t="n"/>
      <c r="S153" s="2625" t="n">
        <v>0</v>
      </c>
      <c r="T153" s="2625" t="n">
        <v>0</v>
      </c>
      <c r="U153" s="2625" t="n">
        <v>0</v>
      </c>
      <c r="V153" s="2625" t="n">
        <v>0</v>
      </c>
      <c r="W153" s="2625" t="n">
        <v>0</v>
      </c>
      <c r="X153" s="2625" t="n">
        <v>0</v>
      </c>
      <c r="Y153" s="2625" t="n">
        <v>0</v>
      </c>
      <c r="Z153" s="2625" t="n">
        <v>0</v>
      </c>
      <c r="AA153" s="2625" t="n">
        <v>0</v>
      </c>
      <c r="AB153" s="2625" t="n">
        <v>0</v>
      </c>
      <c r="AC153" s="2625" t="n">
        <v>0</v>
      </c>
      <c r="AD153" s="2625" t="n">
        <v>0</v>
      </c>
      <c r="AE153" s="2626">
        <f>SUM(S153:AD153)</f>
        <v/>
      </c>
      <c r="AF153" s="1436" t="n"/>
      <c r="AG153" s="2625" t="n">
        <v>0</v>
      </c>
      <c r="AH153" s="2625" t="n">
        <v>0</v>
      </c>
      <c r="AI153" s="2625" t="n">
        <v>0</v>
      </c>
      <c r="AJ153" s="2625" t="n">
        <v>0</v>
      </c>
      <c r="AK153" s="2625" t="n">
        <v>0</v>
      </c>
      <c r="AL153" s="2625" t="n"/>
      <c r="AM153" s="2625" t="n">
        <v>0</v>
      </c>
      <c r="AN153" s="2625" t="n">
        <v>0</v>
      </c>
      <c r="AO153" s="2625" t="n"/>
      <c r="AP153" s="2625" t="n">
        <v>0</v>
      </c>
      <c r="AQ153" s="2625" t="n">
        <v>0</v>
      </c>
      <c r="AR153" s="2627" t="n">
        <v>0</v>
      </c>
      <c r="AS153" s="2626">
        <f>SUM(AG153:AR153)</f>
        <v/>
      </c>
      <c r="AT153" s="2615">
        <f>SUM(AG153:AP153)</f>
        <v/>
      </c>
      <c r="AU153" s="2627" t="n"/>
      <c r="AV153" s="2627" t="n"/>
      <c r="AW153" s="2627" t="n"/>
      <c r="AX153" s="2627" t="n"/>
      <c r="AY153" s="2627" t="n"/>
      <c r="AZ153" s="2627" t="n"/>
      <c r="BA153" s="2627" t="n"/>
      <c r="BB153" s="2627" t="n"/>
      <c r="BC153" s="2627" t="n"/>
      <c r="BD153" s="2627" t="n"/>
      <c r="BE153" s="2627" t="n"/>
      <c r="BF153" s="2627" t="n"/>
      <c r="BG153" s="2628">
        <f>SUM(AU153:BF153)</f>
        <v/>
      </c>
      <c r="BI153" s="2627" t="n"/>
      <c r="BJ153" s="2627" t="n"/>
      <c r="BK153" s="2627" t="n"/>
      <c r="BL153" s="2627" t="n"/>
      <c r="BM153" s="2627" t="n"/>
      <c r="BN153" s="2627" t="n"/>
      <c r="BO153" s="2627" t="n"/>
      <c r="BP153" s="2627" t="n"/>
      <c r="BQ153" s="2627" t="n"/>
      <c r="BR153" s="2627" t="n"/>
      <c r="BS153" s="2627" t="n"/>
      <c r="BT153" s="2627" t="n"/>
      <c r="BU153" s="2628">
        <f>SUM(BI153:BT153)</f>
        <v/>
      </c>
    </row>
    <row r="154" hidden="1" outlineLevel="1">
      <c r="A154" s="1436" t="n"/>
      <c r="B154" s="1480" t="inlineStr">
        <is>
          <t>매도가능금융자산손상차손</t>
        </is>
      </c>
      <c r="C154" s="1436" t="n"/>
      <c r="D154" s="2625" t="n"/>
      <c r="E154" s="2625" t="n"/>
      <c r="F154" s="2625" t="n"/>
      <c r="G154" s="2625" t="n"/>
      <c r="H154" s="2625" t="n"/>
      <c r="I154" s="2625" t="n">
        <v>0</v>
      </c>
      <c r="J154" s="2625" t="n">
        <v>0</v>
      </c>
      <c r="K154" s="2625" t="n">
        <v>0</v>
      </c>
      <c r="L154" s="2625" t="n">
        <v>0</v>
      </c>
      <c r="M154" s="2625" t="n">
        <v>0</v>
      </c>
      <c r="N154" s="2625" t="n">
        <v>0</v>
      </c>
      <c r="O154" s="2625" t="n">
        <v>0</v>
      </c>
      <c r="P154" s="2626">
        <f>SUM(D154:O154)</f>
        <v/>
      </c>
      <c r="Q154" s="1436" t="n"/>
      <c r="R154" s="1436" t="n"/>
      <c r="S154" s="2625" t="n">
        <v>0</v>
      </c>
      <c r="T154" s="2625" t="n">
        <v>0</v>
      </c>
      <c r="U154" s="2625" t="n">
        <v>0</v>
      </c>
      <c r="V154" s="2625" t="n">
        <v>0</v>
      </c>
      <c r="W154" s="2625" t="n">
        <v>0</v>
      </c>
      <c r="X154" s="2625" t="n">
        <v>0</v>
      </c>
      <c r="Y154" s="2625" t="n">
        <v>0</v>
      </c>
      <c r="Z154" s="2625" t="n">
        <v>0</v>
      </c>
      <c r="AA154" s="2625" t="n">
        <v>0</v>
      </c>
      <c r="AB154" s="2625" t="n">
        <v>0</v>
      </c>
      <c r="AC154" s="2625" t="n">
        <v>0</v>
      </c>
      <c r="AD154" s="2625" t="n">
        <v>0</v>
      </c>
      <c r="AE154" s="2626">
        <f>SUM(S154:AD154)</f>
        <v/>
      </c>
      <c r="AF154" s="1436" t="n"/>
      <c r="AG154" s="2625" t="n">
        <v>0</v>
      </c>
      <c r="AH154" s="2625" t="n">
        <v>0</v>
      </c>
      <c r="AI154" s="2625" t="n">
        <v>0</v>
      </c>
      <c r="AJ154" s="2625" t="n">
        <v>0</v>
      </c>
      <c r="AK154" s="2625" t="n">
        <v>0</v>
      </c>
      <c r="AL154" s="2625" t="n"/>
      <c r="AM154" s="2625" t="n">
        <v>0</v>
      </c>
      <c r="AN154" s="2625" t="n">
        <v>0</v>
      </c>
      <c r="AO154" s="2625" t="n"/>
      <c r="AP154" s="2625" t="n">
        <v>0</v>
      </c>
      <c r="AQ154" s="2625" t="n">
        <v>0</v>
      </c>
      <c r="AR154" s="2627" t="n">
        <v>0</v>
      </c>
      <c r="AS154" s="2626">
        <f>SUM(AG154:AR154)</f>
        <v/>
      </c>
      <c r="AT154" s="2615">
        <f>SUM(AG154:AP154)</f>
        <v/>
      </c>
      <c r="AU154" s="2627" t="n"/>
      <c r="AV154" s="2627" t="n"/>
      <c r="AW154" s="2627" t="n"/>
      <c r="AX154" s="2627" t="n"/>
      <c r="AY154" s="2627" t="n"/>
      <c r="AZ154" s="2627" t="n"/>
      <c r="BA154" s="2627" t="n"/>
      <c r="BB154" s="2627" t="n"/>
      <c r="BC154" s="2627" t="n"/>
      <c r="BD154" s="2627" t="n"/>
      <c r="BE154" s="2627" t="n"/>
      <c r="BF154" s="2627" t="n"/>
      <c r="BG154" s="2628">
        <f>SUM(AU154:BF154)</f>
        <v/>
      </c>
      <c r="BI154" s="2627" t="n"/>
      <c r="BJ154" s="2627" t="n"/>
      <c r="BK154" s="2627" t="n"/>
      <c r="BL154" s="2627" t="n"/>
      <c r="BM154" s="2627" t="n"/>
      <c r="BN154" s="2627" t="n"/>
      <c r="BO154" s="2627" t="n"/>
      <c r="BP154" s="2627" t="n"/>
      <c r="BQ154" s="2627" t="n"/>
      <c r="BR154" s="2627" t="n"/>
      <c r="BS154" s="2627" t="n"/>
      <c r="BT154" s="2627" t="n"/>
      <c r="BU154" s="2628">
        <f>SUM(BI154:BT154)</f>
        <v/>
      </c>
    </row>
    <row r="155" hidden="1" outlineLevel="1">
      <c r="A155" s="1436" t="n"/>
      <c r="B155" s="1480" t="inlineStr">
        <is>
          <t>단기매매비파생상품처분손실</t>
        </is>
      </c>
      <c r="C155" s="1436" t="n"/>
      <c r="D155" s="2625" t="n"/>
      <c r="E155" s="2625" t="n"/>
      <c r="F155" s="2625" t="n"/>
      <c r="G155" s="2625" t="n"/>
      <c r="H155" s="2625" t="n"/>
      <c r="I155" s="2625" t="n">
        <v>0</v>
      </c>
      <c r="J155" s="2625" t="n">
        <v>0</v>
      </c>
      <c r="K155" s="2625" t="n">
        <v>0</v>
      </c>
      <c r="L155" s="2625" t="n">
        <v>0</v>
      </c>
      <c r="M155" s="2625" t="n">
        <v>0</v>
      </c>
      <c r="N155" s="2625" t="n">
        <v>0</v>
      </c>
      <c r="O155" s="2625" t="n">
        <v>0</v>
      </c>
      <c r="P155" s="2626">
        <f>SUM(D155:O155)</f>
        <v/>
      </c>
      <c r="Q155" s="1436" t="n"/>
      <c r="R155" s="1436" t="n"/>
      <c r="S155" s="2625" t="n">
        <v>0</v>
      </c>
      <c r="T155" s="2625" t="n">
        <v>0</v>
      </c>
      <c r="U155" s="2625" t="n">
        <v>0</v>
      </c>
      <c r="V155" s="2625" t="n">
        <v>0</v>
      </c>
      <c r="W155" s="2625" t="n">
        <v>0</v>
      </c>
      <c r="X155" s="2625" t="n">
        <v>0</v>
      </c>
      <c r="Y155" s="2625" t="n">
        <v>0</v>
      </c>
      <c r="Z155" s="2625" t="n">
        <v>0</v>
      </c>
      <c r="AA155" s="2625" t="n">
        <v>0</v>
      </c>
      <c r="AB155" s="2625" t="n">
        <v>0</v>
      </c>
      <c r="AC155" s="2625" t="n">
        <v>0</v>
      </c>
      <c r="AD155" s="2625" t="n">
        <v>0</v>
      </c>
      <c r="AE155" s="2626">
        <f>SUM(S155:AD155)</f>
        <v/>
      </c>
      <c r="AF155" s="1436" t="n"/>
      <c r="AG155" s="2625" t="n">
        <v>0</v>
      </c>
      <c r="AH155" s="2625" t="n">
        <v>0</v>
      </c>
      <c r="AI155" s="2625" t="n">
        <v>0</v>
      </c>
      <c r="AJ155" s="2625" t="n">
        <v>0</v>
      </c>
      <c r="AK155" s="2625" t="n">
        <v>0</v>
      </c>
      <c r="AL155" s="2625" t="n"/>
      <c r="AM155" s="2625" t="n">
        <v>0</v>
      </c>
      <c r="AN155" s="2625" t="n">
        <v>0</v>
      </c>
      <c r="AO155" s="2625" t="n"/>
      <c r="AP155" s="2625" t="n">
        <v>0</v>
      </c>
      <c r="AQ155" s="2625" t="n">
        <v>0</v>
      </c>
      <c r="AR155" s="2627" t="n">
        <v>0</v>
      </c>
      <c r="AS155" s="2626">
        <f>SUM(AG155:AR155)</f>
        <v/>
      </c>
      <c r="AT155" s="2615">
        <f>SUM(AG155:AP155)</f>
        <v/>
      </c>
      <c r="AU155" s="2627" t="n"/>
      <c r="AV155" s="2627" t="n"/>
      <c r="AW155" s="2627" t="n"/>
      <c r="AX155" s="2627" t="n"/>
      <c r="AY155" s="2627" t="n"/>
      <c r="AZ155" s="2627" t="n"/>
      <c r="BA155" s="2627" t="n"/>
      <c r="BB155" s="2627" t="n"/>
      <c r="BC155" s="2627" t="n"/>
      <c r="BD155" s="2627" t="n"/>
      <c r="BE155" s="2627" t="n"/>
      <c r="BF155" s="2627" t="n"/>
      <c r="BG155" s="2628">
        <f>SUM(AU155:BF155)</f>
        <v/>
      </c>
      <c r="BI155" s="2627" t="n"/>
      <c r="BJ155" s="2627" t="n"/>
      <c r="BK155" s="2627" t="n"/>
      <c r="BL155" s="2627" t="n"/>
      <c r="BM155" s="2627" t="n"/>
      <c r="BN155" s="2627" t="n"/>
      <c r="BO155" s="2627" t="n"/>
      <c r="BP155" s="2627" t="n"/>
      <c r="BQ155" s="2627" t="n"/>
      <c r="BR155" s="2627" t="n"/>
      <c r="BS155" s="2627" t="n"/>
      <c r="BT155" s="2627" t="n"/>
      <c r="BU155" s="2628">
        <f>SUM(BI155:BT155)</f>
        <v/>
      </c>
    </row>
    <row r="156" hidden="1" outlineLevel="1">
      <c r="A156" s="1436" t="n"/>
      <c r="B156" s="1480" t="inlineStr">
        <is>
          <t>사채상환손실</t>
        </is>
      </c>
      <c r="C156" s="1436" t="n"/>
      <c r="D156" s="2625" t="n"/>
      <c r="E156" s="2625" t="n"/>
      <c r="F156" s="2625" t="n"/>
      <c r="G156" s="2625" t="n"/>
      <c r="H156" s="2625" t="n"/>
      <c r="I156" s="2625" t="n">
        <v>0</v>
      </c>
      <c r="J156" s="2625" t="n">
        <v>0</v>
      </c>
      <c r="K156" s="2625" t="n">
        <v>0</v>
      </c>
      <c r="L156" s="2625" t="n">
        <v>0</v>
      </c>
      <c r="M156" s="2625" t="n">
        <v>0</v>
      </c>
      <c r="N156" s="2625" t="n">
        <v>0</v>
      </c>
      <c r="O156" s="2625" t="n">
        <v>0</v>
      </c>
      <c r="P156" s="2626">
        <f>SUM(D156:O156)</f>
        <v/>
      </c>
      <c r="Q156" s="1436" t="n"/>
      <c r="R156" s="1436" t="n"/>
      <c r="S156" s="2625" t="n">
        <v>0</v>
      </c>
      <c r="T156" s="2625" t="n">
        <v>0</v>
      </c>
      <c r="U156" s="2625" t="n">
        <v>0</v>
      </c>
      <c r="V156" s="2625" t="n">
        <v>0</v>
      </c>
      <c r="W156" s="2625" t="n">
        <v>0</v>
      </c>
      <c r="X156" s="2625" t="n">
        <v>0</v>
      </c>
      <c r="Y156" s="2625" t="n">
        <v>0</v>
      </c>
      <c r="Z156" s="2625" t="n">
        <v>0</v>
      </c>
      <c r="AA156" s="2625" t="n">
        <v>0</v>
      </c>
      <c r="AB156" s="2625" t="n">
        <v>0</v>
      </c>
      <c r="AC156" s="2625" t="n">
        <v>0</v>
      </c>
      <c r="AD156" s="2625" t="n">
        <v>0</v>
      </c>
      <c r="AE156" s="2626">
        <f>SUM(S156:AD156)</f>
        <v/>
      </c>
      <c r="AF156" s="1436" t="n"/>
      <c r="AG156" s="2625" t="n">
        <v>0</v>
      </c>
      <c r="AH156" s="2625" t="n">
        <v>0</v>
      </c>
      <c r="AI156" s="2625" t="n">
        <v>0</v>
      </c>
      <c r="AJ156" s="2625" t="n">
        <v>0</v>
      </c>
      <c r="AK156" s="2625" t="n">
        <v>0</v>
      </c>
      <c r="AL156" s="2625" t="n"/>
      <c r="AM156" s="2625" t="n">
        <v>0</v>
      </c>
      <c r="AN156" s="2625" t="n">
        <v>0</v>
      </c>
      <c r="AO156" s="2625" t="n"/>
      <c r="AP156" s="2625" t="n">
        <v>0</v>
      </c>
      <c r="AQ156" s="2625" t="n">
        <v>0</v>
      </c>
      <c r="AR156" s="2627" t="n">
        <v>0</v>
      </c>
      <c r="AS156" s="2626">
        <f>SUM(AG156:AR156)</f>
        <v/>
      </c>
      <c r="AT156" s="2615">
        <f>SUM(AG156:AP156)</f>
        <v/>
      </c>
      <c r="AU156" s="2627" t="n"/>
      <c r="AV156" s="2627" t="n"/>
      <c r="AW156" s="2627" t="n"/>
      <c r="AX156" s="2627" t="n"/>
      <c r="AY156" s="2627" t="n"/>
      <c r="AZ156" s="2627" t="n"/>
      <c r="BA156" s="2627" t="n"/>
      <c r="BB156" s="2627" t="n"/>
      <c r="BC156" s="2627" t="n"/>
      <c r="BD156" s="2627" t="n"/>
      <c r="BE156" s="2627" t="n"/>
      <c r="BF156" s="2627" t="n"/>
      <c r="BG156" s="2628">
        <f>SUM(AU156:BF156)</f>
        <v/>
      </c>
      <c r="BI156" s="2627" t="n"/>
      <c r="BJ156" s="2627" t="n"/>
      <c r="BK156" s="2627" t="n"/>
      <c r="BL156" s="2627" t="n"/>
      <c r="BM156" s="2627" t="n"/>
      <c r="BN156" s="2627" t="n"/>
      <c r="BO156" s="2627" t="n"/>
      <c r="BP156" s="2627" t="n"/>
      <c r="BQ156" s="2627" t="n"/>
      <c r="BR156" s="2627" t="n"/>
      <c r="BS156" s="2627" t="n"/>
      <c r="BT156" s="2627" t="n"/>
      <c r="BU156" s="2628">
        <f>SUM(BI156:BT156)</f>
        <v/>
      </c>
    </row>
    <row r="157" hidden="1" outlineLevel="1">
      <c r="A157" s="1436" t="n"/>
      <c r="B157" s="1480" t="inlineStr">
        <is>
          <t>위험회피목적파생상품처분손실(재무활동)</t>
        </is>
      </c>
      <c r="C157" s="1436" t="n"/>
      <c r="D157" s="2625" t="n"/>
      <c r="E157" s="2625" t="n"/>
      <c r="F157" s="2625" t="n"/>
      <c r="G157" s="2625" t="n"/>
      <c r="H157" s="2625" t="n"/>
      <c r="I157" s="2625" t="n">
        <v>0</v>
      </c>
      <c r="J157" s="2625" t="n">
        <v>0</v>
      </c>
      <c r="K157" s="2625" t="n">
        <v>0</v>
      </c>
      <c r="L157" s="2625" t="n">
        <v>0</v>
      </c>
      <c r="M157" s="2625" t="n">
        <v>0</v>
      </c>
      <c r="N157" s="2625" t="n">
        <v>0</v>
      </c>
      <c r="O157" s="2625" t="n">
        <v>0</v>
      </c>
      <c r="P157" s="2626">
        <f>SUM(D157:O157)</f>
        <v/>
      </c>
      <c r="Q157" s="1436" t="n"/>
      <c r="R157" s="1436" t="n"/>
      <c r="S157" s="2625" t="n">
        <v>0</v>
      </c>
      <c r="T157" s="2625" t="n">
        <v>0</v>
      </c>
      <c r="U157" s="2625" t="n">
        <v>0</v>
      </c>
      <c r="V157" s="2625" t="n">
        <v>0</v>
      </c>
      <c r="W157" s="2625" t="n">
        <v>0</v>
      </c>
      <c r="X157" s="2625" t="n">
        <v>0</v>
      </c>
      <c r="Y157" s="2625" t="n">
        <v>0</v>
      </c>
      <c r="Z157" s="2625" t="n">
        <v>0</v>
      </c>
      <c r="AA157" s="2625" t="n">
        <v>0</v>
      </c>
      <c r="AB157" s="2625" t="n">
        <v>0</v>
      </c>
      <c r="AC157" s="2625" t="n">
        <v>0</v>
      </c>
      <c r="AD157" s="2625" t="n">
        <v>0</v>
      </c>
      <c r="AE157" s="2626">
        <f>SUM(S157:AD157)</f>
        <v/>
      </c>
      <c r="AF157" s="1436" t="n"/>
      <c r="AG157" s="2625" t="n">
        <v>0</v>
      </c>
      <c r="AH157" s="2625" t="n">
        <v>0</v>
      </c>
      <c r="AI157" s="2625" t="n">
        <v>0</v>
      </c>
      <c r="AJ157" s="2625" t="n">
        <v>0</v>
      </c>
      <c r="AK157" s="2625" t="n">
        <v>0</v>
      </c>
      <c r="AL157" s="2625" t="n"/>
      <c r="AM157" s="2625" t="n">
        <v>0</v>
      </c>
      <c r="AN157" s="2625" t="n">
        <v>0</v>
      </c>
      <c r="AO157" s="2625" t="n"/>
      <c r="AP157" s="2625" t="n">
        <v>0</v>
      </c>
      <c r="AQ157" s="2625" t="n">
        <v>0</v>
      </c>
      <c r="AR157" s="2627" t="n">
        <v>0</v>
      </c>
      <c r="AS157" s="2626">
        <f>SUM(AG157:AR157)</f>
        <v/>
      </c>
      <c r="AT157" s="2615">
        <f>SUM(AG157:AP157)</f>
        <v/>
      </c>
      <c r="AU157" s="2627" t="n"/>
      <c r="AV157" s="2627" t="n"/>
      <c r="AW157" s="2627" t="n"/>
      <c r="AX157" s="2627" t="n"/>
      <c r="AY157" s="2627" t="n"/>
      <c r="AZ157" s="2627" t="n"/>
      <c r="BA157" s="2627" t="n"/>
      <c r="BB157" s="2627" t="n"/>
      <c r="BC157" s="2627" t="n"/>
      <c r="BD157" s="2627" t="n"/>
      <c r="BE157" s="2627" t="n"/>
      <c r="BF157" s="2627" t="n"/>
      <c r="BG157" s="2628">
        <f>SUM(AU157:BF157)</f>
        <v/>
      </c>
      <c r="BI157" s="2627" t="n"/>
      <c r="BJ157" s="2627" t="n"/>
      <c r="BK157" s="2627" t="n"/>
      <c r="BL157" s="2627" t="n"/>
      <c r="BM157" s="2627" t="n"/>
      <c r="BN157" s="2627" t="n"/>
      <c r="BO157" s="2627" t="n"/>
      <c r="BP157" s="2627" t="n"/>
      <c r="BQ157" s="2627" t="n"/>
      <c r="BR157" s="2627" t="n"/>
      <c r="BS157" s="2627" t="n"/>
      <c r="BT157" s="2627" t="n"/>
      <c r="BU157" s="2628">
        <f>SUM(BI157:BT157)</f>
        <v/>
      </c>
    </row>
    <row r="158" hidden="1" outlineLevel="1">
      <c r="A158" s="1436" t="n"/>
      <c r="B158" s="1480" t="inlineStr">
        <is>
          <t>기타금융비용</t>
        </is>
      </c>
      <c r="C158" s="1436" t="n"/>
      <c r="D158" s="2625" t="n"/>
      <c r="E158" s="2625" t="n"/>
      <c r="F158" s="2625" t="n"/>
      <c r="G158" s="2625" t="n"/>
      <c r="H158" s="2625" t="n"/>
      <c r="I158" s="2625" t="n">
        <v>0</v>
      </c>
      <c r="J158" s="2625" t="n">
        <v>0</v>
      </c>
      <c r="K158" s="2625" t="n">
        <v>0</v>
      </c>
      <c r="L158" s="2625" t="n">
        <v>0</v>
      </c>
      <c r="M158" s="2625" t="n">
        <v>0</v>
      </c>
      <c r="N158" s="2625" t="n">
        <v>0</v>
      </c>
      <c r="O158" s="2625" t="n">
        <v>0</v>
      </c>
      <c r="P158" s="2626">
        <f>SUM(D158:O158)</f>
        <v/>
      </c>
      <c r="Q158" s="1436" t="n"/>
      <c r="R158" s="1436" t="n"/>
      <c r="S158" s="2625" t="n">
        <v>0</v>
      </c>
      <c r="T158" s="2625" t="n">
        <v>0</v>
      </c>
      <c r="U158" s="2625" t="n">
        <v>0</v>
      </c>
      <c r="V158" s="2625" t="n">
        <v>0</v>
      </c>
      <c r="W158" s="2625" t="n">
        <v>0</v>
      </c>
      <c r="X158" s="2625" t="n">
        <v>0</v>
      </c>
      <c r="Y158" s="2625" t="n">
        <v>0</v>
      </c>
      <c r="Z158" s="2625" t="n">
        <v>0</v>
      </c>
      <c r="AA158" s="2625" t="n">
        <v>0</v>
      </c>
      <c r="AB158" s="2625" t="n">
        <v>0</v>
      </c>
      <c r="AC158" s="2625" t="n">
        <v>0</v>
      </c>
      <c r="AD158" s="2625" t="n">
        <v>0</v>
      </c>
      <c r="AE158" s="2626">
        <f>SUM(S158:AD158)</f>
        <v/>
      </c>
      <c r="AF158" s="1436" t="n"/>
      <c r="AG158" s="2625" t="n">
        <v>0</v>
      </c>
      <c r="AH158" s="2625" t="n">
        <v>0</v>
      </c>
      <c r="AI158" s="2625" t="n">
        <v>0</v>
      </c>
      <c r="AJ158" s="2625" t="n">
        <v>0</v>
      </c>
      <c r="AK158" s="2625" t="n">
        <v>0</v>
      </c>
      <c r="AL158" s="2625" t="n"/>
      <c r="AM158" s="2625" t="n">
        <v>0</v>
      </c>
      <c r="AN158" s="2625" t="n">
        <v>0</v>
      </c>
      <c r="AO158" s="2625" t="n"/>
      <c r="AP158" s="2625" t="n">
        <v>0</v>
      </c>
      <c r="AQ158" s="2625" t="n">
        <v>0</v>
      </c>
      <c r="AR158" s="2627" t="n">
        <v>0</v>
      </c>
      <c r="AS158" s="2626">
        <f>SUM(AG158:AR158)</f>
        <v/>
      </c>
      <c r="AT158" s="2615">
        <f>SUM(AG158:AP158)</f>
        <v/>
      </c>
      <c r="AU158" s="2627" t="n"/>
      <c r="AV158" s="2627" t="n"/>
      <c r="AW158" s="2627" t="n"/>
      <c r="AX158" s="2627" t="n"/>
      <c r="AY158" s="2627" t="n"/>
      <c r="AZ158" s="2627" t="n"/>
      <c r="BA158" s="2627" t="n"/>
      <c r="BB158" s="2627" t="n"/>
      <c r="BC158" s="2627" t="n"/>
      <c r="BD158" s="2627" t="n"/>
      <c r="BE158" s="2627" t="n"/>
      <c r="BF158" s="2627" t="n"/>
      <c r="BG158" s="2628">
        <f>SUM(AU158:BF158)</f>
        <v/>
      </c>
      <c r="BI158" s="2627" t="n"/>
      <c r="BJ158" s="2627" t="n"/>
      <c r="BK158" s="2627" t="n"/>
      <c r="BL158" s="2627" t="n"/>
      <c r="BM158" s="2627" t="n"/>
      <c r="BN158" s="2627" t="n"/>
      <c r="BO158" s="2627" t="n"/>
      <c r="BP158" s="2627" t="n"/>
      <c r="BQ158" s="2627" t="n"/>
      <c r="BR158" s="2627" t="n"/>
      <c r="BS158" s="2627" t="n"/>
      <c r="BT158" s="2627" t="n"/>
      <c r="BU158" s="2628">
        <f>SUM(BI158:BT158)</f>
        <v/>
      </c>
    </row>
    <row r="159" collapsed="1">
      <c r="A159" s="1436" t="n"/>
      <c r="B159" s="1478" t="inlineStr">
        <is>
          <t>Ⅵ. 종속관계기업투자손익</t>
        </is>
      </c>
      <c r="C159" s="1436" t="inlineStr">
        <is>
          <t>관계기업투자손익</t>
        </is>
      </c>
      <c r="D159" s="2637">
        <f>-SUM(D160:D163)</f>
        <v/>
      </c>
      <c r="E159" s="2637">
        <f>-SUM(E160:E163)</f>
        <v/>
      </c>
      <c r="F159" s="2637">
        <f>-SUM(F160:F163)</f>
        <v/>
      </c>
      <c r="G159" s="2637">
        <f>-SUM(G160:G163)</f>
        <v/>
      </c>
      <c r="H159" s="2637">
        <f>-SUM(H160:H163)</f>
        <v/>
      </c>
      <c r="I159" s="2637">
        <f>-SUM(I160:I163)</f>
        <v/>
      </c>
      <c r="J159" s="2637">
        <f>-SUM(J160:J163)</f>
        <v/>
      </c>
      <c r="K159" s="2637">
        <f>-SUM(K160:K163)</f>
        <v/>
      </c>
      <c r="L159" s="2637">
        <f>-SUM(L160:L163)</f>
        <v/>
      </c>
      <c r="M159" s="2637">
        <f>-SUM(M160:M163)</f>
        <v/>
      </c>
      <c r="N159" s="2637">
        <f>-SUM(N160:N163)</f>
        <v/>
      </c>
      <c r="O159" s="2637">
        <f>-SUM(O160:O163)</f>
        <v/>
      </c>
      <c r="P159" s="2623">
        <f>SUM(D159:O159)</f>
        <v/>
      </c>
      <c r="Q159" s="1436" t="n"/>
      <c r="R159" s="1436" t="n"/>
      <c r="S159" s="2637">
        <f>-SUM(S160:S163)</f>
        <v/>
      </c>
      <c r="T159" s="2637">
        <f>-SUM(T160:T163)</f>
        <v/>
      </c>
      <c r="U159" s="2637">
        <f>-SUM(U160:U163)</f>
        <v/>
      </c>
      <c r="V159" s="2637">
        <f>-SUM(V160:V163)</f>
        <v/>
      </c>
      <c r="W159" s="2637">
        <f>-SUM(W160:W163)</f>
        <v/>
      </c>
      <c r="X159" s="2637">
        <f>-SUM(X160:X163)</f>
        <v/>
      </c>
      <c r="Y159" s="2637">
        <f>-SUM(Y160:Y163)</f>
        <v/>
      </c>
      <c r="Z159" s="2637">
        <f>-SUM(Z160:Z163)</f>
        <v/>
      </c>
      <c r="AA159" s="2637">
        <f>-SUM(AA160:AA163)</f>
        <v/>
      </c>
      <c r="AB159" s="2637">
        <f>-SUM(AB160:AB163)</f>
        <v/>
      </c>
      <c r="AC159" s="2637">
        <f>-SUM(AC160:AC163)</f>
        <v/>
      </c>
      <c r="AD159" s="2637">
        <f>-SUM(AD160:AD163)</f>
        <v/>
      </c>
      <c r="AE159" s="2623">
        <f>SUM(S159:AD159)</f>
        <v/>
      </c>
      <c r="AF159" s="1436" t="n"/>
      <c r="AG159" s="2637">
        <f>-SUM(AG160:AG163)</f>
        <v/>
      </c>
      <c r="AH159" s="2637">
        <f>-SUM(AH160:AH163)</f>
        <v/>
      </c>
      <c r="AI159" s="2637">
        <f>-SUM(AI160:AI163)</f>
        <v/>
      </c>
      <c r="AJ159" s="2637">
        <f>-SUM(AJ160:AJ163)</f>
        <v/>
      </c>
      <c r="AK159" s="2637">
        <f>-SUM(AK160:AK163)</f>
        <v/>
      </c>
      <c r="AL159" s="2637" t="n">
        <v>0</v>
      </c>
      <c r="AM159" s="2637">
        <f>-SUM(AM160:AM163)</f>
        <v/>
      </c>
      <c r="AN159" s="2637">
        <f>-SUM(AN160:AN163)</f>
        <v/>
      </c>
      <c r="AO159" s="2637">
        <f>-SUM(AO160:AO163)</f>
        <v/>
      </c>
      <c r="AP159" s="2637">
        <f>-SUM(AP160:AP163)</f>
        <v/>
      </c>
      <c r="AQ159" s="2637">
        <f>-SUM(AQ160:AQ163)</f>
        <v/>
      </c>
      <c r="AR159" s="2637">
        <f>-SUM(AR160:AR163)</f>
        <v/>
      </c>
      <c r="AS159" s="2623">
        <f>SUM(AG159:AR159)</f>
        <v/>
      </c>
      <c r="AT159" s="2615">
        <f>SUM(AG159:AP159)</f>
        <v/>
      </c>
      <c r="AU159" s="2637" t="n">
        <v>0</v>
      </c>
      <c r="AV159" s="2637" t="n">
        <v>0</v>
      </c>
      <c r="AW159" s="2637" t="n"/>
      <c r="AX159" s="2637" t="n"/>
      <c r="AY159" s="2637" t="n"/>
      <c r="AZ159" s="2637" t="n"/>
      <c r="BA159" s="2637" t="n"/>
      <c r="BB159" s="2637" t="n"/>
      <c r="BC159" s="2637" t="n"/>
      <c r="BD159" s="2637" t="n"/>
      <c r="BE159" s="2637" t="n"/>
      <c r="BF159" s="2637" t="n"/>
      <c r="BG159" s="2624">
        <f>SUM(AU159:BF159)</f>
        <v/>
      </c>
      <c r="BI159" s="2637" t="n"/>
      <c r="BJ159" s="2637" t="n"/>
      <c r="BK159" s="2637" t="n"/>
      <c r="BL159" s="2637" t="n"/>
      <c r="BM159" s="2637" t="n"/>
      <c r="BN159" s="2637" t="n"/>
      <c r="BO159" s="2637" t="n"/>
      <c r="BP159" s="2637" t="n"/>
      <c r="BQ159" s="2637" t="n"/>
      <c r="BR159" s="2637" t="n"/>
      <c r="BS159" s="2637" t="n"/>
      <c r="BT159" s="2637" t="n"/>
      <c r="BU159" s="2624">
        <f>SUM(BI159:BT159)</f>
        <v/>
      </c>
    </row>
    <row r="160" hidden="1" outlineLevel="1">
      <c r="A160" s="1436" t="n"/>
      <c r="B160" s="1480" t="inlineStr">
        <is>
          <t>지분법손실</t>
        </is>
      </c>
      <c r="C160" s="1436" t="n"/>
      <c r="D160" s="2625" t="n"/>
      <c r="E160" s="2625" t="n"/>
      <c r="F160" s="2625" t="n"/>
      <c r="G160" s="2625" t="n"/>
      <c r="H160" s="2625" t="n"/>
      <c r="I160" s="2625" t="n">
        <v>0</v>
      </c>
      <c r="J160" s="2625" t="n">
        <v>0</v>
      </c>
      <c r="K160" s="2625" t="n">
        <v>0</v>
      </c>
      <c r="L160" s="2625" t="n">
        <v>0</v>
      </c>
      <c r="M160" s="2625" t="n">
        <v>0</v>
      </c>
      <c r="N160" s="2625" t="n">
        <v>0</v>
      </c>
      <c r="O160" s="2625" t="n">
        <v>0</v>
      </c>
      <c r="P160" s="2626">
        <f>SUM(D160:O160)</f>
        <v/>
      </c>
      <c r="Q160" s="1436" t="n"/>
      <c r="R160" s="1436" t="n"/>
      <c r="S160" s="2625" t="n">
        <v>0</v>
      </c>
      <c r="T160" s="2625" t="n">
        <v>0</v>
      </c>
      <c r="U160" s="2625" t="n">
        <v>0</v>
      </c>
      <c r="V160" s="2625" t="n">
        <v>0</v>
      </c>
      <c r="W160" s="2625" t="n">
        <v>0</v>
      </c>
      <c r="X160" s="2625" t="n">
        <v>0</v>
      </c>
      <c r="Y160" s="2625" t="n">
        <v>0</v>
      </c>
      <c r="Z160" s="2625" t="n">
        <v>0</v>
      </c>
      <c r="AA160" s="2625" t="n">
        <v>0</v>
      </c>
      <c r="AB160" s="2625" t="n">
        <v>0</v>
      </c>
      <c r="AC160" s="2625" t="n">
        <v>0</v>
      </c>
      <c r="AD160" s="2625" t="n">
        <v>0</v>
      </c>
      <c r="AE160" s="2626">
        <f>SUM(S160:AD160)</f>
        <v/>
      </c>
      <c r="AF160" s="1436" t="n"/>
      <c r="AG160" s="2625" t="n">
        <v>0</v>
      </c>
      <c r="AH160" s="2625" t="n">
        <v>0</v>
      </c>
      <c r="AI160" s="2625" t="n">
        <v>0</v>
      </c>
      <c r="AJ160" s="2625" t="n">
        <v>0</v>
      </c>
      <c r="AK160" s="2625" t="n">
        <v>0</v>
      </c>
      <c r="AL160" s="2625" t="n"/>
      <c r="AM160" s="2625" t="n">
        <v>0</v>
      </c>
      <c r="AN160" s="2625" t="n">
        <v>0</v>
      </c>
      <c r="AO160" s="2625" t="n"/>
      <c r="AP160" s="2625" t="n">
        <v>0</v>
      </c>
      <c r="AQ160" s="2625" t="n">
        <v>0</v>
      </c>
      <c r="AR160" s="2627" t="n">
        <v>0</v>
      </c>
      <c r="AS160" s="2626">
        <f>SUM(AG160:AR160)</f>
        <v/>
      </c>
      <c r="AT160" s="2615">
        <f>SUM(AG160:AP160)</f>
        <v/>
      </c>
      <c r="AU160" s="2627" t="n"/>
      <c r="AV160" s="2627" t="n"/>
      <c r="AW160" s="2627" t="n"/>
      <c r="AX160" s="2627" t="n"/>
      <c r="AY160" s="2627" t="n"/>
      <c r="AZ160" s="2627" t="n"/>
      <c r="BA160" s="2627" t="n"/>
      <c r="BB160" s="2627" t="n"/>
      <c r="BC160" s="2627" t="n"/>
      <c r="BD160" s="2627" t="n"/>
      <c r="BE160" s="2627" t="n"/>
      <c r="BF160" s="2627" t="n"/>
      <c r="BG160" s="2628">
        <f>SUM(AU160:BF160)</f>
        <v/>
      </c>
      <c r="BI160" s="2627" t="n"/>
      <c r="BJ160" s="2627" t="n"/>
      <c r="BK160" s="2627" t="n"/>
      <c r="BL160" s="2627" t="n"/>
      <c r="BM160" s="2627" t="n"/>
      <c r="BN160" s="2627" t="n"/>
      <c r="BO160" s="2627" t="n"/>
      <c r="BP160" s="2627" t="n"/>
      <c r="BQ160" s="2627" t="n"/>
      <c r="BR160" s="2627" t="n"/>
      <c r="BS160" s="2627" t="n"/>
      <c r="BT160" s="2627" t="n"/>
      <c r="BU160" s="2628">
        <f>SUM(BI160:BT160)</f>
        <v/>
      </c>
    </row>
    <row r="161" hidden="1" outlineLevel="1">
      <c r="A161" s="1436" t="n"/>
      <c r="B161" s="1480" t="inlineStr">
        <is>
          <t>지분법적용투자주식처분손실</t>
        </is>
      </c>
      <c r="C161" s="1436" t="n"/>
      <c r="D161" s="2625" t="n"/>
      <c r="E161" s="2625" t="n"/>
      <c r="F161" s="2625" t="n"/>
      <c r="G161" s="2625" t="n"/>
      <c r="H161" s="2625" t="n"/>
      <c r="I161" s="2625" t="n">
        <v>0</v>
      </c>
      <c r="J161" s="2625" t="n">
        <v>0</v>
      </c>
      <c r="K161" s="2625" t="n">
        <v>0</v>
      </c>
      <c r="L161" s="2625" t="n">
        <v>0</v>
      </c>
      <c r="M161" s="2625" t="n">
        <v>0</v>
      </c>
      <c r="N161" s="2625" t="n">
        <v>0</v>
      </c>
      <c r="O161" s="2625" t="n">
        <v>0</v>
      </c>
      <c r="P161" s="2626">
        <f>SUM(D161:O161)</f>
        <v/>
      </c>
      <c r="Q161" s="1436" t="n"/>
      <c r="R161" s="1436" t="n"/>
      <c r="S161" s="2625" t="n">
        <v>0</v>
      </c>
      <c r="T161" s="2625" t="n">
        <v>0</v>
      </c>
      <c r="U161" s="2625" t="n">
        <v>0</v>
      </c>
      <c r="V161" s="2625" t="n">
        <v>0</v>
      </c>
      <c r="W161" s="2625" t="n">
        <v>0</v>
      </c>
      <c r="X161" s="2625" t="n">
        <v>0</v>
      </c>
      <c r="Y161" s="2625" t="n">
        <v>0</v>
      </c>
      <c r="Z161" s="2625" t="n">
        <v>0</v>
      </c>
      <c r="AA161" s="2625" t="n">
        <v>0</v>
      </c>
      <c r="AB161" s="2625" t="n">
        <v>0</v>
      </c>
      <c r="AC161" s="2625" t="n">
        <v>0</v>
      </c>
      <c r="AD161" s="2625" t="n">
        <v>0</v>
      </c>
      <c r="AE161" s="2626">
        <f>SUM(S161:AD161)</f>
        <v/>
      </c>
      <c r="AF161" s="1436" t="n"/>
      <c r="AG161" s="2625" t="n">
        <v>0</v>
      </c>
      <c r="AH161" s="2625" t="n">
        <v>0</v>
      </c>
      <c r="AI161" s="2625" t="n">
        <v>0</v>
      </c>
      <c r="AJ161" s="2625" t="n">
        <v>0</v>
      </c>
      <c r="AK161" s="2625" t="n">
        <v>0</v>
      </c>
      <c r="AL161" s="2625" t="n"/>
      <c r="AM161" s="2625" t="n">
        <v>0</v>
      </c>
      <c r="AN161" s="2625" t="n">
        <v>0</v>
      </c>
      <c r="AO161" s="2625" t="n"/>
      <c r="AP161" s="2625" t="n">
        <v>0</v>
      </c>
      <c r="AQ161" s="2625" t="n">
        <v>0</v>
      </c>
      <c r="AR161" s="2627" t="n">
        <v>0</v>
      </c>
      <c r="AS161" s="2626">
        <f>SUM(AG161:AR161)</f>
        <v/>
      </c>
      <c r="AT161" s="2615">
        <f>SUM(AG161:AP161)</f>
        <v/>
      </c>
      <c r="AU161" s="2627" t="n"/>
      <c r="AV161" s="2627" t="n"/>
      <c r="AW161" s="2627" t="n"/>
      <c r="AX161" s="2627" t="n"/>
      <c r="AY161" s="2627" t="n"/>
      <c r="AZ161" s="2627" t="n"/>
      <c r="BA161" s="2627" t="n"/>
      <c r="BB161" s="2627" t="n"/>
      <c r="BC161" s="2627" t="n"/>
      <c r="BD161" s="2627" t="n"/>
      <c r="BE161" s="2627" t="n"/>
      <c r="BF161" s="2627" t="n"/>
      <c r="BG161" s="2628">
        <f>SUM(AU161:BF161)</f>
        <v/>
      </c>
      <c r="BI161" s="2627" t="n"/>
      <c r="BJ161" s="2627" t="n"/>
      <c r="BK161" s="2627" t="n"/>
      <c r="BL161" s="2627" t="n"/>
      <c r="BM161" s="2627" t="n"/>
      <c r="BN161" s="2627" t="n"/>
      <c r="BO161" s="2627" t="n"/>
      <c r="BP161" s="2627" t="n"/>
      <c r="BQ161" s="2627" t="n"/>
      <c r="BR161" s="2627" t="n"/>
      <c r="BS161" s="2627" t="n"/>
      <c r="BT161" s="2627" t="n"/>
      <c r="BU161" s="2628">
        <f>SUM(BI161:BT161)</f>
        <v/>
      </c>
    </row>
    <row r="162" hidden="1" outlineLevel="1">
      <c r="A162" s="1436" t="n"/>
      <c r="B162" s="1480" t="inlineStr">
        <is>
          <t>지분법이익</t>
        </is>
      </c>
      <c r="C162" s="1436" t="n"/>
      <c r="D162" s="2625" t="n"/>
      <c r="E162" s="2625" t="n"/>
      <c r="F162" s="2625" t="n"/>
      <c r="G162" s="2625" t="n"/>
      <c r="H162" s="2625" t="n"/>
      <c r="I162" s="2625" t="n">
        <v>0</v>
      </c>
      <c r="J162" s="2625" t="n">
        <v>0</v>
      </c>
      <c r="K162" s="2625" t="n">
        <v>0</v>
      </c>
      <c r="L162" s="2625" t="n">
        <v>0</v>
      </c>
      <c r="M162" s="2625" t="n">
        <v>0</v>
      </c>
      <c r="N162" s="2625" t="n">
        <v>0</v>
      </c>
      <c r="O162" s="2625" t="n">
        <v>0</v>
      </c>
      <c r="P162" s="2626">
        <f>SUM(D162:O162)</f>
        <v/>
      </c>
      <c r="Q162" s="1436" t="n"/>
      <c r="R162" s="1436" t="n"/>
      <c r="S162" s="2625" t="n">
        <v>0</v>
      </c>
      <c r="T162" s="2625" t="n">
        <v>0</v>
      </c>
      <c r="U162" s="2625" t="n">
        <v>0</v>
      </c>
      <c r="V162" s="2625" t="n">
        <v>0</v>
      </c>
      <c r="W162" s="2625" t="n">
        <v>0</v>
      </c>
      <c r="X162" s="2625" t="n">
        <v>0</v>
      </c>
      <c r="Y162" s="2625" t="n">
        <v>0</v>
      </c>
      <c r="Z162" s="2625" t="n">
        <v>0</v>
      </c>
      <c r="AA162" s="2625" t="n">
        <v>0</v>
      </c>
      <c r="AB162" s="2625" t="n">
        <v>0</v>
      </c>
      <c r="AC162" s="2625" t="n">
        <v>0</v>
      </c>
      <c r="AD162" s="2625" t="n">
        <v>0</v>
      </c>
      <c r="AE162" s="2626">
        <f>SUM(S162:AD162)</f>
        <v/>
      </c>
      <c r="AF162" s="1436" t="n"/>
      <c r="AG162" s="2625" t="n">
        <v>0</v>
      </c>
      <c r="AH162" s="2625" t="n">
        <v>0</v>
      </c>
      <c r="AI162" s="2625" t="n">
        <v>0</v>
      </c>
      <c r="AJ162" s="2625" t="n">
        <v>0</v>
      </c>
      <c r="AK162" s="2625" t="n">
        <v>0</v>
      </c>
      <c r="AL162" s="2625" t="n"/>
      <c r="AM162" s="2625" t="n">
        <v>0</v>
      </c>
      <c r="AN162" s="2625" t="n">
        <v>0</v>
      </c>
      <c r="AO162" s="2625" t="n"/>
      <c r="AP162" s="2625" t="n">
        <v>0</v>
      </c>
      <c r="AQ162" s="2625" t="n">
        <v>0</v>
      </c>
      <c r="AR162" s="2627" t="n">
        <v>0</v>
      </c>
      <c r="AS162" s="2626">
        <f>SUM(AG162:AR162)</f>
        <v/>
      </c>
      <c r="AT162" s="2615">
        <f>SUM(AG162:AP162)</f>
        <v/>
      </c>
      <c r="AU162" s="2627" t="n"/>
      <c r="AV162" s="2627" t="n"/>
      <c r="AW162" s="2627" t="n"/>
      <c r="AX162" s="2627" t="n"/>
      <c r="AY162" s="2627" t="n"/>
      <c r="AZ162" s="2627" t="n"/>
      <c r="BA162" s="2627" t="n"/>
      <c r="BB162" s="2627" t="n"/>
      <c r="BC162" s="2627" t="n"/>
      <c r="BD162" s="2627" t="n"/>
      <c r="BE162" s="2627" t="n"/>
      <c r="BF162" s="2627" t="n"/>
      <c r="BG162" s="2628">
        <f>SUM(AU162:BF162)</f>
        <v/>
      </c>
      <c r="BI162" s="2627" t="n"/>
      <c r="BJ162" s="2627" t="n"/>
      <c r="BK162" s="2627" t="n"/>
      <c r="BL162" s="2627" t="n"/>
      <c r="BM162" s="2627" t="n"/>
      <c r="BN162" s="2627" t="n"/>
      <c r="BO162" s="2627" t="n"/>
      <c r="BP162" s="2627" t="n"/>
      <c r="BQ162" s="2627" t="n"/>
      <c r="BR162" s="2627" t="n"/>
      <c r="BS162" s="2627" t="n"/>
      <c r="BT162" s="2627" t="n"/>
      <c r="BU162" s="2628">
        <f>SUM(BI162:BT162)</f>
        <v/>
      </c>
    </row>
    <row r="163" hidden="1" outlineLevel="1">
      <c r="A163" s="1436" t="n"/>
      <c r="B163" s="1480" t="inlineStr">
        <is>
          <t>지분법적용투자주식처분이익</t>
        </is>
      </c>
      <c r="C163" s="1436" t="n"/>
      <c r="D163" s="2625" t="n"/>
      <c r="E163" s="2625" t="n"/>
      <c r="F163" s="2625" t="n"/>
      <c r="G163" s="2625" t="n"/>
      <c r="H163" s="2625" t="n"/>
      <c r="I163" s="2625" t="n">
        <v>0</v>
      </c>
      <c r="J163" s="2625" t="n">
        <v>0</v>
      </c>
      <c r="K163" s="2625" t="n">
        <v>0</v>
      </c>
      <c r="L163" s="2625" t="n">
        <v>0</v>
      </c>
      <c r="M163" s="2625" t="n">
        <v>0</v>
      </c>
      <c r="N163" s="2625" t="n">
        <v>0</v>
      </c>
      <c r="O163" s="2625" t="n">
        <v>0</v>
      </c>
      <c r="P163" s="2626">
        <f>SUM(D163:O163)</f>
        <v/>
      </c>
      <c r="Q163" s="1436" t="n"/>
      <c r="R163" s="1436" t="n"/>
      <c r="S163" s="2625" t="n">
        <v>0</v>
      </c>
      <c r="T163" s="2625" t="n">
        <v>0</v>
      </c>
      <c r="U163" s="2625" t="n">
        <v>0</v>
      </c>
      <c r="V163" s="2625" t="n">
        <v>0</v>
      </c>
      <c r="W163" s="2625" t="n">
        <v>0</v>
      </c>
      <c r="X163" s="2625" t="n">
        <v>0</v>
      </c>
      <c r="Y163" s="2625" t="n">
        <v>0</v>
      </c>
      <c r="Z163" s="2625" t="n">
        <v>0</v>
      </c>
      <c r="AA163" s="2625" t="n">
        <v>0</v>
      </c>
      <c r="AB163" s="2625" t="n">
        <v>0</v>
      </c>
      <c r="AC163" s="2625" t="n">
        <v>0</v>
      </c>
      <c r="AD163" s="2625" t="n">
        <v>0</v>
      </c>
      <c r="AE163" s="2626">
        <f>SUM(S163:AD163)</f>
        <v/>
      </c>
      <c r="AF163" s="1436" t="n"/>
      <c r="AG163" s="2625" t="n">
        <v>0</v>
      </c>
      <c r="AH163" s="2625" t="n">
        <v>0</v>
      </c>
      <c r="AI163" s="2625" t="n">
        <v>0</v>
      </c>
      <c r="AJ163" s="2625" t="n">
        <v>0</v>
      </c>
      <c r="AK163" s="2625" t="n">
        <v>0</v>
      </c>
      <c r="AL163" s="2625" t="n"/>
      <c r="AM163" s="2625" t="n">
        <v>0</v>
      </c>
      <c r="AN163" s="2625" t="n">
        <v>0</v>
      </c>
      <c r="AO163" s="2625" t="n"/>
      <c r="AP163" s="2625" t="n">
        <v>0</v>
      </c>
      <c r="AQ163" s="2625" t="n">
        <v>0</v>
      </c>
      <c r="AR163" s="2627" t="n">
        <v>0</v>
      </c>
      <c r="AS163" s="2626">
        <f>SUM(AG163:AR163)</f>
        <v/>
      </c>
      <c r="AT163" s="2615">
        <f>SUM(AG163:AP163)</f>
        <v/>
      </c>
      <c r="AU163" s="2627" t="n"/>
      <c r="AV163" s="2627" t="n"/>
      <c r="AW163" s="2627" t="n"/>
      <c r="AX163" s="2627" t="n"/>
      <c r="AY163" s="2627" t="n"/>
      <c r="AZ163" s="2627" t="n"/>
      <c r="BA163" s="2627" t="n"/>
      <c r="BB163" s="2627" t="n"/>
      <c r="BC163" s="2627" t="n"/>
      <c r="BD163" s="2627" t="n"/>
      <c r="BE163" s="2627" t="n"/>
      <c r="BF163" s="2627" t="n"/>
      <c r="BG163" s="2628">
        <f>SUM(AU163:BF163)</f>
        <v/>
      </c>
      <c r="BI163" s="2627" t="n"/>
      <c r="BJ163" s="2627" t="n"/>
      <c r="BK163" s="2627" t="n"/>
      <c r="BL163" s="2627" t="n"/>
      <c r="BM163" s="2627" t="n"/>
      <c r="BN163" s="2627" t="n"/>
      <c r="BO163" s="2627" t="n"/>
      <c r="BP163" s="2627" t="n"/>
      <c r="BQ163" s="2627" t="n"/>
      <c r="BR163" s="2627" t="n"/>
      <c r="BS163" s="2627" t="n"/>
      <c r="BT163" s="2627" t="n"/>
      <c r="BU163" s="2628">
        <f>SUM(BI163:BT163)</f>
        <v/>
      </c>
    </row>
    <row r="164" collapsed="1">
      <c r="A164" s="1436" t="n"/>
      <c r="B164" s="1478" t="inlineStr">
        <is>
          <t>Ⅶ. 기타영업외수익</t>
        </is>
      </c>
      <c r="C164" s="1436" t="inlineStr">
        <is>
          <t>기타영업외수익</t>
        </is>
      </c>
      <c r="D164" s="2637">
        <f>SUM(D165:D191)</f>
        <v/>
      </c>
      <c r="E164" s="2637">
        <f>SUM(E165:E191)</f>
        <v/>
      </c>
      <c r="F164" s="2637">
        <f>SUM(F165:F191)</f>
        <v/>
      </c>
      <c r="G164" s="2637">
        <f>SUM(G165:G191)</f>
        <v/>
      </c>
      <c r="H164" s="2637">
        <f>SUM(H165:H191)</f>
        <v/>
      </c>
      <c r="I164" s="2637">
        <f>SUM(I165:I191)</f>
        <v/>
      </c>
      <c r="J164" s="2637">
        <f>SUM(J165:J191)</f>
        <v/>
      </c>
      <c r="K164" s="2637">
        <f>SUM(K165:K191)</f>
        <v/>
      </c>
      <c r="L164" s="2637">
        <f>SUM(L165:L191)</f>
        <v/>
      </c>
      <c r="M164" s="2637">
        <f>SUM(M165:M191)</f>
        <v/>
      </c>
      <c r="N164" s="2637">
        <f>SUM(N165:N191)</f>
        <v/>
      </c>
      <c r="O164" s="2637">
        <f>SUM(O165:O191)</f>
        <v/>
      </c>
      <c r="P164" s="2623">
        <f>SUM(D164:O164)</f>
        <v/>
      </c>
      <c r="Q164" s="1436" t="n"/>
      <c r="R164" s="1436" t="n"/>
      <c r="S164" s="2637">
        <f>SUM(S165:S191)</f>
        <v/>
      </c>
      <c r="T164" s="2637">
        <f>SUM(T165:T191)</f>
        <v/>
      </c>
      <c r="U164" s="2637">
        <f>SUM(U165:U191)</f>
        <v/>
      </c>
      <c r="V164" s="2637">
        <f>SUM(V165:V191)</f>
        <v/>
      </c>
      <c r="W164" s="2637">
        <f>SUM(W165:W191)</f>
        <v/>
      </c>
      <c r="X164" s="2637">
        <f>SUM(X165:X191)</f>
        <v/>
      </c>
      <c r="Y164" s="2637">
        <f>SUM(Y165:Y191)</f>
        <v/>
      </c>
      <c r="Z164" s="2637">
        <f>SUM(Z165:Z191)</f>
        <v/>
      </c>
      <c r="AA164" s="2637">
        <f>SUM(AA165:AA191)</f>
        <v/>
      </c>
      <c r="AB164" s="2637">
        <f>SUM(AB165:AB191)</f>
        <v/>
      </c>
      <c r="AC164" s="2637">
        <f>SUM(AC165:AC191)</f>
        <v/>
      </c>
      <c r="AD164" s="2637">
        <f>SUM(AD165:AD191)</f>
        <v/>
      </c>
      <c r="AE164" s="2623">
        <f>SUM(S164:AD164)</f>
        <v/>
      </c>
      <c r="AF164" s="1436" t="n"/>
      <c r="AG164" s="2637">
        <f>SUM(AG165:AG191)</f>
        <v/>
      </c>
      <c r="AH164" s="2637">
        <f>SUM(AH165:AH191)</f>
        <v/>
      </c>
      <c r="AI164" s="2637">
        <f>SUM(AI165:AI191)</f>
        <v/>
      </c>
      <c r="AJ164" s="2637">
        <f>SUM(AJ165:AJ191)</f>
        <v/>
      </c>
      <c r="AK164" s="2637">
        <f>SUM(AK165:AK191)</f>
        <v/>
      </c>
      <c r="AL164" s="2637">
        <f>SUM(AL165:AL191)</f>
        <v/>
      </c>
      <c r="AM164" s="2637">
        <f>SUM(AM165:AM191)</f>
        <v/>
      </c>
      <c r="AN164" s="2637">
        <f>SUM(AN165:AN191)</f>
        <v/>
      </c>
      <c r="AO164" s="2637">
        <f>SUM(AO165:AO191)</f>
        <v/>
      </c>
      <c r="AP164" s="2637">
        <f>SUM(AP165:AP191)</f>
        <v/>
      </c>
      <c r="AQ164" s="2637">
        <f>SUM(AQ165:AQ191)</f>
        <v/>
      </c>
      <c r="AR164" s="2637">
        <f>SUM(AR165:AR191)</f>
        <v/>
      </c>
      <c r="AS164" s="2623">
        <f>SUM(AG164:AR164)</f>
        <v/>
      </c>
      <c r="AT164" s="2615">
        <f>SUM(AG164:AP164)</f>
        <v/>
      </c>
      <c r="AU164" s="2637" t="n">
        <v>707</v>
      </c>
      <c r="AV164" s="2637" t="n">
        <v>700</v>
      </c>
      <c r="AW164" s="2637" t="n"/>
      <c r="AX164" s="2637" t="n"/>
      <c r="AY164" s="2637" t="n"/>
      <c r="AZ164" s="2637" t="n"/>
      <c r="BA164" s="2637" t="n"/>
      <c r="BB164" s="2637" t="n"/>
      <c r="BC164" s="2637" t="n"/>
      <c r="BD164" s="2637" t="n"/>
      <c r="BE164" s="2637" t="n"/>
      <c r="BF164" s="2637" t="n"/>
      <c r="BG164" s="2624">
        <f>SUM(AU164:BF164)</f>
        <v/>
      </c>
      <c r="BI164" s="2637" t="n"/>
      <c r="BJ164" s="2637" t="n"/>
      <c r="BK164" s="2637" t="n"/>
      <c r="BL164" s="2637" t="n"/>
      <c r="BM164" s="2637" t="n"/>
      <c r="BN164" s="2637" t="n"/>
      <c r="BO164" s="2637" t="n"/>
      <c r="BP164" s="2637" t="n"/>
      <c r="BQ164" s="2637" t="n"/>
      <c r="BR164" s="2637" t="n"/>
      <c r="BS164" s="2637" t="n"/>
      <c r="BT164" s="2637" t="n"/>
      <c r="BU164" s="2624">
        <f>SUM(BI164:BT164)</f>
        <v/>
      </c>
    </row>
    <row r="165" outlineLevel="1">
      <c r="A165" s="1436" t="n"/>
      <c r="B165" s="1480" t="inlineStr">
        <is>
          <t>외환차익</t>
        </is>
      </c>
      <c r="C165" s="1436" t="n"/>
      <c r="D165" s="2625" t="n"/>
      <c r="E165" s="2625" t="n"/>
      <c r="F165" s="2625" t="n"/>
      <c r="G165" s="2625" t="n"/>
      <c r="H165" s="2625" t="n"/>
      <c r="I165" s="2625" t="n">
        <v>0</v>
      </c>
      <c r="J165" s="2625" t="n">
        <v>0</v>
      </c>
      <c r="K165" s="2625" t="n">
        <v>821100</v>
      </c>
      <c r="L165" s="2625" t="n">
        <v>0</v>
      </c>
      <c r="M165" s="2625" t="n">
        <v>0</v>
      </c>
      <c r="N165" s="2625" t="n">
        <v>0</v>
      </c>
      <c r="O165" s="2625" t="n">
        <v>0</v>
      </c>
      <c r="P165" s="2626">
        <f>SUM(D165:O165)</f>
        <v/>
      </c>
      <c r="Q165" s="1436" t="n"/>
      <c r="R165" s="1436" t="n"/>
      <c r="S165" s="2625" t="n">
        <v>0</v>
      </c>
      <c r="T165" s="2625" t="n">
        <v>0</v>
      </c>
      <c r="U165" s="2625" t="n">
        <v>0</v>
      </c>
      <c r="V165" s="2625" t="n">
        <v>0</v>
      </c>
      <c r="W165" s="2625" t="n">
        <v>0</v>
      </c>
      <c r="X165" s="2625" t="n">
        <v>0</v>
      </c>
      <c r="Y165" s="2625" t="n">
        <v>33200</v>
      </c>
      <c r="Z165" s="2625" t="n">
        <v>0</v>
      </c>
      <c r="AA165" s="2625" t="n">
        <v>0</v>
      </c>
      <c r="AB165" s="2625" t="n">
        <v>28028</v>
      </c>
      <c r="AC165" s="2625" t="n">
        <v>120524</v>
      </c>
      <c r="AD165" s="2625" t="n">
        <v>177552</v>
      </c>
      <c r="AE165" s="2626">
        <f>SUM(S165:AD165)</f>
        <v/>
      </c>
      <c r="AF165" s="1436" t="n"/>
      <c r="AG165" s="2625" t="n">
        <v>0</v>
      </c>
      <c r="AH165" s="2625" t="n">
        <v>0</v>
      </c>
      <c r="AI165" s="2625" t="n">
        <v>0</v>
      </c>
      <c r="AJ165" s="2625" t="n">
        <v>0</v>
      </c>
      <c r="AK165" s="2625" t="n">
        <v>0</v>
      </c>
      <c r="AL165" s="2625" t="n"/>
      <c r="AM165" s="2625" t="n">
        <v>0</v>
      </c>
      <c r="AN165" s="2625" t="n">
        <v>0</v>
      </c>
      <c r="AO165" s="2625" t="n"/>
      <c r="AP165" s="2625" t="n">
        <v>0</v>
      </c>
      <c r="AQ165" s="2625" t="n">
        <v>0</v>
      </c>
      <c r="AR165" s="2627" t="n">
        <v>0</v>
      </c>
      <c r="AS165" s="2626">
        <f>SUM(AG165:AR165)</f>
        <v/>
      </c>
      <c r="AT165" s="2615">
        <f>SUM(AG165:AP165)</f>
        <v/>
      </c>
      <c r="AU165" s="2627" t="n"/>
      <c r="AV165" s="2627" t="n"/>
      <c r="AW165" s="2627" t="n"/>
      <c r="AX165" s="2627" t="n"/>
      <c r="AY165" s="2627" t="n"/>
      <c r="AZ165" s="2627" t="n"/>
      <c r="BA165" s="2627" t="n"/>
      <c r="BB165" s="2627" t="n"/>
      <c r="BC165" s="2627" t="n"/>
      <c r="BD165" s="2627" t="n"/>
      <c r="BE165" s="2627" t="n"/>
      <c r="BF165" s="2627" t="n"/>
      <c r="BG165" s="2628">
        <f>SUM(AU165:BF165)</f>
        <v/>
      </c>
      <c r="BI165" s="2627" t="n"/>
      <c r="BJ165" s="2627" t="n"/>
      <c r="BK165" s="2627" t="n"/>
      <c r="BL165" s="2627" t="n"/>
      <c r="BM165" s="2627" t="n"/>
      <c r="BN165" s="2627" t="n"/>
      <c r="BO165" s="2627" t="n"/>
      <c r="BP165" s="2627" t="n"/>
      <c r="BQ165" s="2627" t="n"/>
      <c r="BR165" s="2627" t="n"/>
      <c r="BS165" s="2627" t="n"/>
      <c r="BT165" s="2627" t="n"/>
      <c r="BU165" s="2628">
        <f>SUM(BI165:BT165)</f>
        <v/>
      </c>
    </row>
    <row r="166" outlineLevel="1">
      <c r="A166" s="1436" t="n"/>
      <c r="B166" s="1480" t="inlineStr">
        <is>
          <t>기타채권손상차손환입</t>
        </is>
      </c>
      <c r="C166" s="1436" t="n"/>
      <c r="D166" s="2625" t="n"/>
      <c r="E166" s="2625" t="n"/>
      <c r="F166" s="2625" t="n"/>
      <c r="G166" s="2625" t="n"/>
      <c r="H166" s="2625" t="n"/>
      <c r="I166" s="2625" t="n">
        <v>0</v>
      </c>
      <c r="J166" s="2625" t="n">
        <v>0</v>
      </c>
      <c r="K166" s="2625" t="n">
        <v>0</v>
      </c>
      <c r="L166" s="2625" t="n">
        <v>0</v>
      </c>
      <c r="M166" s="2625" t="n">
        <v>0</v>
      </c>
      <c r="N166" s="2625" t="n">
        <v>0</v>
      </c>
      <c r="O166" s="2625" t="n">
        <v>0</v>
      </c>
      <c r="P166" s="2626">
        <f>SUM(D166:O166)</f>
        <v/>
      </c>
      <c r="Q166" s="1436" t="n"/>
      <c r="R166" s="1436" t="n"/>
      <c r="S166" s="2625" t="n">
        <v>0</v>
      </c>
      <c r="T166" s="2625" t="n">
        <v>0</v>
      </c>
      <c r="U166" s="2625" t="n">
        <v>0</v>
      </c>
      <c r="V166" s="2625" t="n">
        <v>0</v>
      </c>
      <c r="W166" s="2625" t="n">
        <v>0</v>
      </c>
      <c r="X166" s="2625" t="n">
        <v>0</v>
      </c>
      <c r="Y166" s="2625" t="n">
        <v>0</v>
      </c>
      <c r="Z166" s="2625" t="n">
        <v>0</v>
      </c>
      <c r="AA166" s="2625" t="n">
        <v>0</v>
      </c>
      <c r="AB166" s="2625" t="n">
        <v>0</v>
      </c>
      <c r="AC166" s="2625" t="n">
        <v>0</v>
      </c>
      <c r="AD166" s="2625" t="n">
        <v>0</v>
      </c>
      <c r="AE166" s="2626">
        <f>SUM(S166:AD166)</f>
        <v/>
      </c>
      <c r="AF166" s="1436" t="n"/>
      <c r="AG166" s="2625" t="n">
        <v>0</v>
      </c>
      <c r="AH166" s="2625" t="n">
        <v>0</v>
      </c>
      <c r="AI166" s="2625" t="n">
        <v>0</v>
      </c>
      <c r="AJ166" s="2625" t="n">
        <v>0</v>
      </c>
      <c r="AK166" s="2625" t="n">
        <v>0</v>
      </c>
      <c r="AL166" s="2625" t="n"/>
      <c r="AM166" s="2625" t="n">
        <v>0</v>
      </c>
      <c r="AN166" s="2625" t="n">
        <v>0</v>
      </c>
      <c r="AO166" s="2625" t="n"/>
      <c r="AP166" s="2625" t="n">
        <v>0</v>
      </c>
      <c r="AQ166" s="2625" t="n">
        <v>0</v>
      </c>
      <c r="AR166" s="2627" t="n">
        <v>0</v>
      </c>
      <c r="AS166" s="2626">
        <f>SUM(AG166:AR166)</f>
        <v/>
      </c>
      <c r="AT166" s="2615">
        <f>SUM(AG166:AP166)</f>
        <v/>
      </c>
      <c r="AU166" s="2627" t="n"/>
      <c r="AV166" s="2627" t="n"/>
      <c r="AW166" s="2627" t="n"/>
      <c r="AX166" s="2627" t="n"/>
      <c r="AY166" s="2627" t="n"/>
      <c r="AZ166" s="2627" t="n"/>
      <c r="BA166" s="2627" t="n"/>
      <c r="BB166" s="2627" t="n"/>
      <c r="BC166" s="2627" t="n"/>
      <c r="BD166" s="2627" t="n"/>
      <c r="BE166" s="2627" t="n"/>
      <c r="BF166" s="2627" t="n"/>
      <c r="BG166" s="2628">
        <f>SUM(AU166:BF166)</f>
        <v/>
      </c>
      <c r="BI166" s="2627" t="n"/>
      <c r="BJ166" s="2627" t="n"/>
      <c r="BK166" s="2627" t="n"/>
      <c r="BL166" s="2627" t="n"/>
      <c r="BM166" s="2627" t="n"/>
      <c r="BN166" s="2627" t="n"/>
      <c r="BO166" s="2627" t="n"/>
      <c r="BP166" s="2627" t="n"/>
      <c r="BQ166" s="2627" t="n"/>
      <c r="BR166" s="2627" t="n"/>
      <c r="BS166" s="2627" t="n"/>
      <c r="BT166" s="2627" t="n"/>
      <c r="BU166" s="2628">
        <f>SUM(BI166:BT166)</f>
        <v/>
      </c>
    </row>
    <row r="167" outlineLevel="1">
      <c r="A167" s="1436" t="n"/>
      <c r="B167" s="1480" t="inlineStr">
        <is>
          <t>기타의대손상각비환입</t>
        </is>
      </c>
      <c r="C167" s="1436" t="n"/>
      <c r="D167" s="2625" t="n"/>
      <c r="E167" s="2625" t="n"/>
      <c r="F167" s="2625" t="n"/>
      <c r="G167" s="2625" t="n"/>
      <c r="H167" s="2625" t="n"/>
      <c r="I167" s="2625" t="n"/>
      <c r="J167" s="2625" t="n"/>
      <c r="K167" s="2625" t="n"/>
      <c r="L167" s="2625" t="n"/>
      <c r="M167" s="2625" t="n"/>
      <c r="N167" s="2625" t="n"/>
      <c r="O167" s="2625" t="n"/>
      <c r="P167" s="2626" t="n"/>
      <c r="Q167" s="1436" t="n"/>
      <c r="R167" s="1436" t="n"/>
      <c r="S167" s="2625" t="n"/>
      <c r="T167" s="2625" t="n"/>
      <c r="U167" s="2625" t="n"/>
      <c r="V167" s="2625" t="n"/>
      <c r="W167" s="2625" t="n"/>
      <c r="X167" s="2625" t="n"/>
      <c r="Y167" s="2625" t="n"/>
      <c r="Z167" s="2625" t="n"/>
      <c r="AA167" s="2625" t="n"/>
      <c r="AB167" s="2625" t="n"/>
      <c r="AC167" s="2625" t="n"/>
      <c r="AD167" s="2625" t="n"/>
      <c r="AE167" s="2626" t="n"/>
      <c r="AF167" s="1436" t="n"/>
      <c r="AG167" s="2625" t="n"/>
      <c r="AH167" s="2625" t="n"/>
      <c r="AI167" s="2625" t="n"/>
      <c r="AJ167" s="2625" t="n"/>
      <c r="AK167" s="2625" t="n"/>
      <c r="AL167" s="2625" t="n"/>
      <c r="AM167" s="2625" t="n"/>
      <c r="AN167" s="2625" t="n">
        <v>1267960</v>
      </c>
      <c r="AO167" s="2625" t="n"/>
      <c r="AP167" s="2625" t="n">
        <v>0</v>
      </c>
      <c r="AQ167" s="2625" t="n">
        <v>0</v>
      </c>
      <c r="AR167" s="2627" t="n">
        <v>0</v>
      </c>
      <c r="AS167" s="2626">
        <f>SUM(AG167:AR167)</f>
        <v/>
      </c>
      <c r="AT167" s="2615">
        <f>SUM(AG167:AP167)</f>
        <v/>
      </c>
      <c r="AU167" s="2627" t="n"/>
      <c r="AV167" s="2627" t="n"/>
      <c r="AW167" s="2627" t="n"/>
      <c r="AX167" s="2627" t="n"/>
      <c r="AY167" s="2627" t="n"/>
      <c r="AZ167" s="2627" t="n"/>
      <c r="BA167" s="2627" t="n"/>
      <c r="BB167" s="2627" t="n"/>
      <c r="BC167" s="2627" t="n"/>
      <c r="BD167" s="2627" t="n"/>
      <c r="BE167" s="2627" t="n"/>
      <c r="BF167" s="2627" t="n"/>
      <c r="BG167" s="2628" t="n"/>
      <c r="BI167" s="2627" t="n"/>
      <c r="BJ167" s="2627" t="n"/>
      <c r="BK167" s="2627" t="n"/>
      <c r="BL167" s="2627" t="n"/>
      <c r="BM167" s="2627" t="n"/>
      <c r="BN167" s="2627" t="n"/>
      <c r="BO167" s="2627" t="n"/>
      <c r="BP167" s="2627" t="n"/>
      <c r="BQ167" s="2627" t="n"/>
      <c r="BR167" s="2627" t="n"/>
      <c r="BS167" s="2627" t="n"/>
      <c r="BT167" s="2627" t="n"/>
      <c r="BU167" s="2628" t="n"/>
    </row>
    <row r="168" outlineLevel="1">
      <c r="A168" s="1436" t="n"/>
      <c r="B168" s="1480" t="inlineStr">
        <is>
          <t>수입수수료</t>
        </is>
      </c>
      <c r="C168" s="1436" t="n"/>
      <c r="D168" s="2625" t="n"/>
      <c r="E168" s="2625" t="n"/>
      <c r="F168" s="2625" t="n"/>
      <c r="G168" s="2625" t="n"/>
      <c r="H168" s="2625" t="n"/>
      <c r="I168" s="2625" t="n">
        <v>0</v>
      </c>
      <c r="J168" s="2625" t="n">
        <v>0</v>
      </c>
      <c r="K168" s="2625" t="n">
        <v>0</v>
      </c>
      <c r="L168" s="2625" t="n">
        <v>0</v>
      </c>
      <c r="M168" s="2625" t="n">
        <v>0</v>
      </c>
      <c r="N168" s="2625" t="n">
        <v>0</v>
      </c>
      <c r="O168" s="2625" t="n">
        <v>0</v>
      </c>
      <c r="P168" s="2626">
        <f>SUM(D168:O168)</f>
        <v/>
      </c>
      <c r="Q168" s="1436" t="n"/>
      <c r="R168" s="1436" t="n"/>
      <c r="S168" s="2625" t="n">
        <v>0</v>
      </c>
      <c r="T168" s="2625" t="n">
        <v>0</v>
      </c>
      <c r="U168" s="2625" t="n">
        <v>0</v>
      </c>
      <c r="V168" s="2625" t="n">
        <v>0</v>
      </c>
      <c r="W168" s="2625" t="n">
        <v>0</v>
      </c>
      <c r="X168" s="2625" t="n">
        <v>0</v>
      </c>
      <c r="Y168" s="2625" t="n">
        <v>0</v>
      </c>
      <c r="Z168" s="2625" t="n">
        <v>0</v>
      </c>
      <c r="AA168" s="2625" t="n">
        <v>0</v>
      </c>
      <c r="AB168" s="2625" t="n">
        <v>0</v>
      </c>
      <c r="AC168" s="2625" t="n">
        <v>0</v>
      </c>
      <c r="AD168" s="2625" t="n">
        <v>0</v>
      </c>
      <c r="AE168" s="2626">
        <f>SUM(S168:AD168)</f>
        <v/>
      </c>
      <c r="AF168" s="1436" t="n"/>
      <c r="AG168" s="2625" t="n">
        <v>0</v>
      </c>
      <c r="AH168" s="2625" t="n">
        <v>0</v>
      </c>
      <c r="AI168" s="2625" t="n">
        <v>0</v>
      </c>
      <c r="AJ168" s="2625" t="n">
        <v>0</v>
      </c>
      <c r="AK168" s="2625" t="n">
        <v>0</v>
      </c>
      <c r="AL168" s="2625" t="n"/>
      <c r="AM168" s="2625" t="n">
        <v>0</v>
      </c>
      <c r="AN168" s="2625" t="n">
        <v>0</v>
      </c>
      <c r="AO168" s="2625" t="n"/>
      <c r="AP168" s="2625" t="n">
        <v>0</v>
      </c>
      <c r="AQ168" s="2625" t="n">
        <v>0</v>
      </c>
      <c r="AR168" s="2627" t="n">
        <v>0</v>
      </c>
      <c r="AS168" s="2626">
        <f>SUM(AG168:AR168)</f>
        <v/>
      </c>
      <c r="AT168" s="2615">
        <f>SUM(AG168:AP168)</f>
        <v/>
      </c>
      <c r="AU168" s="2627" t="n"/>
      <c r="AV168" s="2627" t="n"/>
      <c r="AW168" s="2627" t="n"/>
      <c r="AX168" s="2627" t="n"/>
      <c r="AY168" s="2627" t="n"/>
      <c r="AZ168" s="2627" t="n"/>
      <c r="BA168" s="2627" t="n"/>
      <c r="BB168" s="2627" t="n"/>
      <c r="BC168" s="2627" t="n"/>
      <c r="BD168" s="2627" t="n"/>
      <c r="BE168" s="2627" t="n"/>
      <c r="BF168" s="2627" t="n"/>
      <c r="BG168" s="2628">
        <f>SUM(AU168:BF168)</f>
        <v/>
      </c>
      <c r="BI168" s="2627" t="n"/>
      <c r="BJ168" s="2627" t="n"/>
      <c r="BK168" s="2627" t="n"/>
      <c r="BL168" s="2627" t="n"/>
      <c r="BM168" s="2627" t="n"/>
      <c r="BN168" s="2627" t="n"/>
      <c r="BO168" s="2627" t="n"/>
      <c r="BP168" s="2627" t="n"/>
      <c r="BQ168" s="2627" t="n"/>
      <c r="BR168" s="2627" t="n"/>
      <c r="BS168" s="2627" t="n"/>
      <c r="BT168" s="2627" t="n"/>
      <c r="BU168" s="2628">
        <f>SUM(BI168:BT168)</f>
        <v/>
      </c>
    </row>
    <row r="169" outlineLevel="1">
      <c r="A169" s="1436" t="n"/>
      <c r="B169" s="1480" t="inlineStr">
        <is>
          <t>외화환산이익</t>
        </is>
      </c>
      <c r="C169" s="1436" t="n"/>
      <c r="D169" s="2625" t="n"/>
      <c r="E169" s="2625" t="n"/>
      <c r="F169" s="2625" t="n"/>
      <c r="G169" s="2625" t="n"/>
      <c r="H169" s="2625" t="n"/>
      <c r="I169" s="2625" t="n">
        <v>0</v>
      </c>
      <c r="J169" s="2625" t="n">
        <v>0</v>
      </c>
      <c r="K169" s="2625" t="n">
        <v>0</v>
      </c>
      <c r="L169" s="2625" t="n">
        <v>0</v>
      </c>
      <c r="M169" s="2625" t="n">
        <v>0</v>
      </c>
      <c r="N169" s="2625" t="n">
        <v>0</v>
      </c>
      <c r="O169" s="2625" t="n">
        <v>0</v>
      </c>
      <c r="P169" s="2626">
        <f>SUM(D169:O169)</f>
        <v/>
      </c>
      <c r="Q169" s="1436" t="n"/>
      <c r="R169" s="1436" t="n"/>
      <c r="S169" s="2625" t="n">
        <v>0</v>
      </c>
      <c r="T169" s="2625" t="n">
        <v>0</v>
      </c>
      <c r="U169" s="2625" t="n">
        <v>0</v>
      </c>
      <c r="V169" s="2625" t="n">
        <v>0</v>
      </c>
      <c r="W169" s="2625" t="n">
        <v>0</v>
      </c>
      <c r="X169" s="2625" t="n">
        <v>0</v>
      </c>
      <c r="Y169" s="2625" t="n">
        <v>0</v>
      </c>
      <c r="Z169" s="2625" t="n">
        <v>0</v>
      </c>
      <c r="AA169" s="2625" t="n">
        <v>0</v>
      </c>
      <c r="AB169" s="2625" t="n">
        <v>0</v>
      </c>
      <c r="AC169" s="2625" t="n">
        <v>0</v>
      </c>
      <c r="AD169" s="2625" t="n">
        <v>0</v>
      </c>
      <c r="AE169" s="2626">
        <f>SUM(S169:AD169)</f>
        <v/>
      </c>
      <c r="AF169" s="1436" t="n"/>
      <c r="AG169" s="2625" t="n">
        <v>0</v>
      </c>
      <c r="AH169" s="2625" t="n">
        <v>0</v>
      </c>
      <c r="AI169" s="2625" t="n">
        <v>0</v>
      </c>
      <c r="AJ169" s="2625" t="n">
        <v>0</v>
      </c>
      <c r="AK169" s="2625" t="n">
        <v>0</v>
      </c>
      <c r="AL169" s="2625" t="n"/>
      <c r="AM169" s="2625" t="n">
        <v>0</v>
      </c>
      <c r="AN169" s="2625" t="n">
        <v>0</v>
      </c>
      <c r="AO169" s="2625" t="n"/>
      <c r="AP169" s="2625" t="n">
        <v>0</v>
      </c>
      <c r="AQ169" s="2625" t="n">
        <v>0</v>
      </c>
      <c r="AR169" s="2627" t="n">
        <v>0</v>
      </c>
      <c r="AS169" s="2626">
        <f>SUM(AG169:AR169)</f>
        <v/>
      </c>
      <c r="AT169" s="2615">
        <f>SUM(AG169:AP169)</f>
        <v/>
      </c>
      <c r="AU169" s="2627" t="n"/>
      <c r="AV169" s="2627" t="n"/>
      <c r="AW169" s="2627" t="n"/>
      <c r="AX169" s="2627" t="n"/>
      <c r="AY169" s="2627" t="n"/>
      <c r="AZ169" s="2627" t="n"/>
      <c r="BA169" s="2627" t="n"/>
      <c r="BB169" s="2627" t="n"/>
      <c r="BC169" s="2627" t="n"/>
      <c r="BD169" s="2627" t="n"/>
      <c r="BE169" s="2627" t="n"/>
      <c r="BF169" s="2627" t="n"/>
      <c r="BG169" s="2628">
        <f>SUM(AU169:BF169)</f>
        <v/>
      </c>
      <c r="BI169" s="2627" t="n"/>
      <c r="BJ169" s="2627" t="n"/>
      <c r="BK169" s="2627" t="n"/>
      <c r="BL169" s="2627" t="n"/>
      <c r="BM169" s="2627" t="n"/>
      <c r="BN169" s="2627" t="n"/>
      <c r="BO169" s="2627" t="n"/>
      <c r="BP169" s="2627" t="n"/>
      <c r="BQ169" s="2627" t="n"/>
      <c r="BR169" s="2627" t="n"/>
      <c r="BS169" s="2627" t="n"/>
      <c r="BT169" s="2627" t="n"/>
      <c r="BU169" s="2628">
        <f>SUM(BI169:BT169)</f>
        <v/>
      </c>
    </row>
    <row r="170" outlineLevel="1">
      <c r="A170" s="1436" t="n"/>
      <c r="B170" s="1480" t="inlineStr">
        <is>
          <t>금융보증부채환입</t>
        </is>
      </c>
      <c r="C170" s="1436" t="n"/>
      <c r="D170" s="2625" t="n"/>
      <c r="E170" s="2625" t="n"/>
      <c r="F170" s="2625" t="n"/>
      <c r="G170" s="2625" t="n"/>
      <c r="H170" s="2625" t="n"/>
      <c r="I170" s="2625" t="n">
        <v>0</v>
      </c>
      <c r="J170" s="2625" t="n">
        <v>0</v>
      </c>
      <c r="K170" s="2625" t="n">
        <v>0</v>
      </c>
      <c r="L170" s="2625" t="n">
        <v>0</v>
      </c>
      <c r="M170" s="2625" t="n">
        <v>0</v>
      </c>
      <c r="N170" s="2625" t="n">
        <v>0</v>
      </c>
      <c r="O170" s="2625" t="n">
        <v>0</v>
      </c>
      <c r="P170" s="2626">
        <f>SUM(D170:O170)</f>
        <v/>
      </c>
      <c r="Q170" s="1436" t="n"/>
      <c r="R170" s="1436" t="n"/>
      <c r="S170" s="2625" t="n">
        <v>0</v>
      </c>
      <c r="T170" s="2625" t="n">
        <v>0</v>
      </c>
      <c r="U170" s="2625" t="n">
        <v>0</v>
      </c>
      <c r="V170" s="2625" t="n">
        <v>0</v>
      </c>
      <c r="W170" s="2625" t="n">
        <v>0</v>
      </c>
      <c r="X170" s="2625" t="n">
        <v>0</v>
      </c>
      <c r="Y170" s="2625" t="n">
        <v>0</v>
      </c>
      <c r="Z170" s="2625" t="n">
        <v>0</v>
      </c>
      <c r="AA170" s="2625" t="n">
        <v>0</v>
      </c>
      <c r="AB170" s="2625" t="n">
        <v>0</v>
      </c>
      <c r="AC170" s="2625" t="n">
        <v>0</v>
      </c>
      <c r="AD170" s="2625" t="n">
        <v>0</v>
      </c>
      <c r="AE170" s="2626">
        <f>SUM(S170:AD170)</f>
        <v/>
      </c>
      <c r="AF170" s="1436" t="n"/>
      <c r="AG170" s="2625" t="n">
        <v>0</v>
      </c>
      <c r="AH170" s="2625" t="n">
        <v>0</v>
      </c>
      <c r="AI170" s="2625" t="n">
        <v>0</v>
      </c>
      <c r="AJ170" s="2625" t="n">
        <v>0</v>
      </c>
      <c r="AK170" s="2625" t="n">
        <v>0</v>
      </c>
      <c r="AL170" s="2625" t="n"/>
      <c r="AM170" s="2625" t="n">
        <v>0</v>
      </c>
      <c r="AN170" s="2625" t="n">
        <v>0</v>
      </c>
      <c r="AO170" s="2625" t="n"/>
      <c r="AP170" s="2625" t="n">
        <v>0</v>
      </c>
      <c r="AQ170" s="2625" t="n">
        <v>0</v>
      </c>
      <c r="AR170" s="2627" t="n">
        <v>0</v>
      </c>
      <c r="AS170" s="2626">
        <f>SUM(AG170:AR170)</f>
        <v/>
      </c>
      <c r="AT170" s="2615">
        <f>SUM(AG170:AP170)</f>
        <v/>
      </c>
      <c r="AU170" s="2627" t="n"/>
      <c r="AV170" s="2627" t="n"/>
      <c r="AW170" s="2627" t="n"/>
      <c r="AX170" s="2627" t="n"/>
      <c r="AY170" s="2627" t="n"/>
      <c r="AZ170" s="2627" t="n"/>
      <c r="BA170" s="2627" t="n"/>
      <c r="BB170" s="2627" t="n"/>
      <c r="BC170" s="2627" t="n"/>
      <c r="BD170" s="2627" t="n"/>
      <c r="BE170" s="2627" t="n"/>
      <c r="BF170" s="2627" t="n"/>
      <c r="BG170" s="2628">
        <f>SUM(AU170:BF170)</f>
        <v/>
      </c>
      <c r="BI170" s="2627" t="n"/>
      <c r="BJ170" s="2627" t="n"/>
      <c r="BK170" s="2627" t="n"/>
      <c r="BL170" s="2627" t="n"/>
      <c r="BM170" s="2627" t="n"/>
      <c r="BN170" s="2627" t="n"/>
      <c r="BO170" s="2627" t="n"/>
      <c r="BP170" s="2627" t="n"/>
      <c r="BQ170" s="2627" t="n"/>
      <c r="BR170" s="2627" t="n"/>
      <c r="BS170" s="2627" t="n"/>
      <c r="BT170" s="2627" t="n"/>
      <c r="BU170" s="2628">
        <f>SUM(BI170:BT170)</f>
        <v/>
      </c>
    </row>
    <row r="171" outlineLevel="1">
      <c r="A171" s="1436" t="n"/>
      <c r="B171" s="1480" t="inlineStr">
        <is>
          <t>하자보수충당부채환입</t>
        </is>
      </c>
      <c r="C171" s="1436" t="n"/>
      <c r="D171" s="2625" t="n"/>
      <c r="E171" s="2625" t="n"/>
      <c r="F171" s="2625" t="n"/>
      <c r="G171" s="2625" t="n"/>
      <c r="H171" s="2625" t="n"/>
      <c r="I171" s="2625" t="n">
        <v>0</v>
      </c>
      <c r="J171" s="2625" t="n">
        <v>0</v>
      </c>
      <c r="K171" s="2625" t="n">
        <v>0</v>
      </c>
      <c r="L171" s="2625" t="n">
        <v>0</v>
      </c>
      <c r="M171" s="2625" t="n">
        <v>0</v>
      </c>
      <c r="N171" s="2625" t="n">
        <v>0</v>
      </c>
      <c r="O171" s="2625" t="n">
        <v>0</v>
      </c>
      <c r="P171" s="2626">
        <f>SUM(D171:O171)</f>
        <v/>
      </c>
      <c r="Q171" s="1436" t="n"/>
      <c r="R171" s="1436" t="n"/>
      <c r="S171" s="2625" t="n">
        <v>0</v>
      </c>
      <c r="T171" s="2625" t="n">
        <v>0</v>
      </c>
      <c r="U171" s="2625" t="n">
        <v>0</v>
      </c>
      <c r="V171" s="2625" t="n">
        <v>0</v>
      </c>
      <c r="W171" s="2625" t="n">
        <v>0</v>
      </c>
      <c r="X171" s="2625" t="n">
        <v>0</v>
      </c>
      <c r="Y171" s="2625" t="n">
        <v>0</v>
      </c>
      <c r="Z171" s="2625" t="n">
        <v>0</v>
      </c>
      <c r="AA171" s="2625" t="n">
        <v>0</v>
      </c>
      <c r="AB171" s="2625" t="n">
        <v>0</v>
      </c>
      <c r="AC171" s="2625" t="n">
        <v>0</v>
      </c>
      <c r="AD171" s="2625" t="n">
        <v>0</v>
      </c>
      <c r="AE171" s="2626">
        <f>SUM(S171:AD171)</f>
        <v/>
      </c>
      <c r="AF171" s="1436" t="n"/>
      <c r="AG171" s="2625" t="n">
        <v>0</v>
      </c>
      <c r="AH171" s="2625" t="n">
        <v>0</v>
      </c>
      <c r="AI171" s="2625" t="n">
        <v>0</v>
      </c>
      <c r="AJ171" s="2625" t="n">
        <v>0</v>
      </c>
      <c r="AK171" s="2625" t="n">
        <v>0</v>
      </c>
      <c r="AL171" s="2625" t="n"/>
      <c r="AM171" s="2625" t="n">
        <v>0</v>
      </c>
      <c r="AN171" s="2625" t="n">
        <v>0</v>
      </c>
      <c r="AO171" s="2625" t="n"/>
      <c r="AP171" s="2625" t="n">
        <v>0</v>
      </c>
      <c r="AQ171" s="2625" t="n">
        <v>0</v>
      </c>
      <c r="AR171" s="2627" t="n">
        <v>0</v>
      </c>
      <c r="AS171" s="2626">
        <f>SUM(AG171:AR171)</f>
        <v/>
      </c>
      <c r="AT171" s="2615">
        <f>SUM(AG171:AP171)</f>
        <v/>
      </c>
      <c r="AU171" s="2627" t="n"/>
      <c r="AV171" s="2627" t="n"/>
      <c r="AW171" s="2627" t="n"/>
      <c r="AX171" s="2627" t="n"/>
      <c r="AY171" s="2627" t="n"/>
      <c r="AZ171" s="2627" t="n"/>
      <c r="BA171" s="2627" t="n"/>
      <c r="BB171" s="2627" t="n"/>
      <c r="BC171" s="2627" t="n"/>
      <c r="BD171" s="2627" t="n"/>
      <c r="BE171" s="2627" t="n"/>
      <c r="BF171" s="2627" t="n"/>
      <c r="BG171" s="2628">
        <f>SUM(AU171:BF171)</f>
        <v/>
      </c>
      <c r="BI171" s="2627" t="n"/>
      <c r="BJ171" s="2627" t="n"/>
      <c r="BK171" s="2627" t="n"/>
      <c r="BL171" s="2627" t="n"/>
      <c r="BM171" s="2627" t="n"/>
      <c r="BN171" s="2627" t="n"/>
      <c r="BO171" s="2627" t="n"/>
      <c r="BP171" s="2627" t="n"/>
      <c r="BQ171" s="2627" t="n"/>
      <c r="BR171" s="2627" t="n"/>
      <c r="BS171" s="2627" t="n"/>
      <c r="BT171" s="2627" t="n"/>
      <c r="BU171" s="2628">
        <f>SUM(BI171:BT171)</f>
        <v/>
      </c>
    </row>
    <row r="172" outlineLevel="1">
      <c r="A172" s="1436" t="n"/>
      <c r="B172" s="1480" t="inlineStr">
        <is>
          <t>유형자산처분이익</t>
        </is>
      </c>
      <c r="C172" s="1436" t="n"/>
      <c r="D172" s="2625" t="n"/>
      <c r="E172" s="2625" t="n"/>
      <c r="F172" s="2625" t="n"/>
      <c r="G172" s="2625" t="n"/>
      <c r="H172" s="2625" t="n"/>
      <c r="I172" s="2625" t="n">
        <v>0</v>
      </c>
      <c r="J172" s="2625" t="n">
        <v>0</v>
      </c>
      <c r="K172" s="2625" t="n">
        <v>0</v>
      </c>
      <c r="L172" s="2625" t="n">
        <v>0</v>
      </c>
      <c r="M172" s="2625" t="n">
        <v>0</v>
      </c>
      <c r="N172" s="2625" t="n">
        <v>0</v>
      </c>
      <c r="O172" s="2625" t="n">
        <v>0</v>
      </c>
      <c r="P172" s="2626">
        <f>SUM(D172:O172)</f>
        <v/>
      </c>
      <c r="Q172" s="1436" t="n"/>
      <c r="R172" s="1436" t="n"/>
      <c r="S172" s="2625" t="n">
        <v>0</v>
      </c>
      <c r="T172" s="2625" t="n">
        <v>0</v>
      </c>
      <c r="U172" s="2625" t="n">
        <v>0</v>
      </c>
      <c r="V172" s="2625" t="n">
        <v>0</v>
      </c>
      <c r="W172" s="2625" t="n">
        <v>34583172</v>
      </c>
      <c r="X172" s="2625" t="n">
        <v>0</v>
      </c>
      <c r="Y172" s="2625" t="n">
        <v>0</v>
      </c>
      <c r="Z172" s="2625" t="n">
        <v>0</v>
      </c>
      <c r="AA172" s="2625" t="n">
        <v>0</v>
      </c>
      <c r="AB172" s="2625" t="n">
        <v>0</v>
      </c>
      <c r="AC172" s="2625" t="n">
        <v>85752815</v>
      </c>
      <c r="AD172" s="2625" t="n">
        <v>6029173</v>
      </c>
      <c r="AE172" s="2626">
        <f>SUM(S172:AD172)</f>
        <v/>
      </c>
      <c r="AF172" s="1436" t="n"/>
      <c r="AG172" s="2625" t="n">
        <v>0</v>
      </c>
      <c r="AH172" s="2625" t="n">
        <v>0</v>
      </c>
      <c r="AI172" s="2625" t="n">
        <v>0</v>
      </c>
      <c r="AJ172" s="2625" t="n">
        <v>0</v>
      </c>
      <c r="AK172" s="2625" t="n">
        <v>0</v>
      </c>
      <c r="AL172" s="2625" t="n"/>
      <c r="AM172" s="2625" t="n">
        <v>0</v>
      </c>
      <c r="AN172" s="2625" t="n">
        <v>1011382</v>
      </c>
      <c r="AO172" s="2625" t="n"/>
      <c r="AP172" s="2625" t="n">
        <v>998160</v>
      </c>
      <c r="AQ172" s="2625" t="n">
        <v>0</v>
      </c>
      <c r="AR172" s="2627" t="n">
        <v>0</v>
      </c>
      <c r="AS172" s="2626">
        <f>SUM(AG172:AR172)</f>
        <v/>
      </c>
      <c r="AT172" s="2615">
        <f>SUM(AG172:AP172)</f>
        <v/>
      </c>
      <c r="AU172" s="2627" t="n"/>
      <c r="AV172" s="2627" t="n"/>
      <c r="AW172" s="2627" t="n"/>
      <c r="AX172" s="2627" t="n"/>
      <c r="AY172" s="2627" t="n"/>
      <c r="AZ172" s="2627" t="n"/>
      <c r="BA172" s="2627" t="n"/>
      <c r="BB172" s="2627" t="n"/>
      <c r="BC172" s="2627" t="n"/>
      <c r="BD172" s="2627" t="n"/>
      <c r="BE172" s="2627" t="n"/>
      <c r="BF172" s="2627" t="n"/>
      <c r="BG172" s="2628">
        <f>SUM(AU172:BF172)</f>
        <v/>
      </c>
      <c r="BI172" s="2627" t="n"/>
      <c r="BJ172" s="2627" t="n"/>
      <c r="BK172" s="2627" t="n"/>
      <c r="BL172" s="2627" t="n"/>
      <c r="BM172" s="2627" t="n"/>
      <c r="BN172" s="2627" t="n"/>
      <c r="BO172" s="2627" t="n"/>
      <c r="BP172" s="2627" t="n"/>
      <c r="BQ172" s="2627" t="n"/>
      <c r="BR172" s="2627" t="n"/>
      <c r="BS172" s="2627" t="n"/>
      <c r="BT172" s="2627" t="n"/>
      <c r="BU172" s="2628">
        <f>SUM(BI172:BT172)</f>
        <v/>
      </c>
    </row>
    <row r="173" outlineLevel="1">
      <c r="A173" s="1436" t="n"/>
      <c r="B173" s="1480" t="inlineStr">
        <is>
          <t>무형자산처분이익</t>
        </is>
      </c>
      <c r="C173" s="1436" t="n"/>
      <c r="D173" s="2625" t="n"/>
      <c r="E173" s="2625" t="n"/>
      <c r="F173" s="2625" t="n"/>
      <c r="G173" s="2625" t="n"/>
      <c r="H173" s="2625" t="n"/>
      <c r="I173" s="2625" t="n">
        <v>0</v>
      </c>
      <c r="J173" s="2625" t="n">
        <v>0</v>
      </c>
      <c r="K173" s="2625" t="n">
        <v>0</v>
      </c>
      <c r="L173" s="2625" t="n">
        <v>0</v>
      </c>
      <c r="M173" s="2625" t="n">
        <v>0</v>
      </c>
      <c r="N173" s="2625" t="n">
        <v>0</v>
      </c>
      <c r="O173" s="2625" t="n">
        <v>0</v>
      </c>
      <c r="P173" s="2626">
        <f>SUM(D173:O173)</f>
        <v/>
      </c>
      <c r="Q173" s="1436" t="n"/>
      <c r="R173" s="1436" t="n"/>
      <c r="S173" s="2625" t="n">
        <v>0</v>
      </c>
      <c r="T173" s="2625" t="n">
        <v>0</v>
      </c>
      <c r="U173" s="2625" t="n">
        <v>0</v>
      </c>
      <c r="V173" s="2625" t="n">
        <v>0</v>
      </c>
      <c r="W173" s="2625" t="n">
        <v>0</v>
      </c>
      <c r="X173" s="2625" t="n">
        <v>0</v>
      </c>
      <c r="Y173" s="2625" t="n">
        <v>0</v>
      </c>
      <c r="Z173" s="2625" t="n">
        <v>0</v>
      </c>
      <c r="AA173" s="2625" t="n">
        <v>0</v>
      </c>
      <c r="AB173" s="2625" t="n">
        <v>0</v>
      </c>
      <c r="AC173" s="2625" t="n">
        <v>0</v>
      </c>
      <c r="AD173" s="2625" t="n">
        <v>0</v>
      </c>
      <c r="AE173" s="2626">
        <f>SUM(S173:AD173)</f>
        <v/>
      </c>
      <c r="AF173" s="1436" t="n"/>
      <c r="AG173" s="2625" t="n">
        <v>0</v>
      </c>
      <c r="AH173" s="2625" t="n">
        <v>0</v>
      </c>
      <c r="AI173" s="2625" t="n">
        <v>0</v>
      </c>
      <c r="AJ173" s="2625" t="n">
        <v>0</v>
      </c>
      <c r="AK173" s="2625" t="n">
        <v>0</v>
      </c>
      <c r="AL173" s="2625" t="n"/>
      <c r="AM173" s="2625" t="n">
        <v>0</v>
      </c>
      <c r="AN173" s="2625" t="n">
        <v>0</v>
      </c>
      <c r="AO173" s="2625" t="n"/>
      <c r="AP173" s="2625" t="n">
        <v>0</v>
      </c>
      <c r="AQ173" s="2625" t="n">
        <v>0</v>
      </c>
      <c r="AR173" s="2627" t="n">
        <v>0</v>
      </c>
      <c r="AS173" s="2626">
        <f>SUM(AG173:AR173)</f>
        <v/>
      </c>
      <c r="AT173" s="2615">
        <f>SUM(AG173:AP173)</f>
        <v/>
      </c>
      <c r="AU173" s="2627" t="n"/>
      <c r="AV173" s="2627" t="n"/>
      <c r="AW173" s="2627" t="n"/>
      <c r="AX173" s="2627" t="n"/>
      <c r="AY173" s="2627" t="n"/>
      <c r="AZ173" s="2627" t="n"/>
      <c r="BA173" s="2627" t="n"/>
      <c r="BB173" s="2627" t="n"/>
      <c r="BC173" s="2627" t="n"/>
      <c r="BD173" s="2627" t="n"/>
      <c r="BE173" s="2627" t="n"/>
      <c r="BF173" s="2627" t="n"/>
      <c r="BG173" s="2628">
        <f>SUM(AU173:BF173)</f>
        <v/>
      </c>
      <c r="BI173" s="2627" t="n"/>
      <c r="BJ173" s="2627" t="n"/>
      <c r="BK173" s="2627" t="n"/>
      <c r="BL173" s="2627" t="n"/>
      <c r="BM173" s="2627" t="n"/>
      <c r="BN173" s="2627" t="n"/>
      <c r="BO173" s="2627" t="n"/>
      <c r="BP173" s="2627" t="n"/>
      <c r="BQ173" s="2627" t="n"/>
      <c r="BR173" s="2627" t="n"/>
      <c r="BS173" s="2627" t="n"/>
      <c r="BT173" s="2627" t="n"/>
      <c r="BU173" s="2628">
        <f>SUM(BI173:BT173)</f>
        <v/>
      </c>
    </row>
    <row r="174" outlineLevel="1">
      <c r="A174" s="1436" t="n"/>
      <c r="B174" s="1480" t="inlineStr">
        <is>
          <t>매각예정비유동자산처분이익</t>
        </is>
      </c>
      <c r="C174" s="1436" t="n"/>
      <c r="D174" s="2625" t="n"/>
      <c r="E174" s="2625" t="n"/>
      <c r="F174" s="2625" t="n"/>
      <c r="G174" s="2625" t="n"/>
      <c r="H174" s="2625" t="n"/>
      <c r="I174" s="2625" t="n"/>
      <c r="J174" s="2625" t="n"/>
      <c r="K174" s="2625" t="n"/>
      <c r="L174" s="2625" t="n"/>
      <c r="M174" s="2625" t="n"/>
      <c r="N174" s="2625" t="n"/>
      <c r="O174" s="2625" t="n"/>
      <c r="P174" s="2626">
        <f>SUM(D174:O174)</f>
        <v/>
      </c>
      <c r="Q174" s="1436" t="n"/>
      <c r="R174" s="1436" t="n"/>
      <c r="S174" s="2625" t="n"/>
      <c r="T174" s="2625" t="n"/>
      <c r="U174" s="2625" t="n">
        <v>0</v>
      </c>
      <c r="V174" s="2625" t="n">
        <v>0</v>
      </c>
      <c r="W174" s="2625" t="n">
        <v>0</v>
      </c>
      <c r="X174" s="2625" t="n">
        <v>0</v>
      </c>
      <c r="Y174" s="2625" t="n">
        <v>0</v>
      </c>
      <c r="Z174" s="2625" t="n">
        <v>0</v>
      </c>
      <c r="AA174" s="2625" t="n">
        <v>0</v>
      </c>
      <c r="AB174" s="2625" t="n">
        <v>0</v>
      </c>
      <c r="AC174" s="2625" t="n">
        <v>0</v>
      </c>
      <c r="AD174" s="2625" t="n">
        <v>0</v>
      </c>
      <c r="AE174" s="2626">
        <f>SUM(S174:AD174)</f>
        <v/>
      </c>
      <c r="AF174" s="1436" t="n"/>
      <c r="AG174" s="2625" t="n">
        <v>0</v>
      </c>
      <c r="AH174" s="2625" t="n">
        <v>0</v>
      </c>
      <c r="AI174" s="2625" t="n">
        <v>0</v>
      </c>
      <c r="AJ174" s="2625" t="n">
        <v>0</v>
      </c>
      <c r="AK174" s="2625" t="n">
        <v>0</v>
      </c>
      <c r="AL174" s="2625" t="n"/>
      <c r="AM174" s="2625" t="n">
        <v>0</v>
      </c>
      <c r="AN174" s="2625" t="n">
        <v>0</v>
      </c>
      <c r="AO174" s="2625" t="n"/>
      <c r="AP174" s="2625" t="n">
        <v>0</v>
      </c>
      <c r="AQ174" s="2625" t="n">
        <v>0</v>
      </c>
      <c r="AR174" s="2627" t="n">
        <v>0</v>
      </c>
      <c r="AS174" s="2626">
        <f>SUM(AG174:AR174)</f>
        <v/>
      </c>
      <c r="AT174" s="2615">
        <f>SUM(AG174:AP174)</f>
        <v/>
      </c>
      <c r="AU174" s="2627" t="n"/>
      <c r="AV174" s="2627" t="n"/>
      <c r="AW174" s="2627" t="n"/>
      <c r="AX174" s="2627" t="n"/>
      <c r="AY174" s="2627" t="n"/>
      <c r="AZ174" s="2627" t="n"/>
      <c r="BA174" s="2627" t="n"/>
      <c r="BB174" s="2627" t="n"/>
      <c r="BC174" s="2627" t="n"/>
      <c r="BD174" s="2627" t="n"/>
      <c r="BE174" s="2627" t="n"/>
      <c r="BF174" s="2627" t="n"/>
      <c r="BG174" s="2628">
        <f>SUM(AU174:BF174)</f>
        <v/>
      </c>
      <c r="BI174" s="2627" t="n"/>
      <c r="BJ174" s="2627" t="n"/>
      <c r="BK174" s="2627" t="n"/>
      <c r="BL174" s="2627" t="n"/>
      <c r="BM174" s="2627" t="n"/>
      <c r="BN174" s="2627" t="n"/>
      <c r="BO174" s="2627" t="n"/>
      <c r="BP174" s="2627" t="n"/>
      <c r="BQ174" s="2627" t="n"/>
      <c r="BR174" s="2627" t="n"/>
      <c r="BS174" s="2627" t="n"/>
      <c r="BT174" s="2627" t="n"/>
      <c r="BU174" s="2628">
        <f>SUM(BI174:BT174)</f>
        <v/>
      </c>
    </row>
    <row r="175" outlineLevel="1">
      <c r="A175" s="1436" t="n"/>
      <c r="B175" s="1480" t="inlineStr">
        <is>
          <t>무형자산손상차손환입</t>
        </is>
      </c>
      <c r="C175" s="1436" t="n"/>
      <c r="D175" s="2625" t="n"/>
      <c r="E175" s="2625" t="n"/>
      <c r="F175" s="2625" t="n"/>
      <c r="G175" s="2625" t="n"/>
      <c r="H175" s="2625" t="n"/>
      <c r="I175" s="2625" t="n"/>
      <c r="J175" s="2625" t="n"/>
      <c r="K175" s="2625" t="n"/>
      <c r="L175" s="2625" t="n"/>
      <c r="M175" s="2625" t="n"/>
      <c r="N175" s="2625" t="n"/>
      <c r="O175" s="2625" t="n"/>
      <c r="P175" s="2626">
        <f>SUM(D175:O175)</f>
        <v/>
      </c>
      <c r="Q175" s="1436" t="n"/>
      <c r="R175" s="1436" t="n"/>
      <c r="S175" s="2625" t="n"/>
      <c r="T175" s="2625" t="n"/>
      <c r="U175" s="2625" t="n"/>
      <c r="V175" s="2625" t="n"/>
      <c r="W175" s="2625" t="n"/>
      <c r="X175" s="2625" t="n">
        <v>0</v>
      </c>
      <c r="Y175" s="2625" t="n">
        <v>0</v>
      </c>
      <c r="Z175" s="2625" t="n">
        <v>0</v>
      </c>
      <c r="AA175" s="2625" t="n">
        <v>0</v>
      </c>
      <c r="AB175" s="2625" t="n">
        <v>0</v>
      </c>
      <c r="AC175" s="2625" t="n">
        <v>0</v>
      </c>
      <c r="AD175" s="2625" t="n">
        <v>0</v>
      </c>
      <c r="AE175" s="2626">
        <f>SUM(S175:AD175)</f>
        <v/>
      </c>
      <c r="AF175" s="1436" t="n"/>
      <c r="AG175" s="2625" t="n">
        <v>0</v>
      </c>
      <c r="AH175" s="2625" t="n">
        <v>0</v>
      </c>
      <c r="AI175" s="2625" t="n">
        <v>0</v>
      </c>
      <c r="AJ175" s="2625" t="n">
        <v>0</v>
      </c>
      <c r="AK175" s="2625" t="n">
        <v>0</v>
      </c>
      <c r="AL175" s="2625" t="n"/>
      <c r="AM175" s="2625" t="n">
        <v>0</v>
      </c>
      <c r="AN175" s="2625" t="n">
        <v>0</v>
      </c>
      <c r="AO175" s="2625" t="n"/>
      <c r="AP175" s="2625" t="n">
        <v>0</v>
      </c>
      <c r="AQ175" s="2625" t="n">
        <v>0</v>
      </c>
      <c r="AR175" s="2627" t="n">
        <v>0</v>
      </c>
      <c r="AS175" s="2626">
        <f>SUM(AG175:AR175)</f>
        <v/>
      </c>
      <c r="AT175" s="2615">
        <f>SUM(AG175:AP175)</f>
        <v/>
      </c>
      <c r="AU175" s="2627" t="n"/>
      <c r="AV175" s="2627" t="n"/>
      <c r="AW175" s="2627" t="n"/>
      <c r="AX175" s="2627" t="n"/>
      <c r="AY175" s="2627" t="n"/>
      <c r="AZ175" s="2627" t="n"/>
      <c r="BA175" s="2627" t="n"/>
      <c r="BB175" s="2627" t="n"/>
      <c r="BC175" s="2627" t="n"/>
      <c r="BD175" s="2627" t="n"/>
      <c r="BE175" s="2627" t="n"/>
      <c r="BF175" s="2627" t="n"/>
      <c r="BG175" s="2628">
        <f>SUM(AU175:BF175)</f>
        <v/>
      </c>
      <c r="BI175" s="2627" t="n"/>
      <c r="BJ175" s="2627" t="n"/>
      <c r="BK175" s="2627" t="n"/>
      <c r="BL175" s="2627" t="n"/>
      <c r="BM175" s="2627" t="n"/>
      <c r="BN175" s="2627" t="n"/>
      <c r="BO175" s="2627" t="n"/>
      <c r="BP175" s="2627" t="n"/>
      <c r="BQ175" s="2627" t="n"/>
      <c r="BR175" s="2627" t="n"/>
      <c r="BS175" s="2627" t="n"/>
      <c r="BT175" s="2627" t="n"/>
      <c r="BU175" s="2628">
        <f>SUM(BI175:BT175)</f>
        <v/>
      </c>
    </row>
    <row r="176" outlineLevel="1">
      <c r="A176" s="1436" t="n"/>
      <c r="B176" s="1480" t="inlineStr">
        <is>
          <t>잡이익</t>
        </is>
      </c>
      <c r="C176" s="1436" t="n"/>
      <c r="D176" s="2625" t="n"/>
      <c r="E176" s="2625" t="n"/>
      <c r="F176" s="2625" t="n"/>
      <c r="G176" s="2625" t="n">
        <v>200</v>
      </c>
      <c r="H176" s="2625" t="n">
        <v>710</v>
      </c>
      <c r="I176" s="2625" t="n">
        <v>700</v>
      </c>
      <c r="J176" s="2625" t="n">
        <v>760</v>
      </c>
      <c r="K176" s="2625" t="n">
        <v>706</v>
      </c>
      <c r="L176" s="2625" t="n">
        <v>1050</v>
      </c>
      <c r="M176" s="2625" t="n">
        <v>1710</v>
      </c>
      <c r="N176" s="2625" t="n">
        <v>714</v>
      </c>
      <c r="O176" s="2625" t="n">
        <v>700</v>
      </c>
      <c r="P176" s="2626">
        <f>SUM(D176:O176)</f>
        <v/>
      </c>
      <c r="Q176" s="1436" t="n"/>
      <c r="R176" s="1436" t="n"/>
      <c r="S176" s="2625" t="n">
        <v>700</v>
      </c>
      <c r="T176" s="2625" t="n">
        <v>700</v>
      </c>
      <c r="U176" s="2625" t="n">
        <v>700</v>
      </c>
      <c r="V176" s="2625" t="n">
        <v>700</v>
      </c>
      <c r="W176" s="2625" t="n">
        <v>40246</v>
      </c>
      <c r="X176" s="2625" t="n">
        <v>13320</v>
      </c>
      <c r="Y176" s="2625" t="n">
        <v>700</v>
      </c>
      <c r="Z176" s="2625" t="n">
        <v>697180</v>
      </c>
      <c r="AA176" s="2625" t="n">
        <v>12147819</v>
      </c>
      <c r="AB176" s="2625" t="n">
        <v>4083</v>
      </c>
      <c r="AC176" s="2625" t="n">
        <v>700</v>
      </c>
      <c r="AD176" s="2625" t="n">
        <v>1507</v>
      </c>
      <c r="AE176" s="2626">
        <f>SUM(S176:AD176)</f>
        <v/>
      </c>
      <c r="AF176" s="1436" t="n"/>
      <c r="AG176" s="2625" t="n">
        <v>707</v>
      </c>
      <c r="AH176" s="2625" t="n">
        <v>706</v>
      </c>
      <c r="AI176" s="2625" t="n">
        <v>4612530</v>
      </c>
      <c r="AJ176" s="2625" t="n">
        <v>707</v>
      </c>
      <c r="AK176" s="2625" t="n">
        <v>78924</v>
      </c>
      <c r="AL176" s="2625">
        <f>14603365-SUM(AG176:AK176)</f>
        <v/>
      </c>
      <c r="AM176" s="2625" t="n">
        <v>7626427</v>
      </c>
      <c r="AN176" s="2625" t="n">
        <v>1400</v>
      </c>
      <c r="AO176" s="2625" t="n">
        <v>700</v>
      </c>
      <c r="AP176" s="2625" t="n">
        <v>22415102</v>
      </c>
      <c r="AQ176" s="2625" t="n">
        <v>700</v>
      </c>
      <c r="AR176" s="2627" t="n">
        <v>74810756</v>
      </c>
      <c r="AS176" s="2626">
        <f>SUM(AG176:AR176)</f>
        <v/>
      </c>
      <c r="AT176" s="2615" t="n"/>
      <c r="AU176" s="2627" t="n"/>
      <c r="AV176" s="2627" t="n"/>
      <c r="AW176" s="2627" t="n"/>
      <c r="AX176" s="2627" t="n"/>
      <c r="AY176" s="2627" t="n"/>
      <c r="AZ176" s="2627" t="n"/>
      <c r="BA176" s="2627" t="n"/>
      <c r="BB176" s="2627" t="n"/>
      <c r="BC176" s="2627" t="n"/>
      <c r="BD176" s="2627" t="n"/>
      <c r="BE176" s="2627" t="n"/>
      <c r="BF176" s="2627" t="n"/>
      <c r="BG176" s="2628">
        <f>SUM(AU176:BF176)</f>
        <v/>
      </c>
      <c r="BI176" s="2627" t="n"/>
      <c r="BJ176" s="2627" t="n"/>
      <c r="BK176" s="2627" t="n"/>
      <c r="BL176" s="2627" t="n"/>
      <c r="BM176" s="2627" t="n"/>
      <c r="BN176" s="2627" t="n"/>
      <c r="BO176" s="2627" t="n"/>
      <c r="BP176" s="2627" t="n"/>
      <c r="BQ176" s="2627" t="n"/>
      <c r="BR176" s="2627" t="n"/>
      <c r="BS176" s="2627" t="n"/>
      <c r="BT176" s="2627" t="n"/>
      <c r="BU176" s="2628">
        <f>SUM(BI176:BT176)</f>
        <v/>
      </c>
    </row>
    <row r="177" outlineLevel="1">
      <c r="A177" s="1436" t="n"/>
      <c r="B177" s="1482" t="inlineStr">
        <is>
          <t>지분법적용투자주식처분이익 (종속기업관계기업투자주식으로 계정 재분류)</t>
        </is>
      </c>
      <c r="C177" s="1436" t="n"/>
      <c r="D177" s="2625" t="n"/>
      <c r="E177" s="2625" t="n"/>
      <c r="F177" s="2625" t="n"/>
      <c r="G177" s="2625" t="n"/>
      <c r="H177" s="2625" t="n"/>
      <c r="I177" s="2625" t="n">
        <v>0</v>
      </c>
      <c r="J177" s="2625" t="n">
        <v>0</v>
      </c>
      <c r="K177" s="2625" t="n">
        <v>0</v>
      </c>
      <c r="L177" s="2625" t="n">
        <v>0</v>
      </c>
      <c r="M177" s="2625" t="n">
        <v>0</v>
      </c>
      <c r="N177" s="2625" t="n">
        <v>0</v>
      </c>
      <c r="O177" s="2625" t="n">
        <v>0</v>
      </c>
      <c r="P177" s="2626">
        <f>SUM(D177:O177)</f>
        <v/>
      </c>
      <c r="Q177" s="1436" t="n"/>
      <c r="R177" s="1436" t="n"/>
      <c r="S177" s="2625" t="n">
        <v>0</v>
      </c>
      <c r="T177" s="2625" t="n">
        <v>0</v>
      </c>
      <c r="U177" s="2625" t="n">
        <v>0</v>
      </c>
      <c r="V177" s="2625" t="n">
        <v>0</v>
      </c>
      <c r="W177" s="2625" t="n">
        <v>0</v>
      </c>
      <c r="X177" s="2625" t="n">
        <v>0</v>
      </c>
      <c r="Y177" s="2625" t="n">
        <v>0</v>
      </c>
      <c r="Z177" s="2625" t="n">
        <v>0</v>
      </c>
      <c r="AA177" s="2625" t="n">
        <v>0</v>
      </c>
      <c r="AB177" s="2625" t="n">
        <v>0</v>
      </c>
      <c r="AC177" s="2625" t="n">
        <v>0</v>
      </c>
      <c r="AD177" s="2625" t="n">
        <v>0</v>
      </c>
      <c r="AE177" s="2626">
        <f>SUM(S177:AD177)</f>
        <v/>
      </c>
      <c r="AF177" s="1436" t="n"/>
      <c r="AG177" s="2625" t="n">
        <v>0</v>
      </c>
      <c r="AH177" s="2625" t="n">
        <v>0</v>
      </c>
      <c r="AI177" s="2625" t="n">
        <v>0</v>
      </c>
      <c r="AJ177" s="2625" t="n">
        <v>0</v>
      </c>
      <c r="AK177" s="2625" t="n">
        <v>0</v>
      </c>
      <c r="AL177" s="2625" t="n"/>
      <c r="AM177" s="2625" t="n">
        <v>0</v>
      </c>
      <c r="AN177" s="2625" t="n">
        <v>0</v>
      </c>
      <c r="AO177" s="2625" t="n"/>
      <c r="AP177" s="2625" t="n">
        <v>0</v>
      </c>
      <c r="AQ177" s="2625" t="n">
        <v>0</v>
      </c>
      <c r="AR177" s="2627" t="n">
        <v>0</v>
      </c>
      <c r="AS177" s="2626">
        <f>SUM(AG177:AR177)</f>
        <v/>
      </c>
      <c r="AT177" s="2615">
        <f>SUM(AG177:AP177)</f>
        <v/>
      </c>
      <c r="AU177" s="2627" t="n"/>
      <c r="AV177" s="2627" t="n"/>
      <c r="AW177" s="2627" t="n"/>
      <c r="AX177" s="2627" t="n"/>
      <c r="AY177" s="2627" t="n"/>
      <c r="AZ177" s="2627" t="n"/>
      <c r="BA177" s="2627" t="n"/>
      <c r="BB177" s="2627" t="n"/>
      <c r="BC177" s="2627" t="n"/>
      <c r="BD177" s="2627" t="n"/>
      <c r="BE177" s="2627" t="n"/>
      <c r="BF177" s="2627" t="n"/>
      <c r="BG177" s="2628">
        <f>SUM(AU177:BF177)</f>
        <v/>
      </c>
      <c r="BI177" s="2627" t="n"/>
      <c r="BJ177" s="2627" t="n"/>
      <c r="BK177" s="2627" t="n"/>
      <c r="BL177" s="2627" t="n"/>
      <c r="BM177" s="2627" t="n"/>
      <c r="BN177" s="2627" t="n"/>
      <c r="BO177" s="2627" t="n"/>
      <c r="BP177" s="2627" t="n"/>
      <c r="BQ177" s="2627" t="n"/>
      <c r="BR177" s="2627" t="n"/>
      <c r="BS177" s="2627" t="n"/>
      <c r="BT177" s="2627" t="n"/>
      <c r="BU177" s="2628">
        <f>SUM(BI177:BT177)</f>
        <v/>
      </c>
    </row>
    <row r="178" outlineLevel="1">
      <c r="A178" s="1436" t="n"/>
      <c r="B178" s="1480" t="inlineStr">
        <is>
          <t>자산수증이익</t>
        </is>
      </c>
      <c r="C178" s="1436" t="n"/>
      <c r="D178" s="2625" t="n"/>
      <c r="E178" s="2625" t="n"/>
      <c r="F178" s="2625" t="n"/>
      <c r="G178" s="2625" t="n"/>
      <c r="H178" s="2625" t="n"/>
      <c r="I178" s="2625" t="n">
        <v>0</v>
      </c>
      <c r="J178" s="2625" t="n">
        <v>0</v>
      </c>
      <c r="K178" s="2625" t="n">
        <v>0</v>
      </c>
      <c r="L178" s="2625" t="n">
        <v>0</v>
      </c>
      <c r="M178" s="2625" t="n">
        <v>0</v>
      </c>
      <c r="N178" s="2625" t="n">
        <v>0</v>
      </c>
      <c r="O178" s="2625" t="n">
        <v>0</v>
      </c>
      <c r="P178" s="2626">
        <f>SUM(D178:O178)</f>
        <v/>
      </c>
      <c r="Q178" s="1436" t="n"/>
      <c r="R178" s="1436" t="n"/>
      <c r="S178" s="2625" t="n">
        <v>0</v>
      </c>
      <c r="T178" s="2625" t="n">
        <v>0</v>
      </c>
      <c r="U178" s="2625" t="n">
        <v>0</v>
      </c>
      <c r="V178" s="2625" t="n">
        <v>0</v>
      </c>
      <c r="W178" s="2625" t="n">
        <v>0</v>
      </c>
      <c r="X178" s="2625" t="n">
        <v>0</v>
      </c>
      <c r="Y178" s="2625" t="n">
        <v>0</v>
      </c>
      <c r="Z178" s="2625" t="n">
        <v>0</v>
      </c>
      <c r="AA178" s="2625" t="n">
        <v>0</v>
      </c>
      <c r="AB178" s="2625" t="n">
        <v>0</v>
      </c>
      <c r="AC178" s="2625" t="n">
        <v>0</v>
      </c>
      <c r="AD178" s="2625" t="n">
        <v>0</v>
      </c>
      <c r="AE178" s="2626">
        <f>SUM(S178:AD178)</f>
        <v/>
      </c>
      <c r="AF178" s="1436" t="n"/>
      <c r="AG178" s="2625" t="n">
        <v>0</v>
      </c>
      <c r="AH178" s="2625" t="n">
        <v>0</v>
      </c>
      <c r="AI178" s="2625" t="n">
        <v>0</v>
      </c>
      <c r="AJ178" s="2625" t="n">
        <v>0</v>
      </c>
      <c r="AK178" s="2625" t="n">
        <v>0</v>
      </c>
      <c r="AL178" s="2625" t="n"/>
      <c r="AM178" s="2625" t="n">
        <v>0</v>
      </c>
      <c r="AN178" s="2625" t="n">
        <v>0</v>
      </c>
      <c r="AO178" s="2625" t="n"/>
      <c r="AP178" s="2625" t="n">
        <v>0</v>
      </c>
      <c r="AQ178" s="2625" t="n">
        <v>0</v>
      </c>
      <c r="AR178" s="2627" t="n">
        <v>0</v>
      </c>
      <c r="AS178" s="2626">
        <f>SUM(AG178:AR178)</f>
        <v/>
      </c>
      <c r="AT178" s="2615">
        <f>SUM(AG178:AP178)</f>
        <v/>
      </c>
      <c r="AU178" s="2627" t="n"/>
      <c r="AV178" s="2627" t="n"/>
      <c r="AW178" s="2627" t="n"/>
      <c r="AX178" s="2627" t="n"/>
      <c r="AY178" s="2627" t="n"/>
      <c r="AZ178" s="2627" t="n"/>
      <c r="BA178" s="2627" t="n"/>
      <c r="BB178" s="2627" t="n"/>
      <c r="BC178" s="2627" t="n"/>
      <c r="BD178" s="2627" t="n"/>
      <c r="BE178" s="2627" t="n"/>
      <c r="BF178" s="2627" t="n"/>
      <c r="BG178" s="2628">
        <f>SUM(AU178:BF178)</f>
        <v/>
      </c>
      <c r="BI178" s="2627" t="n"/>
      <c r="BJ178" s="2627" t="n"/>
      <c r="BK178" s="2627" t="n"/>
      <c r="BL178" s="2627" t="n"/>
      <c r="BM178" s="2627" t="n"/>
      <c r="BN178" s="2627" t="n"/>
      <c r="BO178" s="2627" t="n"/>
      <c r="BP178" s="2627" t="n"/>
      <c r="BQ178" s="2627" t="n"/>
      <c r="BR178" s="2627" t="n"/>
      <c r="BS178" s="2627" t="n"/>
      <c r="BT178" s="2627" t="n"/>
      <c r="BU178" s="2628">
        <f>SUM(BI178:BT178)</f>
        <v/>
      </c>
    </row>
    <row r="179" outlineLevel="1">
      <c r="A179" s="1436" t="n"/>
      <c r="B179" s="1480" t="inlineStr">
        <is>
          <t>채무면제이익</t>
        </is>
      </c>
      <c r="C179" s="1436" t="n"/>
      <c r="D179" s="2625" t="n"/>
      <c r="E179" s="2625" t="n"/>
      <c r="F179" s="2625" t="n"/>
      <c r="G179" s="2625" t="n"/>
      <c r="H179" s="2625" t="n"/>
      <c r="I179" s="2625" t="n">
        <v>0</v>
      </c>
      <c r="J179" s="2625" t="n">
        <v>0</v>
      </c>
      <c r="K179" s="2625" t="n">
        <v>0</v>
      </c>
      <c r="L179" s="2625" t="n">
        <v>0</v>
      </c>
      <c r="M179" s="2625" t="n">
        <v>0</v>
      </c>
      <c r="N179" s="2625" t="n">
        <v>0</v>
      </c>
      <c r="O179" s="2625" t="n">
        <v>0</v>
      </c>
      <c r="P179" s="2626">
        <f>SUM(D179:O179)</f>
        <v/>
      </c>
      <c r="Q179" s="1436" t="n"/>
      <c r="R179" s="1436" t="n"/>
      <c r="S179" s="2625" t="n">
        <v>0</v>
      </c>
      <c r="T179" s="2625" t="n">
        <v>0</v>
      </c>
      <c r="U179" s="2625" t="n">
        <v>0</v>
      </c>
      <c r="V179" s="2625" t="n">
        <v>0</v>
      </c>
      <c r="W179" s="2625" t="n">
        <v>0</v>
      </c>
      <c r="X179" s="2625" t="n">
        <v>0</v>
      </c>
      <c r="Y179" s="2625" t="n">
        <v>0</v>
      </c>
      <c r="Z179" s="2625" t="n">
        <v>0</v>
      </c>
      <c r="AA179" s="2625" t="n">
        <v>0</v>
      </c>
      <c r="AB179" s="2625" t="n">
        <v>0</v>
      </c>
      <c r="AC179" s="2625" t="n">
        <v>0</v>
      </c>
      <c r="AD179" s="2625" t="n">
        <v>0</v>
      </c>
      <c r="AE179" s="2626">
        <f>SUM(S179:AD179)</f>
        <v/>
      </c>
      <c r="AF179" s="1436" t="n"/>
      <c r="AG179" s="2625" t="n">
        <v>0</v>
      </c>
      <c r="AH179" s="2625" t="n">
        <v>0</v>
      </c>
      <c r="AI179" s="2625" t="n">
        <v>0</v>
      </c>
      <c r="AJ179" s="2625" t="n">
        <v>0</v>
      </c>
      <c r="AK179" s="2625" t="n">
        <v>0</v>
      </c>
      <c r="AL179" s="2625" t="n"/>
      <c r="AM179" s="2625" t="n">
        <v>0</v>
      </c>
      <c r="AN179" s="2625" t="n">
        <v>0</v>
      </c>
      <c r="AO179" s="2625" t="n"/>
      <c r="AP179" s="2625" t="n">
        <v>0</v>
      </c>
      <c r="AQ179" s="2625" t="n">
        <v>0</v>
      </c>
      <c r="AR179" s="2627" t="n">
        <v>0</v>
      </c>
      <c r="AS179" s="2626">
        <f>SUM(AG179:AR179)</f>
        <v/>
      </c>
      <c r="AT179" s="2615">
        <f>SUM(AG179:AP179)</f>
        <v/>
      </c>
      <c r="AU179" s="2627" t="n"/>
      <c r="AV179" s="2627" t="n"/>
      <c r="AW179" s="2627" t="n"/>
      <c r="AX179" s="2627" t="n"/>
      <c r="AY179" s="2627" t="n"/>
      <c r="AZ179" s="2627" t="n"/>
      <c r="BA179" s="2627" t="n"/>
      <c r="BB179" s="2627" t="n"/>
      <c r="BC179" s="2627" t="n"/>
      <c r="BD179" s="2627" t="n"/>
      <c r="BE179" s="2627" t="n"/>
      <c r="BF179" s="2627" t="n"/>
      <c r="BG179" s="2628">
        <f>SUM(AU179:BF179)</f>
        <v/>
      </c>
      <c r="BI179" s="2627" t="n"/>
      <c r="BJ179" s="2627" t="n"/>
      <c r="BK179" s="2627" t="n"/>
      <c r="BL179" s="2627" t="n"/>
      <c r="BM179" s="2627" t="n"/>
      <c r="BN179" s="2627" t="n"/>
      <c r="BO179" s="2627" t="n"/>
      <c r="BP179" s="2627" t="n"/>
      <c r="BQ179" s="2627" t="n"/>
      <c r="BR179" s="2627" t="n"/>
      <c r="BS179" s="2627" t="n"/>
      <c r="BT179" s="2627" t="n"/>
      <c r="BU179" s="2628">
        <f>SUM(BI179:BT179)</f>
        <v/>
      </c>
    </row>
    <row r="180" outlineLevel="1">
      <c r="A180" s="1436" t="n"/>
      <c r="B180" s="1480" t="inlineStr">
        <is>
          <t>보험차익</t>
        </is>
      </c>
      <c r="C180" s="1436" t="n"/>
      <c r="D180" s="2625" t="n"/>
      <c r="E180" s="2625" t="n"/>
      <c r="F180" s="2625" t="n"/>
      <c r="G180" s="2625" t="n"/>
      <c r="H180" s="2625" t="n"/>
      <c r="I180" s="2625" t="n">
        <v>0</v>
      </c>
      <c r="J180" s="2625" t="n">
        <v>0</v>
      </c>
      <c r="K180" s="2625" t="n">
        <v>0</v>
      </c>
      <c r="L180" s="2625" t="n">
        <v>0</v>
      </c>
      <c r="M180" s="2625" t="n">
        <v>0</v>
      </c>
      <c r="N180" s="2625" t="n">
        <v>0</v>
      </c>
      <c r="O180" s="2625" t="n">
        <v>0</v>
      </c>
      <c r="P180" s="2626">
        <f>SUM(D180:O180)</f>
        <v/>
      </c>
      <c r="Q180" s="1436" t="n"/>
      <c r="R180" s="1436" t="n"/>
      <c r="S180" s="2625" t="n">
        <v>0</v>
      </c>
      <c r="T180" s="2625" t="n">
        <v>0</v>
      </c>
      <c r="U180" s="2625" t="n">
        <v>0</v>
      </c>
      <c r="V180" s="2625" t="n">
        <v>0</v>
      </c>
      <c r="W180" s="2625" t="n">
        <v>0</v>
      </c>
      <c r="X180" s="2625" t="n">
        <v>0</v>
      </c>
      <c r="Y180" s="2625" t="n">
        <v>0</v>
      </c>
      <c r="Z180" s="2625" t="n">
        <v>0</v>
      </c>
      <c r="AA180" s="2625" t="n">
        <v>0</v>
      </c>
      <c r="AB180" s="2625" t="n">
        <v>0</v>
      </c>
      <c r="AC180" s="2625" t="n">
        <v>0</v>
      </c>
      <c r="AD180" s="2625" t="n">
        <v>0</v>
      </c>
      <c r="AE180" s="2626">
        <f>SUM(S180:AD180)</f>
        <v/>
      </c>
      <c r="AF180" s="1436" t="n"/>
      <c r="AG180" s="2625" t="n">
        <v>0</v>
      </c>
      <c r="AH180" s="2625" t="n">
        <v>0</v>
      </c>
      <c r="AI180" s="2625" t="n">
        <v>0</v>
      </c>
      <c r="AJ180" s="2625" t="n">
        <v>0</v>
      </c>
      <c r="AK180" s="2625" t="n">
        <v>0</v>
      </c>
      <c r="AL180" s="2625" t="n"/>
      <c r="AM180" s="2625" t="n">
        <v>0</v>
      </c>
      <c r="AN180" s="2625" t="n">
        <v>0</v>
      </c>
      <c r="AO180" s="2625" t="n"/>
      <c r="AP180" s="2625" t="n">
        <v>0</v>
      </c>
      <c r="AQ180" s="2625" t="n">
        <v>0</v>
      </c>
      <c r="AR180" s="2627" t="n">
        <v>0</v>
      </c>
      <c r="AS180" s="2626">
        <f>SUM(AG180:AR180)</f>
        <v/>
      </c>
      <c r="AT180" s="2615">
        <f>SUM(AG180:AP180)</f>
        <v/>
      </c>
      <c r="AU180" s="2627" t="n"/>
      <c r="AV180" s="2627" t="n"/>
      <c r="AW180" s="2627" t="n"/>
      <c r="AX180" s="2627" t="n"/>
      <c r="AY180" s="2627" t="n"/>
      <c r="AZ180" s="2627" t="n"/>
      <c r="BA180" s="2627" t="n"/>
      <c r="BB180" s="2627" t="n"/>
      <c r="BC180" s="2627" t="n"/>
      <c r="BD180" s="2627" t="n"/>
      <c r="BE180" s="2627" t="n"/>
      <c r="BF180" s="2627" t="n"/>
      <c r="BG180" s="2628">
        <f>SUM(AU180:BF180)</f>
        <v/>
      </c>
      <c r="BI180" s="2627" t="n"/>
      <c r="BJ180" s="2627" t="n"/>
      <c r="BK180" s="2627" t="n"/>
      <c r="BL180" s="2627" t="n"/>
      <c r="BM180" s="2627" t="n"/>
      <c r="BN180" s="2627" t="n"/>
      <c r="BO180" s="2627" t="n"/>
      <c r="BP180" s="2627" t="n"/>
      <c r="BQ180" s="2627" t="n"/>
      <c r="BR180" s="2627" t="n"/>
      <c r="BS180" s="2627" t="n"/>
      <c r="BT180" s="2627" t="n"/>
      <c r="BU180" s="2628">
        <f>SUM(BI180:BT180)</f>
        <v/>
      </c>
    </row>
    <row r="181" outlineLevel="1">
      <c r="A181" s="1436" t="n"/>
      <c r="B181" s="1480" t="inlineStr">
        <is>
          <t>전기오류수정이익</t>
        </is>
      </c>
      <c r="C181" s="1436" t="n"/>
      <c r="D181" s="2625" t="n"/>
      <c r="E181" s="2625" t="n"/>
      <c r="F181" s="2625" t="n"/>
      <c r="G181" s="2625" t="n"/>
      <c r="H181" s="2625" t="n"/>
      <c r="I181" s="2625" t="n">
        <v>0</v>
      </c>
      <c r="J181" s="2625" t="n">
        <v>0</v>
      </c>
      <c r="K181" s="2625" t="n">
        <v>0</v>
      </c>
      <c r="L181" s="2625" t="n">
        <v>0</v>
      </c>
      <c r="M181" s="2625" t="n">
        <v>0</v>
      </c>
      <c r="N181" s="2625" t="n">
        <v>0</v>
      </c>
      <c r="O181" s="2625" t="n">
        <v>0</v>
      </c>
      <c r="P181" s="2626">
        <f>SUM(D181:O181)</f>
        <v/>
      </c>
      <c r="Q181" s="1436" t="n"/>
      <c r="R181" s="1436" t="n"/>
      <c r="S181" s="2625" t="n">
        <v>0</v>
      </c>
      <c r="T181" s="2625" t="n">
        <v>0</v>
      </c>
      <c r="U181" s="2625" t="n">
        <v>0</v>
      </c>
      <c r="V181" s="2625" t="n">
        <v>0</v>
      </c>
      <c r="W181" s="2625" t="n">
        <v>0</v>
      </c>
      <c r="X181" s="2625" t="n">
        <v>0</v>
      </c>
      <c r="Y181" s="2625" t="n">
        <v>0</v>
      </c>
      <c r="Z181" s="2625" t="n">
        <v>0</v>
      </c>
      <c r="AA181" s="2625" t="n">
        <v>0</v>
      </c>
      <c r="AB181" s="2625" t="n">
        <v>0</v>
      </c>
      <c r="AC181" s="2625" t="n">
        <v>0</v>
      </c>
      <c r="AD181" s="2625" t="n">
        <v>0</v>
      </c>
      <c r="AE181" s="2626">
        <f>SUM(S181:AD181)</f>
        <v/>
      </c>
      <c r="AF181" s="1436" t="n"/>
      <c r="AG181" s="2625" t="n">
        <v>0</v>
      </c>
      <c r="AH181" s="2625" t="n">
        <v>0</v>
      </c>
      <c r="AI181" s="2625" t="n">
        <v>0</v>
      </c>
      <c r="AJ181" s="2625" t="n">
        <v>0</v>
      </c>
      <c r="AK181" s="2625" t="n">
        <v>0</v>
      </c>
      <c r="AL181" s="2625" t="n"/>
      <c r="AM181" s="2625" t="n">
        <v>0</v>
      </c>
      <c r="AN181" s="2625" t="n">
        <v>0</v>
      </c>
      <c r="AO181" s="2625" t="n"/>
      <c r="AP181" s="2625" t="n">
        <v>0</v>
      </c>
      <c r="AQ181" s="2625" t="n">
        <v>0</v>
      </c>
      <c r="AR181" s="2627" t="n">
        <v>0</v>
      </c>
      <c r="AS181" s="2626">
        <f>SUM(AG181:AR181)</f>
        <v/>
      </c>
      <c r="AT181" s="2615">
        <f>SUM(AG181:AP181)</f>
        <v/>
      </c>
      <c r="AU181" s="2627" t="n"/>
      <c r="AV181" s="2627" t="n"/>
      <c r="AW181" s="2627" t="n"/>
      <c r="AX181" s="2627" t="n"/>
      <c r="AY181" s="2627" t="n"/>
      <c r="AZ181" s="2627" t="n"/>
      <c r="BA181" s="2627" t="n"/>
      <c r="BB181" s="2627" t="n"/>
      <c r="BC181" s="2627" t="n"/>
      <c r="BD181" s="2627" t="n"/>
      <c r="BE181" s="2627" t="n"/>
      <c r="BF181" s="2627" t="n"/>
      <c r="BG181" s="2628">
        <f>SUM(AU181:BF181)</f>
        <v/>
      </c>
      <c r="BI181" s="2627" t="n"/>
      <c r="BJ181" s="2627" t="n"/>
      <c r="BK181" s="2627" t="n"/>
      <c r="BL181" s="2627" t="n"/>
      <c r="BM181" s="2627" t="n"/>
      <c r="BN181" s="2627" t="n"/>
      <c r="BO181" s="2627" t="n"/>
      <c r="BP181" s="2627" t="n"/>
      <c r="BQ181" s="2627" t="n"/>
      <c r="BR181" s="2627" t="n"/>
      <c r="BS181" s="2627" t="n"/>
      <c r="BT181" s="2627" t="n"/>
      <c r="BU181" s="2628">
        <f>SUM(BI181:BT181)</f>
        <v/>
      </c>
    </row>
    <row r="182" outlineLevel="1">
      <c r="A182" s="1436" t="n"/>
      <c r="B182" s="1480" t="inlineStr">
        <is>
          <t>주식보상비용환입</t>
        </is>
      </c>
      <c r="C182" s="1436" t="n"/>
      <c r="D182" s="2625" t="n"/>
      <c r="E182" s="2625" t="n"/>
      <c r="F182" s="2625" t="n"/>
      <c r="G182" s="2625" t="n"/>
      <c r="H182" s="2625" t="n"/>
      <c r="I182" s="2625" t="n">
        <v>0</v>
      </c>
      <c r="J182" s="2625" t="n">
        <v>0</v>
      </c>
      <c r="K182" s="2625" t="n">
        <v>0</v>
      </c>
      <c r="L182" s="2625" t="n">
        <v>0</v>
      </c>
      <c r="M182" s="2625" t="n">
        <v>0</v>
      </c>
      <c r="N182" s="2625" t="n">
        <v>0</v>
      </c>
      <c r="O182" s="2625" t="n">
        <v>0</v>
      </c>
      <c r="P182" s="2626">
        <f>SUM(D182:O182)</f>
        <v/>
      </c>
      <c r="Q182" s="1436" t="n"/>
      <c r="R182" s="1436" t="n"/>
      <c r="S182" s="2625" t="n">
        <v>0</v>
      </c>
      <c r="T182" s="2625" t="n">
        <v>0</v>
      </c>
      <c r="U182" s="2625" t="n">
        <v>0</v>
      </c>
      <c r="V182" s="2625" t="n">
        <v>0</v>
      </c>
      <c r="W182" s="2625" t="n">
        <v>0</v>
      </c>
      <c r="X182" s="2625" t="n">
        <v>0</v>
      </c>
      <c r="Y182" s="2625" t="n">
        <v>0</v>
      </c>
      <c r="Z182" s="2625" t="n">
        <v>0</v>
      </c>
      <c r="AA182" s="2625" t="n">
        <v>0</v>
      </c>
      <c r="AB182" s="2625" t="n">
        <v>0</v>
      </c>
      <c r="AC182" s="2625" t="n">
        <v>0</v>
      </c>
      <c r="AD182" s="2625" t="n">
        <v>0</v>
      </c>
      <c r="AE182" s="2626">
        <f>SUM(S182:AD182)</f>
        <v/>
      </c>
      <c r="AF182" s="1436" t="n"/>
      <c r="AG182" s="2625" t="n">
        <v>0</v>
      </c>
      <c r="AH182" s="2625" t="n">
        <v>0</v>
      </c>
      <c r="AI182" s="2625" t="n">
        <v>0</v>
      </c>
      <c r="AJ182" s="2625" t="n">
        <v>0</v>
      </c>
      <c r="AK182" s="2625" t="n">
        <v>0</v>
      </c>
      <c r="AL182" s="2625" t="n"/>
      <c r="AM182" s="2625" t="n">
        <v>0</v>
      </c>
      <c r="AN182" s="2625" t="n">
        <v>0</v>
      </c>
      <c r="AO182" s="2625" t="n"/>
      <c r="AP182" s="2625" t="n">
        <v>0</v>
      </c>
      <c r="AQ182" s="2625" t="n">
        <v>0</v>
      </c>
      <c r="AR182" s="2627" t="n">
        <v>0</v>
      </c>
      <c r="AS182" s="2626">
        <f>SUM(AG182:AR182)</f>
        <v/>
      </c>
      <c r="AT182" s="2615">
        <f>SUM(AG182:AP182)</f>
        <v/>
      </c>
      <c r="AU182" s="2627" t="n"/>
      <c r="AV182" s="2627" t="n"/>
      <c r="AW182" s="2627" t="n"/>
      <c r="AX182" s="2627" t="n"/>
      <c r="AY182" s="2627" t="n"/>
      <c r="AZ182" s="2627" t="n"/>
      <c r="BA182" s="2627" t="n"/>
      <c r="BB182" s="2627" t="n"/>
      <c r="BC182" s="2627" t="n"/>
      <c r="BD182" s="2627" t="n"/>
      <c r="BE182" s="2627" t="n"/>
      <c r="BF182" s="2627" t="n"/>
      <c r="BG182" s="2628">
        <f>SUM(AU182:BF182)</f>
        <v/>
      </c>
      <c r="BI182" s="2627" t="n"/>
      <c r="BJ182" s="2627" t="n"/>
      <c r="BK182" s="2627" t="n"/>
      <c r="BL182" s="2627" t="n"/>
      <c r="BM182" s="2627" t="n"/>
      <c r="BN182" s="2627" t="n"/>
      <c r="BO182" s="2627" t="n"/>
      <c r="BP182" s="2627" t="n"/>
      <c r="BQ182" s="2627" t="n"/>
      <c r="BR182" s="2627" t="n"/>
      <c r="BS182" s="2627" t="n"/>
      <c r="BT182" s="2627" t="n"/>
      <c r="BU182" s="2628">
        <f>SUM(BI182:BT182)</f>
        <v/>
      </c>
    </row>
    <row r="183" outlineLevel="1">
      <c r="A183" s="1436" t="n"/>
      <c r="B183" s="1480" t="inlineStr">
        <is>
          <t>당기손익인식지정금융상품평가이익</t>
        </is>
      </c>
      <c r="C183" s="1436" t="n"/>
      <c r="D183" s="2625" t="n"/>
      <c r="E183" s="2625" t="n"/>
      <c r="F183" s="2625" t="n"/>
      <c r="G183" s="2625" t="n"/>
      <c r="H183" s="2625" t="n"/>
      <c r="I183" s="2625" t="n">
        <v>0</v>
      </c>
      <c r="J183" s="2625" t="n">
        <v>0</v>
      </c>
      <c r="K183" s="2625" t="n">
        <v>0</v>
      </c>
      <c r="L183" s="2625" t="n">
        <v>0</v>
      </c>
      <c r="M183" s="2625" t="n">
        <v>0</v>
      </c>
      <c r="N183" s="2625" t="n">
        <v>0</v>
      </c>
      <c r="O183" s="2625" t="n">
        <v>0</v>
      </c>
      <c r="P183" s="2626">
        <f>SUM(D183:O183)</f>
        <v/>
      </c>
      <c r="Q183" s="1436" t="n"/>
      <c r="R183" s="1436" t="n"/>
      <c r="S183" s="2625" t="n">
        <v>0</v>
      </c>
      <c r="T183" s="2625" t="n">
        <v>0</v>
      </c>
      <c r="U183" s="2625" t="n">
        <v>0</v>
      </c>
      <c r="V183" s="2625" t="n">
        <v>0</v>
      </c>
      <c r="W183" s="2625" t="n">
        <v>0</v>
      </c>
      <c r="X183" s="2625" t="n">
        <v>0</v>
      </c>
      <c r="Y183" s="2625" t="n">
        <v>0</v>
      </c>
      <c r="Z183" s="2625" t="n">
        <v>0</v>
      </c>
      <c r="AA183" s="2625" t="n">
        <v>0</v>
      </c>
      <c r="AB183" s="2625" t="n">
        <v>0</v>
      </c>
      <c r="AC183" s="2625" t="n">
        <v>0</v>
      </c>
      <c r="AD183" s="2625" t="n">
        <v>0</v>
      </c>
      <c r="AE183" s="2626">
        <f>SUM(S183:AD183)</f>
        <v/>
      </c>
      <c r="AF183" s="1436" t="n"/>
      <c r="AG183" s="2625" t="n">
        <v>0</v>
      </c>
      <c r="AH183" s="2625" t="n">
        <v>0</v>
      </c>
      <c r="AI183" s="2625" t="n">
        <v>0</v>
      </c>
      <c r="AJ183" s="2625" t="n">
        <v>0</v>
      </c>
      <c r="AK183" s="2625" t="n">
        <v>0</v>
      </c>
      <c r="AL183" s="2625" t="n"/>
      <c r="AM183" s="2625" t="n">
        <v>0</v>
      </c>
      <c r="AN183" s="2625" t="n">
        <v>0</v>
      </c>
      <c r="AO183" s="2625" t="n"/>
      <c r="AP183" s="2625" t="n">
        <v>0</v>
      </c>
      <c r="AQ183" s="2625" t="n">
        <v>0</v>
      </c>
      <c r="AR183" s="2627" t="n">
        <v>0</v>
      </c>
      <c r="AS183" s="2626">
        <f>SUM(AG183:AR183)</f>
        <v/>
      </c>
      <c r="AT183" s="2615">
        <f>SUM(AG183:AP183)</f>
        <v/>
      </c>
      <c r="AU183" s="2627" t="n"/>
      <c r="AV183" s="2627" t="n"/>
      <c r="AW183" s="2627" t="n"/>
      <c r="AX183" s="2627" t="n"/>
      <c r="AY183" s="2627" t="n"/>
      <c r="AZ183" s="2627" t="n"/>
      <c r="BA183" s="2627" t="n"/>
      <c r="BB183" s="2627" t="n"/>
      <c r="BC183" s="2627" t="n"/>
      <c r="BD183" s="2627" t="n"/>
      <c r="BE183" s="2627" t="n"/>
      <c r="BF183" s="2627" t="n"/>
      <c r="BG183" s="2628">
        <f>SUM(AU183:BF183)</f>
        <v/>
      </c>
      <c r="BI183" s="2627" t="n"/>
      <c r="BJ183" s="2627" t="n"/>
      <c r="BK183" s="2627" t="n"/>
      <c r="BL183" s="2627" t="n"/>
      <c r="BM183" s="2627" t="n"/>
      <c r="BN183" s="2627" t="n"/>
      <c r="BO183" s="2627" t="n"/>
      <c r="BP183" s="2627" t="n"/>
      <c r="BQ183" s="2627" t="n"/>
      <c r="BR183" s="2627" t="n"/>
      <c r="BS183" s="2627" t="n"/>
      <c r="BT183" s="2627" t="n"/>
      <c r="BU183" s="2628">
        <f>SUM(BI183:BT183)</f>
        <v/>
      </c>
    </row>
    <row r="184" outlineLevel="1">
      <c r="A184" s="1436" t="n"/>
      <c r="B184" s="1480" t="inlineStr">
        <is>
          <t>당기손익인식지정금융상품처분이익</t>
        </is>
      </c>
      <c r="C184" s="1436" t="n"/>
      <c r="D184" s="2625" t="n"/>
      <c r="E184" s="2625" t="n"/>
      <c r="F184" s="2625" t="n"/>
      <c r="G184" s="2625" t="n"/>
      <c r="H184" s="2625" t="n"/>
      <c r="I184" s="2625" t="n">
        <v>0</v>
      </c>
      <c r="J184" s="2625" t="n">
        <v>0</v>
      </c>
      <c r="K184" s="2625" t="n">
        <v>0</v>
      </c>
      <c r="L184" s="2625" t="n">
        <v>0</v>
      </c>
      <c r="M184" s="2625" t="n">
        <v>0</v>
      </c>
      <c r="N184" s="2625" t="n">
        <v>0</v>
      </c>
      <c r="O184" s="2625" t="n">
        <v>0</v>
      </c>
      <c r="P184" s="2626">
        <f>SUM(D184:O184)</f>
        <v/>
      </c>
      <c r="Q184" s="1436" t="n"/>
      <c r="R184" s="1436" t="n"/>
      <c r="S184" s="2625" t="n">
        <v>0</v>
      </c>
      <c r="T184" s="2625" t="n">
        <v>0</v>
      </c>
      <c r="U184" s="2625" t="n">
        <v>0</v>
      </c>
      <c r="V184" s="2625" t="n">
        <v>0</v>
      </c>
      <c r="W184" s="2625" t="n">
        <v>0</v>
      </c>
      <c r="X184" s="2625" t="n">
        <v>0</v>
      </c>
      <c r="Y184" s="2625" t="n">
        <v>0</v>
      </c>
      <c r="Z184" s="2625" t="n">
        <v>0</v>
      </c>
      <c r="AA184" s="2625" t="n">
        <v>0</v>
      </c>
      <c r="AB184" s="2625" t="n">
        <v>0</v>
      </c>
      <c r="AC184" s="2625" t="n">
        <v>0</v>
      </c>
      <c r="AD184" s="2625" t="n">
        <v>0</v>
      </c>
      <c r="AE184" s="2626">
        <f>SUM(S184:AD184)</f>
        <v/>
      </c>
      <c r="AF184" s="1436" t="n"/>
      <c r="AG184" s="2625" t="n">
        <v>0</v>
      </c>
      <c r="AH184" s="2625" t="n">
        <v>0</v>
      </c>
      <c r="AI184" s="2625" t="n">
        <v>0</v>
      </c>
      <c r="AJ184" s="2625" t="n">
        <v>0</v>
      </c>
      <c r="AK184" s="2625" t="n">
        <v>0</v>
      </c>
      <c r="AL184" s="2625" t="n"/>
      <c r="AM184" s="2625" t="n">
        <v>0</v>
      </c>
      <c r="AN184" s="2625" t="n">
        <v>0</v>
      </c>
      <c r="AO184" s="2625" t="n"/>
      <c r="AP184" s="2625" t="n">
        <v>0</v>
      </c>
      <c r="AQ184" s="2625" t="n">
        <v>0</v>
      </c>
      <c r="AR184" s="2627" t="n">
        <v>0</v>
      </c>
      <c r="AS184" s="2626">
        <f>SUM(AG184:AR184)</f>
        <v/>
      </c>
      <c r="AT184" s="2615">
        <f>SUM(AG184:AP184)</f>
        <v/>
      </c>
      <c r="AU184" s="2627" t="n"/>
      <c r="AV184" s="2627" t="n"/>
      <c r="AW184" s="2627" t="n"/>
      <c r="AX184" s="2627" t="n"/>
      <c r="AY184" s="2627" t="n"/>
      <c r="AZ184" s="2627" t="n"/>
      <c r="BA184" s="2627" t="n"/>
      <c r="BB184" s="2627" t="n"/>
      <c r="BC184" s="2627" t="n"/>
      <c r="BD184" s="2627" t="n"/>
      <c r="BE184" s="2627" t="n"/>
      <c r="BF184" s="2627" t="n"/>
      <c r="BG184" s="2628">
        <f>SUM(AU184:BF184)</f>
        <v/>
      </c>
      <c r="BI184" s="2627" t="n"/>
      <c r="BJ184" s="2627" t="n"/>
      <c r="BK184" s="2627" t="n"/>
      <c r="BL184" s="2627" t="n"/>
      <c r="BM184" s="2627" t="n"/>
      <c r="BN184" s="2627" t="n"/>
      <c r="BO184" s="2627" t="n"/>
      <c r="BP184" s="2627" t="n"/>
      <c r="BQ184" s="2627" t="n"/>
      <c r="BR184" s="2627" t="n"/>
      <c r="BS184" s="2627" t="n"/>
      <c r="BT184" s="2627" t="n"/>
      <c r="BU184" s="2628">
        <f>SUM(BI184:BT184)</f>
        <v/>
      </c>
    </row>
    <row r="185" outlineLevel="1">
      <c r="A185" s="1436" t="n"/>
      <c r="B185" s="1480" t="inlineStr">
        <is>
          <t>위험회피목적파생상품평가이익(재무활동외)</t>
        </is>
      </c>
      <c r="C185" s="1436" t="n"/>
      <c r="D185" s="2625" t="n"/>
      <c r="E185" s="2625" t="n"/>
      <c r="F185" s="2625" t="n"/>
      <c r="G185" s="2625" t="n"/>
      <c r="H185" s="2625" t="n"/>
      <c r="I185" s="2625" t="n">
        <v>0</v>
      </c>
      <c r="J185" s="2625" t="n">
        <v>0</v>
      </c>
      <c r="K185" s="2625" t="n">
        <v>0</v>
      </c>
      <c r="L185" s="2625" t="n">
        <v>0</v>
      </c>
      <c r="M185" s="2625" t="n">
        <v>0</v>
      </c>
      <c r="N185" s="2625" t="n">
        <v>0</v>
      </c>
      <c r="O185" s="2625" t="n">
        <v>0</v>
      </c>
      <c r="P185" s="2626">
        <f>SUM(D185:O185)</f>
        <v/>
      </c>
      <c r="Q185" s="1436" t="n"/>
      <c r="R185" s="1436" t="n"/>
      <c r="S185" s="2625" t="n">
        <v>0</v>
      </c>
      <c r="T185" s="2625" t="n">
        <v>0</v>
      </c>
      <c r="U185" s="2625" t="n">
        <v>0</v>
      </c>
      <c r="V185" s="2625" t="n">
        <v>0</v>
      </c>
      <c r="W185" s="2625" t="n">
        <v>0</v>
      </c>
      <c r="X185" s="2625" t="n">
        <v>0</v>
      </c>
      <c r="Y185" s="2625" t="n">
        <v>0</v>
      </c>
      <c r="Z185" s="2625" t="n">
        <v>0</v>
      </c>
      <c r="AA185" s="2625" t="n">
        <v>0</v>
      </c>
      <c r="AB185" s="2625" t="n">
        <v>0</v>
      </c>
      <c r="AC185" s="2625" t="n">
        <v>0</v>
      </c>
      <c r="AD185" s="2625" t="n">
        <v>0</v>
      </c>
      <c r="AE185" s="2626">
        <f>SUM(S185:AD185)</f>
        <v/>
      </c>
      <c r="AF185" s="1436" t="n"/>
      <c r="AG185" s="2625" t="n">
        <v>0</v>
      </c>
      <c r="AH185" s="2625" t="n">
        <v>0</v>
      </c>
      <c r="AI185" s="2625" t="n">
        <v>0</v>
      </c>
      <c r="AJ185" s="2625" t="n">
        <v>0</v>
      </c>
      <c r="AK185" s="2625" t="n">
        <v>0</v>
      </c>
      <c r="AL185" s="2625" t="n"/>
      <c r="AM185" s="2625" t="n">
        <v>0</v>
      </c>
      <c r="AN185" s="2625" t="n">
        <v>0</v>
      </c>
      <c r="AO185" s="2625" t="n"/>
      <c r="AP185" s="2625" t="n">
        <v>0</v>
      </c>
      <c r="AQ185" s="2625" t="n">
        <v>0</v>
      </c>
      <c r="AR185" s="2627" t="n">
        <v>0</v>
      </c>
      <c r="AS185" s="2626">
        <f>SUM(AG185:AR185)</f>
        <v/>
      </c>
      <c r="AT185" s="2615">
        <f>SUM(AG185:AP185)</f>
        <v/>
      </c>
      <c r="AU185" s="2627" t="n"/>
      <c r="AV185" s="2627" t="n"/>
      <c r="AW185" s="2627" t="n"/>
      <c r="AX185" s="2627" t="n"/>
      <c r="AY185" s="2627" t="n"/>
      <c r="AZ185" s="2627" t="n"/>
      <c r="BA185" s="2627" t="n"/>
      <c r="BB185" s="2627" t="n"/>
      <c r="BC185" s="2627" t="n"/>
      <c r="BD185" s="2627" t="n"/>
      <c r="BE185" s="2627" t="n"/>
      <c r="BF185" s="2627" t="n"/>
      <c r="BG185" s="2628">
        <f>SUM(AU185:BF185)</f>
        <v/>
      </c>
      <c r="BI185" s="2627" t="n"/>
      <c r="BJ185" s="2627" t="n"/>
      <c r="BK185" s="2627" t="n"/>
      <c r="BL185" s="2627" t="n"/>
      <c r="BM185" s="2627" t="n"/>
      <c r="BN185" s="2627" t="n"/>
      <c r="BO185" s="2627" t="n"/>
      <c r="BP185" s="2627" t="n"/>
      <c r="BQ185" s="2627" t="n"/>
      <c r="BR185" s="2627" t="n"/>
      <c r="BS185" s="2627" t="n"/>
      <c r="BT185" s="2627" t="n"/>
      <c r="BU185" s="2628">
        <f>SUM(BI185:BT185)</f>
        <v/>
      </c>
    </row>
    <row r="186" outlineLevel="1">
      <c r="A186" s="1436" t="n"/>
      <c r="B186" s="1480" t="inlineStr">
        <is>
          <t>위험회피목적파생상품처분이익(재무활동외)</t>
        </is>
      </c>
      <c r="C186" s="1436" t="n"/>
      <c r="D186" s="2625" t="n"/>
      <c r="E186" s="2625" t="n"/>
      <c r="F186" s="2625" t="n"/>
      <c r="G186" s="2625" t="n"/>
      <c r="H186" s="2625" t="n"/>
      <c r="I186" s="2625" t="n">
        <v>0</v>
      </c>
      <c r="J186" s="2625" t="n">
        <v>0</v>
      </c>
      <c r="K186" s="2625" t="n">
        <v>0</v>
      </c>
      <c r="L186" s="2625" t="n">
        <v>0</v>
      </c>
      <c r="M186" s="2625" t="n">
        <v>0</v>
      </c>
      <c r="N186" s="2625" t="n">
        <v>0</v>
      </c>
      <c r="O186" s="2625" t="n">
        <v>0</v>
      </c>
      <c r="P186" s="2626">
        <f>SUM(D186:O186)</f>
        <v/>
      </c>
      <c r="Q186" s="1436" t="n"/>
      <c r="R186" s="1436" t="n"/>
      <c r="S186" s="2625" t="n">
        <v>0</v>
      </c>
      <c r="T186" s="2625" t="n">
        <v>0</v>
      </c>
      <c r="U186" s="2625" t="n">
        <v>0</v>
      </c>
      <c r="V186" s="2625" t="n">
        <v>0</v>
      </c>
      <c r="W186" s="2625" t="n">
        <v>0</v>
      </c>
      <c r="X186" s="2625" t="n">
        <v>0</v>
      </c>
      <c r="Y186" s="2625" t="n">
        <v>0</v>
      </c>
      <c r="Z186" s="2625" t="n">
        <v>0</v>
      </c>
      <c r="AA186" s="2625" t="n">
        <v>0</v>
      </c>
      <c r="AB186" s="2625" t="n">
        <v>0</v>
      </c>
      <c r="AC186" s="2625" t="n">
        <v>0</v>
      </c>
      <c r="AD186" s="2625" t="n">
        <v>0</v>
      </c>
      <c r="AE186" s="2626">
        <f>SUM(S186:AD186)</f>
        <v/>
      </c>
      <c r="AF186" s="1436" t="n"/>
      <c r="AG186" s="2625" t="n">
        <v>0</v>
      </c>
      <c r="AH186" s="2625" t="n">
        <v>0</v>
      </c>
      <c r="AI186" s="2625" t="n">
        <v>0</v>
      </c>
      <c r="AJ186" s="2625" t="n">
        <v>0</v>
      </c>
      <c r="AK186" s="2625" t="n">
        <v>0</v>
      </c>
      <c r="AL186" s="2625" t="n"/>
      <c r="AM186" s="2625" t="n">
        <v>0</v>
      </c>
      <c r="AN186" s="2625" t="n">
        <v>0</v>
      </c>
      <c r="AO186" s="2625" t="n"/>
      <c r="AP186" s="2625" t="n">
        <v>0</v>
      </c>
      <c r="AQ186" s="2625" t="n">
        <v>0</v>
      </c>
      <c r="AR186" s="2627" t="n">
        <v>0</v>
      </c>
      <c r="AS186" s="2626">
        <f>SUM(AG186:AR186)</f>
        <v/>
      </c>
      <c r="AT186" s="2615">
        <f>SUM(AG186:AP186)</f>
        <v/>
      </c>
      <c r="AU186" s="2627" t="n"/>
      <c r="AV186" s="2627" t="n"/>
      <c r="AW186" s="2627" t="n"/>
      <c r="AX186" s="2627" t="n"/>
      <c r="AY186" s="2627" t="n"/>
      <c r="AZ186" s="2627" t="n"/>
      <c r="BA186" s="2627" t="n"/>
      <c r="BB186" s="2627" t="n"/>
      <c r="BC186" s="2627" t="n"/>
      <c r="BD186" s="2627" t="n"/>
      <c r="BE186" s="2627" t="n"/>
      <c r="BF186" s="2627" t="n"/>
      <c r="BG186" s="2628">
        <f>SUM(AU186:BF186)</f>
        <v/>
      </c>
      <c r="BI186" s="2627" t="n"/>
      <c r="BJ186" s="2627" t="n"/>
      <c r="BK186" s="2627" t="n"/>
      <c r="BL186" s="2627" t="n"/>
      <c r="BM186" s="2627" t="n"/>
      <c r="BN186" s="2627" t="n"/>
      <c r="BO186" s="2627" t="n"/>
      <c r="BP186" s="2627" t="n"/>
      <c r="BQ186" s="2627" t="n"/>
      <c r="BR186" s="2627" t="n"/>
      <c r="BS186" s="2627" t="n"/>
      <c r="BT186" s="2627" t="n"/>
      <c r="BU186" s="2628">
        <f>SUM(BI186:BT186)</f>
        <v/>
      </c>
    </row>
    <row r="187" outlineLevel="1">
      <c r="A187" s="1436" t="n"/>
      <c r="B187" s="1480" t="inlineStr">
        <is>
          <t>기타수익</t>
        </is>
      </c>
      <c r="C187" s="1436" t="n"/>
      <c r="D187" s="2625" t="n"/>
      <c r="E187" s="2625" t="n"/>
      <c r="F187" s="2625" t="n"/>
      <c r="G187" s="2625" t="n"/>
      <c r="H187" s="2625" t="n"/>
      <c r="I187" s="2625" t="n">
        <v>0</v>
      </c>
      <c r="J187" s="2625" t="n">
        <v>0</v>
      </c>
      <c r="K187" s="2625" t="n">
        <v>0</v>
      </c>
      <c r="L187" s="2625" t="n">
        <v>0</v>
      </c>
      <c r="M187" s="2625" t="n">
        <v>0</v>
      </c>
      <c r="N187" s="2625" t="n">
        <v>0</v>
      </c>
      <c r="O187" s="2625" t="n">
        <v>0</v>
      </c>
      <c r="P187" s="2626">
        <f>SUM(D187:O187)</f>
        <v/>
      </c>
      <c r="Q187" s="1436" t="n"/>
      <c r="R187" s="1436" t="n"/>
      <c r="S187" s="2625" t="n">
        <v>0</v>
      </c>
      <c r="T187" s="2625" t="n">
        <v>0</v>
      </c>
      <c r="U187" s="2625" t="n">
        <v>0</v>
      </c>
      <c r="V187" s="2625" t="n">
        <v>0</v>
      </c>
      <c r="W187" s="2625" t="n">
        <v>0</v>
      </c>
      <c r="X187" s="2625" t="n">
        <v>0</v>
      </c>
      <c r="Y187" s="2625" t="n">
        <v>0</v>
      </c>
      <c r="Z187" s="2625" t="n">
        <v>0</v>
      </c>
      <c r="AA187" s="2625" t="n">
        <v>0</v>
      </c>
      <c r="AB187" s="2625" t="n">
        <v>0</v>
      </c>
      <c r="AC187" s="2625" t="n">
        <v>0</v>
      </c>
      <c r="AD187" s="2625" t="n">
        <v>0</v>
      </c>
      <c r="AE187" s="2626">
        <f>SUM(S187:AD187)</f>
        <v/>
      </c>
      <c r="AF187" s="1436" t="n"/>
      <c r="AG187" s="2625" t="n">
        <v>0</v>
      </c>
      <c r="AH187" s="2625" t="n">
        <v>0</v>
      </c>
      <c r="AI187" s="2625" t="n">
        <v>0</v>
      </c>
      <c r="AJ187" s="2625" t="n">
        <v>0</v>
      </c>
      <c r="AK187" s="2625" t="n">
        <v>0</v>
      </c>
      <c r="AL187" s="2625" t="n"/>
      <c r="AM187" s="2625" t="n">
        <v>0</v>
      </c>
      <c r="AN187" s="2625" t="n">
        <v>0</v>
      </c>
      <c r="AO187" s="2625" t="n"/>
      <c r="AP187" s="2625" t="n">
        <v>0</v>
      </c>
      <c r="AQ187" s="2625" t="n">
        <v>0</v>
      </c>
      <c r="AR187" s="2627" t="n">
        <v>0</v>
      </c>
      <c r="AS187" s="2626">
        <f>SUM(AG187:AR187)</f>
        <v/>
      </c>
      <c r="AT187" s="2615">
        <f>SUM(AG187:AP187)</f>
        <v/>
      </c>
      <c r="AU187" s="2627" t="n"/>
      <c r="AV187" s="2627" t="n"/>
      <c r="AW187" s="2627" t="n"/>
      <c r="AX187" s="2627" t="n"/>
      <c r="AY187" s="2627" t="n"/>
      <c r="AZ187" s="2627" t="n"/>
      <c r="BA187" s="2627" t="n"/>
      <c r="BB187" s="2627" t="n"/>
      <c r="BC187" s="2627" t="n"/>
      <c r="BD187" s="2627" t="n"/>
      <c r="BE187" s="2627" t="n"/>
      <c r="BF187" s="2627" t="n"/>
      <c r="BG187" s="2628">
        <f>SUM(AU187:BF187)</f>
        <v/>
      </c>
      <c r="BI187" s="2627" t="n"/>
      <c r="BJ187" s="2627" t="n"/>
      <c r="BK187" s="2627" t="n"/>
      <c r="BL187" s="2627" t="n"/>
      <c r="BM187" s="2627" t="n"/>
      <c r="BN187" s="2627" t="n"/>
      <c r="BO187" s="2627" t="n"/>
      <c r="BP187" s="2627" t="n"/>
      <c r="BQ187" s="2627" t="n"/>
      <c r="BR187" s="2627" t="n"/>
      <c r="BS187" s="2627" t="n"/>
      <c r="BT187" s="2627" t="n"/>
      <c r="BU187" s="2628">
        <f>SUM(BI187:BT187)</f>
        <v/>
      </c>
    </row>
    <row r="188" outlineLevel="1">
      <c r="A188" s="1436" t="n"/>
      <c r="B188" s="1480" t="inlineStr">
        <is>
          <t>만기보유금융자산처분이익</t>
        </is>
      </c>
      <c r="C188" s="1436" t="n"/>
      <c r="D188" s="2625" t="n"/>
      <c r="E188" s="2625" t="n"/>
      <c r="F188" s="2625" t="n"/>
      <c r="G188" s="2625" t="n"/>
      <c r="H188" s="2625" t="n"/>
      <c r="I188" s="2625" t="n">
        <v>0</v>
      </c>
      <c r="J188" s="2625" t="n">
        <v>0</v>
      </c>
      <c r="K188" s="2625" t="n">
        <v>0</v>
      </c>
      <c r="L188" s="2625" t="n">
        <v>0</v>
      </c>
      <c r="M188" s="2625" t="n">
        <v>0</v>
      </c>
      <c r="N188" s="2625" t="n">
        <v>0</v>
      </c>
      <c r="O188" s="2625" t="n">
        <v>0</v>
      </c>
      <c r="P188" s="2626">
        <f>SUM(D188:O188)</f>
        <v/>
      </c>
      <c r="Q188" s="1436" t="n"/>
      <c r="R188" s="1436" t="n"/>
      <c r="S188" s="2625" t="n">
        <v>0</v>
      </c>
      <c r="T188" s="2625" t="n">
        <v>0</v>
      </c>
      <c r="U188" s="2625" t="n">
        <v>0</v>
      </c>
      <c r="V188" s="2625" t="n">
        <v>0</v>
      </c>
      <c r="W188" s="2625" t="n">
        <v>0</v>
      </c>
      <c r="X188" s="2625" t="n">
        <v>0</v>
      </c>
      <c r="Y188" s="2625" t="n">
        <v>0</v>
      </c>
      <c r="Z188" s="2625" t="n">
        <v>0</v>
      </c>
      <c r="AA188" s="2625" t="n">
        <v>0</v>
      </c>
      <c r="AB188" s="2625" t="n">
        <v>0</v>
      </c>
      <c r="AC188" s="2625" t="n">
        <v>0</v>
      </c>
      <c r="AD188" s="2625" t="n">
        <v>0</v>
      </c>
      <c r="AE188" s="2626">
        <f>SUM(S188:AD188)</f>
        <v/>
      </c>
      <c r="AF188" s="1436" t="n"/>
      <c r="AG188" s="2625" t="n">
        <v>0</v>
      </c>
      <c r="AH188" s="2625" t="n">
        <v>0</v>
      </c>
      <c r="AI188" s="2625" t="n">
        <v>0</v>
      </c>
      <c r="AJ188" s="2625" t="n">
        <v>0</v>
      </c>
      <c r="AK188" s="2625" t="n">
        <v>0</v>
      </c>
      <c r="AL188" s="2625" t="n"/>
      <c r="AM188" s="2625" t="n">
        <v>0</v>
      </c>
      <c r="AN188" s="2625" t="n">
        <v>0</v>
      </c>
      <c r="AO188" s="2625" t="n"/>
      <c r="AP188" s="2625" t="n">
        <v>0</v>
      </c>
      <c r="AQ188" s="2625" t="n">
        <v>0</v>
      </c>
      <c r="AR188" s="2627" t="n">
        <v>0</v>
      </c>
      <c r="AS188" s="2626">
        <f>SUM(AG188:AR188)</f>
        <v/>
      </c>
      <c r="AT188" s="2615">
        <f>SUM(AG188:AP188)</f>
        <v/>
      </c>
      <c r="AU188" s="2627" t="n"/>
      <c r="AV188" s="2627" t="n"/>
      <c r="AW188" s="2627" t="n"/>
      <c r="AX188" s="2627" t="n"/>
      <c r="AY188" s="2627" t="n"/>
      <c r="AZ188" s="2627" t="n"/>
      <c r="BA188" s="2627" t="n"/>
      <c r="BB188" s="2627" t="n"/>
      <c r="BC188" s="2627" t="n"/>
      <c r="BD188" s="2627" t="n"/>
      <c r="BE188" s="2627" t="n"/>
      <c r="BF188" s="2627" t="n"/>
      <c r="BG188" s="2628">
        <f>SUM(AU188:BF188)</f>
        <v/>
      </c>
      <c r="BI188" s="2627" t="n"/>
      <c r="BJ188" s="2627" t="n"/>
      <c r="BK188" s="2627" t="n"/>
      <c r="BL188" s="2627" t="n"/>
      <c r="BM188" s="2627" t="n"/>
      <c r="BN188" s="2627" t="n"/>
      <c r="BO188" s="2627" t="n"/>
      <c r="BP188" s="2627" t="n"/>
      <c r="BQ188" s="2627" t="n"/>
      <c r="BR188" s="2627" t="n"/>
      <c r="BS188" s="2627" t="n"/>
      <c r="BT188" s="2627" t="n"/>
      <c r="BU188" s="2628">
        <f>SUM(BI188:BT188)</f>
        <v/>
      </c>
    </row>
    <row r="189" outlineLevel="1">
      <c r="A189" s="1436" t="n"/>
      <c r="B189" s="1480" t="inlineStr">
        <is>
          <t>종속기업투자주식처분이익</t>
        </is>
      </c>
      <c r="C189" s="1436" t="n"/>
      <c r="D189" s="2625" t="n"/>
      <c r="E189" s="2625" t="n"/>
      <c r="F189" s="2625" t="n"/>
      <c r="G189" s="2625" t="n"/>
      <c r="H189" s="2625" t="n"/>
      <c r="I189" s="2625" t="n">
        <v>0</v>
      </c>
      <c r="J189" s="2625" t="n">
        <v>0</v>
      </c>
      <c r="K189" s="2625" t="n">
        <v>0</v>
      </c>
      <c r="L189" s="2625" t="n">
        <v>0</v>
      </c>
      <c r="M189" s="2625" t="n">
        <v>0</v>
      </c>
      <c r="N189" s="2625" t="n">
        <v>0</v>
      </c>
      <c r="O189" s="2625" t="n">
        <v>0</v>
      </c>
      <c r="P189" s="2626">
        <f>SUM(D189:O189)</f>
        <v/>
      </c>
      <c r="Q189" s="1436" t="n"/>
      <c r="R189" s="1436" t="n"/>
      <c r="S189" s="2625" t="n">
        <v>0</v>
      </c>
      <c r="T189" s="2625" t="n">
        <v>0</v>
      </c>
      <c r="U189" s="2625" t="n">
        <v>0</v>
      </c>
      <c r="V189" s="2625" t="n">
        <v>0</v>
      </c>
      <c r="W189" s="2625" t="n">
        <v>0</v>
      </c>
      <c r="X189" s="2625" t="n">
        <v>0</v>
      </c>
      <c r="Y189" s="2625" t="n">
        <v>0</v>
      </c>
      <c r="Z189" s="2625" t="n">
        <v>0</v>
      </c>
      <c r="AA189" s="2625" t="n">
        <v>0</v>
      </c>
      <c r="AB189" s="2625" t="n">
        <v>0</v>
      </c>
      <c r="AC189" s="2625" t="n">
        <v>0</v>
      </c>
      <c r="AD189" s="2625" t="n">
        <v>0</v>
      </c>
      <c r="AE189" s="2626">
        <f>SUM(S189:AD189)</f>
        <v/>
      </c>
      <c r="AF189" s="1436" t="n"/>
      <c r="AG189" s="2625" t="n">
        <v>0</v>
      </c>
      <c r="AH189" s="2625" t="n">
        <v>0</v>
      </c>
      <c r="AI189" s="2625" t="n">
        <v>0</v>
      </c>
      <c r="AJ189" s="2625" t="n">
        <v>0</v>
      </c>
      <c r="AK189" s="2625" t="n">
        <v>0</v>
      </c>
      <c r="AL189" s="2625" t="n"/>
      <c r="AM189" s="2625" t="n">
        <v>0</v>
      </c>
      <c r="AN189" s="2625" t="n">
        <v>0</v>
      </c>
      <c r="AO189" s="2625" t="n"/>
      <c r="AP189" s="2625" t="n">
        <v>0</v>
      </c>
      <c r="AQ189" s="2625" t="n">
        <v>0</v>
      </c>
      <c r="AR189" s="2627" t="n">
        <v>0</v>
      </c>
      <c r="AS189" s="2626">
        <f>SUM(AG189:AR189)</f>
        <v/>
      </c>
      <c r="AT189" s="2615">
        <f>SUM(AG189:AP189)</f>
        <v/>
      </c>
      <c r="AU189" s="2627" t="n"/>
      <c r="AV189" s="2627" t="n"/>
      <c r="AW189" s="2627" t="n"/>
      <c r="AX189" s="2627" t="n"/>
      <c r="AY189" s="2627" t="n"/>
      <c r="AZ189" s="2627" t="n"/>
      <c r="BA189" s="2627" t="n"/>
      <c r="BB189" s="2627" t="n"/>
      <c r="BC189" s="2627" t="n"/>
      <c r="BD189" s="2627" t="n"/>
      <c r="BE189" s="2627" t="n"/>
      <c r="BF189" s="2627" t="n"/>
      <c r="BG189" s="2628">
        <f>SUM(AU189:BF189)</f>
        <v/>
      </c>
      <c r="BI189" s="2627" t="n"/>
      <c r="BJ189" s="2627" t="n"/>
      <c r="BK189" s="2627" t="n"/>
      <c r="BL189" s="2627" t="n"/>
      <c r="BM189" s="2627" t="n"/>
      <c r="BN189" s="2627" t="n"/>
      <c r="BO189" s="2627" t="n"/>
      <c r="BP189" s="2627" t="n"/>
      <c r="BQ189" s="2627" t="n"/>
      <c r="BR189" s="2627" t="n"/>
      <c r="BS189" s="2627" t="n"/>
      <c r="BT189" s="2627" t="n"/>
      <c r="BU189" s="2628">
        <f>SUM(BI189:BT189)</f>
        <v/>
      </c>
    </row>
    <row r="190" outlineLevel="1">
      <c r="A190" s="1436" t="n"/>
      <c r="B190" s="1480" t="inlineStr">
        <is>
          <t>관계기업투자주식처분이익</t>
        </is>
      </c>
      <c r="C190" s="1436" t="n"/>
      <c r="D190" s="2625" t="n"/>
      <c r="E190" s="2625" t="n"/>
      <c r="F190" s="2625" t="n"/>
      <c r="G190" s="2625" t="n"/>
      <c r="H190" s="2625" t="n"/>
      <c r="I190" s="2625" t="n"/>
      <c r="J190" s="2625" t="n"/>
      <c r="K190" s="2625" t="n"/>
      <c r="L190" s="2625" t="n"/>
      <c r="M190" s="2625" t="n"/>
      <c r="N190" s="2625" t="n"/>
      <c r="O190" s="2625" t="n"/>
      <c r="P190" s="2626">
        <f>SUM(D190:O190)</f>
        <v/>
      </c>
      <c r="Q190" s="1436" t="n"/>
      <c r="R190" s="1436" t="n"/>
      <c r="S190" s="2625" t="n"/>
      <c r="T190" s="2625" t="n"/>
      <c r="U190" s="2625" t="n"/>
      <c r="V190" s="2625" t="n"/>
      <c r="W190" s="2625" t="n"/>
      <c r="X190" s="2625" t="n">
        <v>0</v>
      </c>
      <c r="Y190" s="2625" t="n">
        <v>0</v>
      </c>
      <c r="Z190" s="2625" t="n">
        <v>0</v>
      </c>
      <c r="AA190" s="2625" t="n">
        <v>0</v>
      </c>
      <c r="AB190" s="2625" t="n">
        <v>0</v>
      </c>
      <c r="AC190" s="2625" t="n">
        <v>0</v>
      </c>
      <c r="AD190" s="2625" t="n">
        <v>0</v>
      </c>
      <c r="AE190" s="2626">
        <f>SUM(S190:AD190)</f>
        <v/>
      </c>
      <c r="AF190" s="1436" t="n"/>
      <c r="AG190" s="2625" t="n">
        <v>0</v>
      </c>
      <c r="AH190" s="2625" t="n">
        <v>0</v>
      </c>
      <c r="AI190" s="2625" t="n">
        <v>0</v>
      </c>
      <c r="AJ190" s="2625" t="n">
        <v>0</v>
      </c>
      <c r="AK190" s="2625" t="n">
        <v>0</v>
      </c>
      <c r="AL190" s="2625" t="n"/>
      <c r="AM190" s="2625" t="n">
        <v>0</v>
      </c>
      <c r="AN190" s="2625" t="n">
        <v>0</v>
      </c>
      <c r="AO190" s="2625" t="n"/>
      <c r="AP190" s="2625" t="n">
        <v>0</v>
      </c>
      <c r="AQ190" s="2625" t="n">
        <v>0</v>
      </c>
      <c r="AR190" s="2627" t="n">
        <v>0</v>
      </c>
      <c r="AS190" s="2626">
        <f>SUM(AG190:AR190)</f>
        <v/>
      </c>
      <c r="AT190" s="2615">
        <f>SUM(AG190:AP190)</f>
        <v/>
      </c>
      <c r="AU190" s="2627" t="n"/>
      <c r="AV190" s="2627" t="n"/>
      <c r="AW190" s="2627" t="n"/>
      <c r="AX190" s="2627" t="n"/>
      <c r="AY190" s="2627" t="n"/>
      <c r="AZ190" s="2627" t="n"/>
      <c r="BA190" s="2627" t="n"/>
      <c r="BB190" s="2627" t="n"/>
      <c r="BC190" s="2627" t="n"/>
      <c r="BD190" s="2627" t="n"/>
      <c r="BE190" s="2627" t="n"/>
      <c r="BF190" s="2627" t="n"/>
      <c r="BG190" s="2628">
        <f>SUM(AU190:BF190)</f>
        <v/>
      </c>
      <c r="BI190" s="2627" t="n"/>
      <c r="BJ190" s="2627" t="n"/>
      <c r="BK190" s="2627" t="n"/>
      <c r="BL190" s="2627" t="n"/>
      <c r="BM190" s="2627" t="n"/>
      <c r="BN190" s="2627" t="n"/>
      <c r="BO190" s="2627" t="n"/>
      <c r="BP190" s="2627" t="n"/>
      <c r="BQ190" s="2627" t="n"/>
      <c r="BR190" s="2627" t="n"/>
      <c r="BS190" s="2627" t="n"/>
      <c r="BT190" s="2627" t="n"/>
      <c r="BU190" s="2628">
        <f>SUM(BI190:BT190)</f>
        <v/>
      </c>
    </row>
    <row r="191" outlineLevel="1">
      <c r="A191" s="1436" t="n"/>
      <c r="B191" s="1480" t="inlineStr">
        <is>
          <t>사채상환이익</t>
        </is>
      </c>
      <c r="C191" s="1436" t="n"/>
      <c r="D191" s="2625" t="n"/>
      <c r="E191" s="2625" t="n"/>
      <c r="F191" s="2625" t="n"/>
      <c r="G191" s="2625" t="n"/>
      <c r="H191" s="2625" t="n"/>
      <c r="I191" s="2625" t="n">
        <v>0</v>
      </c>
      <c r="J191" s="2625" t="n">
        <v>0</v>
      </c>
      <c r="K191" s="2625" t="n">
        <v>0</v>
      </c>
      <c r="L191" s="2625" t="n">
        <v>0</v>
      </c>
      <c r="M191" s="2625" t="n">
        <v>0</v>
      </c>
      <c r="N191" s="2625" t="n">
        <v>0</v>
      </c>
      <c r="O191" s="2625" t="n">
        <v>0</v>
      </c>
      <c r="P191" s="2626">
        <f>SUM(D191:O191)</f>
        <v/>
      </c>
      <c r="Q191" s="1436" t="n"/>
      <c r="R191" s="1436" t="n"/>
      <c r="S191" s="2625" t="n">
        <v>0</v>
      </c>
      <c r="T191" s="2625" t="n">
        <v>0</v>
      </c>
      <c r="U191" s="2625" t="n">
        <v>0</v>
      </c>
      <c r="V191" s="2625" t="n">
        <v>0</v>
      </c>
      <c r="W191" s="2625" t="n">
        <v>0</v>
      </c>
      <c r="X191" s="2625" t="n">
        <v>0</v>
      </c>
      <c r="Y191" s="2625" t="n">
        <v>0</v>
      </c>
      <c r="Z191" s="2625" t="n">
        <v>0</v>
      </c>
      <c r="AA191" s="2625" t="n">
        <v>0</v>
      </c>
      <c r="AB191" s="2625" t="n">
        <v>0</v>
      </c>
      <c r="AC191" s="2625" t="n">
        <v>0</v>
      </c>
      <c r="AD191" s="2625" t="n">
        <v>0</v>
      </c>
      <c r="AE191" s="2626">
        <f>SUM(S191:AD191)</f>
        <v/>
      </c>
      <c r="AF191" s="1436" t="n"/>
      <c r="AG191" s="2625" t="n">
        <v>0</v>
      </c>
      <c r="AH191" s="2625" t="n">
        <v>0</v>
      </c>
      <c r="AI191" s="2625" t="n">
        <v>0</v>
      </c>
      <c r="AJ191" s="2625" t="n">
        <v>0</v>
      </c>
      <c r="AK191" s="2625" t="n">
        <v>0</v>
      </c>
      <c r="AL191" s="2625" t="n"/>
      <c r="AM191" s="2625" t="n">
        <v>0</v>
      </c>
      <c r="AN191" s="2625" t="n">
        <v>0</v>
      </c>
      <c r="AO191" s="2625" t="n"/>
      <c r="AP191" s="2625" t="n">
        <v>0</v>
      </c>
      <c r="AQ191" s="2625" t="n">
        <v>0</v>
      </c>
      <c r="AR191" s="2627" t="n">
        <v>0</v>
      </c>
      <c r="AS191" s="2626">
        <f>SUM(AG191:AR191)</f>
        <v/>
      </c>
      <c r="AT191" s="2615">
        <f>SUM(AG191:AP191)</f>
        <v/>
      </c>
      <c r="AU191" s="2627" t="n"/>
      <c r="AV191" s="2627" t="n"/>
      <c r="AW191" s="2627" t="n"/>
      <c r="AX191" s="2627" t="n"/>
      <c r="AY191" s="2627" t="n"/>
      <c r="AZ191" s="2627" t="n"/>
      <c r="BA191" s="2627" t="n"/>
      <c r="BB191" s="2627" t="n"/>
      <c r="BC191" s="2627" t="n"/>
      <c r="BD191" s="2627" t="n"/>
      <c r="BE191" s="2627" t="n"/>
      <c r="BF191" s="2627" t="n"/>
      <c r="BG191" s="2628">
        <f>SUM(AU191:BF191)</f>
        <v/>
      </c>
      <c r="BI191" s="2627" t="n"/>
      <c r="BJ191" s="2627" t="n"/>
      <c r="BK191" s="2627" t="n"/>
      <c r="BL191" s="2627" t="n"/>
      <c r="BM191" s="2627" t="n"/>
      <c r="BN191" s="2627" t="n"/>
      <c r="BO191" s="2627" t="n"/>
      <c r="BP191" s="2627" t="n"/>
      <c r="BQ191" s="2627" t="n"/>
      <c r="BR191" s="2627" t="n"/>
      <c r="BS191" s="2627" t="n"/>
      <c r="BT191" s="2627" t="n"/>
      <c r="BU191" s="2628">
        <f>SUM(BI191:BT191)</f>
        <v/>
      </c>
    </row>
    <row r="192">
      <c r="A192" s="1436" t="n"/>
      <c r="B192" s="1478" t="inlineStr">
        <is>
          <t>Ⅷ. 기타영업외비용</t>
        </is>
      </c>
      <c r="C192" s="1436" t="inlineStr">
        <is>
          <t>기타영업외비용</t>
        </is>
      </c>
      <c r="D192" s="2637">
        <f>SUM(D193:D221)</f>
        <v/>
      </c>
      <c r="E192" s="2637">
        <f>SUM(E193:E221)</f>
        <v/>
      </c>
      <c r="F192" s="2637">
        <f>SUM(F193:F221)</f>
        <v/>
      </c>
      <c r="G192" s="2637">
        <f>SUM(G193:G221)</f>
        <v/>
      </c>
      <c r="H192" s="2637">
        <f>SUM(H193:H221)</f>
        <v/>
      </c>
      <c r="I192" s="2637">
        <f>SUM(I193:I221)</f>
        <v/>
      </c>
      <c r="J192" s="2637">
        <f>SUM(J193:J221)</f>
        <v/>
      </c>
      <c r="K192" s="2637">
        <f>SUM(K193:K221)</f>
        <v/>
      </c>
      <c r="L192" s="2637">
        <f>SUM(L193:L221)</f>
        <v/>
      </c>
      <c r="M192" s="2637">
        <f>SUM(M193:M221)</f>
        <v/>
      </c>
      <c r="N192" s="2637">
        <f>SUM(N193:N221)</f>
        <v/>
      </c>
      <c r="O192" s="2637">
        <f>SUM(O193:O221)</f>
        <v/>
      </c>
      <c r="P192" s="2623">
        <f>SUM(D192:O192)</f>
        <v/>
      </c>
      <c r="Q192" s="1436" t="n"/>
      <c r="R192" s="1436" t="n"/>
      <c r="S192" s="2637">
        <f>SUM(S193:S221)</f>
        <v/>
      </c>
      <c r="T192" s="2637">
        <f>SUM(T193:T221)</f>
        <v/>
      </c>
      <c r="U192" s="2637">
        <f>SUM(U193:U221)</f>
        <v/>
      </c>
      <c r="V192" s="2637">
        <f>SUM(V193:V221)</f>
        <v/>
      </c>
      <c r="W192" s="2637">
        <f>SUM(W193:W221)</f>
        <v/>
      </c>
      <c r="X192" s="2637">
        <f>SUM(X193:X221)</f>
        <v/>
      </c>
      <c r="Y192" s="2637">
        <f>SUM(Y193:Y221)</f>
        <v/>
      </c>
      <c r="Z192" s="2637">
        <f>SUM(Z193:Z221)</f>
        <v/>
      </c>
      <c r="AA192" s="2637">
        <f>SUM(AA193:AA221)</f>
        <v/>
      </c>
      <c r="AB192" s="2637">
        <f>SUM(AB193:AB221)</f>
        <v/>
      </c>
      <c r="AC192" s="2637">
        <f>SUM(AC193:AC221)</f>
        <v/>
      </c>
      <c r="AD192" s="2637">
        <f>SUM(AD193:AD221)</f>
        <v/>
      </c>
      <c r="AE192" s="2623">
        <f>SUM(S192:AD192)</f>
        <v/>
      </c>
      <c r="AF192" s="1436" t="n"/>
      <c r="AG192" s="2637">
        <f>SUM(AG193:AG221)</f>
        <v/>
      </c>
      <c r="AH192" s="2637">
        <f>SUM(AH193:AH221)</f>
        <v/>
      </c>
      <c r="AI192" s="2637">
        <f>SUM(AI193:AI221)</f>
        <v/>
      </c>
      <c r="AJ192" s="2637">
        <f>SUM(AJ193:AJ221)</f>
        <v/>
      </c>
      <c r="AK192" s="2637">
        <f>SUM(AK193:AK221)</f>
        <v/>
      </c>
      <c r="AL192" s="2637" t="n">
        <v>6191112</v>
      </c>
      <c r="AM192" s="2637">
        <f>SUM(AM193:AM221)</f>
        <v/>
      </c>
      <c r="AN192" s="2637">
        <f>SUM(AN193:AN221)</f>
        <v/>
      </c>
      <c r="AO192" s="2637">
        <f>SUM(AO193:AO221)</f>
        <v/>
      </c>
      <c r="AP192" s="2637">
        <f>SUM(AP193:AP221)</f>
        <v/>
      </c>
      <c r="AQ192" s="2637">
        <f>SUM(AQ193:AQ221)</f>
        <v/>
      </c>
      <c r="AR192" s="2637">
        <f>SUM(AR193:AR221)</f>
        <v/>
      </c>
      <c r="AS192" s="2623">
        <f>SUM(AG192:AR192)</f>
        <v/>
      </c>
      <c r="AT192" s="2615">
        <f>SUM(AG192:AP192)</f>
        <v/>
      </c>
      <c r="AU192" s="2637" t="n">
        <v>0</v>
      </c>
      <c r="AV192" s="2637" t="n">
        <v>0</v>
      </c>
      <c r="AW192" s="2637" t="n"/>
      <c r="AX192" s="2637" t="n"/>
      <c r="AY192" s="2637" t="n"/>
      <c r="AZ192" s="2637" t="n"/>
      <c r="BA192" s="2637" t="n"/>
      <c r="BB192" s="2637" t="n"/>
      <c r="BC192" s="2637" t="n"/>
      <c r="BD192" s="2637" t="n"/>
      <c r="BE192" s="2637" t="n"/>
      <c r="BF192" s="2637" t="n"/>
      <c r="BG192" s="2624">
        <f>SUM(AU192:BF192)</f>
        <v/>
      </c>
      <c r="BI192" s="2637" t="n"/>
      <c r="BJ192" s="2637" t="n"/>
      <c r="BK192" s="2637" t="n"/>
      <c r="BL192" s="2637" t="n"/>
      <c r="BM192" s="2637" t="n"/>
      <c r="BN192" s="2637" t="n"/>
      <c r="BO192" s="2637" t="n"/>
      <c r="BP192" s="2637" t="n"/>
      <c r="BQ192" s="2637" t="n"/>
      <c r="BR192" s="2637" t="n"/>
      <c r="BS192" s="2637" t="n"/>
      <c r="BT192" s="2637" t="n"/>
      <c r="BU192" s="2624">
        <f>SUM(BI192:BT192)</f>
        <v/>
      </c>
    </row>
    <row r="193" outlineLevel="1">
      <c r="A193" s="1436" t="n"/>
      <c r="B193" s="1480" t="inlineStr">
        <is>
          <t>기타채권손상차손</t>
        </is>
      </c>
      <c r="C193" s="1436" t="n"/>
      <c r="D193" s="2625" t="n"/>
      <c r="E193" s="2625" t="n"/>
      <c r="F193" s="2625" t="n"/>
      <c r="G193" s="2625" t="n"/>
      <c r="H193" s="2625" t="n"/>
      <c r="I193" s="2625" t="n">
        <v>0</v>
      </c>
      <c r="J193" s="2625" t="n">
        <v>0</v>
      </c>
      <c r="K193" s="2625" t="n">
        <v>0</v>
      </c>
      <c r="L193" s="2625" t="n">
        <v>0</v>
      </c>
      <c r="M193" s="2625" t="n">
        <v>0</v>
      </c>
      <c r="N193" s="2625" t="n">
        <v>0</v>
      </c>
      <c r="O193" s="2625" t="n">
        <v>0</v>
      </c>
      <c r="P193" s="2626">
        <f>SUM(D193:O193)</f>
        <v/>
      </c>
      <c r="Q193" s="1436" t="n"/>
      <c r="R193" s="1436" t="n"/>
      <c r="S193" s="2625" t="n">
        <v>0</v>
      </c>
      <c r="T193" s="2625" t="n">
        <v>0</v>
      </c>
      <c r="U193" s="2625" t="n">
        <v>0</v>
      </c>
      <c r="V193" s="2625" t="n">
        <v>0</v>
      </c>
      <c r="W193" s="2625" t="n">
        <v>0</v>
      </c>
      <c r="X193" s="2625" t="n">
        <v>0</v>
      </c>
      <c r="Y193" s="2625" t="n">
        <v>0</v>
      </c>
      <c r="Z193" s="2625" t="n">
        <v>0</v>
      </c>
      <c r="AA193" s="2625" t="n">
        <v>0</v>
      </c>
      <c r="AB193" s="2625" t="n">
        <v>0</v>
      </c>
      <c r="AC193" s="2625" t="n">
        <v>0</v>
      </c>
      <c r="AD193" s="2625" t="n">
        <v>0</v>
      </c>
      <c r="AE193" s="2626">
        <f>SUM(S193:AD193)</f>
        <v/>
      </c>
      <c r="AF193" s="1436" t="n"/>
      <c r="AG193" s="2625" t="n">
        <v>0</v>
      </c>
      <c r="AH193" s="2625" t="n">
        <v>0</v>
      </c>
      <c r="AI193" s="2625" t="n">
        <v>0</v>
      </c>
      <c r="AJ193" s="2625" t="n">
        <v>0</v>
      </c>
      <c r="AK193" s="2625" t="n">
        <v>0</v>
      </c>
      <c r="AL193" s="2625" t="n"/>
      <c r="AM193" s="2625" t="n">
        <v>0</v>
      </c>
      <c r="AN193" s="2625" t="n">
        <v>0</v>
      </c>
      <c r="AO193" s="2625" t="n"/>
      <c r="AP193" s="2625" t="n">
        <v>0</v>
      </c>
      <c r="AQ193" s="2625" t="n">
        <v>0</v>
      </c>
      <c r="AR193" s="2627" t="n">
        <v>0</v>
      </c>
      <c r="AS193" s="2626">
        <f>SUM(AG193:AR193)</f>
        <v/>
      </c>
      <c r="AT193" s="2615">
        <f>SUM(AG193:AP193)</f>
        <v/>
      </c>
      <c r="AU193" s="2627" t="n"/>
      <c r="AV193" s="2627" t="n"/>
      <c r="AW193" s="2627" t="n"/>
      <c r="AX193" s="2627" t="n"/>
      <c r="AY193" s="2627" t="n"/>
      <c r="AZ193" s="2627" t="n"/>
      <c r="BA193" s="2627" t="n"/>
      <c r="BB193" s="2627" t="n"/>
      <c r="BC193" s="2627" t="n"/>
      <c r="BD193" s="2627" t="n"/>
      <c r="BE193" s="2627" t="n"/>
      <c r="BF193" s="2627" t="n"/>
      <c r="BG193" s="2628">
        <f>SUM(AU193:BF193)</f>
        <v/>
      </c>
      <c r="BI193" s="2627" t="n"/>
      <c r="BJ193" s="2627" t="n"/>
      <c r="BK193" s="2627" t="n"/>
      <c r="BL193" s="2627" t="n"/>
      <c r="BM193" s="2627" t="n"/>
      <c r="BN193" s="2627" t="n"/>
      <c r="BO193" s="2627" t="n"/>
      <c r="BP193" s="2627" t="n"/>
      <c r="BQ193" s="2627" t="n"/>
      <c r="BR193" s="2627" t="n"/>
      <c r="BS193" s="2627" t="n"/>
      <c r="BT193" s="2627" t="n"/>
      <c r="BU193" s="2628">
        <f>SUM(BI193:BT193)</f>
        <v/>
      </c>
    </row>
    <row r="194" outlineLevel="1">
      <c r="A194" s="1436" t="n"/>
      <c r="B194" s="1481" t="inlineStr">
        <is>
          <t>매출채권처분손실</t>
        </is>
      </c>
      <c r="C194" s="1436" t="n"/>
      <c r="D194" s="2625" t="n"/>
      <c r="E194" s="2625" t="n"/>
      <c r="F194" s="2625" t="n"/>
      <c r="G194" s="2625" t="n"/>
      <c r="H194" s="2625" t="n"/>
      <c r="I194" s="2625" t="n">
        <v>0</v>
      </c>
      <c r="J194" s="2625" t="n">
        <v>0</v>
      </c>
      <c r="K194" s="2625" t="n">
        <v>0</v>
      </c>
      <c r="L194" s="2625" t="n">
        <v>0</v>
      </c>
      <c r="M194" s="2625" t="n">
        <v>0</v>
      </c>
      <c r="N194" s="2625" t="n">
        <v>0</v>
      </c>
      <c r="O194" s="2625" t="n">
        <v>0</v>
      </c>
      <c r="P194" s="2626">
        <f>SUM(D194:O194)</f>
        <v/>
      </c>
      <c r="Q194" s="1436" t="n"/>
      <c r="R194" s="1436" t="n"/>
      <c r="S194" s="2625" t="n">
        <v>0</v>
      </c>
      <c r="T194" s="2625" t="n">
        <v>0</v>
      </c>
      <c r="U194" s="2625" t="n">
        <v>0</v>
      </c>
      <c r="V194" s="2625" t="n">
        <v>0</v>
      </c>
      <c r="W194" s="2625" t="n">
        <v>0</v>
      </c>
      <c r="X194" s="2625" t="n">
        <v>0</v>
      </c>
      <c r="Y194" s="2625" t="n">
        <v>0</v>
      </c>
      <c r="Z194" s="2625" t="n">
        <v>0</v>
      </c>
      <c r="AA194" s="2625" t="n">
        <v>0</v>
      </c>
      <c r="AB194" s="2625" t="n">
        <v>0</v>
      </c>
      <c r="AC194" s="2625" t="n">
        <v>0</v>
      </c>
      <c r="AD194" s="2625" t="n">
        <v>0</v>
      </c>
      <c r="AE194" s="2626">
        <f>SUM(S194:AD194)</f>
        <v/>
      </c>
      <c r="AF194" s="1436" t="n"/>
      <c r="AG194" s="2625" t="n">
        <v>0</v>
      </c>
      <c r="AH194" s="2625" t="n">
        <v>0</v>
      </c>
      <c r="AI194" s="2625" t="n">
        <v>0</v>
      </c>
      <c r="AJ194" s="2625" t="n">
        <v>0</v>
      </c>
      <c r="AK194" s="2625" t="n">
        <v>0</v>
      </c>
      <c r="AL194" s="2625" t="n"/>
      <c r="AM194" s="2625" t="n">
        <v>0</v>
      </c>
      <c r="AN194" s="2625" t="n">
        <v>0</v>
      </c>
      <c r="AO194" s="2625" t="n"/>
      <c r="AP194" s="2625" t="n">
        <v>0</v>
      </c>
      <c r="AQ194" s="2625" t="n">
        <v>0</v>
      </c>
      <c r="AR194" s="2627" t="n">
        <v>0</v>
      </c>
      <c r="AS194" s="2626">
        <f>SUM(AG194:AR194)</f>
        <v/>
      </c>
      <c r="AT194" s="2615">
        <f>SUM(AG194:AP194)</f>
        <v/>
      </c>
      <c r="AU194" s="2627" t="n"/>
      <c r="AV194" s="2627" t="n"/>
      <c r="AW194" s="2627" t="n"/>
      <c r="AX194" s="2627" t="n"/>
      <c r="AY194" s="2627" t="n"/>
      <c r="AZ194" s="2627" t="n"/>
      <c r="BA194" s="2627" t="n"/>
      <c r="BB194" s="2627" t="n"/>
      <c r="BC194" s="2627" t="n"/>
      <c r="BD194" s="2627" t="n"/>
      <c r="BE194" s="2627" t="n"/>
      <c r="BF194" s="2627" t="n"/>
      <c r="BG194" s="2628">
        <f>SUM(AU194:BF194)</f>
        <v/>
      </c>
      <c r="BI194" s="2627" t="n"/>
      <c r="BJ194" s="2627" t="n"/>
      <c r="BK194" s="2627" t="n"/>
      <c r="BL194" s="2627" t="n"/>
      <c r="BM194" s="2627" t="n"/>
      <c r="BN194" s="2627" t="n"/>
      <c r="BO194" s="2627" t="n"/>
      <c r="BP194" s="2627" t="n"/>
      <c r="BQ194" s="2627" t="n"/>
      <c r="BR194" s="2627" t="n"/>
      <c r="BS194" s="2627" t="n"/>
      <c r="BT194" s="2627" t="n"/>
      <c r="BU194" s="2628">
        <f>SUM(BI194:BT194)</f>
        <v/>
      </c>
    </row>
    <row r="195" outlineLevel="1">
      <c r="A195" s="1436" t="n"/>
      <c r="B195" s="1480" t="inlineStr">
        <is>
          <t>기부금</t>
        </is>
      </c>
      <c r="C195" s="1436" t="n"/>
      <c r="D195" s="2625" t="n"/>
      <c r="E195" s="2625" t="n"/>
      <c r="F195" s="2625" t="n"/>
      <c r="G195" s="2625" t="n"/>
      <c r="H195" s="2625" t="n"/>
      <c r="I195" s="2625" t="n">
        <v>0</v>
      </c>
      <c r="J195" s="2625" t="n">
        <v>0</v>
      </c>
      <c r="K195" s="2625" t="n">
        <v>0</v>
      </c>
      <c r="L195" s="2625" t="n">
        <v>0</v>
      </c>
      <c r="M195" s="2625" t="n">
        <v>0</v>
      </c>
      <c r="N195" s="2625" t="n">
        <v>0</v>
      </c>
      <c r="O195" s="2625" t="n">
        <v>0</v>
      </c>
      <c r="P195" s="2626">
        <f>SUM(D195:O195)</f>
        <v/>
      </c>
      <c r="Q195" s="1436" t="n"/>
      <c r="R195" s="1436" t="n"/>
      <c r="S195" s="2625" t="n">
        <v>0</v>
      </c>
      <c r="T195" s="2625" t="n">
        <v>0</v>
      </c>
      <c r="U195" s="2625" t="n">
        <v>0</v>
      </c>
      <c r="V195" s="2625" t="n">
        <v>0</v>
      </c>
      <c r="W195" s="2625" t="n">
        <v>0</v>
      </c>
      <c r="X195" s="2625" t="n">
        <v>0</v>
      </c>
      <c r="Y195" s="2625" t="n">
        <v>0</v>
      </c>
      <c r="Z195" s="2625" t="n">
        <v>0</v>
      </c>
      <c r="AA195" s="2625" t="n">
        <v>0</v>
      </c>
      <c r="AB195" s="2625" t="n">
        <v>0</v>
      </c>
      <c r="AC195" s="2625" t="n">
        <v>0</v>
      </c>
      <c r="AD195" s="2625" t="n">
        <v>0</v>
      </c>
      <c r="AE195" s="2626">
        <f>SUM(S195:AD195)</f>
        <v/>
      </c>
      <c r="AF195" s="1436" t="n"/>
      <c r="AG195" s="2625" t="n">
        <v>0</v>
      </c>
      <c r="AH195" s="2625" t="n">
        <v>0</v>
      </c>
      <c r="AI195" s="2625" t="n">
        <v>0</v>
      </c>
      <c r="AJ195" s="2625" t="n">
        <v>0</v>
      </c>
      <c r="AK195" s="2625" t="n">
        <v>0</v>
      </c>
      <c r="AL195" s="2625" t="n"/>
      <c r="AM195" s="2625" t="n">
        <v>0</v>
      </c>
      <c r="AN195" s="2625" t="n">
        <v>0</v>
      </c>
      <c r="AO195" s="2625" t="n"/>
      <c r="AP195" s="2625" t="n">
        <v>0</v>
      </c>
      <c r="AQ195" s="2625" t="n">
        <v>0</v>
      </c>
      <c r="AR195" s="2627" t="n">
        <v>0</v>
      </c>
      <c r="AS195" s="2626">
        <f>SUM(AG195:AR195)</f>
        <v/>
      </c>
      <c r="AT195" s="2615">
        <f>SUM(AG195:AP195)</f>
        <v/>
      </c>
      <c r="AU195" s="2627" t="n"/>
      <c r="AV195" s="2627" t="n"/>
      <c r="AW195" s="2627" t="n"/>
      <c r="AX195" s="2627" t="n"/>
      <c r="AY195" s="2627" t="n"/>
      <c r="AZ195" s="2627" t="n"/>
      <c r="BA195" s="2627" t="n"/>
      <c r="BB195" s="2627" t="n"/>
      <c r="BC195" s="2627" t="n"/>
      <c r="BD195" s="2627" t="n"/>
      <c r="BE195" s="2627" t="n"/>
      <c r="BF195" s="2627" t="n"/>
      <c r="BG195" s="2628">
        <f>SUM(AU195:BF195)</f>
        <v/>
      </c>
      <c r="BI195" s="2627" t="n"/>
      <c r="BJ195" s="2627" t="n"/>
      <c r="BK195" s="2627" t="n"/>
      <c r="BL195" s="2627" t="n"/>
      <c r="BM195" s="2627" t="n"/>
      <c r="BN195" s="2627" t="n"/>
      <c r="BO195" s="2627" t="n"/>
      <c r="BP195" s="2627" t="n"/>
      <c r="BQ195" s="2627" t="n"/>
      <c r="BR195" s="2627" t="n"/>
      <c r="BS195" s="2627" t="n"/>
      <c r="BT195" s="2627" t="n"/>
      <c r="BU195" s="2628">
        <f>SUM(BI195:BT195)</f>
        <v/>
      </c>
    </row>
    <row r="196" outlineLevel="1">
      <c r="A196" s="1436" t="n"/>
      <c r="B196" s="1480" t="inlineStr">
        <is>
          <t>기타의대손상각비</t>
        </is>
      </c>
      <c r="C196" s="1436" t="n"/>
      <c r="D196" s="2625" t="n"/>
      <c r="E196" s="2625" t="n"/>
      <c r="F196" s="2625" t="n"/>
      <c r="G196" s="2625" t="n"/>
      <c r="H196" s="2625" t="n"/>
      <c r="I196" s="2625" t="n">
        <v>0</v>
      </c>
      <c r="J196" s="2625" t="n">
        <v>0</v>
      </c>
      <c r="K196" s="2625" t="n">
        <v>0</v>
      </c>
      <c r="L196" s="2625" t="n">
        <v>0</v>
      </c>
      <c r="M196" s="2625" t="n">
        <v>0</v>
      </c>
      <c r="N196" s="2625" t="n">
        <v>0</v>
      </c>
      <c r="O196" s="2625" t="n">
        <v>0</v>
      </c>
      <c r="P196" s="2626">
        <f>SUM(D196:O196)</f>
        <v/>
      </c>
      <c r="Q196" s="1436" t="n"/>
      <c r="R196" s="1436" t="n"/>
      <c r="S196" s="2625" t="n">
        <v>0</v>
      </c>
      <c r="T196" s="2625" t="n">
        <v>0</v>
      </c>
      <c r="U196" s="2625" t="n">
        <v>0</v>
      </c>
      <c r="V196" s="2625" t="n">
        <v>0</v>
      </c>
      <c r="W196" s="2625" t="n">
        <v>0</v>
      </c>
      <c r="X196" s="2625" t="n">
        <v>0</v>
      </c>
      <c r="Y196" s="2625" t="n">
        <v>0</v>
      </c>
      <c r="Z196" s="2625" t="n">
        <v>0</v>
      </c>
      <c r="AA196" s="2625" t="n">
        <v>174295678</v>
      </c>
      <c r="AB196" s="2625" t="n">
        <v>0</v>
      </c>
      <c r="AC196" s="2625" t="n">
        <v>0</v>
      </c>
      <c r="AD196" s="2625" t="n">
        <v>0</v>
      </c>
      <c r="AE196" s="2626">
        <f>SUM(S196:AD196)</f>
        <v/>
      </c>
      <c r="AF196" s="1436" t="n"/>
      <c r="AG196" s="2625" t="n">
        <v>0</v>
      </c>
      <c r="AH196" s="2625" t="n">
        <v>0</v>
      </c>
      <c r="AI196" s="2625" t="n">
        <v>0</v>
      </c>
      <c r="AJ196" s="2625" t="n">
        <v>0</v>
      </c>
      <c r="AK196" s="2625" t="n">
        <v>0</v>
      </c>
      <c r="AL196" s="2625" t="n"/>
      <c r="AM196" s="2625" t="n">
        <v>0</v>
      </c>
      <c r="AN196" s="2625" t="n">
        <v>0</v>
      </c>
      <c r="AO196" s="2625" t="n"/>
      <c r="AP196" s="2625" t="n">
        <v>0</v>
      </c>
      <c r="AQ196" s="2625" t="n">
        <v>0</v>
      </c>
      <c r="AR196" s="2627" t="n">
        <v>0</v>
      </c>
      <c r="AS196" s="2626">
        <f>SUM(AG196:AR196)</f>
        <v/>
      </c>
      <c r="AT196" s="2615">
        <f>SUM(AG196:AP196)</f>
        <v/>
      </c>
      <c r="AU196" s="2627" t="n"/>
      <c r="AV196" s="2627" t="n"/>
      <c r="AW196" s="2627" t="n"/>
      <c r="AX196" s="2627" t="n"/>
      <c r="AY196" s="2627" t="n"/>
      <c r="AZ196" s="2627" t="n"/>
      <c r="BA196" s="2627" t="n"/>
      <c r="BB196" s="2627" t="n"/>
      <c r="BC196" s="2627" t="n"/>
      <c r="BD196" s="2627" t="n"/>
      <c r="BE196" s="2627" t="n"/>
      <c r="BF196" s="2627" t="n"/>
      <c r="BG196" s="2628">
        <f>SUM(AU196:BF196)</f>
        <v/>
      </c>
      <c r="BI196" s="2627" t="n"/>
      <c r="BJ196" s="2627" t="n"/>
      <c r="BK196" s="2627" t="n"/>
      <c r="BL196" s="2627" t="n"/>
      <c r="BM196" s="2627" t="n"/>
      <c r="BN196" s="2627" t="n"/>
      <c r="BO196" s="2627" t="n"/>
      <c r="BP196" s="2627" t="n"/>
      <c r="BQ196" s="2627" t="n"/>
      <c r="BR196" s="2627" t="n"/>
      <c r="BS196" s="2627" t="n"/>
      <c r="BT196" s="2627" t="n"/>
      <c r="BU196" s="2628">
        <f>SUM(BI196:BT196)</f>
        <v/>
      </c>
    </row>
    <row r="197" outlineLevel="1">
      <c r="A197" s="1436" t="n"/>
      <c r="B197" s="1480" t="inlineStr">
        <is>
          <t>외환차손</t>
        </is>
      </c>
      <c r="C197" s="1436" t="n"/>
      <c r="D197" s="2625" t="n"/>
      <c r="E197" s="2625" t="n"/>
      <c r="F197" s="2625" t="n"/>
      <c r="G197" s="2625" t="n"/>
      <c r="H197" s="2625" t="n"/>
      <c r="I197" s="2625" t="n">
        <v>0</v>
      </c>
      <c r="J197" s="2625" t="n">
        <v>0</v>
      </c>
      <c r="K197" s="2625" t="n">
        <v>7759395</v>
      </c>
      <c r="L197" s="2625" t="n">
        <v>0</v>
      </c>
      <c r="M197" s="2625" t="n">
        <v>0</v>
      </c>
      <c r="N197" s="2625" t="n">
        <v>0</v>
      </c>
      <c r="O197" s="2625" t="n">
        <v>0</v>
      </c>
      <c r="P197" s="2626">
        <f>SUM(D197:O197)</f>
        <v/>
      </c>
      <c r="Q197" s="1436" t="n"/>
      <c r="R197" s="1436" t="n"/>
      <c r="S197" s="2625" t="n">
        <v>0</v>
      </c>
      <c r="T197" s="2625" t="n">
        <v>0</v>
      </c>
      <c r="U197" s="2625" t="n">
        <v>0</v>
      </c>
      <c r="V197" s="2625" t="n">
        <v>0</v>
      </c>
      <c r="W197" s="2625" t="n">
        <v>0</v>
      </c>
      <c r="X197" s="2625" t="n">
        <v>0</v>
      </c>
      <c r="Y197" s="2625" t="n">
        <v>0</v>
      </c>
      <c r="Z197" s="2625" t="n">
        <v>65225</v>
      </c>
      <c r="AA197" s="2625" t="n">
        <v>32014</v>
      </c>
      <c r="AB197" s="2625" t="n">
        <v>143583</v>
      </c>
      <c r="AC197" s="2625" t="n">
        <v>22297</v>
      </c>
      <c r="AD197" s="2625" t="n">
        <v>8531</v>
      </c>
      <c r="AE197" s="2626">
        <f>SUM(S197:AD197)</f>
        <v/>
      </c>
      <c r="AF197" s="1436" t="n"/>
      <c r="AG197" s="2625" t="n">
        <v>109005</v>
      </c>
      <c r="AH197" s="2625" t="n">
        <v>0</v>
      </c>
      <c r="AI197" s="2625" t="n">
        <v>0</v>
      </c>
      <c r="AJ197" s="2625" t="n">
        <v>0</v>
      </c>
      <c r="AK197" s="2625" t="n">
        <v>0</v>
      </c>
      <c r="AL197" s="2625" t="n">
        <v>0</v>
      </c>
      <c r="AM197" s="2625" t="n">
        <v>0</v>
      </c>
      <c r="AN197" s="2625" t="n">
        <v>0</v>
      </c>
      <c r="AO197" s="2625" t="n"/>
      <c r="AP197" s="2625" t="n">
        <v>0</v>
      </c>
      <c r="AQ197" s="2625" t="n">
        <v>0</v>
      </c>
      <c r="AR197" s="2627" t="n">
        <v>0</v>
      </c>
      <c r="AS197" s="2626">
        <f>SUM(AG197:AR197)</f>
        <v/>
      </c>
      <c r="AT197" s="2615" t="n"/>
      <c r="AU197" s="2627" t="n"/>
      <c r="AV197" s="2627" t="n"/>
      <c r="AW197" s="2627" t="n"/>
      <c r="AX197" s="2627" t="n"/>
      <c r="AY197" s="2627" t="n"/>
      <c r="AZ197" s="2627" t="n"/>
      <c r="BA197" s="2627" t="n"/>
      <c r="BB197" s="2627" t="n"/>
      <c r="BC197" s="2627" t="n"/>
      <c r="BD197" s="2627" t="n"/>
      <c r="BE197" s="2627" t="n"/>
      <c r="BF197" s="2627" t="n"/>
      <c r="BG197" s="2628">
        <f>SUM(AU197:BF197)</f>
        <v/>
      </c>
      <c r="BI197" s="2627" t="n"/>
      <c r="BJ197" s="2627" t="n"/>
      <c r="BK197" s="2627" t="n"/>
      <c r="BL197" s="2627" t="n"/>
      <c r="BM197" s="2627" t="n"/>
      <c r="BN197" s="2627" t="n"/>
      <c r="BO197" s="2627" t="n"/>
      <c r="BP197" s="2627" t="n"/>
      <c r="BQ197" s="2627" t="n"/>
      <c r="BR197" s="2627" t="n"/>
      <c r="BS197" s="2627" t="n"/>
      <c r="BT197" s="2627" t="n"/>
      <c r="BU197" s="2628">
        <f>SUM(BI197:BT197)</f>
        <v/>
      </c>
    </row>
    <row r="198" outlineLevel="1">
      <c r="A198" s="1436" t="n"/>
      <c r="B198" s="1480" t="inlineStr">
        <is>
          <t>외화환산손실</t>
        </is>
      </c>
      <c r="C198" s="1436" t="n"/>
      <c r="D198" s="2625" t="n"/>
      <c r="E198" s="2625" t="n"/>
      <c r="F198" s="2625" t="n"/>
      <c r="G198" s="2625" t="n"/>
      <c r="H198" s="2625" t="n"/>
      <c r="I198" s="2625" t="n">
        <v>0</v>
      </c>
      <c r="J198" s="2625" t="n">
        <v>0</v>
      </c>
      <c r="K198" s="2625" t="n">
        <v>0</v>
      </c>
      <c r="L198" s="2625" t="n">
        <v>0</v>
      </c>
      <c r="M198" s="2625" t="n">
        <v>0</v>
      </c>
      <c r="N198" s="2625" t="n">
        <v>0</v>
      </c>
      <c r="O198" s="2625" t="n">
        <v>0</v>
      </c>
      <c r="P198" s="2626">
        <f>SUM(D198:O198)</f>
        <v/>
      </c>
      <c r="Q198" s="1436" t="n"/>
      <c r="R198" s="1436" t="n"/>
      <c r="S198" s="2625" t="n">
        <v>0</v>
      </c>
      <c r="T198" s="2625" t="n">
        <v>0</v>
      </c>
      <c r="U198" s="2625" t="n">
        <v>0</v>
      </c>
      <c r="V198" s="2625" t="n">
        <v>0</v>
      </c>
      <c r="W198" s="2625" t="n">
        <v>0</v>
      </c>
      <c r="X198" s="2625" t="n">
        <v>0</v>
      </c>
      <c r="Y198" s="2625" t="n">
        <v>0</v>
      </c>
      <c r="Z198" s="2625" t="n">
        <v>0</v>
      </c>
      <c r="AA198" s="2625" t="n">
        <v>0</v>
      </c>
      <c r="AB198" s="2625" t="n">
        <v>0</v>
      </c>
      <c r="AC198" s="2625" t="n">
        <v>0</v>
      </c>
      <c r="AD198" s="2625" t="n">
        <v>0</v>
      </c>
      <c r="AE198" s="2626">
        <f>SUM(S198:AD198)</f>
        <v/>
      </c>
      <c r="AF198" s="1436" t="n"/>
      <c r="AG198" s="2625" t="n">
        <v>0</v>
      </c>
      <c r="AH198" s="2625" t="n">
        <v>0</v>
      </c>
      <c r="AI198" s="2625" t="n">
        <v>0</v>
      </c>
      <c r="AJ198" s="2625" t="n">
        <v>0</v>
      </c>
      <c r="AK198" s="2625" t="n">
        <v>0</v>
      </c>
      <c r="AL198" s="2625" t="n"/>
      <c r="AM198" s="2625" t="n">
        <v>0</v>
      </c>
      <c r="AN198" s="2625" t="n">
        <v>0</v>
      </c>
      <c r="AO198" s="2625" t="n"/>
      <c r="AP198" s="2625" t="n">
        <v>0</v>
      </c>
      <c r="AQ198" s="2625" t="n">
        <v>0</v>
      </c>
      <c r="AR198" s="2627" t="n">
        <v>0</v>
      </c>
      <c r="AS198" s="2626">
        <f>SUM(AG198:AR198)</f>
        <v/>
      </c>
      <c r="AT198" s="2615">
        <f>SUM(AG198:AP198)</f>
        <v/>
      </c>
      <c r="AU198" s="2627" t="n"/>
      <c r="AV198" s="2627" t="n"/>
      <c r="AW198" s="2627" t="n"/>
      <c r="AX198" s="2627" t="n"/>
      <c r="AY198" s="2627" t="n"/>
      <c r="AZ198" s="2627" t="n"/>
      <c r="BA198" s="2627" t="n"/>
      <c r="BB198" s="2627" t="n"/>
      <c r="BC198" s="2627" t="n"/>
      <c r="BD198" s="2627" t="n"/>
      <c r="BE198" s="2627" t="n"/>
      <c r="BF198" s="2627" t="n"/>
      <c r="BG198" s="2628">
        <f>SUM(AU198:BF198)</f>
        <v/>
      </c>
      <c r="BI198" s="2627" t="n"/>
      <c r="BJ198" s="2627" t="n"/>
      <c r="BK198" s="2627" t="n"/>
      <c r="BL198" s="2627" t="n"/>
      <c r="BM198" s="2627" t="n"/>
      <c r="BN198" s="2627" t="n"/>
      <c r="BO198" s="2627" t="n"/>
      <c r="BP198" s="2627" t="n"/>
      <c r="BQ198" s="2627" t="n"/>
      <c r="BR198" s="2627" t="n"/>
      <c r="BS198" s="2627" t="n"/>
      <c r="BT198" s="2627" t="n"/>
      <c r="BU198" s="2628">
        <f>SUM(BI198:BT198)</f>
        <v/>
      </c>
    </row>
    <row r="199" outlineLevel="1">
      <c r="A199" s="1436" t="n"/>
      <c r="B199" s="1480" t="inlineStr">
        <is>
          <t>금융보증비용</t>
        </is>
      </c>
      <c r="C199" s="1436" t="n"/>
      <c r="D199" s="2625" t="n"/>
      <c r="E199" s="2625" t="n"/>
      <c r="F199" s="2625" t="n"/>
      <c r="G199" s="2625" t="n"/>
      <c r="H199" s="2625" t="n"/>
      <c r="I199" s="2625" t="n">
        <v>0</v>
      </c>
      <c r="J199" s="2625" t="n">
        <v>0</v>
      </c>
      <c r="K199" s="2625" t="n">
        <v>0</v>
      </c>
      <c r="L199" s="2625" t="n">
        <v>0</v>
      </c>
      <c r="M199" s="2625" t="n">
        <v>0</v>
      </c>
      <c r="N199" s="2625" t="n">
        <v>0</v>
      </c>
      <c r="O199" s="2625" t="n">
        <v>0</v>
      </c>
      <c r="P199" s="2626">
        <f>SUM(D199:O199)</f>
        <v/>
      </c>
      <c r="Q199" s="1436" t="n"/>
      <c r="R199" s="1436" t="n"/>
      <c r="S199" s="2625" t="n">
        <v>0</v>
      </c>
      <c r="T199" s="2625" t="n">
        <v>0</v>
      </c>
      <c r="U199" s="2625" t="n">
        <v>0</v>
      </c>
      <c r="V199" s="2625" t="n">
        <v>0</v>
      </c>
      <c r="W199" s="2625" t="n">
        <v>0</v>
      </c>
      <c r="X199" s="2625" t="n">
        <v>0</v>
      </c>
      <c r="Y199" s="2625" t="n">
        <v>0</v>
      </c>
      <c r="Z199" s="2625" t="n">
        <v>0</v>
      </c>
      <c r="AA199" s="2625" t="n">
        <v>0</v>
      </c>
      <c r="AB199" s="2625" t="n">
        <v>0</v>
      </c>
      <c r="AC199" s="2625" t="n">
        <v>0</v>
      </c>
      <c r="AD199" s="2625" t="n">
        <v>0</v>
      </c>
      <c r="AE199" s="2626">
        <f>SUM(S199:AD199)</f>
        <v/>
      </c>
      <c r="AF199" s="1436" t="n"/>
      <c r="AG199" s="2625" t="n">
        <v>0</v>
      </c>
      <c r="AH199" s="2625" t="n">
        <v>0</v>
      </c>
      <c r="AI199" s="2625" t="n">
        <v>0</v>
      </c>
      <c r="AJ199" s="2625" t="n">
        <v>0</v>
      </c>
      <c r="AK199" s="2625" t="n">
        <v>0</v>
      </c>
      <c r="AL199" s="2625" t="n"/>
      <c r="AM199" s="2625" t="n">
        <v>0</v>
      </c>
      <c r="AN199" s="2625" t="n">
        <v>0</v>
      </c>
      <c r="AO199" s="2625" t="n"/>
      <c r="AP199" s="2625" t="n">
        <v>0</v>
      </c>
      <c r="AQ199" s="2625" t="n">
        <v>0</v>
      </c>
      <c r="AR199" s="2627" t="n">
        <v>0</v>
      </c>
      <c r="AS199" s="2626">
        <f>SUM(AG199:AR199)</f>
        <v/>
      </c>
      <c r="AT199" s="2615">
        <f>SUM(AG199:AP199)</f>
        <v/>
      </c>
      <c r="AU199" s="2627" t="n"/>
      <c r="AV199" s="2627" t="n"/>
      <c r="AW199" s="2627" t="n"/>
      <c r="AX199" s="2627" t="n"/>
      <c r="AY199" s="2627" t="n"/>
      <c r="AZ199" s="2627" t="n"/>
      <c r="BA199" s="2627" t="n"/>
      <c r="BB199" s="2627" t="n"/>
      <c r="BC199" s="2627" t="n"/>
      <c r="BD199" s="2627" t="n"/>
      <c r="BE199" s="2627" t="n"/>
      <c r="BF199" s="2627" t="n"/>
      <c r="BG199" s="2628">
        <f>SUM(AU199:BF199)</f>
        <v/>
      </c>
      <c r="BI199" s="2627" t="n"/>
      <c r="BJ199" s="2627" t="n"/>
      <c r="BK199" s="2627" t="n"/>
      <c r="BL199" s="2627" t="n"/>
      <c r="BM199" s="2627" t="n"/>
      <c r="BN199" s="2627" t="n"/>
      <c r="BO199" s="2627" t="n"/>
      <c r="BP199" s="2627" t="n"/>
      <c r="BQ199" s="2627" t="n"/>
      <c r="BR199" s="2627" t="n"/>
      <c r="BS199" s="2627" t="n"/>
      <c r="BT199" s="2627" t="n"/>
      <c r="BU199" s="2628">
        <f>SUM(BI199:BT199)</f>
        <v/>
      </c>
    </row>
    <row r="200" outlineLevel="1">
      <c r="A200" s="1436" t="n"/>
      <c r="B200" s="1480" t="inlineStr">
        <is>
          <t>유형자산처분손실</t>
        </is>
      </c>
      <c r="C200" s="1436" t="n"/>
      <c r="D200" s="2625" t="n"/>
      <c r="E200" s="2625" t="n"/>
      <c r="F200" s="2625" t="n"/>
      <c r="G200" s="2625" t="n"/>
      <c r="H200" s="2625" t="n"/>
      <c r="I200" s="2625" t="n">
        <v>0</v>
      </c>
      <c r="J200" s="2625" t="n">
        <v>0</v>
      </c>
      <c r="K200" s="2625" t="n">
        <v>0</v>
      </c>
      <c r="L200" s="2625" t="n">
        <v>0</v>
      </c>
      <c r="M200" s="2625" t="n">
        <v>0</v>
      </c>
      <c r="N200" s="2625" t="n">
        <v>0</v>
      </c>
      <c r="O200" s="2625" t="n">
        <v>0</v>
      </c>
      <c r="P200" s="2626">
        <f>SUM(D200:O200)</f>
        <v/>
      </c>
      <c r="Q200" s="1436" t="n"/>
      <c r="R200" s="1436" t="n"/>
      <c r="S200" s="2625" t="n">
        <v>0</v>
      </c>
      <c r="T200" s="2625" t="n">
        <v>0</v>
      </c>
      <c r="U200" s="2625" t="n">
        <v>0</v>
      </c>
      <c r="V200" s="2625" t="n">
        <v>0</v>
      </c>
      <c r="W200" s="2625" t="n">
        <v>0</v>
      </c>
      <c r="X200" s="2625" t="n">
        <v>0</v>
      </c>
      <c r="Y200" s="2625" t="n">
        <v>0</v>
      </c>
      <c r="Z200" s="2625" t="n">
        <v>0</v>
      </c>
      <c r="AA200" s="2625" t="n">
        <v>0</v>
      </c>
      <c r="AB200" s="2625" t="n">
        <v>0</v>
      </c>
      <c r="AC200" s="2625" t="n">
        <v>10329</v>
      </c>
      <c r="AD200" s="2625" t="n">
        <v>0</v>
      </c>
      <c r="AE200" s="2626">
        <f>SUM(S200:AD200)</f>
        <v/>
      </c>
      <c r="AF200" s="1436" t="n"/>
      <c r="AG200" s="2625" t="n">
        <v>0</v>
      </c>
      <c r="AH200" s="2625" t="n">
        <v>0</v>
      </c>
      <c r="AI200" s="2625" t="n">
        <v>0</v>
      </c>
      <c r="AJ200" s="2625" t="n">
        <v>0</v>
      </c>
      <c r="AK200" s="2625" t="n">
        <v>0</v>
      </c>
      <c r="AL200" s="2625" t="n">
        <v>6191112</v>
      </c>
      <c r="AM200" s="2625" t="n">
        <v>0</v>
      </c>
      <c r="AN200" s="2625" t="n">
        <v>0</v>
      </c>
      <c r="AO200" s="2625" t="n"/>
      <c r="AP200" s="2625" t="n">
        <v>0</v>
      </c>
      <c r="AQ200" s="2625" t="n">
        <v>0</v>
      </c>
      <c r="AR200" s="2627" t="n">
        <v>0</v>
      </c>
      <c r="AS200" s="2626">
        <f>SUM(AG200:AR200)</f>
        <v/>
      </c>
      <c r="AT200" s="2615">
        <f>SUM(AG200:AP200)</f>
        <v/>
      </c>
      <c r="AU200" s="2627" t="n"/>
      <c r="AV200" s="2627" t="n"/>
      <c r="AW200" s="2627" t="n"/>
      <c r="AX200" s="2627" t="n"/>
      <c r="AY200" s="2627" t="n"/>
      <c r="AZ200" s="2627" t="n"/>
      <c r="BA200" s="2627" t="n"/>
      <c r="BB200" s="2627" t="n"/>
      <c r="BC200" s="2627" t="n"/>
      <c r="BD200" s="2627" t="n"/>
      <c r="BE200" s="2627" t="n"/>
      <c r="BF200" s="2627" t="n"/>
      <c r="BG200" s="2628">
        <f>SUM(AU200:BF200)</f>
        <v/>
      </c>
      <c r="BI200" s="2627" t="n"/>
      <c r="BJ200" s="2627" t="n"/>
      <c r="BK200" s="2627" t="n"/>
      <c r="BL200" s="2627" t="n"/>
      <c r="BM200" s="2627" t="n"/>
      <c r="BN200" s="2627" t="n"/>
      <c r="BO200" s="2627" t="n"/>
      <c r="BP200" s="2627" t="n"/>
      <c r="BQ200" s="2627" t="n"/>
      <c r="BR200" s="2627" t="n"/>
      <c r="BS200" s="2627" t="n"/>
      <c r="BT200" s="2627" t="n"/>
      <c r="BU200" s="2628">
        <f>SUM(BI200:BT200)</f>
        <v/>
      </c>
    </row>
    <row r="201" outlineLevel="1">
      <c r="A201" s="1436" t="n"/>
      <c r="B201" s="1480" t="inlineStr">
        <is>
          <t>무형자산처분손실</t>
        </is>
      </c>
      <c r="C201" s="1436" t="n"/>
      <c r="D201" s="2625" t="n"/>
      <c r="E201" s="2625" t="n"/>
      <c r="F201" s="2625" t="n"/>
      <c r="G201" s="2625" t="n"/>
      <c r="H201" s="2625" t="n"/>
      <c r="I201" s="2625" t="n">
        <v>0</v>
      </c>
      <c r="J201" s="2625" t="n">
        <v>0</v>
      </c>
      <c r="K201" s="2625" t="n">
        <v>0</v>
      </c>
      <c r="L201" s="2625" t="n">
        <v>0</v>
      </c>
      <c r="M201" s="2625" t="n">
        <v>0</v>
      </c>
      <c r="N201" s="2625" t="n">
        <v>0</v>
      </c>
      <c r="O201" s="2625" t="n">
        <v>0</v>
      </c>
      <c r="P201" s="2626">
        <f>SUM(D201:O201)</f>
        <v/>
      </c>
      <c r="Q201" s="1436" t="n"/>
      <c r="R201" s="1436" t="n"/>
      <c r="S201" s="2625" t="n">
        <v>0</v>
      </c>
      <c r="T201" s="2625" t="n">
        <v>0</v>
      </c>
      <c r="U201" s="2625" t="n">
        <v>0</v>
      </c>
      <c r="V201" s="2625" t="n">
        <v>0</v>
      </c>
      <c r="W201" s="2625" t="n">
        <v>0</v>
      </c>
      <c r="X201" s="2625" t="n">
        <v>0</v>
      </c>
      <c r="Y201" s="2625" t="n">
        <v>0</v>
      </c>
      <c r="Z201" s="2625" t="n">
        <v>0</v>
      </c>
      <c r="AA201" s="2625" t="n">
        <v>0</v>
      </c>
      <c r="AB201" s="2625" t="n">
        <v>0</v>
      </c>
      <c r="AC201" s="2625" t="n">
        <v>0</v>
      </c>
      <c r="AD201" s="2625" t="n">
        <v>0</v>
      </c>
      <c r="AE201" s="2626">
        <f>SUM(S201:AD201)</f>
        <v/>
      </c>
      <c r="AF201" s="1436" t="n"/>
      <c r="AG201" s="2625" t="n">
        <v>0</v>
      </c>
      <c r="AH201" s="2625" t="n">
        <v>0</v>
      </c>
      <c r="AI201" s="2625" t="n">
        <v>0</v>
      </c>
      <c r="AJ201" s="2625" t="n">
        <v>0</v>
      </c>
      <c r="AK201" s="2625" t="n">
        <v>0</v>
      </c>
      <c r="AL201" s="2625" t="n"/>
      <c r="AM201" s="2625" t="n">
        <v>0</v>
      </c>
      <c r="AN201" s="2625" t="n">
        <v>0</v>
      </c>
      <c r="AO201" s="2625" t="n"/>
      <c r="AP201" s="2625" t="n">
        <v>0</v>
      </c>
      <c r="AQ201" s="2625" t="n">
        <v>0</v>
      </c>
      <c r="AR201" s="2627" t="n">
        <v>0</v>
      </c>
      <c r="AS201" s="2626">
        <f>SUM(AG201:AR201)</f>
        <v/>
      </c>
      <c r="AT201" s="2615">
        <f>SUM(AG201:AP201)</f>
        <v/>
      </c>
      <c r="AU201" s="2627" t="n"/>
      <c r="AV201" s="2627" t="n"/>
      <c r="AW201" s="2627" t="n"/>
      <c r="AX201" s="2627" t="n"/>
      <c r="AY201" s="2627" t="n"/>
      <c r="AZ201" s="2627" t="n"/>
      <c r="BA201" s="2627" t="n"/>
      <c r="BB201" s="2627" t="n"/>
      <c r="BC201" s="2627" t="n"/>
      <c r="BD201" s="2627" t="n"/>
      <c r="BE201" s="2627" t="n"/>
      <c r="BF201" s="2627" t="n"/>
      <c r="BG201" s="2628">
        <f>SUM(AU201:BF201)</f>
        <v/>
      </c>
      <c r="BI201" s="2627" t="n"/>
      <c r="BJ201" s="2627" t="n"/>
      <c r="BK201" s="2627" t="n"/>
      <c r="BL201" s="2627" t="n"/>
      <c r="BM201" s="2627" t="n"/>
      <c r="BN201" s="2627" t="n"/>
      <c r="BO201" s="2627" t="n"/>
      <c r="BP201" s="2627" t="n"/>
      <c r="BQ201" s="2627" t="n"/>
      <c r="BR201" s="2627" t="n"/>
      <c r="BS201" s="2627" t="n"/>
      <c r="BT201" s="2627" t="n"/>
      <c r="BU201" s="2628">
        <f>SUM(BI201:BT201)</f>
        <v/>
      </c>
    </row>
    <row r="202" outlineLevel="1">
      <c r="A202" s="1436" t="n"/>
      <c r="B202" s="1480" t="inlineStr">
        <is>
          <t>유형자산손상차손</t>
        </is>
      </c>
      <c r="C202" s="1436" t="n"/>
      <c r="D202" s="2625" t="n"/>
      <c r="E202" s="2625" t="n"/>
      <c r="F202" s="2625" t="n"/>
      <c r="G202" s="2625" t="n"/>
      <c r="H202" s="2625" t="n"/>
      <c r="I202" s="2625" t="n">
        <v>0</v>
      </c>
      <c r="J202" s="2625" t="n">
        <v>0</v>
      </c>
      <c r="K202" s="2625" t="n">
        <v>0</v>
      </c>
      <c r="L202" s="2625" t="n">
        <v>0</v>
      </c>
      <c r="M202" s="2625" t="n">
        <v>0</v>
      </c>
      <c r="N202" s="2625" t="n">
        <v>0</v>
      </c>
      <c r="O202" s="2625" t="n">
        <v>0</v>
      </c>
      <c r="P202" s="2626">
        <f>SUM(D202:O202)</f>
        <v/>
      </c>
      <c r="Q202" s="1436" t="n"/>
      <c r="R202" s="1436" t="n"/>
      <c r="S202" s="2625" t="n">
        <v>0</v>
      </c>
      <c r="T202" s="2625" t="n">
        <v>0</v>
      </c>
      <c r="U202" s="2625" t="n">
        <v>0</v>
      </c>
      <c r="V202" s="2625" t="n">
        <v>0</v>
      </c>
      <c r="W202" s="2625" t="n">
        <v>0</v>
      </c>
      <c r="X202" s="2625" t="n">
        <v>0</v>
      </c>
      <c r="Y202" s="2625" t="n">
        <v>0</v>
      </c>
      <c r="Z202" s="2625" t="n">
        <v>0</v>
      </c>
      <c r="AA202" s="2625" t="n">
        <v>0</v>
      </c>
      <c r="AB202" s="2625" t="n">
        <v>0</v>
      </c>
      <c r="AC202" s="2625" t="n">
        <v>0</v>
      </c>
      <c r="AD202" s="2625" t="n">
        <v>0</v>
      </c>
      <c r="AE202" s="2626">
        <f>SUM(S202:AD202)</f>
        <v/>
      </c>
      <c r="AF202" s="1436" t="n"/>
      <c r="AG202" s="2625" t="n">
        <v>0</v>
      </c>
      <c r="AH202" s="2625" t="n">
        <v>0</v>
      </c>
      <c r="AI202" s="2625" t="n">
        <v>0</v>
      </c>
      <c r="AJ202" s="2625" t="n">
        <v>0</v>
      </c>
      <c r="AK202" s="2625" t="n">
        <v>0</v>
      </c>
      <c r="AL202" s="2625" t="n"/>
      <c r="AM202" s="2625" t="n">
        <v>0</v>
      </c>
      <c r="AN202" s="2625" t="n">
        <v>0</v>
      </c>
      <c r="AO202" s="2625" t="n"/>
      <c r="AP202" s="2625" t="n">
        <v>0</v>
      </c>
      <c r="AQ202" s="2625" t="n">
        <v>0</v>
      </c>
      <c r="AR202" s="2627" t="n">
        <v>0</v>
      </c>
      <c r="AS202" s="2626">
        <f>SUM(AG202:AR202)</f>
        <v/>
      </c>
      <c r="AT202" s="2615">
        <f>SUM(AG202:AP202)</f>
        <v/>
      </c>
      <c r="AU202" s="2627" t="n"/>
      <c r="AV202" s="2627" t="n"/>
      <c r="AW202" s="2627" t="n"/>
      <c r="AX202" s="2627" t="n"/>
      <c r="AY202" s="2627" t="n"/>
      <c r="AZ202" s="2627" t="n"/>
      <c r="BA202" s="2627" t="n"/>
      <c r="BB202" s="2627" t="n"/>
      <c r="BC202" s="2627" t="n"/>
      <c r="BD202" s="2627" t="n"/>
      <c r="BE202" s="2627" t="n"/>
      <c r="BF202" s="2627" t="n"/>
      <c r="BG202" s="2628">
        <f>SUM(AU202:BF202)</f>
        <v/>
      </c>
      <c r="BI202" s="2627" t="n"/>
      <c r="BJ202" s="2627" t="n"/>
      <c r="BK202" s="2627" t="n"/>
      <c r="BL202" s="2627" t="n"/>
      <c r="BM202" s="2627" t="n"/>
      <c r="BN202" s="2627" t="n"/>
      <c r="BO202" s="2627" t="n"/>
      <c r="BP202" s="2627" t="n"/>
      <c r="BQ202" s="2627" t="n"/>
      <c r="BR202" s="2627" t="n"/>
      <c r="BS202" s="2627" t="n"/>
      <c r="BT202" s="2627" t="n"/>
      <c r="BU202" s="2628">
        <f>SUM(BI202:BT202)</f>
        <v/>
      </c>
    </row>
    <row r="203" outlineLevel="1">
      <c r="A203" s="1436" t="n"/>
      <c r="B203" s="1480" t="inlineStr">
        <is>
          <t>무형자산손상차손</t>
        </is>
      </c>
      <c r="C203" s="1436" t="n"/>
      <c r="D203" s="2625" t="n"/>
      <c r="E203" s="2625" t="n"/>
      <c r="F203" s="2625" t="n"/>
      <c r="G203" s="2625" t="n"/>
      <c r="H203" s="2625" t="n"/>
      <c r="I203" s="2625" t="n">
        <v>0</v>
      </c>
      <c r="J203" s="2625" t="n">
        <v>0</v>
      </c>
      <c r="K203" s="2625" t="n">
        <v>0</v>
      </c>
      <c r="L203" s="2625" t="n">
        <v>0</v>
      </c>
      <c r="M203" s="2625" t="n">
        <v>0</v>
      </c>
      <c r="N203" s="2625" t="n">
        <v>0</v>
      </c>
      <c r="O203" s="2625" t="n">
        <v>0</v>
      </c>
      <c r="P203" s="2626">
        <f>SUM(D203:O203)</f>
        <v/>
      </c>
      <c r="Q203" s="1436" t="n"/>
      <c r="R203" s="1436" t="n"/>
      <c r="S203" s="2625" t="n">
        <v>0</v>
      </c>
      <c r="T203" s="2625" t="n">
        <v>0</v>
      </c>
      <c r="U203" s="2625" t="n">
        <v>0</v>
      </c>
      <c r="V203" s="2625" t="n">
        <v>0</v>
      </c>
      <c r="W203" s="2625" t="n">
        <v>0</v>
      </c>
      <c r="X203" s="2625" t="n">
        <v>0</v>
      </c>
      <c r="Y203" s="2625" t="n">
        <v>0</v>
      </c>
      <c r="Z203" s="2625" t="n">
        <v>0</v>
      </c>
      <c r="AA203" s="2625" t="n">
        <v>951254929</v>
      </c>
      <c r="AB203" s="2625" t="n">
        <v>0</v>
      </c>
      <c r="AC203" s="2625" t="n">
        <v>0</v>
      </c>
      <c r="AD203" s="2625" t="n">
        <v>0</v>
      </c>
      <c r="AE203" s="2626">
        <f>SUM(S203:AD203)</f>
        <v/>
      </c>
      <c r="AF203" s="1436" t="n"/>
      <c r="AG203" s="2625" t="n">
        <v>0</v>
      </c>
      <c r="AH203" s="2625" t="n">
        <v>0</v>
      </c>
      <c r="AI203" s="2625" t="n">
        <v>0</v>
      </c>
      <c r="AJ203" s="2625" t="n">
        <v>0</v>
      </c>
      <c r="AK203" s="2625" t="n">
        <v>0</v>
      </c>
      <c r="AL203" s="2625" t="n"/>
      <c r="AM203" s="2625" t="n">
        <v>0</v>
      </c>
      <c r="AN203" s="2625" t="n">
        <v>0</v>
      </c>
      <c r="AO203" s="2625" t="n"/>
      <c r="AP203" s="2625" t="n">
        <v>0</v>
      </c>
      <c r="AQ203" s="2625" t="n">
        <v>0</v>
      </c>
      <c r="AR203" s="2627" t="n">
        <v>0</v>
      </c>
      <c r="AS203" s="2626">
        <f>SUM(AG203:AR203)</f>
        <v/>
      </c>
      <c r="AT203" s="2615">
        <f>SUM(AG203:AP203)</f>
        <v/>
      </c>
      <c r="AU203" s="2627" t="n"/>
      <c r="AV203" s="2627" t="n"/>
      <c r="AW203" s="2627" t="n"/>
      <c r="AX203" s="2627" t="n"/>
      <c r="AY203" s="2627" t="n"/>
      <c r="AZ203" s="2627" t="n"/>
      <c r="BA203" s="2627" t="n"/>
      <c r="BB203" s="2627" t="n"/>
      <c r="BC203" s="2627" t="n"/>
      <c r="BD203" s="2627" t="n"/>
      <c r="BE203" s="2627" t="n"/>
      <c r="BF203" s="2627" t="n"/>
      <c r="BG203" s="2628">
        <f>SUM(AU203:BF203)</f>
        <v/>
      </c>
      <c r="BI203" s="2627" t="n"/>
      <c r="BJ203" s="2627" t="n"/>
      <c r="BK203" s="2627" t="n"/>
      <c r="BL203" s="2627" t="n"/>
      <c r="BM203" s="2627" t="n"/>
      <c r="BN203" s="2627" t="n"/>
      <c r="BO203" s="2627" t="n"/>
      <c r="BP203" s="2627" t="n"/>
      <c r="BQ203" s="2627" t="n"/>
      <c r="BR203" s="2627" t="n"/>
      <c r="BS203" s="2627" t="n"/>
      <c r="BT203" s="2627" t="n"/>
      <c r="BU203" s="2628">
        <f>SUM(BI203:BT203)</f>
        <v/>
      </c>
    </row>
    <row r="204" outlineLevel="1">
      <c r="A204" s="1436" t="n"/>
      <c r="B204" s="1480" t="inlineStr">
        <is>
          <t>기타자산손상차손</t>
        </is>
      </c>
      <c r="C204" s="1436" t="n"/>
      <c r="D204" s="2625" t="n"/>
      <c r="E204" s="2625" t="n"/>
      <c r="F204" s="2625" t="n"/>
      <c r="G204" s="2625" t="n"/>
      <c r="H204" s="2625" t="n"/>
      <c r="I204" s="2625" t="n">
        <v>0</v>
      </c>
      <c r="J204" s="2625" t="n">
        <v>0</v>
      </c>
      <c r="K204" s="2625" t="n">
        <v>0</v>
      </c>
      <c r="L204" s="2625" t="n">
        <v>0</v>
      </c>
      <c r="M204" s="2625" t="n">
        <v>0</v>
      </c>
      <c r="N204" s="2625" t="n">
        <v>0</v>
      </c>
      <c r="O204" s="2625" t="n">
        <v>0</v>
      </c>
      <c r="P204" s="2626">
        <f>SUM(D204:O204)</f>
        <v/>
      </c>
      <c r="Q204" s="1436" t="n"/>
      <c r="R204" s="1436" t="n"/>
      <c r="S204" s="2625" t="n">
        <v>0</v>
      </c>
      <c r="T204" s="2625" t="n">
        <v>0</v>
      </c>
      <c r="U204" s="2625" t="n">
        <v>0</v>
      </c>
      <c r="V204" s="2625" t="n">
        <v>0</v>
      </c>
      <c r="W204" s="2625" t="n">
        <v>0</v>
      </c>
      <c r="X204" s="2625" t="n">
        <v>0</v>
      </c>
      <c r="Y204" s="2625" t="n">
        <v>0</v>
      </c>
      <c r="Z204" s="2625" t="n">
        <v>0</v>
      </c>
      <c r="AA204" s="2625" t="n">
        <v>0</v>
      </c>
      <c r="AB204" s="2625" t="n">
        <v>0</v>
      </c>
      <c r="AC204" s="2625" t="n">
        <v>0</v>
      </c>
      <c r="AD204" s="2625" t="n">
        <v>0</v>
      </c>
      <c r="AE204" s="2626">
        <f>SUM(S204:AD204)</f>
        <v/>
      </c>
      <c r="AF204" s="1436" t="n"/>
      <c r="AG204" s="2625" t="n">
        <v>0</v>
      </c>
      <c r="AH204" s="2625" t="n">
        <v>0</v>
      </c>
      <c r="AI204" s="2625" t="n">
        <v>0</v>
      </c>
      <c r="AJ204" s="2625" t="n">
        <v>0</v>
      </c>
      <c r="AK204" s="2625" t="n">
        <v>0</v>
      </c>
      <c r="AL204" s="2625" t="n"/>
      <c r="AM204" s="2625" t="n">
        <v>0</v>
      </c>
      <c r="AN204" s="2625" t="n">
        <v>0</v>
      </c>
      <c r="AO204" s="2625" t="n"/>
      <c r="AP204" s="2625" t="n">
        <v>0</v>
      </c>
      <c r="AQ204" s="2625" t="n">
        <v>0</v>
      </c>
      <c r="AR204" s="2627" t="n">
        <v>0</v>
      </c>
      <c r="AS204" s="2626">
        <f>SUM(AG204:AR204)</f>
        <v/>
      </c>
      <c r="AT204" s="2615">
        <f>SUM(AG204:AP204)</f>
        <v/>
      </c>
      <c r="AU204" s="2627" t="n"/>
      <c r="AV204" s="2627" t="n"/>
      <c r="AW204" s="2627" t="n"/>
      <c r="AX204" s="2627" t="n"/>
      <c r="AY204" s="2627" t="n"/>
      <c r="AZ204" s="2627" t="n"/>
      <c r="BA204" s="2627" t="n"/>
      <c r="BB204" s="2627" t="n"/>
      <c r="BC204" s="2627" t="n"/>
      <c r="BD204" s="2627" t="n"/>
      <c r="BE204" s="2627" t="n"/>
      <c r="BF204" s="2627" t="n"/>
      <c r="BG204" s="2628">
        <f>SUM(AU204:BF204)</f>
        <v/>
      </c>
      <c r="BI204" s="2627" t="n"/>
      <c r="BJ204" s="2627" t="n"/>
      <c r="BK204" s="2627" t="n"/>
      <c r="BL204" s="2627" t="n"/>
      <c r="BM204" s="2627" t="n"/>
      <c r="BN204" s="2627" t="n"/>
      <c r="BO204" s="2627" t="n"/>
      <c r="BP204" s="2627" t="n"/>
      <c r="BQ204" s="2627" t="n"/>
      <c r="BR204" s="2627" t="n"/>
      <c r="BS204" s="2627" t="n"/>
      <c r="BT204" s="2627" t="n"/>
      <c r="BU204" s="2628">
        <f>SUM(BI204:BT204)</f>
        <v/>
      </c>
    </row>
    <row r="205" outlineLevel="1">
      <c r="A205" s="1436" t="n"/>
      <c r="B205" s="1480" t="inlineStr">
        <is>
          <t>잡손실</t>
        </is>
      </c>
      <c r="C205" s="1436" t="n"/>
      <c r="D205" s="2625" t="n"/>
      <c r="E205" s="2625" t="n"/>
      <c r="F205" s="2625" t="n"/>
      <c r="G205" s="2625" t="n"/>
      <c r="H205" s="2625" t="n"/>
      <c r="I205" s="2625" t="n">
        <v>0</v>
      </c>
      <c r="J205" s="2625" t="n">
        <v>0</v>
      </c>
      <c r="K205" s="2625" t="n">
        <v>0</v>
      </c>
      <c r="L205" s="2625" t="n">
        <v>0</v>
      </c>
      <c r="M205" s="2625" t="n">
        <v>0</v>
      </c>
      <c r="N205" s="2625" t="n">
        <v>0</v>
      </c>
      <c r="O205" s="2625" t="n">
        <v>70</v>
      </c>
      <c r="P205" s="2626">
        <f>SUM(D205:O205)</f>
        <v/>
      </c>
      <c r="Q205" s="1436" t="n"/>
      <c r="R205" s="1436" t="n"/>
      <c r="S205" s="2625" t="n">
        <v>0</v>
      </c>
      <c r="T205" s="2625" t="n">
        <v>5</v>
      </c>
      <c r="U205" s="2625" t="n">
        <v>0</v>
      </c>
      <c r="V205" s="2625" t="n">
        <v>0</v>
      </c>
      <c r="W205" s="2625" t="n">
        <v>0</v>
      </c>
      <c r="X205" s="2625" t="n">
        <v>0</v>
      </c>
      <c r="Y205" s="2625" t="n">
        <v>0</v>
      </c>
      <c r="Z205" s="2625" t="n">
        <v>0</v>
      </c>
      <c r="AA205" s="2625" t="n">
        <v>0</v>
      </c>
      <c r="AB205" s="2625" t="n">
        <v>0</v>
      </c>
      <c r="AC205" s="2625" t="n">
        <v>0</v>
      </c>
      <c r="AD205" s="2625" t="n">
        <v>14441347</v>
      </c>
      <c r="AE205" s="2626">
        <f>SUM(S205:AD205)</f>
        <v/>
      </c>
      <c r="AF205" s="1436" t="n"/>
      <c r="AG205" s="2625" t="n">
        <v>0</v>
      </c>
      <c r="AH205" s="2625" t="n">
        <v>5</v>
      </c>
      <c r="AI205" s="2625" t="n">
        <v>0</v>
      </c>
      <c r="AJ205" s="2625" t="n">
        <v>0</v>
      </c>
      <c r="AK205" s="2625" t="n">
        <v>1191743</v>
      </c>
      <c r="AL205" s="2625" t="n">
        <v>0</v>
      </c>
      <c r="AM205" s="2625" t="n">
        <v>268848667</v>
      </c>
      <c r="AN205" s="2625" t="n">
        <v>0</v>
      </c>
      <c r="AO205" s="2625" t="n"/>
      <c r="AP205" s="2625" t="n">
        <v>0</v>
      </c>
      <c r="AQ205" s="2625" t="n">
        <v>50784</v>
      </c>
      <c r="AR205" s="2627" t="n">
        <v>-50780</v>
      </c>
      <c r="AS205" s="2626">
        <f>SUM(AG205:AR205)</f>
        <v/>
      </c>
      <c r="AT205" s="2615">
        <f>SUM(AG205:AP205)</f>
        <v/>
      </c>
      <c r="AU205" s="2627" t="n"/>
      <c r="AV205" s="2627" t="n"/>
      <c r="AW205" s="2627" t="n"/>
      <c r="AX205" s="2627" t="n"/>
      <c r="AY205" s="2627" t="n"/>
      <c r="AZ205" s="2627" t="n"/>
      <c r="BA205" s="2627" t="n"/>
      <c r="BB205" s="2627" t="n"/>
      <c r="BC205" s="2627" t="n"/>
      <c r="BD205" s="2627" t="n"/>
      <c r="BE205" s="2627" t="n"/>
      <c r="BF205" s="2627" t="n"/>
      <c r="BG205" s="2628">
        <f>SUM(AU205:BF205)</f>
        <v/>
      </c>
      <c r="BI205" s="2627" t="n"/>
      <c r="BJ205" s="2627" t="n"/>
      <c r="BK205" s="2627" t="n"/>
      <c r="BL205" s="2627" t="n"/>
      <c r="BM205" s="2627" t="n"/>
      <c r="BN205" s="2627" t="n"/>
      <c r="BO205" s="2627" t="n"/>
      <c r="BP205" s="2627" t="n"/>
      <c r="BQ205" s="2627" t="n"/>
      <c r="BR205" s="2627" t="n"/>
      <c r="BS205" s="2627" t="n"/>
      <c r="BT205" s="2627" t="n"/>
      <c r="BU205" s="2628">
        <f>SUM(BI205:BT205)</f>
        <v/>
      </c>
    </row>
    <row r="206" outlineLevel="1">
      <c r="A206" s="1436" t="n"/>
      <c r="B206" s="1480" t="inlineStr">
        <is>
          <t>재해손실</t>
        </is>
      </c>
      <c r="C206" s="1436" t="n"/>
      <c r="D206" s="2625" t="n"/>
      <c r="E206" s="2625" t="n"/>
      <c r="F206" s="2625" t="n"/>
      <c r="G206" s="2625" t="n"/>
      <c r="H206" s="2625" t="n"/>
      <c r="I206" s="2625" t="n">
        <v>0</v>
      </c>
      <c r="J206" s="2625" t="n">
        <v>0</v>
      </c>
      <c r="K206" s="2625" t="n">
        <v>0</v>
      </c>
      <c r="L206" s="2625" t="n">
        <v>0</v>
      </c>
      <c r="M206" s="2625" t="n">
        <v>0</v>
      </c>
      <c r="N206" s="2625" t="n">
        <v>0</v>
      </c>
      <c r="O206" s="2625" t="n">
        <v>0</v>
      </c>
      <c r="P206" s="2626">
        <f>SUM(D206:O206)</f>
        <v/>
      </c>
      <c r="Q206" s="1436" t="n"/>
      <c r="R206" s="1436" t="n"/>
      <c r="S206" s="2625" t="n">
        <v>0</v>
      </c>
      <c r="T206" s="2625" t="n">
        <v>0</v>
      </c>
      <c r="U206" s="2625" t="n">
        <v>0</v>
      </c>
      <c r="V206" s="2625" t="n">
        <v>0</v>
      </c>
      <c r="W206" s="2625" t="n">
        <v>0</v>
      </c>
      <c r="X206" s="2625" t="n">
        <v>0</v>
      </c>
      <c r="Y206" s="2625" t="n">
        <v>0</v>
      </c>
      <c r="Z206" s="2625" t="n">
        <v>0</v>
      </c>
      <c r="AA206" s="2625" t="n">
        <v>0</v>
      </c>
      <c r="AB206" s="2625" t="n">
        <v>0</v>
      </c>
      <c r="AC206" s="2625" t="n">
        <v>0</v>
      </c>
      <c r="AD206" s="2625" t="n">
        <v>0</v>
      </c>
      <c r="AE206" s="2626">
        <f>SUM(S206:AD206)</f>
        <v/>
      </c>
      <c r="AF206" s="1436" t="n"/>
      <c r="AG206" s="2625" t="n">
        <v>0</v>
      </c>
      <c r="AH206" s="2625" t="n">
        <v>0</v>
      </c>
      <c r="AI206" s="2625" t="n">
        <v>0</v>
      </c>
      <c r="AJ206" s="2625" t="n">
        <v>0</v>
      </c>
      <c r="AK206" s="2625" t="n">
        <v>0</v>
      </c>
      <c r="AL206" s="2625" t="n"/>
      <c r="AM206" s="2625" t="n">
        <v>0</v>
      </c>
      <c r="AN206" s="2625" t="n">
        <v>0</v>
      </c>
      <c r="AO206" s="2625" t="n"/>
      <c r="AP206" s="2625" t="n">
        <v>0</v>
      </c>
      <c r="AQ206" s="2625" t="n">
        <v>0</v>
      </c>
      <c r="AR206" s="2627" t="n">
        <v>0</v>
      </c>
      <c r="AS206" s="2626">
        <f>SUM(AG206:AR206)</f>
        <v/>
      </c>
      <c r="AT206" s="2615">
        <f>SUM(AG206:AP206)</f>
        <v/>
      </c>
      <c r="AU206" s="2627" t="n"/>
      <c r="AV206" s="2627" t="n"/>
      <c r="AW206" s="2627" t="n"/>
      <c r="AX206" s="2627" t="n"/>
      <c r="AY206" s="2627" t="n"/>
      <c r="AZ206" s="2627" t="n"/>
      <c r="BA206" s="2627" t="n"/>
      <c r="BB206" s="2627" t="n"/>
      <c r="BC206" s="2627" t="n"/>
      <c r="BD206" s="2627" t="n"/>
      <c r="BE206" s="2627" t="n"/>
      <c r="BF206" s="2627" t="n"/>
      <c r="BG206" s="2628">
        <f>SUM(AU206:BF206)</f>
        <v/>
      </c>
      <c r="BI206" s="2627" t="n"/>
      <c r="BJ206" s="2627" t="n"/>
      <c r="BK206" s="2627" t="n"/>
      <c r="BL206" s="2627" t="n"/>
      <c r="BM206" s="2627" t="n"/>
      <c r="BN206" s="2627" t="n"/>
      <c r="BO206" s="2627" t="n"/>
      <c r="BP206" s="2627" t="n"/>
      <c r="BQ206" s="2627" t="n"/>
      <c r="BR206" s="2627" t="n"/>
      <c r="BS206" s="2627" t="n"/>
      <c r="BT206" s="2627" t="n"/>
      <c r="BU206" s="2628">
        <f>SUM(BI206:BT206)</f>
        <v/>
      </c>
    </row>
    <row r="207" outlineLevel="1">
      <c r="A207" s="1436" t="n"/>
      <c r="B207" s="1480" t="inlineStr">
        <is>
          <t>전기오류수정손실</t>
        </is>
      </c>
      <c r="C207" s="1436" t="n"/>
      <c r="D207" s="2625" t="n"/>
      <c r="E207" s="2625" t="n"/>
      <c r="F207" s="2625" t="n"/>
      <c r="G207" s="2625" t="n"/>
      <c r="H207" s="2625" t="n"/>
      <c r="I207" s="2625" t="n">
        <v>0</v>
      </c>
      <c r="J207" s="2625" t="n">
        <v>0</v>
      </c>
      <c r="K207" s="2625" t="n">
        <v>0</v>
      </c>
      <c r="L207" s="2625" t="n">
        <v>0</v>
      </c>
      <c r="M207" s="2625" t="n">
        <v>0</v>
      </c>
      <c r="N207" s="2625" t="n">
        <v>0</v>
      </c>
      <c r="O207" s="2625" t="n">
        <v>0</v>
      </c>
      <c r="P207" s="2626">
        <f>SUM(D207:O207)</f>
        <v/>
      </c>
      <c r="Q207" s="1436" t="n"/>
      <c r="R207" s="1436" t="n"/>
      <c r="S207" s="2625" t="n">
        <v>0</v>
      </c>
      <c r="T207" s="2625" t="n">
        <v>0</v>
      </c>
      <c r="U207" s="2625" t="n">
        <v>0</v>
      </c>
      <c r="V207" s="2625" t="n">
        <v>0</v>
      </c>
      <c r="W207" s="2625" t="n">
        <v>0</v>
      </c>
      <c r="X207" s="2625" t="n">
        <v>0</v>
      </c>
      <c r="Y207" s="2625" t="n">
        <v>0</v>
      </c>
      <c r="Z207" s="2625" t="n">
        <v>0</v>
      </c>
      <c r="AA207" s="2625" t="n">
        <v>0</v>
      </c>
      <c r="AB207" s="2625" t="n">
        <v>0</v>
      </c>
      <c r="AC207" s="2625" t="n">
        <v>0</v>
      </c>
      <c r="AD207" s="2625" t="n">
        <v>0</v>
      </c>
      <c r="AE207" s="2626">
        <f>SUM(S207:AD207)</f>
        <v/>
      </c>
      <c r="AF207" s="1436" t="n"/>
      <c r="AG207" s="2625" t="n">
        <v>0</v>
      </c>
      <c r="AH207" s="2625" t="n">
        <v>0</v>
      </c>
      <c r="AI207" s="2625" t="n">
        <v>0</v>
      </c>
      <c r="AJ207" s="2625" t="n">
        <v>0</v>
      </c>
      <c r="AK207" s="2625" t="n">
        <v>0</v>
      </c>
      <c r="AL207" s="2625" t="n"/>
      <c r="AM207" s="2625" t="n">
        <v>0</v>
      </c>
      <c r="AN207" s="2625" t="n">
        <v>0</v>
      </c>
      <c r="AO207" s="2625" t="n"/>
      <c r="AP207" s="2625" t="n">
        <v>0</v>
      </c>
      <c r="AQ207" s="2625" t="n">
        <v>0</v>
      </c>
      <c r="AR207" s="2627" t="n">
        <v>0</v>
      </c>
      <c r="AS207" s="2626">
        <f>SUM(AG207:AR207)</f>
        <v/>
      </c>
      <c r="AT207" s="2615">
        <f>SUM(AG207:AP207)</f>
        <v/>
      </c>
      <c r="AU207" s="2627" t="n"/>
      <c r="AV207" s="2627" t="n"/>
      <c r="AW207" s="2627" t="n"/>
      <c r="AX207" s="2627" t="n"/>
      <c r="AY207" s="2627" t="n"/>
      <c r="AZ207" s="2627" t="n"/>
      <c r="BA207" s="2627" t="n"/>
      <c r="BB207" s="2627" t="n"/>
      <c r="BC207" s="2627" t="n"/>
      <c r="BD207" s="2627" t="n"/>
      <c r="BE207" s="2627" t="n"/>
      <c r="BF207" s="2627" t="n"/>
      <c r="BG207" s="2628">
        <f>SUM(AU207:BF207)</f>
        <v/>
      </c>
      <c r="BI207" s="2627" t="n"/>
      <c r="BJ207" s="2627" t="n"/>
      <c r="BK207" s="2627" t="n"/>
      <c r="BL207" s="2627" t="n"/>
      <c r="BM207" s="2627" t="n"/>
      <c r="BN207" s="2627" t="n"/>
      <c r="BO207" s="2627" t="n"/>
      <c r="BP207" s="2627" t="n"/>
      <c r="BQ207" s="2627" t="n"/>
      <c r="BR207" s="2627" t="n"/>
      <c r="BS207" s="2627" t="n"/>
      <c r="BT207" s="2627" t="n"/>
      <c r="BU207" s="2628">
        <f>SUM(BI207:BT207)</f>
        <v/>
      </c>
    </row>
    <row r="208" outlineLevel="1">
      <c r="A208" s="1436" t="n"/>
      <c r="B208" s="1480" t="inlineStr">
        <is>
          <t>관계기업투자주식처분손실</t>
        </is>
      </c>
      <c r="C208" s="1436" t="n"/>
      <c r="D208" s="2625" t="n"/>
      <c r="E208" s="2625" t="n"/>
      <c r="F208" s="2625" t="n"/>
      <c r="G208" s="2625" t="n"/>
      <c r="H208" s="2625" t="n"/>
      <c r="I208" s="2625" t="n">
        <v>0</v>
      </c>
      <c r="J208" s="2625" t="n">
        <v>0</v>
      </c>
      <c r="K208" s="2625" t="n">
        <v>0</v>
      </c>
      <c r="L208" s="2625" t="n">
        <v>0</v>
      </c>
      <c r="M208" s="2625" t="n">
        <v>0</v>
      </c>
      <c r="N208" s="2625" t="n">
        <v>0</v>
      </c>
      <c r="O208" s="2625" t="n">
        <v>0</v>
      </c>
      <c r="P208" s="2626">
        <f>SUM(D208:O208)</f>
        <v/>
      </c>
      <c r="Q208" s="1436" t="n"/>
      <c r="R208" s="1436" t="n"/>
      <c r="S208" s="2625" t="n">
        <v>0</v>
      </c>
      <c r="T208" s="2625" t="n">
        <v>0</v>
      </c>
      <c r="U208" s="2625" t="n">
        <v>0</v>
      </c>
      <c r="V208" s="2625" t="n">
        <v>0</v>
      </c>
      <c r="W208" s="2625" t="n">
        <v>0</v>
      </c>
      <c r="X208" s="2625" t="n">
        <v>0</v>
      </c>
      <c r="Y208" s="2625" t="n">
        <v>0</v>
      </c>
      <c r="Z208" s="2625" t="n">
        <v>0</v>
      </c>
      <c r="AA208" s="2625" t="n">
        <v>0</v>
      </c>
      <c r="AB208" s="2625" t="n">
        <v>0</v>
      </c>
      <c r="AC208" s="2625" t="n">
        <v>0</v>
      </c>
      <c r="AD208" s="2625" t="n">
        <v>0</v>
      </c>
      <c r="AE208" s="2626">
        <f>SUM(S208:AD208)</f>
        <v/>
      </c>
      <c r="AF208" s="1436" t="n"/>
      <c r="AG208" s="2625" t="n">
        <v>0</v>
      </c>
      <c r="AH208" s="2625" t="n">
        <v>0</v>
      </c>
      <c r="AI208" s="2625" t="n">
        <v>0</v>
      </c>
      <c r="AJ208" s="2625" t="n">
        <v>0</v>
      </c>
      <c r="AK208" s="2625" t="n">
        <v>0</v>
      </c>
      <c r="AL208" s="2625" t="n"/>
      <c r="AM208" s="2625" t="n">
        <v>0</v>
      </c>
      <c r="AN208" s="2625" t="n">
        <v>0</v>
      </c>
      <c r="AO208" s="2625" t="n"/>
      <c r="AP208" s="2625" t="n">
        <v>0</v>
      </c>
      <c r="AQ208" s="2625" t="n">
        <v>0</v>
      </c>
      <c r="AR208" s="2627" t="n">
        <v>0</v>
      </c>
      <c r="AS208" s="2626">
        <f>SUM(AG208:AR208)</f>
        <v/>
      </c>
      <c r="AT208" s="2615">
        <f>SUM(AG208:AP208)</f>
        <v/>
      </c>
      <c r="AU208" s="2627" t="n"/>
      <c r="AV208" s="2627" t="n"/>
      <c r="AW208" s="2627" t="n"/>
      <c r="AX208" s="2627" t="n"/>
      <c r="AY208" s="2627" t="n"/>
      <c r="AZ208" s="2627" t="n"/>
      <c r="BA208" s="2627" t="n"/>
      <c r="BB208" s="2627" t="n"/>
      <c r="BC208" s="2627" t="n"/>
      <c r="BD208" s="2627" t="n"/>
      <c r="BE208" s="2627" t="n"/>
      <c r="BF208" s="2627" t="n"/>
      <c r="BG208" s="2628">
        <f>SUM(AU208:BF208)</f>
        <v/>
      </c>
      <c r="BI208" s="2627" t="n"/>
      <c r="BJ208" s="2627" t="n"/>
      <c r="BK208" s="2627" t="n"/>
      <c r="BL208" s="2627" t="n"/>
      <c r="BM208" s="2627" t="n"/>
      <c r="BN208" s="2627" t="n"/>
      <c r="BO208" s="2627" t="n"/>
      <c r="BP208" s="2627" t="n"/>
      <c r="BQ208" s="2627" t="n"/>
      <c r="BR208" s="2627" t="n"/>
      <c r="BS208" s="2627" t="n"/>
      <c r="BT208" s="2627" t="n"/>
      <c r="BU208" s="2628">
        <f>SUM(BI208:BT208)</f>
        <v/>
      </c>
    </row>
    <row r="209" outlineLevel="1">
      <c r="A209" s="1436" t="n"/>
      <c r="B209" s="1480" t="inlineStr">
        <is>
          <t>종속기업투자주식처분손실</t>
        </is>
      </c>
      <c r="C209" s="1436" t="n"/>
      <c r="D209" s="2625" t="n"/>
      <c r="E209" s="2625" t="n"/>
      <c r="F209" s="2625" t="n"/>
      <c r="G209" s="2625" t="n"/>
      <c r="H209" s="2625" t="n"/>
      <c r="I209" s="2625" t="n"/>
      <c r="J209" s="2625" t="n"/>
      <c r="K209" s="2625" t="n"/>
      <c r="L209" s="2625" t="n"/>
      <c r="M209" s="2625" t="n"/>
      <c r="N209" s="2625" t="n"/>
      <c r="O209" s="2625" t="n"/>
      <c r="P209" s="2626" t="n"/>
      <c r="Q209" s="1436" t="n"/>
      <c r="R209" s="1436" t="n"/>
      <c r="S209" s="2625" t="n"/>
      <c r="T209" s="2625" t="n"/>
      <c r="U209" s="2625" t="n"/>
      <c r="V209" s="2625" t="n"/>
      <c r="W209" s="2625" t="n"/>
      <c r="X209" s="2625" t="n"/>
      <c r="Y209" s="2625" t="n"/>
      <c r="Z209" s="2625" t="n"/>
      <c r="AA209" s="2625" t="n"/>
      <c r="AB209" s="2625" t="n"/>
      <c r="AC209" s="2625" t="n"/>
      <c r="AD209" s="2625" t="n"/>
      <c r="AE209" s="2626">
        <f>SUM(S209:AD209)</f>
        <v/>
      </c>
      <c r="AF209" s="1436" t="n"/>
      <c r="AG209" s="2625" t="n">
        <v>0</v>
      </c>
      <c r="AH209" s="2625" t="n">
        <v>0</v>
      </c>
      <c r="AI209" s="2625" t="n">
        <v>0</v>
      </c>
      <c r="AJ209" s="2625" t="n">
        <v>0</v>
      </c>
      <c r="AK209" s="2625" t="n">
        <v>0</v>
      </c>
      <c r="AL209" s="2625" t="n"/>
      <c r="AM209" s="2625" t="n">
        <v>0</v>
      </c>
      <c r="AN209" s="2625" t="n">
        <v>0</v>
      </c>
      <c r="AO209" s="2625" t="n"/>
      <c r="AP209" s="2625" t="n">
        <v>0</v>
      </c>
      <c r="AQ209" s="2625" t="n">
        <v>0</v>
      </c>
      <c r="AR209" s="2627" t="n">
        <v>0</v>
      </c>
      <c r="AS209" s="2626">
        <f>SUM(AG209:AR209)</f>
        <v/>
      </c>
      <c r="AT209" s="2615">
        <f>SUM(AG209:AP209)</f>
        <v/>
      </c>
      <c r="AU209" s="2627" t="n"/>
      <c r="AV209" s="2627" t="n"/>
      <c r="AW209" s="2627" t="n"/>
      <c r="AX209" s="2627" t="n"/>
      <c r="AY209" s="2627" t="n"/>
      <c r="AZ209" s="2627" t="n"/>
      <c r="BA209" s="2627" t="n"/>
      <c r="BB209" s="2627" t="n"/>
      <c r="BC209" s="2627" t="n"/>
      <c r="BD209" s="2627" t="n"/>
      <c r="BE209" s="2627" t="n"/>
      <c r="BF209" s="2627" t="n"/>
      <c r="BG209" s="2628">
        <f>SUM(AU209:BF209)</f>
        <v/>
      </c>
      <c r="BI209" s="2627" t="n"/>
      <c r="BJ209" s="2627" t="n"/>
      <c r="BK209" s="2627" t="n"/>
      <c r="BL209" s="2627" t="n"/>
      <c r="BM209" s="2627" t="n"/>
      <c r="BN209" s="2627" t="n"/>
      <c r="BO209" s="2627" t="n"/>
      <c r="BP209" s="2627" t="n"/>
      <c r="BQ209" s="2627" t="n"/>
      <c r="BR209" s="2627" t="n"/>
      <c r="BS209" s="2627" t="n"/>
      <c r="BT209" s="2627" t="n"/>
      <c r="BU209" s="2628">
        <f>SUM(BI209:BT209)</f>
        <v/>
      </c>
    </row>
    <row r="210" outlineLevel="1">
      <c r="A210" s="1436" t="n"/>
      <c r="B210" s="1480" t="inlineStr">
        <is>
          <t>관계기업주식손상차손</t>
        </is>
      </c>
      <c r="C210" s="1436" t="n"/>
      <c r="D210" s="2625" t="n"/>
      <c r="E210" s="2625" t="n"/>
      <c r="F210" s="2625" t="n"/>
      <c r="G210" s="2625" t="n"/>
      <c r="H210" s="2625" t="n"/>
      <c r="I210" s="2625" t="n">
        <v>0</v>
      </c>
      <c r="J210" s="2625" t="n">
        <v>0</v>
      </c>
      <c r="K210" s="2625" t="n">
        <v>0</v>
      </c>
      <c r="L210" s="2625" t="n">
        <v>0</v>
      </c>
      <c r="M210" s="2625" t="n">
        <v>0</v>
      </c>
      <c r="N210" s="2625" t="n">
        <v>0</v>
      </c>
      <c r="O210" s="2625" t="n">
        <v>0</v>
      </c>
      <c r="P210" s="2626">
        <f>SUM(D210:O210)</f>
        <v/>
      </c>
      <c r="Q210" s="1436" t="n"/>
      <c r="R210" s="1436" t="n"/>
      <c r="S210" s="2625" t="n">
        <v>0</v>
      </c>
      <c r="T210" s="2625" t="n">
        <v>0</v>
      </c>
      <c r="U210" s="2625" t="n">
        <v>0</v>
      </c>
      <c r="V210" s="2625" t="n">
        <v>0</v>
      </c>
      <c r="W210" s="2625" t="n">
        <v>0</v>
      </c>
      <c r="X210" s="2625" t="n">
        <v>0</v>
      </c>
      <c r="Y210" s="2625" t="n">
        <v>0</v>
      </c>
      <c r="Z210" s="2625" t="n">
        <v>0</v>
      </c>
      <c r="AA210" s="2625" t="n">
        <v>0</v>
      </c>
      <c r="AB210" s="2625" t="n">
        <v>0</v>
      </c>
      <c r="AC210" s="2625" t="n">
        <v>0</v>
      </c>
      <c r="AD210" s="2625" t="n">
        <v>0</v>
      </c>
      <c r="AE210" s="2626">
        <f>SUM(S210:AD210)</f>
        <v/>
      </c>
      <c r="AF210" s="1436" t="n"/>
      <c r="AG210" s="2625" t="n">
        <v>0</v>
      </c>
      <c r="AH210" s="2625" t="n">
        <v>0</v>
      </c>
      <c r="AI210" s="2625" t="n">
        <v>0</v>
      </c>
      <c r="AJ210" s="2625" t="n">
        <v>0</v>
      </c>
      <c r="AK210" s="2625" t="n">
        <v>0</v>
      </c>
      <c r="AL210" s="2625" t="n"/>
      <c r="AM210" s="2625" t="n">
        <v>0</v>
      </c>
      <c r="AN210" s="2625" t="n">
        <v>0</v>
      </c>
      <c r="AO210" s="2625" t="n"/>
      <c r="AP210" s="2625" t="n">
        <v>0</v>
      </c>
      <c r="AQ210" s="2625" t="n">
        <v>0</v>
      </c>
      <c r="AR210" s="2627" t="n">
        <v>0</v>
      </c>
      <c r="AS210" s="2626">
        <f>SUM(AG210:AR210)</f>
        <v/>
      </c>
      <c r="AT210" s="2615">
        <f>SUM(AG210:AP210)</f>
        <v/>
      </c>
      <c r="AU210" s="2627" t="n"/>
      <c r="AV210" s="2627" t="n"/>
      <c r="AW210" s="2627" t="n"/>
      <c r="AX210" s="2627" t="n"/>
      <c r="AY210" s="2627" t="n"/>
      <c r="AZ210" s="2627" t="n"/>
      <c r="BA210" s="2627" t="n"/>
      <c r="BB210" s="2627" t="n"/>
      <c r="BC210" s="2627" t="n"/>
      <c r="BD210" s="2627" t="n"/>
      <c r="BE210" s="2627" t="n"/>
      <c r="BF210" s="2627" t="n"/>
      <c r="BG210" s="2628">
        <f>SUM(AU210:BF210)</f>
        <v/>
      </c>
      <c r="BI210" s="2627" t="n"/>
      <c r="BJ210" s="2627" t="n"/>
      <c r="BK210" s="2627" t="n"/>
      <c r="BL210" s="2627" t="n"/>
      <c r="BM210" s="2627" t="n"/>
      <c r="BN210" s="2627" t="n"/>
      <c r="BO210" s="2627" t="n"/>
      <c r="BP210" s="2627" t="n"/>
      <c r="BQ210" s="2627" t="n"/>
      <c r="BR210" s="2627" t="n"/>
      <c r="BS210" s="2627" t="n"/>
      <c r="BT210" s="2627" t="n"/>
      <c r="BU210" s="2628">
        <f>SUM(BI210:BT210)</f>
        <v/>
      </c>
    </row>
    <row r="211" outlineLevel="1">
      <c r="A211" s="1436" t="n"/>
      <c r="B211" s="1480" t="inlineStr">
        <is>
          <t>종속기업주식손상차손</t>
        </is>
      </c>
      <c r="C211" s="1436" t="n"/>
      <c r="D211" s="2625" t="n"/>
      <c r="E211" s="2625" t="n"/>
      <c r="F211" s="2625" t="n"/>
      <c r="G211" s="2625" t="n"/>
      <c r="H211" s="2625" t="n"/>
      <c r="I211" s="2625" t="n">
        <v>0</v>
      </c>
      <c r="J211" s="2625" t="n">
        <v>0</v>
      </c>
      <c r="K211" s="2625" t="n">
        <v>0</v>
      </c>
      <c r="L211" s="2625" t="n">
        <v>0</v>
      </c>
      <c r="M211" s="2625" t="n">
        <v>0</v>
      </c>
      <c r="N211" s="2625" t="n">
        <v>0</v>
      </c>
      <c r="O211" s="2625" t="n">
        <v>0</v>
      </c>
      <c r="P211" s="2626">
        <f>SUM(D211:O211)</f>
        <v/>
      </c>
      <c r="Q211" s="1436" t="n"/>
      <c r="R211" s="1436" t="n"/>
      <c r="S211" s="2625" t="n">
        <v>0</v>
      </c>
      <c r="T211" s="2625" t="n">
        <v>0</v>
      </c>
      <c r="U211" s="2625" t="n">
        <v>0</v>
      </c>
      <c r="V211" s="2625" t="n">
        <v>0</v>
      </c>
      <c r="W211" s="2625" t="n">
        <v>0</v>
      </c>
      <c r="X211" s="2625" t="n">
        <v>0</v>
      </c>
      <c r="Y211" s="2625" t="n">
        <v>0</v>
      </c>
      <c r="Z211" s="2625" t="n">
        <v>0</v>
      </c>
      <c r="AA211" s="2625" t="n">
        <v>0</v>
      </c>
      <c r="AB211" s="2625" t="n">
        <v>0</v>
      </c>
      <c r="AC211" s="2625" t="n">
        <v>0</v>
      </c>
      <c r="AD211" s="2625" t="n">
        <v>0</v>
      </c>
      <c r="AE211" s="2626">
        <f>SUM(S211:AD211)</f>
        <v/>
      </c>
      <c r="AF211" s="1436" t="n"/>
      <c r="AG211" s="2625" t="n">
        <v>0</v>
      </c>
      <c r="AH211" s="2625" t="n">
        <v>0</v>
      </c>
      <c r="AI211" s="2625" t="n">
        <v>0</v>
      </c>
      <c r="AJ211" s="2625" t="n">
        <v>0</v>
      </c>
      <c r="AK211" s="2625" t="n">
        <v>0</v>
      </c>
      <c r="AL211" s="2625" t="n"/>
      <c r="AM211" s="2625" t="n">
        <v>0</v>
      </c>
      <c r="AN211" s="2625" t="n">
        <v>0</v>
      </c>
      <c r="AO211" s="2625" t="n"/>
      <c r="AP211" s="2625" t="n">
        <v>0</v>
      </c>
      <c r="AQ211" s="2625" t="n">
        <v>0</v>
      </c>
      <c r="AR211" s="2627" t="n">
        <v>0</v>
      </c>
      <c r="AS211" s="2626">
        <f>SUM(AG211:AR211)</f>
        <v/>
      </c>
      <c r="AT211" s="2615">
        <f>SUM(AG211:AP211)</f>
        <v/>
      </c>
      <c r="AU211" s="2627" t="n"/>
      <c r="AV211" s="2627" t="n"/>
      <c r="AW211" s="2627" t="n"/>
      <c r="AX211" s="2627" t="n"/>
      <c r="AY211" s="2627" t="n"/>
      <c r="AZ211" s="2627" t="n"/>
      <c r="BA211" s="2627" t="n"/>
      <c r="BB211" s="2627" t="n"/>
      <c r="BC211" s="2627" t="n"/>
      <c r="BD211" s="2627" t="n"/>
      <c r="BE211" s="2627" t="n"/>
      <c r="BF211" s="2627" t="n"/>
      <c r="BG211" s="2628">
        <f>SUM(AU211:BF211)</f>
        <v/>
      </c>
      <c r="BI211" s="2627" t="n"/>
      <c r="BJ211" s="2627" t="n"/>
      <c r="BK211" s="2627" t="n"/>
      <c r="BL211" s="2627" t="n"/>
      <c r="BM211" s="2627" t="n"/>
      <c r="BN211" s="2627" t="n"/>
      <c r="BO211" s="2627" t="n"/>
      <c r="BP211" s="2627" t="n"/>
      <c r="BQ211" s="2627" t="n"/>
      <c r="BR211" s="2627" t="n"/>
      <c r="BS211" s="2627" t="n"/>
      <c r="BT211" s="2627" t="n"/>
      <c r="BU211" s="2628">
        <f>SUM(BI211:BT211)</f>
        <v/>
      </c>
    </row>
    <row r="212" outlineLevel="1">
      <c r="A212" s="1436" t="n"/>
      <c r="B212" s="1480" t="inlineStr">
        <is>
          <t>당기손익인식지정금융상품평가손실</t>
        </is>
      </c>
      <c r="C212" s="1436" t="n"/>
      <c r="D212" s="2625" t="n"/>
      <c r="E212" s="2625" t="n"/>
      <c r="F212" s="2625" t="n"/>
      <c r="G212" s="2625" t="n"/>
      <c r="H212" s="2625" t="n"/>
      <c r="I212" s="2625" t="n">
        <v>0</v>
      </c>
      <c r="J212" s="2625" t="n">
        <v>0</v>
      </c>
      <c r="K212" s="2625" t="n">
        <v>0</v>
      </c>
      <c r="L212" s="2625" t="n">
        <v>0</v>
      </c>
      <c r="M212" s="2625" t="n">
        <v>0</v>
      </c>
      <c r="N212" s="2625" t="n">
        <v>0</v>
      </c>
      <c r="O212" s="2625" t="n">
        <v>0</v>
      </c>
      <c r="P212" s="2626">
        <f>SUM(D212:O212)</f>
        <v/>
      </c>
      <c r="Q212" s="1436" t="n"/>
      <c r="R212" s="1436" t="n"/>
      <c r="S212" s="2625" t="n">
        <v>0</v>
      </c>
      <c r="T212" s="2625" t="n">
        <v>0</v>
      </c>
      <c r="U212" s="2625" t="n">
        <v>0</v>
      </c>
      <c r="V212" s="2625" t="n">
        <v>0</v>
      </c>
      <c r="W212" s="2625" t="n">
        <v>0</v>
      </c>
      <c r="X212" s="2625" t="n">
        <v>0</v>
      </c>
      <c r="Y212" s="2625" t="n">
        <v>0</v>
      </c>
      <c r="Z212" s="2625" t="n">
        <v>0</v>
      </c>
      <c r="AA212" s="2625" t="n">
        <v>0</v>
      </c>
      <c r="AB212" s="2625" t="n">
        <v>0</v>
      </c>
      <c r="AC212" s="2625" t="n">
        <v>0</v>
      </c>
      <c r="AD212" s="2625" t="n">
        <v>0</v>
      </c>
      <c r="AE212" s="2626">
        <f>SUM(S212:AD212)</f>
        <v/>
      </c>
      <c r="AF212" s="1436" t="n"/>
      <c r="AG212" s="2625" t="n">
        <v>0</v>
      </c>
      <c r="AH212" s="2625" t="n">
        <v>0</v>
      </c>
      <c r="AI212" s="2625" t="n">
        <v>0</v>
      </c>
      <c r="AJ212" s="2625" t="n">
        <v>0</v>
      </c>
      <c r="AK212" s="2625" t="n">
        <v>0</v>
      </c>
      <c r="AL212" s="2625" t="n"/>
      <c r="AM212" s="2625" t="n">
        <v>0</v>
      </c>
      <c r="AN212" s="2625" t="n">
        <v>0</v>
      </c>
      <c r="AO212" s="2625" t="n"/>
      <c r="AP212" s="2625" t="n">
        <v>0</v>
      </c>
      <c r="AQ212" s="2625" t="n">
        <v>0</v>
      </c>
      <c r="AR212" s="2627" t="n">
        <v>0</v>
      </c>
      <c r="AS212" s="2626">
        <f>SUM(AG212:AR212)</f>
        <v/>
      </c>
      <c r="AT212" s="2615">
        <f>SUM(AG212:AP212)</f>
        <v/>
      </c>
      <c r="AU212" s="2627" t="n"/>
      <c r="AV212" s="2627" t="n"/>
      <c r="AW212" s="2627" t="n"/>
      <c r="AX212" s="2627" t="n"/>
      <c r="AY212" s="2627" t="n"/>
      <c r="AZ212" s="2627" t="n"/>
      <c r="BA212" s="2627" t="n"/>
      <c r="BB212" s="2627" t="n"/>
      <c r="BC212" s="2627" t="n"/>
      <c r="BD212" s="2627" t="n"/>
      <c r="BE212" s="2627" t="n"/>
      <c r="BF212" s="2627" t="n"/>
      <c r="BG212" s="2628">
        <f>SUM(AU212:BF212)</f>
        <v/>
      </c>
      <c r="BI212" s="2627" t="n"/>
      <c r="BJ212" s="2627" t="n"/>
      <c r="BK212" s="2627" t="n"/>
      <c r="BL212" s="2627" t="n"/>
      <c r="BM212" s="2627" t="n"/>
      <c r="BN212" s="2627" t="n"/>
      <c r="BO212" s="2627" t="n"/>
      <c r="BP212" s="2627" t="n"/>
      <c r="BQ212" s="2627" t="n"/>
      <c r="BR212" s="2627" t="n"/>
      <c r="BS212" s="2627" t="n"/>
      <c r="BT212" s="2627" t="n"/>
      <c r="BU212" s="2628">
        <f>SUM(BI212:BT212)</f>
        <v/>
      </c>
    </row>
    <row r="213" outlineLevel="1">
      <c r="A213" s="1436" t="n"/>
      <c r="B213" s="1480" t="inlineStr">
        <is>
          <t>당기손익인식지정금융상품처분손실</t>
        </is>
      </c>
      <c r="C213" s="1436" t="n"/>
      <c r="D213" s="2625" t="n"/>
      <c r="E213" s="2625" t="n"/>
      <c r="F213" s="2625" t="n"/>
      <c r="G213" s="2625" t="n"/>
      <c r="H213" s="2625" t="n"/>
      <c r="I213" s="2625" t="n">
        <v>0</v>
      </c>
      <c r="J213" s="2625" t="n">
        <v>0</v>
      </c>
      <c r="K213" s="2625" t="n">
        <v>0</v>
      </c>
      <c r="L213" s="2625" t="n">
        <v>0</v>
      </c>
      <c r="M213" s="2625" t="n">
        <v>0</v>
      </c>
      <c r="N213" s="2625" t="n">
        <v>0</v>
      </c>
      <c r="O213" s="2625" t="n">
        <v>0</v>
      </c>
      <c r="P213" s="2626">
        <f>SUM(D213:O213)</f>
        <v/>
      </c>
      <c r="Q213" s="1436" t="n"/>
      <c r="R213" s="1436" t="n"/>
      <c r="S213" s="2625" t="n">
        <v>0</v>
      </c>
      <c r="T213" s="2625" t="n">
        <v>0</v>
      </c>
      <c r="U213" s="2625" t="n">
        <v>0</v>
      </c>
      <c r="V213" s="2625" t="n">
        <v>0</v>
      </c>
      <c r="W213" s="2625" t="n">
        <v>0</v>
      </c>
      <c r="X213" s="2625" t="n">
        <v>0</v>
      </c>
      <c r="Y213" s="2625" t="n">
        <v>0</v>
      </c>
      <c r="Z213" s="2625" t="n">
        <v>0</v>
      </c>
      <c r="AA213" s="2625" t="n">
        <v>0</v>
      </c>
      <c r="AB213" s="2625" t="n">
        <v>0</v>
      </c>
      <c r="AC213" s="2625" t="n">
        <v>0</v>
      </c>
      <c r="AD213" s="2625" t="n">
        <v>0</v>
      </c>
      <c r="AE213" s="2626">
        <f>SUM(S213:AD213)</f>
        <v/>
      </c>
      <c r="AF213" s="1436" t="n"/>
      <c r="AG213" s="2625" t="n">
        <v>0</v>
      </c>
      <c r="AH213" s="2625" t="n">
        <v>0</v>
      </c>
      <c r="AI213" s="2625" t="n">
        <v>0</v>
      </c>
      <c r="AJ213" s="2625" t="n">
        <v>0</v>
      </c>
      <c r="AK213" s="2625" t="n">
        <v>0</v>
      </c>
      <c r="AL213" s="2625" t="n"/>
      <c r="AM213" s="2625" t="n">
        <v>0</v>
      </c>
      <c r="AN213" s="2625" t="n">
        <v>0</v>
      </c>
      <c r="AO213" s="2625" t="n"/>
      <c r="AP213" s="2625" t="n">
        <v>0</v>
      </c>
      <c r="AQ213" s="2625" t="n">
        <v>0</v>
      </c>
      <c r="AR213" s="2627" t="n">
        <v>0</v>
      </c>
      <c r="AS213" s="2626">
        <f>SUM(AG213:AR213)</f>
        <v/>
      </c>
      <c r="AT213" s="2615">
        <f>SUM(AG213:AP213)</f>
        <v/>
      </c>
      <c r="AU213" s="2627" t="n"/>
      <c r="AV213" s="2627" t="n"/>
      <c r="AW213" s="2627" t="n"/>
      <c r="AX213" s="2627" t="n"/>
      <c r="AY213" s="2627" t="n"/>
      <c r="AZ213" s="2627" t="n"/>
      <c r="BA213" s="2627" t="n"/>
      <c r="BB213" s="2627" t="n"/>
      <c r="BC213" s="2627" t="n"/>
      <c r="BD213" s="2627" t="n"/>
      <c r="BE213" s="2627" t="n"/>
      <c r="BF213" s="2627" t="n"/>
      <c r="BG213" s="2628">
        <f>SUM(AU213:BF213)</f>
        <v/>
      </c>
      <c r="BI213" s="2627" t="n"/>
      <c r="BJ213" s="2627" t="n"/>
      <c r="BK213" s="2627" t="n"/>
      <c r="BL213" s="2627" t="n"/>
      <c r="BM213" s="2627" t="n"/>
      <c r="BN213" s="2627" t="n"/>
      <c r="BO213" s="2627" t="n"/>
      <c r="BP213" s="2627" t="n"/>
      <c r="BQ213" s="2627" t="n"/>
      <c r="BR213" s="2627" t="n"/>
      <c r="BS213" s="2627" t="n"/>
      <c r="BT213" s="2627" t="n"/>
      <c r="BU213" s="2628">
        <f>SUM(BI213:BT213)</f>
        <v/>
      </c>
    </row>
    <row r="214" outlineLevel="1">
      <c r="A214" s="1436" t="n"/>
      <c r="B214" s="1480" t="inlineStr">
        <is>
          <t>위험회피목적파생상품평가손실(재무활동외)</t>
        </is>
      </c>
      <c r="C214" s="1436" t="n"/>
      <c r="D214" s="2625" t="n"/>
      <c r="E214" s="2625" t="n"/>
      <c r="F214" s="2625" t="n"/>
      <c r="G214" s="2625" t="n"/>
      <c r="H214" s="2625" t="n"/>
      <c r="I214" s="2625" t="n">
        <v>0</v>
      </c>
      <c r="J214" s="2625" t="n">
        <v>0</v>
      </c>
      <c r="K214" s="2625" t="n">
        <v>0</v>
      </c>
      <c r="L214" s="2625" t="n">
        <v>0</v>
      </c>
      <c r="M214" s="2625" t="n">
        <v>0</v>
      </c>
      <c r="N214" s="2625" t="n">
        <v>0</v>
      </c>
      <c r="O214" s="2625" t="n">
        <v>0</v>
      </c>
      <c r="P214" s="2626">
        <f>SUM(D214:O214)</f>
        <v/>
      </c>
      <c r="Q214" s="1436" t="n"/>
      <c r="R214" s="1436" t="n"/>
      <c r="S214" s="2625" t="n">
        <v>0</v>
      </c>
      <c r="T214" s="2625" t="n">
        <v>0</v>
      </c>
      <c r="U214" s="2625" t="n">
        <v>0</v>
      </c>
      <c r="V214" s="2625" t="n">
        <v>0</v>
      </c>
      <c r="W214" s="2625" t="n">
        <v>0</v>
      </c>
      <c r="X214" s="2625" t="n">
        <v>0</v>
      </c>
      <c r="Y214" s="2625" t="n">
        <v>0</v>
      </c>
      <c r="Z214" s="2625" t="n">
        <v>0</v>
      </c>
      <c r="AA214" s="2625" t="n">
        <v>0</v>
      </c>
      <c r="AB214" s="2625" t="n">
        <v>0</v>
      </c>
      <c r="AC214" s="2625" t="n">
        <v>0</v>
      </c>
      <c r="AD214" s="2625" t="n">
        <v>0</v>
      </c>
      <c r="AE214" s="2626">
        <f>SUM(S214:AD214)</f>
        <v/>
      </c>
      <c r="AF214" s="1436" t="n"/>
      <c r="AG214" s="2625" t="n">
        <v>0</v>
      </c>
      <c r="AH214" s="2625" t="n">
        <v>0</v>
      </c>
      <c r="AI214" s="2625" t="n">
        <v>0</v>
      </c>
      <c r="AJ214" s="2625" t="n">
        <v>0</v>
      </c>
      <c r="AK214" s="2625" t="n">
        <v>0</v>
      </c>
      <c r="AL214" s="2625" t="n"/>
      <c r="AM214" s="2625" t="n">
        <v>0</v>
      </c>
      <c r="AN214" s="2625" t="n">
        <v>0</v>
      </c>
      <c r="AO214" s="2625" t="n"/>
      <c r="AP214" s="2625" t="n">
        <v>0</v>
      </c>
      <c r="AQ214" s="2625" t="n">
        <v>0</v>
      </c>
      <c r="AR214" s="2627" t="n">
        <v>0</v>
      </c>
      <c r="AS214" s="2626">
        <f>SUM(AG214:AR214)</f>
        <v/>
      </c>
      <c r="AT214" s="2615">
        <f>SUM(AG214:AP214)</f>
        <v/>
      </c>
      <c r="AU214" s="2627" t="n"/>
      <c r="AV214" s="2627" t="n"/>
      <c r="AW214" s="2627" t="n"/>
      <c r="AX214" s="2627" t="n"/>
      <c r="AY214" s="2627" t="n"/>
      <c r="AZ214" s="2627" t="n"/>
      <c r="BA214" s="2627" t="n"/>
      <c r="BB214" s="2627" t="n"/>
      <c r="BC214" s="2627" t="n"/>
      <c r="BD214" s="2627" t="n"/>
      <c r="BE214" s="2627" t="n"/>
      <c r="BF214" s="2627" t="n"/>
      <c r="BG214" s="2628">
        <f>SUM(AU214:BF214)</f>
        <v/>
      </c>
      <c r="BI214" s="2627" t="n"/>
      <c r="BJ214" s="2627" t="n"/>
      <c r="BK214" s="2627" t="n"/>
      <c r="BL214" s="2627" t="n"/>
      <c r="BM214" s="2627" t="n"/>
      <c r="BN214" s="2627" t="n"/>
      <c r="BO214" s="2627" t="n"/>
      <c r="BP214" s="2627" t="n"/>
      <c r="BQ214" s="2627" t="n"/>
      <c r="BR214" s="2627" t="n"/>
      <c r="BS214" s="2627" t="n"/>
      <c r="BT214" s="2627" t="n"/>
      <c r="BU214" s="2628">
        <f>SUM(BI214:BT214)</f>
        <v/>
      </c>
    </row>
    <row r="215" outlineLevel="1">
      <c r="A215" s="1436" t="n"/>
      <c r="B215" s="1480" t="inlineStr">
        <is>
          <t>위험회피목적파생상품처분손실(재무활동외)</t>
        </is>
      </c>
      <c r="C215" s="1436" t="n"/>
      <c r="D215" s="2625" t="n"/>
      <c r="E215" s="2625" t="n"/>
      <c r="F215" s="2625" t="n"/>
      <c r="G215" s="2625" t="n"/>
      <c r="H215" s="2625" t="n"/>
      <c r="I215" s="2625" t="n">
        <v>0</v>
      </c>
      <c r="J215" s="2625" t="n">
        <v>0</v>
      </c>
      <c r="K215" s="2625" t="n">
        <v>0</v>
      </c>
      <c r="L215" s="2625" t="n">
        <v>0</v>
      </c>
      <c r="M215" s="2625" t="n">
        <v>0</v>
      </c>
      <c r="N215" s="2625" t="n">
        <v>0</v>
      </c>
      <c r="O215" s="2625" t="n">
        <v>0</v>
      </c>
      <c r="P215" s="2626">
        <f>SUM(D215:O215)</f>
        <v/>
      </c>
      <c r="Q215" s="1436" t="n"/>
      <c r="R215" s="1436" t="n"/>
      <c r="S215" s="2625" t="n">
        <v>0</v>
      </c>
      <c r="T215" s="2625" t="n">
        <v>0</v>
      </c>
      <c r="U215" s="2625" t="n">
        <v>0</v>
      </c>
      <c r="V215" s="2625" t="n">
        <v>0</v>
      </c>
      <c r="W215" s="2625" t="n">
        <v>0</v>
      </c>
      <c r="X215" s="2625" t="n">
        <v>0</v>
      </c>
      <c r="Y215" s="2625" t="n">
        <v>0</v>
      </c>
      <c r="Z215" s="2625" t="n">
        <v>0</v>
      </c>
      <c r="AA215" s="2625" t="n">
        <v>0</v>
      </c>
      <c r="AB215" s="2625" t="n">
        <v>0</v>
      </c>
      <c r="AC215" s="2625" t="n">
        <v>0</v>
      </c>
      <c r="AD215" s="2625" t="n">
        <v>0</v>
      </c>
      <c r="AE215" s="2626">
        <f>SUM(S215:AD215)</f>
        <v/>
      </c>
      <c r="AF215" s="1436" t="n"/>
      <c r="AG215" s="2625" t="n">
        <v>0</v>
      </c>
      <c r="AH215" s="2625" t="n">
        <v>0</v>
      </c>
      <c r="AI215" s="2625" t="n">
        <v>0</v>
      </c>
      <c r="AJ215" s="2625" t="n">
        <v>0</v>
      </c>
      <c r="AK215" s="2625" t="n">
        <v>0</v>
      </c>
      <c r="AL215" s="2625" t="n"/>
      <c r="AM215" s="2625" t="n">
        <v>0</v>
      </c>
      <c r="AN215" s="2625" t="n">
        <v>0</v>
      </c>
      <c r="AO215" s="2625" t="n"/>
      <c r="AP215" s="2625" t="n">
        <v>0</v>
      </c>
      <c r="AQ215" s="2625" t="n">
        <v>0</v>
      </c>
      <c r="AR215" s="2627" t="n">
        <v>0</v>
      </c>
      <c r="AS215" s="2626">
        <f>SUM(AG215:AR215)</f>
        <v/>
      </c>
      <c r="AT215" s="2615">
        <f>SUM(AG215:AP215)</f>
        <v/>
      </c>
      <c r="AU215" s="2627" t="n"/>
      <c r="AV215" s="2627" t="n"/>
      <c r="AW215" s="2627" t="n"/>
      <c r="AX215" s="2627" t="n"/>
      <c r="AY215" s="2627" t="n"/>
      <c r="AZ215" s="2627" t="n"/>
      <c r="BA215" s="2627" t="n"/>
      <c r="BB215" s="2627" t="n"/>
      <c r="BC215" s="2627" t="n"/>
      <c r="BD215" s="2627" t="n"/>
      <c r="BE215" s="2627" t="n"/>
      <c r="BF215" s="2627" t="n"/>
      <c r="BG215" s="2628">
        <f>SUM(AU215:BF215)</f>
        <v/>
      </c>
      <c r="BI215" s="2627" t="n"/>
      <c r="BJ215" s="2627" t="n"/>
      <c r="BK215" s="2627" t="n"/>
      <c r="BL215" s="2627" t="n"/>
      <c r="BM215" s="2627" t="n"/>
      <c r="BN215" s="2627" t="n"/>
      <c r="BO215" s="2627" t="n"/>
      <c r="BP215" s="2627" t="n"/>
      <c r="BQ215" s="2627" t="n"/>
      <c r="BR215" s="2627" t="n"/>
      <c r="BS215" s="2627" t="n"/>
      <c r="BT215" s="2627" t="n"/>
      <c r="BU215" s="2628">
        <f>SUM(BI215:BT215)</f>
        <v/>
      </c>
    </row>
    <row r="216" outlineLevel="1">
      <c r="A216" s="1436" t="n"/>
      <c r="B216" s="1480" t="inlineStr">
        <is>
          <t>기타비용</t>
        </is>
      </c>
      <c r="C216" s="1436" t="n"/>
      <c r="D216" s="2625" t="n"/>
      <c r="E216" s="2625" t="n"/>
      <c r="F216" s="2625" t="n"/>
      <c r="G216" s="2625" t="n"/>
      <c r="H216" s="2625" t="n"/>
      <c r="I216" s="2625" t="n">
        <v>0</v>
      </c>
      <c r="J216" s="2625" t="n">
        <v>0</v>
      </c>
      <c r="K216" s="2625" t="n">
        <v>0</v>
      </c>
      <c r="L216" s="2625" t="n">
        <v>0</v>
      </c>
      <c r="M216" s="2625" t="n">
        <v>0</v>
      </c>
      <c r="N216" s="2625" t="n">
        <v>0</v>
      </c>
      <c r="O216" s="2625" t="n">
        <v>0</v>
      </c>
      <c r="P216" s="2626">
        <f>SUM(D216:O216)</f>
        <v/>
      </c>
      <c r="Q216" s="1436" t="n"/>
      <c r="R216" s="1436" t="n"/>
      <c r="S216" s="2625" t="n">
        <v>0</v>
      </c>
      <c r="T216" s="2625" t="n">
        <v>0</v>
      </c>
      <c r="U216" s="2625" t="n">
        <v>0</v>
      </c>
      <c r="V216" s="2625" t="n">
        <v>0</v>
      </c>
      <c r="W216" s="2625" t="n">
        <v>0</v>
      </c>
      <c r="X216" s="2625" t="n">
        <v>0</v>
      </c>
      <c r="Y216" s="2625" t="n">
        <v>0</v>
      </c>
      <c r="Z216" s="2625" t="n">
        <v>0</v>
      </c>
      <c r="AA216" s="2625" t="n">
        <v>0</v>
      </c>
      <c r="AB216" s="2625" t="n">
        <v>0</v>
      </c>
      <c r="AC216" s="2625" t="n">
        <v>0</v>
      </c>
      <c r="AD216" s="2625" t="n">
        <v>0</v>
      </c>
      <c r="AE216" s="2626">
        <f>SUM(S216:AD216)</f>
        <v/>
      </c>
      <c r="AF216" s="1436" t="n"/>
      <c r="AG216" s="2625" t="n">
        <v>0</v>
      </c>
      <c r="AH216" s="2625" t="n">
        <v>0</v>
      </c>
      <c r="AI216" s="2625" t="n">
        <v>0</v>
      </c>
      <c r="AJ216" s="2625" t="n">
        <v>0</v>
      </c>
      <c r="AK216" s="2625" t="n">
        <v>0</v>
      </c>
      <c r="AL216" s="2625" t="n"/>
      <c r="AM216" s="2625" t="n">
        <v>0</v>
      </c>
      <c r="AN216" s="2625" t="n">
        <v>0</v>
      </c>
      <c r="AO216" s="2625" t="n"/>
      <c r="AP216" s="2625" t="n">
        <v>0</v>
      </c>
      <c r="AQ216" s="2625" t="n">
        <v>0</v>
      </c>
      <c r="AR216" s="2627" t="n">
        <v>0</v>
      </c>
      <c r="AS216" s="2626">
        <f>SUM(AG216:AR216)</f>
        <v/>
      </c>
      <c r="AT216" s="2615">
        <f>SUM(AG216:AP216)</f>
        <v/>
      </c>
      <c r="AU216" s="2627" t="n"/>
      <c r="AV216" s="2627" t="n"/>
      <c r="AW216" s="2627" t="n"/>
      <c r="AX216" s="2627" t="n"/>
      <c r="AY216" s="2627" t="n"/>
      <c r="AZ216" s="2627" t="n"/>
      <c r="BA216" s="2627" t="n"/>
      <c r="BB216" s="2627" t="n"/>
      <c r="BC216" s="2627" t="n"/>
      <c r="BD216" s="2627" t="n"/>
      <c r="BE216" s="2627" t="n"/>
      <c r="BF216" s="2627" t="n"/>
      <c r="BG216" s="2628">
        <f>SUM(AU216:BF216)</f>
        <v/>
      </c>
      <c r="BI216" s="2627" t="n"/>
      <c r="BJ216" s="2627" t="n"/>
      <c r="BK216" s="2627" t="n"/>
      <c r="BL216" s="2627" t="n"/>
      <c r="BM216" s="2627" t="n"/>
      <c r="BN216" s="2627" t="n"/>
      <c r="BO216" s="2627" t="n"/>
      <c r="BP216" s="2627" t="n"/>
      <c r="BQ216" s="2627" t="n"/>
      <c r="BR216" s="2627" t="n"/>
      <c r="BS216" s="2627" t="n"/>
      <c r="BT216" s="2627" t="n"/>
      <c r="BU216" s="2628">
        <f>SUM(BI216:BT216)</f>
        <v/>
      </c>
    </row>
    <row r="217" outlineLevel="1">
      <c r="A217" s="1436" t="n"/>
      <c r="B217" s="1480" t="inlineStr">
        <is>
          <t>만기보유금융자산처분손실</t>
        </is>
      </c>
      <c r="C217" s="1436" t="n"/>
      <c r="D217" s="2625" t="n"/>
      <c r="E217" s="2625" t="n"/>
      <c r="F217" s="2625" t="n"/>
      <c r="G217" s="2625" t="n"/>
      <c r="H217" s="2625" t="n"/>
      <c r="I217" s="2625" t="n">
        <v>0</v>
      </c>
      <c r="J217" s="2625" t="n">
        <v>0</v>
      </c>
      <c r="K217" s="2625" t="n">
        <v>0</v>
      </c>
      <c r="L217" s="2625" t="n">
        <v>0</v>
      </c>
      <c r="M217" s="2625" t="n">
        <v>0</v>
      </c>
      <c r="N217" s="2625" t="n">
        <v>0</v>
      </c>
      <c r="O217" s="2625" t="n">
        <v>0</v>
      </c>
      <c r="P217" s="2626">
        <f>SUM(D217:O217)</f>
        <v/>
      </c>
      <c r="Q217" s="1436" t="n"/>
      <c r="R217" s="1436" t="n"/>
      <c r="S217" s="2625" t="n">
        <v>0</v>
      </c>
      <c r="T217" s="2625" t="n">
        <v>0</v>
      </c>
      <c r="U217" s="2625" t="n">
        <v>0</v>
      </c>
      <c r="V217" s="2625" t="n">
        <v>0</v>
      </c>
      <c r="W217" s="2625" t="n">
        <v>0</v>
      </c>
      <c r="X217" s="2625" t="n">
        <v>0</v>
      </c>
      <c r="Y217" s="2625" t="n">
        <v>0</v>
      </c>
      <c r="Z217" s="2625" t="n">
        <v>0</v>
      </c>
      <c r="AA217" s="2625" t="n">
        <v>0</v>
      </c>
      <c r="AB217" s="2625" t="n">
        <v>0</v>
      </c>
      <c r="AC217" s="2625" t="n">
        <v>0</v>
      </c>
      <c r="AD217" s="2625" t="n">
        <v>0</v>
      </c>
      <c r="AE217" s="2626">
        <f>SUM(S217:AD217)</f>
        <v/>
      </c>
      <c r="AF217" s="1436" t="n"/>
      <c r="AG217" s="2625" t="n">
        <v>0</v>
      </c>
      <c r="AH217" s="2625" t="n">
        <v>0</v>
      </c>
      <c r="AI217" s="2625" t="n">
        <v>0</v>
      </c>
      <c r="AJ217" s="2625" t="n">
        <v>0</v>
      </c>
      <c r="AK217" s="2625" t="n">
        <v>0</v>
      </c>
      <c r="AL217" s="2625" t="n"/>
      <c r="AM217" s="2625" t="n">
        <v>0</v>
      </c>
      <c r="AN217" s="2625" t="n">
        <v>0</v>
      </c>
      <c r="AO217" s="2625" t="n"/>
      <c r="AP217" s="2625" t="n">
        <v>0</v>
      </c>
      <c r="AQ217" s="2625" t="n">
        <v>0</v>
      </c>
      <c r="AR217" s="2627" t="n">
        <v>0</v>
      </c>
      <c r="AS217" s="2626">
        <f>SUM(AG217:AR217)</f>
        <v/>
      </c>
      <c r="AT217" s="2615">
        <f>SUM(AG217:AP217)</f>
        <v/>
      </c>
      <c r="AU217" s="2627" t="n"/>
      <c r="AV217" s="2627" t="n"/>
      <c r="AW217" s="2627" t="n"/>
      <c r="AX217" s="2627" t="n"/>
      <c r="AY217" s="2627" t="n"/>
      <c r="AZ217" s="2627" t="n"/>
      <c r="BA217" s="2627" t="n"/>
      <c r="BB217" s="2627" t="n"/>
      <c r="BC217" s="2627" t="n"/>
      <c r="BD217" s="2627" t="n"/>
      <c r="BE217" s="2627" t="n"/>
      <c r="BF217" s="2627" t="n"/>
      <c r="BG217" s="2628">
        <f>SUM(AU217:BF217)</f>
        <v/>
      </c>
      <c r="BI217" s="2627" t="n"/>
      <c r="BJ217" s="2627" t="n"/>
      <c r="BK217" s="2627" t="n"/>
      <c r="BL217" s="2627" t="n"/>
      <c r="BM217" s="2627" t="n"/>
      <c r="BN217" s="2627" t="n"/>
      <c r="BO217" s="2627" t="n"/>
      <c r="BP217" s="2627" t="n"/>
      <c r="BQ217" s="2627" t="n"/>
      <c r="BR217" s="2627" t="n"/>
      <c r="BS217" s="2627" t="n"/>
      <c r="BT217" s="2627" t="n"/>
      <c r="BU217" s="2628">
        <f>SUM(BI217:BT217)</f>
        <v/>
      </c>
    </row>
    <row r="218" outlineLevel="1">
      <c r="A218" s="1436" t="n"/>
      <c r="B218" s="1480" t="inlineStr">
        <is>
          <t>기타의 대손상각비</t>
        </is>
      </c>
      <c r="C218" s="1436" t="n"/>
      <c r="D218" s="2625" t="n"/>
      <c r="E218" s="2625" t="n"/>
      <c r="F218" s="2625" t="n"/>
      <c r="G218" s="2625" t="n"/>
      <c r="H218" s="2625" t="n"/>
      <c r="I218" s="2625" t="n">
        <v>0</v>
      </c>
      <c r="J218" s="2625" t="n">
        <v>0</v>
      </c>
      <c r="K218" s="2625" t="n">
        <v>0</v>
      </c>
      <c r="L218" s="2625" t="n">
        <v>0</v>
      </c>
      <c r="M218" s="2625" t="n">
        <v>0</v>
      </c>
      <c r="N218" s="2625" t="n">
        <v>0</v>
      </c>
      <c r="O218" s="2625" t="n">
        <v>0</v>
      </c>
      <c r="P218" s="2626">
        <f>SUM(D218:O218)</f>
        <v/>
      </c>
      <c r="Q218" s="1436" t="n"/>
      <c r="R218" s="1436" t="n"/>
      <c r="S218" s="2625" t="n">
        <v>0</v>
      </c>
      <c r="T218" s="2625" t="n">
        <v>0</v>
      </c>
      <c r="U218" s="2625" t="n">
        <v>0</v>
      </c>
      <c r="V218" s="2625" t="n">
        <v>0</v>
      </c>
      <c r="W218" s="2625" t="n">
        <v>0</v>
      </c>
      <c r="X218" s="2625" t="n">
        <v>0</v>
      </c>
      <c r="Y218" s="2625" t="n">
        <v>0</v>
      </c>
      <c r="Z218" s="2625" t="n">
        <v>0</v>
      </c>
      <c r="AA218" s="2625" t="n">
        <v>0</v>
      </c>
      <c r="AB218" s="2625" t="n">
        <v>0</v>
      </c>
      <c r="AC218" s="2625" t="n">
        <v>0</v>
      </c>
      <c r="AD218" s="2625" t="n">
        <v>0</v>
      </c>
      <c r="AE218" s="2626">
        <f>SUM(S218:AD218)</f>
        <v/>
      </c>
      <c r="AF218" s="1436" t="n"/>
      <c r="AG218" s="2625" t="n">
        <v>0</v>
      </c>
      <c r="AH218" s="2625" t="n">
        <v>0</v>
      </c>
      <c r="AI218" s="2625" t="n">
        <v>0</v>
      </c>
      <c r="AJ218" s="2625" t="n">
        <v>0</v>
      </c>
      <c r="AK218" s="2625" t="n">
        <v>0</v>
      </c>
      <c r="AL218" s="2625" t="n"/>
      <c r="AM218" s="2625" t="n">
        <v>0</v>
      </c>
      <c r="AN218" s="2625" t="n">
        <v>0</v>
      </c>
      <c r="AO218" s="2625" t="n"/>
      <c r="AP218" s="2625" t="n">
        <v>0</v>
      </c>
      <c r="AQ218" s="2625" t="n">
        <v>0</v>
      </c>
      <c r="AR218" s="2627" t="n">
        <v>0</v>
      </c>
      <c r="AS218" s="2626">
        <f>SUM(AG218:AR218)</f>
        <v/>
      </c>
      <c r="AT218" s="2615">
        <f>SUM(AG218:AP218)</f>
        <v/>
      </c>
      <c r="AU218" s="2627" t="n"/>
      <c r="AV218" s="2627" t="n"/>
      <c r="AW218" s="2627" t="n"/>
      <c r="AX218" s="2627" t="n"/>
      <c r="AY218" s="2627" t="n"/>
      <c r="AZ218" s="2627" t="n"/>
      <c r="BA218" s="2627" t="n"/>
      <c r="BB218" s="2627" t="n"/>
      <c r="BC218" s="2627" t="n"/>
      <c r="BD218" s="2627" t="n"/>
      <c r="BE218" s="2627" t="n"/>
      <c r="BF218" s="2627" t="n"/>
      <c r="BG218" s="2628">
        <f>SUM(AU218:BF218)</f>
        <v/>
      </c>
      <c r="BI218" s="2627" t="n"/>
      <c r="BJ218" s="2627" t="n"/>
      <c r="BK218" s="2627" t="n"/>
      <c r="BL218" s="2627" t="n"/>
      <c r="BM218" s="2627" t="n"/>
      <c r="BN218" s="2627" t="n"/>
      <c r="BO218" s="2627" t="n"/>
      <c r="BP218" s="2627" t="n"/>
      <c r="BQ218" s="2627" t="n"/>
      <c r="BR218" s="2627" t="n"/>
      <c r="BS218" s="2627" t="n"/>
      <c r="BT218" s="2627" t="n"/>
      <c r="BU218" s="2628">
        <f>SUM(BI218:BT218)</f>
        <v/>
      </c>
    </row>
    <row r="219" outlineLevel="1">
      <c r="A219" s="1436" t="n"/>
      <c r="B219" s="1480" t="inlineStr">
        <is>
          <t>기타지급수수료</t>
        </is>
      </c>
      <c r="C219" s="1436" t="n"/>
      <c r="D219" s="2625" t="n"/>
      <c r="E219" s="2625" t="n"/>
      <c r="F219" s="2625" t="n"/>
      <c r="G219" s="2625" t="n"/>
      <c r="H219" s="2625" t="n"/>
      <c r="I219" s="2625" t="n">
        <v>0</v>
      </c>
      <c r="J219" s="2625" t="n">
        <v>0</v>
      </c>
      <c r="K219" s="2625" t="n">
        <v>0</v>
      </c>
      <c r="L219" s="2625" t="n">
        <v>0</v>
      </c>
      <c r="M219" s="2625" t="n">
        <v>0</v>
      </c>
      <c r="N219" s="2625" t="n">
        <v>0</v>
      </c>
      <c r="O219" s="2625" t="n">
        <v>0</v>
      </c>
      <c r="P219" s="2626">
        <f>SUM(D219:O219)</f>
        <v/>
      </c>
      <c r="Q219" s="1436" t="n"/>
      <c r="R219" s="1436" t="n"/>
      <c r="S219" s="2625" t="n">
        <v>0</v>
      </c>
      <c r="T219" s="2625" t="n">
        <v>0</v>
      </c>
      <c r="U219" s="2625" t="n">
        <v>0</v>
      </c>
      <c r="V219" s="2625" t="n">
        <v>0</v>
      </c>
      <c r="W219" s="2625" t="n">
        <v>0</v>
      </c>
      <c r="X219" s="2625" t="n">
        <v>0</v>
      </c>
      <c r="Y219" s="2625" t="n">
        <v>0</v>
      </c>
      <c r="Z219" s="2625" t="n">
        <v>0</v>
      </c>
      <c r="AA219" s="2625" t="n">
        <v>0</v>
      </c>
      <c r="AB219" s="2625" t="n">
        <v>0</v>
      </c>
      <c r="AC219" s="2625" t="n">
        <v>0</v>
      </c>
      <c r="AD219" s="2625" t="n">
        <v>0</v>
      </c>
      <c r="AE219" s="2626">
        <f>SUM(S219:AD219)</f>
        <v/>
      </c>
      <c r="AF219" s="1436" t="n"/>
      <c r="AG219" s="2625" t="n">
        <v>0</v>
      </c>
      <c r="AH219" s="2625" t="n">
        <v>0</v>
      </c>
      <c r="AI219" s="2625" t="n">
        <v>0</v>
      </c>
      <c r="AJ219" s="2625" t="n">
        <v>0</v>
      </c>
      <c r="AK219" s="2625" t="n">
        <v>0</v>
      </c>
      <c r="AL219" s="2625" t="n"/>
      <c r="AM219" s="2625" t="n">
        <v>0</v>
      </c>
      <c r="AN219" s="2625" t="n">
        <v>0</v>
      </c>
      <c r="AO219" s="2625" t="n"/>
      <c r="AP219" s="2625" t="n">
        <v>0</v>
      </c>
      <c r="AQ219" s="2625" t="n">
        <v>0</v>
      </c>
      <c r="AR219" s="2627" t="n">
        <v>0</v>
      </c>
      <c r="AS219" s="2626">
        <f>SUM(AG219:AR219)</f>
        <v/>
      </c>
      <c r="AT219" s="2615">
        <f>SUM(AG219:AP219)</f>
        <v/>
      </c>
      <c r="AU219" s="2627" t="n"/>
      <c r="AV219" s="2627" t="n"/>
      <c r="AW219" s="2627" t="n"/>
      <c r="AX219" s="2627" t="n"/>
      <c r="AY219" s="2627" t="n"/>
      <c r="AZ219" s="2627" t="n"/>
      <c r="BA219" s="2627" t="n"/>
      <c r="BB219" s="2627" t="n"/>
      <c r="BC219" s="2627" t="n"/>
      <c r="BD219" s="2627" t="n"/>
      <c r="BE219" s="2627" t="n"/>
      <c r="BF219" s="2627" t="n"/>
      <c r="BG219" s="2628">
        <f>SUM(AU219:BF219)</f>
        <v/>
      </c>
      <c r="BI219" s="2627" t="n"/>
      <c r="BJ219" s="2627" t="n"/>
      <c r="BK219" s="2627" t="n"/>
      <c r="BL219" s="2627" t="n"/>
      <c r="BM219" s="2627" t="n"/>
      <c r="BN219" s="2627" t="n"/>
      <c r="BO219" s="2627" t="n"/>
      <c r="BP219" s="2627" t="n"/>
      <c r="BQ219" s="2627" t="n"/>
      <c r="BR219" s="2627" t="n"/>
      <c r="BS219" s="2627" t="n"/>
      <c r="BT219" s="2627" t="n"/>
      <c r="BU219" s="2628">
        <f>SUM(BI219:BT219)</f>
        <v/>
      </c>
    </row>
    <row r="220" outlineLevel="1">
      <c r="A220" s="1436" t="n"/>
      <c r="B220" s="1481" t="inlineStr">
        <is>
          <t>합병비용</t>
        </is>
      </c>
      <c r="C220" s="1436" t="n"/>
      <c r="D220" s="2625" t="n"/>
      <c r="E220" s="2625" t="n"/>
      <c r="F220" s="2625" t="n"/>
      <c r="G220" s="2625" t="n"/>
      <c r="H220" s="2625" t="n"/>
      <c r="I220" s="2625" t="n">
        <v>0</v>
      </c>
      <c r="J220" s="2625" t="n">
        <v>0</v>
      </c>
      <c r="K220" s="2625" t="n">
        <v>0</v>
      </c>
      <c r="L220" s="2625" t="n">
        <v>0</v>
      </c>
      <c r="M220" s="2625" t="n">
        <v>0</v>
      </c>
      <c r="N220" s="2625" t="n">
        <v>0</v>
      </c>
      <c r="O220" s="2625" t="n">
        <v>0</v>
      </c>
      <c r="P220" s="2626">
        <f>SUM(D220:O220)</f>
        <v/>
      </c>
      <c r="Q220" s="1436" t="n"/>
      <c r="R220" s="1436" t="n"/>
      <c r="S220" s="2625" t="n">
        <v>0</v>
      </c>
      <c r="T220" s="2625" t="n">
        <v>0</v>
      </c>
      <c r="U220" s="2625" t="n">
        <v>0</v>
      </c>
      <c r="V220" s="2625" t="n">
        <v>0</v>
      </c>
      <c r="W220" s="2625" t="n">
        <v>0</v>
      </c>
      <c r="X220" s="2625" t="n">
        <v>0</v>
      </c>
      <c r="Y220" s="2625" t="n">
        <v>0</v>
      </c>
      <c r="Z220" s="2625" t="n">
        <v>0</v>
      </c>
      <c r="AA220" s="2625" t="n">
        <v>0</v>
      </c>
      <c r="AB220" s="2625" t="n">
        <v>0</v>
      </c>
      <c r="AC220" s="2625" t="n">
        <v>0</v>
      </c>
      <c r="AD220" s="2625" t="n">
        <v>0</v>
      </c>
      <c r="AE220" s="2626">
        <f>SUM(S220:AD220)</f>
        <v/>
      </c>
      <c r="AF220" s="1436" t="n"/>
      <c r="AG220" s="2625" t="n">
        <v>0</v>
      </c>
      <c r="AH220" s="2625" t="n">
        <v>0</v>
      </c>
      <c r="AI220" s="2625" t="n">
        <v>0</v>
      </c>
      <c r="AJ220" s="2625" t="n">
        <v>0</v>
      </c>
      <c r="AK220" s="2625" t="n">
        <v>0</v>
      </c>
      <c r="AL220" s="2625" t="n"/>
      <c r="AM220" s="2625" t="n">
        <v>0</v>
      </c>
      <c r="AN220" s="2625" t="n">
        <v>0</v>
      </c>
      <c r="AO220" s="2625" t="n"/>
      <c r="AP220" s="2625" t="n">
        <v>0</v>
      </c>
      <c r="AQ220" s="2625" t="n">
        <v>0</v>
      </c>
      <c r="AR220" s="2627" t="n">
        <v>0</v>
      </c>
      <c r="AS220" s="2626">
        <f>SUM(AG220:AR220)</f>
        <v/>
      </c>
      <c r="AT220" s="2615">
        <f>SUM(AG220:AP220)</f>
        <v/>
      </c>
      <c r="AU220" s="2627" t="n"/>
      <c r="AV220" s="2627" t="n"/>
      <c r="AW220" s="2627" t="n"/>
      <c r="AX220" s="2627" t="n"/>
      <c r="AY220" s="2627" t="n"/>
      <c r="AZ220" s="2627" t="n"/>
      <c r="BA220" s="2627" t="n"/>
      <c r="BB220" s="2627" t="n"/>
      <c r="BC220" s="2627" t="n"/>
      <c r="BD220" s="2627" t="n"/>
      <c r="BE220" s="2627" t="n"/>
      <c r="BF220" s="2627" t="n"/>
      <c r="BG220" s="2628">
        <f>SUM(AU220:BF220)</f>
        <v/>
      </c>
      <c r="BI220" s="2627" t="n"/>
      <c r="BJ220" s="2627" t="n"/>
      <c r="BK220" s="2627" t="n"/>
      <c r="BL220" s="2627" t="n"/>
      <c r="BM220" s="2627" t="n"/>
      <c r="BN220" s="2627" t="n"/>
      <c r="BO220" s="2627" t="n"/>
      <c r="BP220" s="2627" t="n"/>
      <c r="BQ220" s="2627" t="n"/>
      <c r="BR220" s="2627" t="n"/>
      <c r="BS220" s="2627" t="n"/>
      <c r="BT220" s="2627" t="n"/>
      <c r="BU220" s="2628">
        <f>SUM(BI220:BT220)</f>
        <v/>
      </c>
    </row>
    <row r="221" outlineLevel="1">
      <c r="A221" s="1436" t="n"/>
      <c r="B221" s="1480" t="inlineStr">
        <is>
          <t>종속기업주식처분손실</t>
        </is>
      </c>
      <c r="C221" s="1436" t="n"/>
      <c r="D221" s="2625" t="n"/>
      <c r="E221" s="2625" t="n"/>
      <c r="F221" s="2625" t="n"/>
      <c r="G221" s="2625" t="n"/>
      <c r="H221" s="2625" t="n"/>
      <c r="I221" s="2625" t="n">
        <v>0</v>
      </c>
      <c r="J221" s="2625" t="n">
        <v>0</v>
      </c>
      <c r="K221" s="2625" t="n">
        <v>0</v>
      </c>
      <c r="L221" s="2625" t="n">
        <v>0</v>
      </c>
      <c r="M221" s="2625" t="n">
        <v>0</v>
      </c>
      <c r="N221" s="2625" t="n">
        <v>0</v>
      </c>
      <c r="O221" s="2625" t="n">
        <v>0</v>
      </c>
      <c r="P221" s="2626">
        <f>SUM(D221:O221)</f>
        <v/>
      </c>
      <c r="Q221" s="1436" t="n"/>
      <c r="R221" s="1436" t="n"/>
      <c r="S221" s="2625" t="n">
        <v>0</v>
      </c>
      <c r="T221" s="2625" t="n">
        <v>0</v>
      </c>
      <c r="U221" s="2625" t="n">
        <v>0</v>
      </c>
      <c r="V221" s="2625" t="n">
        <v>0</v>
      </c>
      <c r="W221" s="2625" t="n">
        <v>0</v>
      </c>
      <c r="X221" s="2625" t="n">
        <v>0</v>
      </c>
      <c r="Y221" s="2625" t="n">
        <v>0</v>
      </c>
      <c r="Z221" s="2625" t="n">
        <v>0</v>
      </c>
      <c r="AA221" s="2625" t="n">
        <v>0</v>
      </c>
      <c r="AB221" s="2625" t="n">
        <v>0</v>
      </c>
      <c r="AC221" s="2625" t="n">
        <v>0</v>
      </c>
      <c r="AD221" s="2625" t="n">
        <v>0</v>
      </c>
      <c r="AE221" s="2626">
        <f>SUM(S221:AD221)</f>
        <v/>
      </c>
      <c r="AF221" s="1436" t="n"/>
      <c r="AG221" s="2625" t="n">
        <v>0</v>
      </c>
      <c r="AH221" s="2625" t="n">
        <v>0</v>
      </c>
      <c r="AI221" s="2625" t="n">
        <v>0</v>
      </c>
      <c r="AJ221" s="2625" t="n">
        <v>0</v>
      </c>
      <c r="AK221" s="2625" t="n">
        <v>0</v>
      </c>
      <c r="AL221" s="2625" t="n"/>
      <c r="AM221" s="2625" t="n">
        <v>0</v>
      </c>
      <c r="AN221" s="2625" t="n">
        <v>0</v>
      </c>
      <c r="AO221" s="2625" t="n"/>
      <c r="AP221" s="2625" t="n">
        <v>0</v>
      </c>
      <c r="AQ221" s="2625" t="n">
        <v>0</v>
      </c>
      <c r="AR221" s="2627" t="n">
        <v>0</v>
      </c>
      <c r="AS221" s="2626">
        <f>SUM(AG221:AR221)</f>
        <v/>
      </c>
      <c r="AT221" s="2615">
        <f>SUM(AG221:AP221)</f>
        <v/>
      </c>
      <c r="AU221" s="2627" t="n"/>
      <c r="AV221" s="2627" t="n"/>
      <c r="AW221" s="2627" t="n"/>
      <c r="AX221" s="2627" t="n"/>
      <c r="AY221" s="2627" t="n"/>
      <c r="AZ221" s="2627" t="n"/>
      <c r="BA221" s="2627" t="n"/>
      <c r="BB221" s="2627" t="n"/>
      <c r="BC221" s="2627" t="n"/>
      <c r="BD221" s="2627" t="n"/>
      <c r="BE221" s="2627" t="n"/>
      <c r="BF221" s="2627" t="n"/>
      <c r="BG221" s="2628">
        <f>SUM(AU221:BF221)</f>
        <v/>
      </c>
      <c r="BI221" s="2627" t="n"/>
      <c r="BJ221" s="2627" t="n"/>
      <c r="BK221" s="2627" t="n"/>
      <c r="BL221" s="2627" t="n"/>
      <c r="BM221" s="2627" t="n"/>
      <c r="BN221" s="2627" t="n"/>
      <c r="BO221" s="2627" t="n"/>
      <c r="BP221" s="2627" t="n"/>
      <c r="BQ221" s="2627" t="n"/>
      <c r="BR221" s="2627" t="n"/>
      <c r="BS221" s="2627" t="n"/>
      <c r="BT221" s="2627" t="n"/>
      <c r="BU221" s="2628">
        <f>SUM(BI221:BT221)</f>
        <v/>
      </c>
    </row>
    <row r="222">
      <c r="A222" s="1436" t="n"/>
      <c r="B222" s="1478" t="inlineStr">
        <is>
          <t>Ⅸ. 법인세차감전순손익</t>
        </is>
      </c>
      <c r="C222" s="1436" t="inlineStr">
        <is>
          <t>세전이익</t>
        </is>
      </c>
      <c r="D222" s="2637">
        <f>D122+D124-D141+D159+D164-D192</f>
        <v/>
      </c>
      <c r="E222" s="2637">
        <f>E122+E124-E141+E159+E164-E192</f>
        <v/>
      </c>
      <c r="F222" s="2637">
        <f>F122+F124-F141+F159+F164-F192</f>
        <v/>
      </c>
      <c r="G222" s="2637">
        <f>G122+G124-G141+G159+G164-G192</f>
        <v/>
      </c>
      <c r="H222" s="2637">
        <f>H122+H124-H141+H159+H164-H192</f>
        <v/>
      </c>
      <c r="I222" s="2637">
        <f>I122+I124-I141+I159+I164-I192</f>
        <v/>
      </c>
      <c r="J222" s="2637">
        <f>J122+J124-J141+J159+J164-J192</f>
        <v/>
      </c>
      <c r="K222" s="2637">
        <f>K122+K124-K141+K159+K164-K192</f>
        <v/>
      </c>
      <c r="L222" s="2637">
        <f>L122+L124-L141+L159+L164-L192</f>
        <v/>
      </c>
      <c r="M222" s="2637">
        <f>M122+M124-M141+M159+M164-M192</f>
        <v/>
      </c>
      <c r="N222" s="2637">
        <f>N122+N124-N141+N159+N164-N192</f>
        <v/>
      </c>
      <c r="O222" s="2637">
        <f>O122+O124-O141+O159+O164-O192</f>
        <v/>
      </c>
      <c r="P222" s="2623">
        <f>SUM(D222:O222)</f>
        <v/>
      </c>
      <c r="Q222" s="1436" t="n"/>
      <c r="R222" s="1436" t="n"/>
      <c r="S222" s="2637">
        <f>S122+S124-S141+S159+S164-S192</f>
        <v/>
      </c>
      <c r="T222" s="2637">
        <f>T122+T124-T141+T159+T164-T192</f>
        <v/>
      </c>
      <c r="U222" s="2637">
        <f>U122+U124-U141+U159+U164-U192</f>
        <v/>
      </c>
      <c r="V222" s="2637">
        <f>V122+V124-V141+V159+V164-V192</f>
        <v/>
      </c>
      <c r="W222" s="2637">
        <f>W122+W124-W141+W159+W164-W192</f>
        <v/>
      </c>
      <c r="X222" s="2637">
        <f>X122+X124-X141+X159+X164-X192</f>
        <v/>
      </c>
      <c r="Y222" s="2637">
        <f>Y122+Y124-Y141+Y159+Y164-Y192</f>
        <v/>
      </c>
      <c r="Z222" s="2637">
        <f>Z122+Z124-Z141+Z159+Z164-Z192</f>
        <v/>
      </c>
      <c r="AA222" s="2637">
        <f>AA122+AA124-AA141+AA159+AA164-AA192</f>
        <v/>
      </c>
      <c r="AB222" s="2637">
        <f>AB122+AB124-AB141+AB159+AB164-AB192</f>
        <v/>
      </c>
      <c r="AC222" s="2637">
        <f>AC122+AC124-AC141+AC159+AC164-AC192</f>
        <v/>
      </c>
      <c r="AD222" s="2637">
        <f>AD122+AD124-AD141+AD159+AD164-AD192</f>
        <v/>
      </c>
      <c r="AE222" s="2623">
        <f>SUM(S222:AD222)</f>
        <v/>
      </c>
      <c r="AF222" s="1436" t="n"/>
      <c r="AG222" s="2637">
        <f>AG122+AG124-AG141+AG159+AG164-AG192</f>
        <v/>
      </c>
      <c r="AH222" s="2637">
        <f>AH122+AH124-AH141+AH159+AH164-AH192</f>
        <v/>
      </c>
      <c r="AI222" s="2637">
        <f>AI122+AI124-AI141+AI159+AI164-AI192</f>
        <v/>
      </c>
      <c r="AJ222" s="2637">
        <f>AJ122+AJ124-AJ141+AJ159+AJ164-AJ192</f>
        <v/>
      </c>
      <c r="AK222" s="2637">
        <f>AK122+AK124-AK141+AK159+AK164-AK192</f>
        <v/>
      </c>
      <c r="AL222" s="2637">
        <f>AL122+AL124-AL141+AL159+AL164-AL192</f>
        <v/>
      </c>
      <c r="AM222" s="2637">
        <f>AM122+AM124-AM141+AM159+AM164-AM192</f>
        <v/>
      </c>
      <c r="AN222" s="2637">
        <f>AN122+AN124-AN141+AN159+AN164-AN192</f>
        <v/>
      </c>
      <c r="AO222" s="2637">
        <f>AO122+AO124-AO141+AO159+AO164-AO192</f>
        <v/>
      </c>
      <c r="AP222" s="2637">
        <f>AP122+AP124-AP141+AP159+AP164-AP192</f>
        <v/>
      </c>
      <c r="AQ222" s="2637">
        <f>AQ122+AQ124-AQ141+AQ159+AQ164-AQ192</f>
        <v/>
      </c>
      <c r="AR222" s="2637">
        <f>AR122+AR124-AR141+AR159+AR164-AR192</f>
        <v/>
      </c>
      <c r="AS222" s="2623">
        <f>SUM(AG222:AR222)</f>
        <v/>
      </c>
      <c r="AT222" s="2615">
        <f>SUM(AG222:AP222)</f>
        <v/>
      </c>
      <c r="AU222" s="2637" t="n">
        <v>-69395009</v>
      </c>
      <c r="AV222" s="2637" t="n">
        <v>-65772197</v>
      </c>
      <c r="AW222" s="2637" t="n"/>
      <c r="AX222" s="2637" t="n"/>
      <c r="AY222" s="2637" t="n"/>
      <c r="AZ222" s="2637" t="n"/>
      <c r="BA222" s="2637" t="n"/>
      <c r="BB222" s="2637" t="n"/>
      <c r="BC222" s="2637" t="n"/>
      <c r="BD222" s="2637" t="n"/>
      <c r="BE222" s="2637" t="n"/>
      <c r="BF222" s="2637" t="n"/>
      <c r="BG222" s="2624">
        <f>SUM(AU222:BF222)</f>
        <v/>
      </c>
      <c r="BI222" s="2637" t="n"/>
      <c r="BJ222" s="2637" t="n"/>
      <c r="BK222" s="2637" t="n"/>
      <c r="BL222" s="2637" t="n"/>
      <c r="BM222" s="2637" t="n"/>
      <c r="BN222" s="2637" t="n"/>
      <c r="BO222" s="2637" t="n"/>
      <c r="BP222" s="2637" t="n"/>
      <c r="BQ222" s="2637" t="n"/>
      <c r="BR222" s="2637" t="n"/>
      <c r="BS222" s="2637" t="n"/>
      <c r="BT222" s="2637" t="n"/>
      <c r="BU222" s="2624">
        <f>SUM(BI222:BT222)</f>
        <v/>
      </c>
    </row>
    <row r="223">
      <c r="A223" s="1436" t="n"/>
      <c r="B223" s="1478" t="inlineStr">
        <is>
          <t>Ⅹ. 법인세비용</t>
        </is>
      </c>
      <c r="C223" s="1436" t="inlineStr">
        <is>
          <t>법인세비용</t>
        </is>
      </c>
      <c r="D223" s="2637">
        <f>SUM(D224)</f>
        <v/>
      </c>
      <c r="E223" s="2637">
        <f>SUM(E224)</f>
        <v/>
      </c>
      <c r="F223" s="2637">
        <f>SUM(F224)</f>
        <v/>
      </c>
      <c r="G223" s="2637">
        <f>SUM(G224)</f>
        <v/>
      </c>
      <c r="H223" s="2637">
        <f>SUM(H224)</f>
        <v/>
      </c>
      <c r="I223" s="2637">
        <f>SUM(I224)</f>
        <v/>
      </c>
      <c r="J223" s="2637">
        <f>SUM(J224)</f>
        <v/>
      </c>
      <c r="K223" s="2637">
        <f>SUM(K224)</f>
        <v/>
      </c>
      <c r="L223" s="2637">
        <f>SUM(L224)</f>
        <v/>
      </c>
      <c r="M223" s="2637">
        <f>SUM(M224)</f>
        <v/>
      </c>
      <c r="N223" s="2637">
        <f>SUM(N224)</f>
        <v/>
      </c>
      <c r="O223" s="2637">
        <f>SUM(O224)</f>
        <v/>
      </c>
      <c r="P223" s="2623">
        <f>SUM(D223:O223)</f>
        <v/>
      </c>
      <c r="Q223" s="1436" t="n"/>
      <c r="R223" s="1436" t="n"/>
      <c r="S223" s="2637">
        <f>SUM(S224)</f>
        <v/>
      </c>
      <c r="T223" s="2637">
        <f>SUM(T224)</f>
        <v/>
      </c>
      <c r="U223" s="2637">
        <f>SUM(U224)</f>
        <v/>
      </c>
      <c r="V223" s="2637">
        <f>SUM(V224)</f>
        <v/>
      </c>
      <c r="W223" s="2637">
        <f>SUM(W224)</f>
        <v/>
      </c>
      <c r="X223" s="2637">
        <f>SUM(X224)</f>
        <v/>
      </c>
      <c r="Y223" s="2637">
        <f>SUM(Y224)</f>
        <v/>
      </c>
      <c r="Z223" s="2637">
        <f>SUM(Z224)</f>
        <v/>
      </c>
      <c r="AA223" s="2637">
        <f>SUM(AA224)</f>
        <v/>
      </c>
      <c r="AB223" s="2637">
        <f>SUM(AB224)</f>
        <v/>
      </c>
      <c r="AC223" s="2637">
        <f>SUM(AC224)</f>
        <v/>
      </c>
      <c r="AD223" s="2637">
        <f>SUM(AD224)</f>
        <v/>
      </c>
      <c r="AE223" s="2623">
        <f>SUM(S223:AD223)</f>
        <v/>
      </c>
      <c r="AF223" s="1436" t="n"/>
      <c r="AG223" s="2637">
        <f>SUM(AG224)</f>
        <v/>
      </c>
      <c r="AH223" s="2637">
        <f>SUM(AH224)</f>
        <v/>
      </c>
      <c r="AI223" s="2637">
        <f>SUM(AI224)</f>
        <v/>
      </c>
      <c r="AJ223" s="2637">
        <f>SUM(AJ224)</f>
        <v/>
      </c>
      <c r="AK223" s="2637">
        <f>SUM(AK224)</f>
        <v/>
      </c>
      <c r="AL223" s="2637" t="n">
        <v>0</v>
      </c>
      <c r="AM223" s="2637">
        <f>SUM(AM224)</f>
        <v/>
      </c>
      <c r="AN223" s="2637">
        <f>SUM(AN224)</f>
        <v/>
      </c>
      <c r="AO223" s="2637">
        <f>SUM(AO224)</f>
        <v/>
      </c>
      <c r="AP223" s="2637">
        <f>SUM(AP224)</f>
        <v/>
      </c>
      <c r="AQ223" s="2637" t="n">
        <v>0</v>
      </c>
      <c r="AR223" s="2637">
        <f>SUM(AR224)</f>
        <v/>
      </c>
      <c r="AS223" s="2623">
        <f>SUM(AG223:AR223)</f>
        <v/>
      </c>
      <c r="AT223" s="2615">
        <f>SUM(AG223:AP223)</f>
        <v/>
      </c>
      <c r="AU223" s="2637" t="n">
        <v>0</v>
      </c>
      <c r="AV223" s="2637" t="n">
        <v>0</v>
      </c>
      <c r="AW223" s="2637" t="n"/>
      <c r="AX223" s="2637" t="n"/>
      <c r="AY223" s="2637" t="n"/>
      <c r="AZ223" s="2637" t="n"/>
      <c r="BA223" s="2637" t="n"/>
      <c r="BB223" s="2637" t="n"/>
      <c r="BC223" s="2637" t="n"/>
      <c r="BD223" s="2637" t="n"/>
      <c r="BE223" s="2637" t="n"/>
      <c r="BF223" s="2637" t="n"/>
      <c r="BG223" s="2624">
        <f>SUM(AU223:BF223)</f>
        <v/>
      </c>
      <c r="BI223" s="2637" t="n"/>
      <c r="BJ223" s="2637" t="n"/>
      <c r="BK223" s="2637" t="n"/>
      <c r="BL223" s="2637" t="n"/>
      <c r="BM223" s="2637" t="n"/>
      <c r="BN223" s="2637" t="n"/>
      <c r="BO223" s="2637" t="n"/>
      <c r="BP223" s="2637" t="n"/>
      <c r="BQ223" s="2637" t="n"/>
      <c r="BR223" s="2637" t="n"/>
      <c r="BS223" s="2637" t="n"/>
      <c r="BT223" s="2637" t="n"/>
      <c r="BU223" s="2624">
        <f>SUM(BI223:BT223)</f>
        <v/>
      </c>
    </row>
    <row r="224" outlineLevel="1">
      <c r="A224" s="1436" t="n"/>
      <c r="B224" s="1480" t="inlineStr">
        <is>
          <t>법인세비용</t>
        </is>
      </c>
      <c r="C224" s="1436" t="n"/>
      <c r="D224" s="2625" t="n"/>
      <c r="E224" s="2625" t="n"/>
      <c r="F224" s="2625" t="n"/>
      <c r="G224" s="2625" t="n"/>
      <c r="H224" s="2625" t="n"/>
      <c r="I224" s="2625" t="n">
        <v>0</v>
      </c>
      <c r="J224" s="2625" t="n">
        <v>0</v>
      </c>
      <c r="K224" s="2625" t="n">
        <v>0</v>
      </c>
      <c r="L224" s="2625" t="n">
        <v>0</v>
      </c>
      <c r="M224" s="2625" t="n">
        <v>0</v>
      </c>
      <c r="N224" s="2625" t="n">
        <v>0</v>
      </c>
      <c r="O224" s="2625" t="n">
        <v>0</v>
      </c>
      <c r="P224" s="2626">
        <f>SUM(D224:O224)</f>
        <v/>
      </c>
      <c r="Q224" s="1436" t="n"/>
      <c r="R224" s="1436" t="n"/>
      <c r="S224" s="2625" t="n">
        <v>0</v>
      </c>
      <c r="T224" s="2625" t="n">
        <v>0</v>
      </c>
      <c r="U224" s="2625" t="n">
        <v>0</v>
      </c>
      <c r="V224" s="2625" t="n">
        <v>0</v>
      </c>
      <c r="W224" s="2625" t="n">
        <v>0</v>
      </c>
      <c r="X224" s="2625" t="n">
        <v>0</v>
      </c>
      <c r="Y224" s="2625" t="n">
        <v>0</v>
      </c>
      <c r="Z224" s="2625" t="n">
        <v>0</v>
      </c>
      <c r="AA224" s="2625" t="n">
        <v>0</v>
      </c>
      <c r="AB224" s="2625" t="n">
        <v>0</v>
      </c>
      <c r="AC224" s="2625" t="n">
        <v>0</v>
      </c>
      <c r="AD224" s="2625" t="n">
        <v>0</v>
      </c>
      <c r="AE224" s="2626">
        <f>SUM(S224:AD224)</f>
        <v/>
      </c>
      <c r="AF224" s="1436" t="n"/>
      <c r="AG224" s="2625" t="n">
        <v>0</v>
      </c>
      <c r="AH224" s="2625" t="n">
        <v>0</v>
      </c>
      <c r="AI224" s="2625" t="n">
        <v>0</v>
      </c>
      <c r="AJ224" s="2625" t="n">
        <v>0</v>
      </c>
      <c r="AK224" s="2625" t="n">
        <v>0</v>
      </c>
      <c r="AL224" s="2625" t="n"/>
      <c r="AM224" s="2625" t="n">
        <v>0</v>
      </c>
      <c r="AN224" s="2625" t="n">
        <v>0</v>
      </c>
      <c r="AO224" s="2625" t="n"/>
      <c r="AP224" s="2625" t="n">
        <v>0</v>
      </c>
      <c r="AQ224" s="2625" t="n">
        <v>0</v>
      </c>
      <c r="AR224" s="2627" t="n"/>
      <c r="AS224" s="2626">
        <f>SUM(AG224:AR224)</f>
        <v/>
      </c>
      <c r="AT224" s="2615">
        <f>SUM(AG224:AP224)</f>
        <v/>
      </c>
      <c r="AU224" s="2627" t="n"/>
      <c r="AV224" s="2627" t="n"/>
      <c r="AW224" s="2627" t="n"/>
      <c r="AX224" s="2627" t="n"/>
      <c r="AY224" s="2627" t="n"/>
      <c r="AZ224" s="2627" t="n"/>
      <c r="BA224" s="2627" t="n"/>
      <c r="BB224" s="2627" t="n"/>
      <c r="BC224" s="2627" t="n"/>
      <c r="BD224" s="2627" t="n"/>
      <c r="BE224" s="2627" t="n"/>
      <c r="BF224" s="2627" t="n"/>
      <c r="BG224" s="2628">
        <f>SUM(AU224:BF224)</f>
        <v/>
      </c>
      <c r="BI224" s="2627" t="n"/>
      <c r="BJ224" s="2627" t="n"/>
      <c r="BK224" s="2627" t="n"/>
      <c r="BL224" s="2627" t="n"/>
      <c r="BM224" s="2627" t="n"/>
      <c r="BN224" s="2627" t="n"/>
      <c r="BO224" s="2627" t="n"/>
      <c r="BP224" s="2627" t="n"/>
      <c r="BQ224" s="2627" t="n"/>
      <c r="BR224" s="2627" t="n"/>
      <c r="BS224" s="2627" t="n"/>
      <c r="BT224" s="2627" t="n"/>
      <c r="BU224" s="2628">
        <f>SUM(BI224:BT224)</f>
        <v/>
      </c>
    </row>
    <row r="225">
      <c r="A225" s="1436" t="n"/>
      <c r="B225" s="1478" t="inlineStr">
        <is>
          <t>XI. 당기순이익</t>
        </is>
      </c>
      <c r="C225" s="1436" t="inlineStr">
        <is>
          <t>당기순이익</t>
        </is>
      </c>
      <c r="D225" s="2637">
        <f>+D222-D223</f>
        <v/>
      </c>
      <c r="E225" s="2637">
        <f>+E222-E223</f>
        <v/>
      </c>
      <c r="F225" s="2637">
        <f>+F222-F223</f>
        <v/>
      </c>
      <c r="G225" s="2637">
        <f>+G222-G223</f>
        <v/>
      </c>
      <c r="H225" s="2637">
        <f>+H222-H223</f>
        <v/>
      </c>
      <c r="I225" s="2637">
        <f>+I222-I223</f>
        <v/>
      </c>
      <c r="J225" s="2637">
        <f>+J222-J223</f>
        <v/>
      </c>
      <c r="K225" s="2637">
        <f>+K222-K223</f>
        <v/>
      </c>
      <c r="L225" s="2637">
        <f>+L222-L223</f>
        <v/>
      </c>
      <c r="M225" s="2637">
        <f>+M222-M223</f>
        <v/>
      </c>
      <c r="N225" s="2637">
        <f>+N222-N223</f>
        <v/>
      </c>
      <c r="O225" s="2637">
        <f>+O222-O223</f>
        <v/>
      </c>
      <c r="P225" s="2623">
        <f>SUM(D225:O225)</f>
        <v/>
      </c>
      <c r="Q225" s="1436" t="n"/>
      <c r="R225" s="1436" t="n"/>
      <c r="S225" s="2637">
        <f>+S222-S223</f>
        <v/>
      </c>
      <c r="T225" s="2637">
        <f>+T222-T223</f>
        <v/>
      </c>
      <c r="U225" s="2637">
        <f>+U222-U223</f>
        <v/>
      </c>
      <c r="V225" s="2637">
        <f>+V222-V223</f>
        <v/>
      </c>
      <c r="W225" s="2637">
        <f>+W222-W223</f>
        <v/>
      </c>
      <c r="X225" s="2637">
        <f>+X222-X223</f>
        <v/>
      </c>
      <c r="Y225" s="2637">
        <f>+Y222-Y223</f>
        <v/>
      </c>
      <c r="Z225" s="2637">
        <f>+Z222-Z223</f>
        <v/>
      </c>
      <c r="AA225" s="2637">
        <f>+AA222-AA223</f>
        <v/>
      </c>
      <c r="AB225" s="2637">
        <f>+AB222-AB223</f>
        <v/>
      </c>
      <c r="AC225" s="2637">
        <f>+AC222-AC223</f>
        <v/>
      </c>
      <c r="AD225" s="2637">
        <f>+AD222-AD223</f>
        <v/>
      </c>
      <c r="AE225" s="2623">
        <f>SUM(S225:AD225)</f>
        <v/>
      </c>
      <c r="AF225" s="1436" t="n"/>
      <c r="AG225" s="2637">
        <f>+AG222-AG223</f>
        <v/>
      </c>
      <c r="AH225" s="2637">
        <f>+AH222-AH223</f>
        <v/>
      </c>
      <c r="AI225" s="2637">
        <f>+AI222-AI223</f>
        <v/>
      </c>
      <c r="AJ225" s="2637">
        <f>+AJ222-AJ223</f>
        <v/>
      </c>
      <c r="AK225" s="2637">
        <f>+AK222-AK223</f>
        <v/>
      </c>
      <c r="AL225" s="2637">
        <f>+AL222-AL223</f>
        <v/>
      </c>
      <c r="AM225" s="2637">
        <f>+AM222-AM223</f>
        <v/>
      </c>
      <c r="AN225" s="2637">
        <f>+AN222-AN223</f>
        <v/>
      </c>
      <c r="AO225" s="2637">
        <f>+AO222-AO223</f>
        <v/>
      </c>
      <c r="AP225" s="2637">
        <f>+AP222-AP223</f>
        <v/>
      </c>
      <c r="AQ225" s="2637">
        <f>+AQ222-AQ223</f>
        <v/>
      </c>
      <c r="AR225" s="2637">
        <f>+AR222-AR223</f>
        <v/>
      </c>
      <c r="AS225" s="2623">
        <f>SUM(AG225:AR225)</f>
        <v/>
      </c>
      <c r="AT225" s="2615">
        <f>SUM(AG225:AP225)</f>
        <v/>
      </c>
      <c r="AU225" s="2637" t="n">
        <v>-69395009</v>
      </c>
      <c r="AV225" s="2637" t="n">
        <v>-65772197</v>
      </c>
      <c r="AW225" s="2637" t="n"/>
      <c r="AX225" s="2637" t="n"/>
      <c r="AY225" s="2637" t="n"/>
      <c r="AZ225" s="2637" t="n"/>
      <c r="BA225" s="2637" t="n"/>
      <c r="BB225" s="2637" t="n"/>
      <c r="BC225" s="2637" t="n"/>
      <c r="BD225" s="2637" t="n"/>
      <c r="BE225" s="2637" t="n"/>
      <c r="BF225" s="2637" t="n"/>
      <c r="BG225" s="2624">
        <f>SUM(AU225:BF225)</f>
        <v/>
      </c>
      <c r="BI225" s="2637" t="n"/>
      <c r="BJ225" s="2637" t="n"/>
      <c r="BK225" s="2637" t="n"/>
      <c r="BL225" s="2637" t="n"/>
      <c r="BM225" s="2637" t="n"/>
      <c r="BN225" s="2637" t="n"/>
      <c r="BO225" s="2637" t="n"/>
      <c r="BP225" s="2637" t="n"/>
      <c r="BQ225" s="2637" t="n"/>
      <c r="BR225" s="2637" t="n"/>
      <c r="BS225" s="2637" t="n"/>
      <c r="BT225" s="2637" t="n"/>
      <c r="BU225" s="2624">
        <f>SUM(BI225:BT225)</f>
        <v/>
      </c>
    </row>
    <row r="226" outlineLevel="1">
      <c r="A226" s="1436" t="n"/>
      <c r="B226" s="1480" t="inlineStr">
        <is>
          <t>비지배주주지분순이익</t>
        </is>
      </c>
      <c r="C226" s="1436" t="n"/>
      <c r="D226" s="2625" t="n"/>
      <c r="E226" s="2625" t="n"/>
      <c r="F226" s="2625" t="n"/>
      <c r="G226" s="2625" t="n"/>
      <c r="H226" s="2625" t="n"/>
      <c r="I226" s="2625" t="n">
        <v>0</v>
      </c>
      <c r="J226" s="2625" t="n">
        <v>0</v>
      </c>
      <c r="K226" s="2625" t="n">
        <v>0</v>
      </c>
      <c r="L226" s="2625" t="n">
        <v>0</v>
      </c>
      <c r="M226" s="2625" t="n">
        <v>0</v>
      </c>
      <c r="N226" s="2625" t="n">
        <v>0</v>
      </c>
      <c r="O226" s="2625" t="n">
        <v>0</v>
      </c>
      <c r="P226" s="2626">
        <f>SUM(D226:O226)</f>
        <v/>
      </c>
      <c r="Q226" s="1436" t="n"/>
      <c r="R226" s="1436" t="n"/>
      <c r="S226" s="2625" t="n">
        <v>0</v>
      </c>
      <c r="T226" s="2625" t="n">
        <v>0</v>
      </c>
      <c r="U226" s="2625" t="n">
        <v>0</v>
      </c>
      <c r="V226" s="2625" t="n">
        <v>0</v>
      </c>
      <c r="W226" s="2625" t="n">
        <v>0</v>
      </c>
      <c r="X226" s="2625" t="n">
        <v>0</v>
      </c>
      <c r="Y226" s="2625" t="n">
        <v>0</v>
      </c>
      <c r="Z226" s="2625" t="n">
        <v>0</v>
      </c>
      <c r="AA226" s="2625" t="n">
        <v>0</v>
      </c>
      <c r="AB226" s="2625" t="n">
        <v>0</v>
      </c>
      <c r="AC226" s="2625" t="n">
        <v>0</v>
      </c>
      <c r="AD226" s="2625" t="n">
        <v>0</v>
      </c>
      <c r="AE226" s="2626">
        <f>SUM(S226:AD226)</f>
        <v/>
      </c>
      <c r="AF226" s="1436" t="n"/>
      <c r="AG226" s="2625" t="n">
        <v>0</v>
      </c>
      <c r="AH226" s="2625" t="n">
        <v>0</v>
      </c>
      <c r="AI226" s="2625" t="n">
        <v>0</v>
      </c>
      <c r="AJ226" s="2625" t="n">
        <v>0</v>
      </c>
      <c r="AK226" s="2625" t="n">
        <v>0</v>
      </c>
      <c r="AL226" s="2625" t="n"/>
      <c r="AM226" s="2625" t="n">
        <v>0</v>
      </c>
      <c r="AN226" s="2625" t="n">
        <v>0</v>
      </c>
      <c r="AO226" s="2625" t="n"/>
      <c r="AP226" s="2625" t="n">
        <v>0</v>
      </c>
      <c r="AQ226" s="2625" t="n">
        <v>0</v>
      </c>
      <c r="AR226" s="2627" t="n"/>
      <c r="AS226" s="2626">
        <f>SUM(AG226:AR226)</f>
        <v/>
      </c>
      <c r="AT226" s="2615">
        <f>SUM(AG226:AP226)</f>
        <v/>
      </c>
      <c r="AU226" s="2627" t="n"/>
      <c r="AV226" s="2627" t="n"/>
      <c r="AW226" s="2627" t="n"/>
      <c r="AX226" s="2627" t="n"/>
      <c r="AY226" s="2627" t="n"/>
      <c r="AZ226" s="2627" t="n"/>
      <c r="BA226" s="2627" t="n"/>
      <c r="BB226" s="2627" t="n"/>
      <c r="BC226" s="2627" t="n"/>
      <c r="BD226" s="2627" t="n"/>
      <c r="BE226" s="2627" t="n"/>
      <c r="BF226" s="2627" t="n"/>
      <c r="BG226" s="2628">
        <f>SUM(AU226:BF226)</f>
        <v/>
      </c>
      <c r="BI226" s="2627" t="n"/>
      <c r="BJ226" s="2627" t="n"/>
      <c r="BK226" s="2627" t="n"/>
      <c r="BL226" s="2627" t="n"/>
      <c r="BM226" s="2627" t="n"/>
      <c r="BN226" s="2627" t="n"/>
      <c r="BO226" s="2627" t="n"/>
      <c r="BP226" s="2627" t="n"/>
      <c r="BQ226" s="2627" t="n"/>
      <c r="BR226" s="2627" t="n"/>
      <c r="BS226" s="2627" t="n"/>
      <c r="BT226" s="2627" t="n"/>
      <c r="BU226" s="2628">
        <f>SUM(BI226:BT226)</f>
        <v/>
      </c>
    </row>
    <row r="227">
      <c r="A227" s="1436" t="n"/>
      <c r="B227" s="1478" t="inlineStr">
        <is>
          <t>XII. 지배주주지분순이익</t>
        </is>
      </c>
      <c r="C227" s="1436" t="inlineStr">
        <is>
          <t>지배주주지분순이익</t>
        </is>
      </c>
      <c r="D227" s="2637">
        <f>+D225-D226</f>
        <v/>
      </c>
      <c r="E227" s="2637">
        <f>+E225-E226</f>
        <v/>
      </c>
      <c r="F227" s="2637">
        <f>+F225-F226</f>
        <v/>
      </c>
      <c r="G227" s="2637">
        <f>+G225-G226</f>
        <v/>
      </c>
      <c r="H227" s="2637">
        <f>+H225-H226</f>
        <v/>
      </c>
      <c r="I227" s="2637">
        <f>+I225-I226</f>
        <v/>
      </c>
      <c r="J227" s="2637">
        <f>+J225-J226</f>
        <v/>
      </c>
      <c r="K227" s="2637">
        <f>+K225-K226</f>
        <v/>
      </c>
      <c r="L227" s="2637">
        <f>+L225-L226</f>
        <v/>
      </c>
      <c r="M227" s="2637">
        <f>+M225-M226</f>
        <v/>
      </c>
      <c r="N227" s="2637">
        <f>+N225-N226</f>
        <v/>
      </c>
      <c r="O227" s="2637">
        <f>+O225-O226</f>
        <v/>
      </c>
      <c r="P227" s="2623">
        <f>SUM(D227:O227)</f>
        <v/>
      </c>
      <c r="Q227" s="1436" t="n"/>
      <c r="R227" s="1436" t="n"/>
      <c r="S227" s="2637">
        <f>+S225-S226</f>
        <v/>
      </c>
      <c r="T227" s="2637">
        <f>+T225-T226</f>
        <v/>
      </c>
      <c r="U227" s="2637">
        <f>+U225-U226</f>
        <v/>
      </c>
      <c r="V227" s="2637">
        <f>+V225-V226</f>
        <v/>
      </c>
      <c r="W227" s="2637">
        <f>+W225-W226</f>
        <v/>
      </c>
      <c r="X227" s="2637">
        <f>+X225-X226</f>
        <v/>
      </c>
      <c r="Y227" s="2637">
        <f>+Y225-Y226</f>
        <v/>
      </c>
      <c r="Z227" s="2637">
        <f>+Z225-Z226</f>
        <v/>
      </c>
      <c r="AA227" s="2637">
        <f>+AA225-AA226</f>
        <v/>
      </c>
      <c r="AB227" s="2637">
        <f>+AB225-AB226</f>
        <v/>
      </c>
      <c r="AC227" s="2637">
        <f>+AC225-AC226</f>
        <v/>
      </c>
      <c r="AD227" s="2637">
        <f>+AD225-AD226</f>
        <v/>
      </c>
      <c r="AE227" s="2623">
        <f>SUM(S227:AD227)</f>
        <v/>
      </c>
      <c r="AF227" s="1436" t="n"/>
      <c r="AG227" s="2637">
        <f>+AG225-AG226</f>
        <v/>
      </c>
      <c r="AH227" s="2637">
        <f>+AH225-AH226</f>
        <v/>
      </c>
      <c r="AI227" s="2637">
        <f>+AI225-AI226</f>
        <v/>
      </c>
      <c r="AJ227" s="2637">
        <f>+AJ225-AJ226</f>
        <v/>
      </c>
      <c r="AK227" s="2637">
        <f>+AK225-AK226</f>
        <v/>
      </c>
      <c r="AL227" s="2637">
        <f>+AL225-AL226</f>
        <v/>
      </c>
      <c r="AM227" s="2637">
        <f>+AM225-AM226</f>
        <v/>
      </c>
      <c r="AN227" s="2637">
        <f>+AN225-AN226</f>
        <v/>
      </c>
      <c r="AO227" s="2637">
        <f>+AO225-AO226</f>
        <v/>
      </c>
      <c r="AP227" s="2637">
        <f>+AP225-AP226</f>
        <v/>
      </c>
      <c r="AQ227" s="2637">
        <f>+AQ225-AQ226</f>
        <v/>
      </c>
      <c r="AR227" s="2637">
        <f>+AR225-AR226</f>
        <v/>
      </c>
      <c r="AS227" s="2623">
        <f>SUM(AG227:AR227)</f>
        <v/>
      </c>
      <c r="AT227" s="2615">
        <f>SUM(AG227:AP227)</f>
        <v/>
      </c>
      <c r="AU227" s="2637" t="n">
        <v>-69395009</v>
      </c>
      <c r="AV227" s="2637" t="n">
        <v>-65772197</v>
      </c>
      <c r="AW227" s="2637" t="n"/>
      <c r="AX227" s="2637" t="n"/>
      <c r="AY227" s="2637" t="n"/>
      <c r="AZ227" s="2637" t="n"/>
      <c r="BA227" s="2637" t="n"/>
      <c r="BB227" s="2637" t="n"/>
      <c r="BC227" s="2637" t="n"/>
      <c r="BD227" s="2637" t="n"/>
      <c r="BE227" s="2637" t="n"/>
      <c r="BF227" s="2637" t="n"/>
      <c r="BG227" s="2624">
        <f>SUM(AU227:BF227)</f>
        <v/>
      </c>
      <c r="BI227" s="2637" t="n"/>
      <c r="BJ227" s="2637" t="n"/>
      <c r="BK227" s="2637" t="n"/>
      <c r="BL227" s="2637" t="n"/>
      <c r="BM227" s="2637" t="n"/>
      <c r="BN227" s="2637" t="n"/>
      <c r="BO227" s="2637" t="n"/>
      <c r="BP227" s="2637" t="n"/>
      <c r="BQ227" s="2637" t="n"/>
      <c r="BR227" s="2637" t="n"/>
      <c r="BS227" s="2637" t="n"/>
      <c r="BT227" s="2637" t="n"/>
      <c r="BU227" s="2624">
        <f>SUM(BI227:BT227)</f>
        <v/>
      </c>
    </row>
    <row r="228">
      <c r="A228" s="1436" t="n"/>
      <c r="B228" s="1436" t="n"/>
      <c r="C228" s="1436" t="n"/>
      <c r="D228" s="2614" t="n"/>
      <c r="E228" s="2614" t="n"/>
      <c r="F228" s="2614" t="n"/>
      <c r="G228" s="2614" t="n">
        <v>0</v>
      </c>
      <c r="H228" s="2614" t="n">
        <v>0</v>
      </c>
      <c r="I228" s="2614" t="n">
        <v>0</v>
      </c>
      <c r="J228" s="2614" t="n">
        <v>0</v>
      </c>
      <c r="K228" s="2614" t="n"/>
      <c r="L228" s="2614" t="n"/>
      <c r="M228" s="2614" t="n"/>
      <c r="N228" s="2614" t="n"/>
      <c r="O228" s="2614" t="n"/>
      <c r="P228" s="2614" t="n"/>
      <c r="Q228" s="1436" t="n"/>
      <c r="R228" s="1436" t="n"/>
      <c r="S228" s="2614" t="n"/>
      <c r="T228" s="2614" t="n"/>
      <c r="U228" s="2614" t="n"/>
      <c r="V228" s="1436" t="n"/>
      <c r="W228" s="1436" t="n"/>
      <c r="X228" s="1436" t="n"/>
      <c r="Y228" s="1436" t="n"/>
      <c r="Z228" s="1436" t="n"/>
      <c r="AA228" s="1436" t="n"/>
      <c r="AB228" s="1436" t="n"/>
      <c r="AC228" s="1436" t="n"/>
      <c r="AD228" s="1436" t="n"/>
      <c r="AE228" s="2614" t="n"/>
      <c r="AF228" s="1436" t="n"/>
      <c r="AG228" s="1436" t="n"/>
      <c r="AH228" s="1436" t="n"/>
      <c r="AI228" s="1436" t="n"/>
      <c r="AJ228" s="1436" t="n"/>
      <c r="AK228" s="1436" t="n"/>
      <c r="AL228" s="1436" t="n"/>
      <c r="AM228" s="1436" t="n"/>
      <c r="AN228" s="1436" t="n"/>
      <c r="AO228" s="2614">
        <f>-2821604629-SUM(AG227:AO227)</f>
        <v/>
      </c>
      <c r="AP228" s="2614">
        <f>-2906400059-SUM(AG227:AP227)</f>
        <v/>
      </c>
      <c r="AQ228" s="1436" t="n"/>
      <c r="AR228" s="1436" t="n"/>
      <c r="AS228" s="2614" t="n"/>
      <c r="AU228" s="1436" t="n"/>
      <c r="AV228" s="1436" t="n"/>
      <c r="AW228" s="1436" t="n"/>
      <c r="AX228" s="1436" t="n"/>
      <c r="AY228" s="1436" t="n"/>
      <c r="AZ228" s="1436" t="n"/>
      <c r="BA228" s="1436" t="n"/>
      <c r="BB228" s="1436" t="n"/>
      <c r="BC228" s="1436" t="n"/>
      <c r="BD228" s="1436" t="n"/>
      <c r="BE228" s="1436" t="n"/>
      <c r="BF228" s="1436" t="n"/>
      <c r="BG228" s="2614" t="n"/>
      <c r="BI228" s="1436" t="n"/>
      <c r="BJ228" s="1436" t="n"/>
      <c r="BK228" s="1436" t="n"/>
      <c r="BL228" s="1436" t="n"/>
      <c r="BM228" s="1436" t="n"/>
      <c r="BN228" s="1436" t="n"/>
      <c r="BO228" s="1436" t="n"/>
      <c r="BP228" s="1436" t="n"/>
      <c r="BQ228" s="1436" t="n"/>
      <c r="BR228" s="1436" t="n"/>
      <c r="BS228" s="1436" t="n"/>
      <c r="BT228" s="1436" t="n"/>
      <c r="BU228" s="2614" t="n"/>
    </row>
    <row r="229">
      <c r="A229" s="1436" t="n"/>
      <c r="B229" s="1483" t="inlineStr">
        <is>
          <t>보고장표용 계정 대분류</t>
        </is>
      </c>
      <c r="C229" s="1436" t="n"/>
      <c r="D229" s="2614" t="n"/>
      <c r="E229" s="2614" t="n"/>
      <c r="F229" s="2614" t="n"/>
      <c r="G229" s="1436" t="n"/>
      <c r="H229" s="1436" t="n"/>
      <c r="I229" s="2614" t="n"/>
      <c r="J229" s="2614" t="n"/>
      <c r="K229" s="2614" t="n"/>
      <c r="L229" s="2614" t="n"/>
      <c r="M229" s="2614" t="n"/>
      <c r="N229" s="2614" t="n"/>
      <c r="O229" s="2614" t="n"/>
      <c r="P229" s="2614" t="n"/>
      <c r="Q229" s="1436" t="n"/>
      <c r="R229" s="1436" t="n"/>
      <c r="S229" s="2614" t="n"/>
      <c r="T229" s="2614" t="n"/>
      <c r="U229" s="1436" t="n"/>
      <c r="V229" s="1436" t="n"/>
      <c r="W229" s="1436" t="n"/>
      <c r="X229" s="1436" t="n"/>
      <c r="Y229" s="1436" t="n"/>
      <c r="Z229" s="1436" t="n"/>
      <c r="AA229" s="1436" t="n"/>
      <c r="AB229" s="1436" t="n"/>
      <c r="AC229" s="1436" t="n"/>
      <c r="AD229" s="1436" t="n"/>
      <c r="AE229" s="2614" t="n"/>
      <c r="AF229" s="1436" t="n"/>
      <c r="AG229" s="2614" t="n"/>
      <c r="AH229" s="1436" t="n"/>
      <c r="AI229" s="1436" t="n"/>
      <c r="AJ229" s="1436" t="n"/>
      <c r="AK229" s="1436" t="n"/>
      <c r="AL229" s="1436" t="n"/>
      <c r="AM229" s="1436" t="n"/>
      <c r="AN229" s="1436" t="n"/>
      <c r="AO229" s="1436" t="n"/>
      <c r="AP229" s="1436" t="n"/>
      <c r="AQ229" s="1436" t="n"/>
      <c r="AR229" s="1436" t="n"/>
      <c r="AS229" s="2614" t="n"/>
      <c r="AU229" s="1436" t="n"/>
      <c r="AV229" s="1436" t="n"/>
      <c r="AW229" s="1436" t="n"/>
      <c r="AX229" s="1436" t="n"/>
      <c r="AY229" s="1436" t="n"/>
      <c r="AZ229" s="1436" t="n"/>
      <c r="BA229" s="1436" t="n"/>
      <c r="BB229" s="1436" t="n"/>
      <c r="BC229" s="1436" t="n"/>
      <c r="BD229" s="1436" t="n"/>
      <c r="BE229" s="1436" t="n"/>
      <c r="BF229" s="1436" t="n"/>
      <c r="BG229" s="2614" t="n"/>
      <c r="BI229" s="1436" t="n"/>
      <c r="BJ229" s="1436" t="n"/>
      <c r="BK229" s="1436" t="n"/>
      <c r="BL229" s="1436" t="n"/>
      <c r="BM229" s="1436" t="n"/>
      <c r="BN229" s="1436" t="n"/>
      <c r="BO229" s="1436" t="n"/>
      <c r="BP229" s="1436" t="n"/>
      <c r="BQ229" s="1436" t="n"/>
      <c r="BR229" s="1436" t="n"/>
      <c r="BS229" s="1436" t="n"/>
      <c r="BT229" s="1436" t="n"/>
      <c r="BU229" s="2614" t="n"/>
    </row>
    <row r="230" outlineLevel="1">
      <c r="A230" s="1436" t="n"/>
      <c r="B230" s="1484" t="inlineStr">
        <is>
          <t>인건비</t>
        </is>
      </c>
      <c r="C230" s="1484" t="inlineStr">
        <is>
          <t>인건비 등</t>
        </is>
      </c>
      <c r="D230" s="2627">
        <f>SUMIFS(D$5:D$120,$C$5:$C$120,$C230)</f>
        <v/>
      </c>
      <c r="E230" s="2627">
        <f>SUMIFS(E$5:E$120,$C$5:$C$120,$C230)</f>
        <v/>
      </c>
      <c r="F230" s="2627">
        <f>SUMIFS(F$5:F$120,$C$5:$C$120,$C230)</f>
        <v/>
      </c>
      <c r="G230" s="2627">
        <f>SUMIFS(G$5:G$120,$C$5:$C$120,$C230)</f>
        <v/>
      </c>
      <c r="H230" s="2627">
        <f>SUMIFS(H$5:H$120,$C$5:$C$120,$C230)</f>
        <v/>
      </c>
      <c r="I230" s="2627">
        <f>SUMIFS(I$5:I$120,$C$5:$C$120,$C230)</f>
        <v/>
      </c>
      <c r="J230" s="2627">
        <f>SUMIFS(J$5:J$120,$C$5:$C$120,$C230)</f>
        <v/>
      </c>
      <c r="K230" s="2627">
        <f>SUMIFS(K$5:K$120,$C$5:$C$120,$C230)</f>
        <v/>
      </c>
      <c r="L230" s="2627">
        <f>SUMIFS(L$5:L$120,$C$5:$C$120,$C230)</f>
        <v/>
      </c>
      <c r="M230" s="2627">
        <f>SUMIFS(M$5:M$120,$C$5:$C$120,$C230)</f>
        <v/>
      </c>
      <c r="N230" s="2627">
        <f>SUMIFS(N$5:N$120,$C$5:$C$120,$C230)</f>
        <v/>
      </c>
      <c r="O230" s="2627">
        <f>SUMIFS(O$5:O$120,$C$5:$C$120,$C230)</f>
        <v/>
      </c>
      <c r="P230" s="2626">
        <f>SUM(D230:O230)</f>
        <v/>
      </c>
      <c r="Q230" s="1436" t="n"/>
      <c r="R230" s="1436" t="n"/>
      <c r="S230" s="2627">
        <f>SUMIFS(S$5:S$120,$C$5:$C$120,$C230)</f>
        <v/>
      </c>
      <c r="T230" s="2627">
        <f>SUMIFS(T$5:T$120,$C$5:$C$120,$C230)</f>
        <v/>
      </c>
      <c r="U230" s="2627">
        <f>SUMIFS(U$5:U$120,$C$5:$C$120,$C230)</f>
        <v/>
      </c>
      <c r="V230" s="2627">
        <f>SUMIFS(V$5:V$120,$C$5:$C$120,$C230)</f>
        <v/>
      </c>
      <c r="W230" s="2627">
        <f>SUMIFS(W$5:W$120,$C$5:$C$120,$C230)</f>
        <v/>
      </c>
      <c r="X230" s="2627">
        <f>SUMIFS(X$5:X$120,$C$5:$C$120,$C230)</f>
        <v/>
      </c>
      <c r="Y230" s="2627">
        <f>SUMIFS(Y$5:Y$120,$C$5:$C$120,$C230)</f>
        <v/>
      </c>
      <c r="Z230" s="2627">
        <f>SUMIFS(Z$5:Z$120,$C$5:$C$120,$C230)</f>
        <v/>
      </c>
      <c r="AA230" s="2627">
        <f>SUMIFS(AA$5:AA$120,$C$5:$C$120,$C230)</f>
        <v/>
      </c>
      <c r="AB230" s="2627">
        <f>SUMIFS(AB$5:AB$120,$C$5:$C$120,$C230)</f>
        <v/>
      </c>
      <c r="AC230" s="2627">
        <f>SUMIFS(AC$5:AC$120,$C$5:$C$120,$C230)</f>
        <v/>
      </c>
      <c r="AD230" s="2627">
        <f>SUMIFS(AD$5:AD$120,$C$5:$C$120,$C230)</f>
        <v/>
      </c>
      <c r="AE230" s="2626">
        <f>SUM(S230:AD230)</f>
        <v/>
      </c>
      <c r="AF230" s="1436" t="n"/>
      <c r="AG230" s="2627">
        <f>SUMIFS(AG$5:AG$120,$C$5:$C$120,$C230)</f>
        <v/>
      </c>
      <c r="AH230" s="2627">
        <f>SUMIFS(AH$5:AH$120,$C$5:$C$120,$C230)</f>
        <v/>
      </c>
      <c r="AI230" s="2627">
        <f>SUMIFS(AI$5:AI$120,$C$5:$C$120,$C230)</f>
        <v/>
      </c>
      <c r="AJ230" s="2627">
        <f>SUMIFS(AJ$5:AJ$120,$C$5:$C$120,$C230)</f>
        <v/>
      </c>
      <c r="AK230" s="2627">
        <f>SUMIFS(AK$5:AK$120,$C$5:$C$120,$C230)</f>
        <v/>
      </c>
      <c r="AL230" s="2627">
        <f>SUMIFS(AL$5:AL$120,$C$5:$C$120,$C230)</f>
        <v/>
      </c>
      <c r="AM230" s="2627">
        <f>SUMIFS(AM$5:AM$120,$C$5:$C$120,$C230)</f>
        <v/>
      </c>
      <c r="AN230" s="2627">
        <f>SUMIFS(AN$5:AN$120,$C$5:$C$120,$C230)</f>
        <v/>
      </c>
      <c r="AO230" s="2627">
        <f>SUMIFS(AO$5:AO$120,$C$5:$C$120,$C230)</f>
        <v/>
      </c>
      <c r="AP230" s="2627">
        <f>SUMIFS(AP$5:AP$120,$C$5:$C$120,$C230)</f>
        <v/>
      </c>
      <c r="AQ230" s="2627">
        <f>SUMIFS(AQ$5:AQ$120,$C$5:$C$120,$C230)</f>
        <v/>
      </c>
      <c r="AR230" s="2627">
        <f>SUMIFS(AR$5:AR$120,$C$5:$C$120,$C230)</f>
        <v/>
      </c>
      <c r="AS230" s="2626">
        <f>SUM(AG230:AR230)</f>
        <v/>
      </c>
      <c r="AU230" s="2627">
        <f>SUMIFS(AU$5:AU$120,$C$5:$C$120,$C230)</f>
        <v/>
      </c>
      <c r="AV230" s="2627">
        <f>SUMIFS(AV$5:AV$120,$C$5:$C$120,$C230)</f>
        <v/>
      </c>
      <c r="AW230" s="2627">
        <f>SUMIFS(AW$5:AW$120,$C$5:$C$120,$C230)</f>
        <v/>
      </c>
      <c r="AX230" s="2627">
        <f>SUMIFS(AX$5:AX$120,$C$5:$C$120,$C230)</f>
        <v/>
      </c>
      <c r="AY230" s="2627">
        <f>SUMIFS(AY$5:AY$120,$C$5:$C$120,$C230)</f>
        <v/>
      </c>
      <c r="AZ230" s="2627">
        <f>SUMIFS(AZ$5:AZ$120,$C$5:$C$120,$C230)</f>
        <v/>
      </c>
      <c r="BA230" s="2627">
        <f>SUMIFS(BA$5:BA$120,$C$5:$C$120,$C230)</f>
        <v/>
      </c>
      <c r="BB230" s="2627">
        <f>SUMIFS(BB$5:BB$120,$C$5:$C$120,$C230)</f>
        <v/>
      </c>
      <c r="BC230" s="2627">
        <f>SUMIFS(BC$5:BC$120,$C$5:$C$120,$C230)</f>
        <v/>
      </c>
      <c r="BD230" s="2627">
        <f>SUMIFS(BD$5:BD$120,$C$5:$C$120,$C230)</f>
        <v/>
      </c>
      <c r="BE230" s="2627">
        <f>SUMIFS(BE$5:BE$120,$C$5:$C$120,$C230)</f>
        <v/>
      </c>
      <c r="BF230" s="2627">
        <f>SUMIFS(BF$5:BF$120,$C$5:$C$120,$C230)</f>
        <v/>
      </c>
      <c r="BG230" s="2628">
        <f>SUM(AU230:BF230)</f>
        <v/>
      </c>
      <c r="BI230" s="2627">
        <f>SUMIFS(BI$5:BI$120,$C$5:$C$120,$C230)</f>
        <v/>
      </c>
      <c r="BJ230" s="2627">
        <f>SUMIFS(BJ$5:BJ$120,$C$5:$C$120,$C230)</f>
        <v/>
      </c>
      <c r="BK230" s="2627">
        <f>SUMIFS(BK$5:BK$120,$C$5:$C$120,$C230)</f>
        <v/>
      </c>
      <c r="BL230" s="2627">
        <f>SUMIFS(BL$5:BL$120,$C$5:$C$120,$C230)</f>
        <v/>
      </c>
      <c r="BM230" s="2627">
        <f>SUMIFS(BM$5:BM$120,$C$5:$C$120,$C230)</f>
        <v/>
      </c>
      <c r="BN230" s="2627">
        <f>SUMIFS(BN$5:BN$120,$C$5:$C$120,$C230)</f>
        <v/>
      </c>
      <c r="BO230" s="2627">
        <f>SUMIFS(BO$5:BO$120,$C$5:$C$120,$C230)</f>
        <v/>
      </c>
      <c r="BP230" s="2627">
        <f>SUMIFS(BP$5:BP$120,$C$5:$C$120,$C230)</f>
        <v/>
      </c>
      <c r="BQ230" s="2627">
        <f>SUMIFS(BQ$5:BQ$120,$C$5:$C$120,$C230)</f>
        <v/>
      </c>
      <c r="BR230" s="2627">
        <f>SUMIFS(BR$5:BR$120,$C$5:$C$120,$C230)</f>
        <v/>
      </c>
      <c r="BS230" s="2627">
        <f>SUMIFS(BS$5:BS$120,$C$5:$C$120,$C230)</f>
        <v/>
      </c>
      <c r="BT230" s="2627">
        <f>SUMIFS(BT$5:BT$120,$C$5:$C$120,$C230)</f>
        <v/>
      </c>
      <c r="BU230" s="2628">
        <f>SUM(BI230:BT230)</f>
        <v/>
      </c>
    </row>
    <row r="231" outlineLevel="1">
      <c r="A231" s="1436" t="n"/>
      <c r="B231" s="1485" t="inlineStr">
        <is>
          <t>로열티</t>
        </is>
      </c>
      <c r="C231" s="1485" t="inlineStr">
        <is>
          <t>로열티&amp;기타</t>
        </is>
      </c>
      <c r="D231" s="2627">
        <f>SUMIFS(D$5:D$120,$C$5:$C$120,$C231)</f>
        <v/>
      </c>
      <c r="E231" s="2627">
        <f>SUMIFS(E$5:E$120,$C$5:$C$120,$C231)</f>
        <v/>
      </c>
      <c r="F231" s="2627">
        <f>SUMIFS(F$5:F$120,$C$5:$C$120,$C231)</f>
        <v/>
      </c>
      <c r="G231" s="2627">
        <f>SUMIFS(G$5:G$120,$C$5:$C$120,$C231)</f>
        <v/>
      </c>
      <c r="H231" s="2627">
        <f>SUMIFS(H$5:H$120,$C$5:$C$120,$C231)</f>
        <v/>
      </c>
      <c r="I231" s="2627">
        <f>SUMIFS(I$5:I$120,$C$5:$C$120,$C231)</f>
        <v/>
      </c>
      <c r="J231" s="2627">
        <f>SUMIFS(J$5:J$120,$C$5:$C$120,$C231)</f>
        <v/>
      </c>
      <c r="K231" s="2627">
        <f>SUMIFS(K$5:K$120,$C$5:$C$120,$C231)</f>
        <v/>
      </c>
      <c r="L231" s="2627">
        <f>SUMIFS(L$5:L$120,$C$5:$C$120,$C231)</f>
        <v/>
      </c>
      <c r="M231" s="2627">
        <f>SUMIFS(M$5:M$120,$C$5:$C$120,$C231)</f>
        <v/>
      </c>
      <c r="N231" s="2627">
        <f>SUMIFS(N$5:N$120,$C$5:$C$120,$C231)</f>
        <v/>
      </c>
      <c r="O231" s="2627">
        <f>SUMIFS(O$5:O$120,$C$5:$C$120,$C231)</f>
        <v/>
      </c>
      <c r="P231" s="2626">
        <f>SUM(D231:O231)</f>
        <v/>
      </c>
      <c r="Q231" s="1436" t="n"/>
      <c r="R231" s="1436" t="n"/>
      <c r="S231" s="2627">
        <f>SUMIFS(S$5:S$120,$C$5:$C$120,$C231)</f>
        <v/>
      </c>
      <c r="T231" s="2627">
        <f>SUMIFS(T$5:T$120,$C$5:$C$120,$C231)</f>
        <v/>
      </c>
      <c r="U231" s="2627">
        <f>SUMIFS(U$5:U$120,$C$5:$C$120,$C231)</f>
        <v/>
      </c>
      <c r="V231" s="2627">
        <f>SUMIFS(V$5:V$120,$C$5:$C$120,$C231)</f>
        <v/>
      </c>
      <c r="W231" s="2627">
        <f>SUMIFS(W$5:W$120,$C$5:$C$120,$C231)</f>
        <v/>
      </c>
      <c r="X231" s="2627">
        <f>SUMIFS(X$5:X$120,$C$5:$C$120,$C231)</f>
        <v/>
      </c>
      <c r="Y231" s="2627">
        <f>SUMIFS(Y$5:Y$120,$C$5:$C$120,$C231)</f>
        <v/>
      </c>
      <c r="Z231" s="2627">
        <f>SUMIFS(Z$5:Z$120,$C$5:$C$120,$C231)</f>
        <v/>
      </c>
      <c r="AA231" s="2627">
        <f>SUMIFS(AA$5:AA$120,$C$5:$C$120,$C231)</f>
        <v/>
      </c>
      <c r="AB231" s="2627">
        <f>SUMIFS(AB$5:AB$120,$C$5:$C$120,$C231)</f>
        <v/>
      </c>
      <c r="AC231" s="2627">
        <f>SUMIFS(AC$5:AC$120,$C$5:$C$120,$C231)</f>
        <v/>
      </c>
      <c r="AD231" s="2627">
        <f>SUMIFS(AD$5:AD$120,$C$5:$C$120,$C231)</f>
        <v/>
      </c>
      <c r="AE231" s="2626">
        <f>SUM(S231:AD231)</f>
        <v/>
      </c>
      <c r="AF231" s="1436" t="n"/>
      <c r="AG231" s="2627">
        <f>SUMIFS(AG$5:AG$120,$C$5:$C$120,$C231)</f>
        <v/>
      </c>
      <c r="AH231" s="2627">
        <f>SUMIFS(AH$5:AH$120,$C$5:$C$120,$C231)</f>
        <v/>
      </c>
      <c r="AI231" s="2627">
        <f>SUMIFS(AI$5:AI$120,$C$5:$C$120,$C231)</f>
        <v/>
      </c>
      <c r="AJ231" s="2627">
        <f>SUMIFS(AJ$5:AJ$120,$C$5:$C$120,$C231)</f>
        <v/>
      </c>
      <c r="AK231" s="2627">
        <f>SUMIFS(AK$5:AK$120,$C$5:$C$120,$C231)</f>
        <v/>
      </c>
      <c r="AL231" s="2627">
        <f>SUMIFS(AL$5:AL$120,$C$5:$C$120,$C231)</f>
        <v/>
      </c>
      <c r="AM231" s="2627">
        <f>SUMIFS(AM$5:AM$120,$C$5:$C$120,$C231)</f>
        <v/>
      </c>
      <c r="AN231" s="2627">
        <f>SUMIFS(AN$5:AN$120,$C$5:$C$120,$C231)</f>
        <v/>
      </c>
      <c r="AO231" s="2627">
        <f>SUMIFS(AO$5:AO$120,$C$5:$C$120,$C231)</f>
        <v/>
      </c>
      <c r="AP231" s="2627">
        <f>SUMIFS(AP$5:AP$120,$C$5:$C$120,$C231)</f>
        <v/>
      </c>
      <c r="AQ231" s="2627">
        <f>SUMIFS(AQ$5:AQ$120,$C$5:$C$120,$C231)</f>
        <v/>
      </c>
      <c r="AR231" s="2627">
        <f>SUMIFS(AR$5:AR$120,$C$5:$C$120,$C231)</f>
        <v/>
      </c>
      <c r="AS231" s="2626">
        <f>SUM(AG231:AR231)</f>
        <v/>
      </c>
      <c r="AU231" s="2627">
        <f>SUMIFS(AU$5:AU$120,$C$5:$C$120,$C231)</f>
        <v/>
      </c>
      <c r="AV231" s="2627">
        <f>SUMIFS(AV$5:AV$120,$C$5:$C$120,$C231)</f>
        <v/>
      </c>
      <c r="AW231" s="2627">
        <f>SUMIFS(AW$5:AW$120,$C$5:$C$120,$C231)</f>
        <v/>
      </c>
      <c r="AX231" s="2627">
        <f>SUMIFS(AX$5:AX$120,$C$5:$C$120,$C231)</f>
        <v/>
      </c>
      <c r="AY231" s="2627">
        <f>SUMIFS(AY$5:AY$120,$C$5:$C$120,$C231)</f>
        <v/>
      </c>
      <c r="AZ231" s="2627">
        <f>SUMIFS(AZ$5:AZ$120,$C$5:$C$120,$C231)</f>
        <v/>
      </c>
      <c r="BA231" s="2627">
        <f>SUMIFS(BA$5:BA$120,$C$5:$C$120,$C231)</f>
        <v/>
      </c>
      <c r="BB231" s="2627">
        <f>SUMIFS(BB$5:BB$120,$C$5:$C$120,$C231)</f>
        <v/>
      </c>
      <c r="BC231" s="2627">
        <f>SUMIFS(BC$5:BC$120,$C$5:$C$120,$C231)</f>
        <v/>
      </c>
      <c r="BD231" s="2627">
        <f>SUMIFS(BD$5:BD$120,$C$5:$C$120,$C231)</f>
        <v/>
      </c>
      <c r="BE231" s="2627">
        <f>SUMIFS(BE$5:BE$120,$C$5:$C$120,$C231)</f>
        <v/>
      </c>
      <c r="BF231" s="2627">
        <f>SUMIFS(BF$5:BF$120,$C$5:$C$120,$C231)</f>
        <v/>
      </c>
      <c r="BG231" s="2628">
        <f>SUM(AU231:BF231)</f>
        <v/>
      </c>
      <c r="BI231" s="2627">
        <f>SUMIFS(BI$5:BI$120,$C$5:$C$120,$C231)</f>
        <v/>
      </c>
      <c r="BJ231" s="2627">
        <f>SUMIFS(BJ$5:BJ$120,$C$5:$C$120,$C231)</f>
        <v/>
      </c>
      <c r="BK231" s="2627">
        <f>SUMIFS(BK$5:BK$120,$C$5:$C$120,$C231)</f>
        <v/>
      </c>
      <c r="BL231" s="2627">
        <f>SUMIFS(BL$5:BL$120,$C$5:$C$120,$C231)</f>
        <v/>
      </c>
      <c r="BM231" s="2627">
        <f>SUMIFS(BM$5:BM$120,$C$5:$C$120,$C231)</f>
        <v/>
      </c>
      <c r="BN231" s="2627">
        <f>SUMIFS(BN$5:BN$120,$C$5:$C$120,$C231)</f>
        <v/>
      </c>
      <c r="BO231" s="2627">
        <f>SUMIFS(BO$5:BO$120,$C$5:$C$120,$C231)</f>
        <v/>
      </c>
      <c r="BP231" s="2627">
        <f>SUMIFS(BP$5:BP$120,$C$5:$C$120,$C231)</f>
        <v/>
      </c>
      <c r="BQ231" s="2627">
        <f>SUMIFS(BQ$5:BQ$120,$C$5:$C$120,$C231)</f>
        <v/>
      </c>
      <c r="BR231" s="2627">
        <f>SUMIFS(BR$5:BR$120,$C$5:$C$120,$C231)</f>
        <v/>
      </c>
      <c r="BS231" s="2627">
        <f>SUMIFS(BS$5:BS$120,$C$5:$C$120,$C231)</f>
        <v/>
      </c>
      <c r="BT231" s="2627">
        <f>SUMIFS(BT$5:BT$120,$C$5:$C$120,$C231)</f>
        <v/>
      </c>
      <c r="BU231" s="2628">
        <f>SUM(BI231:BT231)</f>
        <v/>
      </c>
    </row>
    <row r="232" outlineLevel="1">
      <c r="A232" s="1436" t="n"/>
      <c r="B232" s="1485" t="inlineStr">
        <is>
          <t>마케팅비</t>
        </is>
      </c>
      <c r="C232" s="1485" t="inlineStr">
        <is>
          <t>마케팅</t>
        </is>
      </c>
      <c r="D232" s="2627">
        <f>SUMIFS(D$5:D$120,$C$5:$C$120,$C232)</f>
        <v/>
      </c>
      <c r="E232" s="2627">
        <f>SUMIFS(E$5:E$120,$C$5:$C$120,$C232)</f>
        <v/>
      </c>
      <c r="F232" s="2627">
        <f>SUMIFS(F$5:F$120,$C$5:$C$120,$C232)</f>
        <v/>
      </c>
      <c r="G232" s="2627">
        <f>SUMIFS(G$5:G$120,$C$5:$C$120,$C232)</f>
        <v/>
      </c>
      <c r="H232" s="2627">
        <f>SUMIFS(H$5:H$120,$C$5:$C$120,$C232)</f>
        <v/>
      </c>
      <c r="I232" s="2627">
        <f>SUMIFS(I$5:I$120,$C$5:$C$120,$C232)</f>
        <v/>
      </c>
      <c r="J232" s="2627">
        <f>SUMIFS(J$5:J$120,$C$5:$C$120,$C232)</f>
        <v/>
      </c>
      <c r="K232" s="2627">
        <f>SUMIFS(K$5:K$120,$C$5:$C$120,$C232)</f>
        <v/>
      </c>
      <c r="L232" s="2627">
        <f>SUMIFS(L$5:L$120,$C$5:$C$120,$C232)</f>
        <v/>
      </c>
      <c r="M232" s="2627">
        <f>SUMIFS(M$5:M$120,$C$5:$C$120,$C232)</f>
        <v/>
      </c>
      <c r="N232" s="2627">
        <f>SUMIFS(N$5:N$120,$C$5:$C$120,$C232)</f>
        <v/>
      </c>
      <c r="O232" s="2627">
        <f>SUMIFS(O$5:O$120,$C$5:$C$120,$C232)</f>
        <v/>
      </c>
      <c r="P232" s="2626">
        <f>SUM(D232:O232)</f>
        <v/>
      </c>
      <c r="Q232" s="1436" t="n"/>
      <c r="R232" s="1436" t="n"/>
      <c r="S232" s="2627">
        <f>SUMIFS(S$5:S$120,$C$5:$C$120,$C232)</f>
        <v/>
      </c>
      <c r="T232" s="2627">
        <f>SUMIFS(T$5:T$120,$C$5:$C$120,$C232)</f>
        <v/>
      </c>
      <c r="U232" s="2627">
        <f>SUMIFS(U$5:U$120,$C$5:$C$120,$C232)</f>
        <v/>
      </c>
      <c r="V232" s="2627">
        <f>SUMIFS(V$5:V$120,$C$5:$C$120,$C232)</f>
        <v/>
      </c>
      <c r="W232" s="2627">
        <f>SUMIFS(W$5:W$120,$C$5:$C$120,$C232)</f>
        <v/>
      </c>
      <c r="X232" s="2627">
        <f>SUMIFS(X$5:X$120,$C$5:$C$120,$C232)</f>
        <v/>
      </c>
      <c r="Y232" s="2627">
        <f>SUMIFS(Y$5:Y$120,$C$5:$C$120,$C232)</f>
        <v/>
      </c>
      <c r="Z232" s="2627">
        <f>SUMIFS(Z$5:Z$120,$C$5:$C$120,$C232)</f>
        <v/>
      </c>
      <c r="AA232" s="2627">
        <f>SUMIFS(AA$5:AA$120,$C$5:$C$120,$C232)</f>
        <v/>
      </c>
      <c r="AB232" s="2627">
        <f>SUMIFS(AB$5:AB$120,$C$5:$C$120,$C232)</f>
        <v/>
      </c>
      <c r="AC232" s="2627">
        <f>SUMIFS(AC$5:AC$120,$C$5:$C$120,$C232)</f>
        <v/>
      </c>
      <c r="AD232" s="2627">
        <f>SUMIFS(AD$5:AD$120,$C$5:$C$120,$C232)</f>
        <v/>
      </c>
      <c r="AE232" s="2626">
        <f>SUM(S232:AD232)</f>
        <v/>
      </c>
      <c r="AF232" s="1436" t="n"/>
      <c r="AG232" s="2627">
        <f>SUMIFS(AG$5:AG$120,$C$5:$C$120,$C232)</f>
        <v/>
      </c>
      <c r="AH232" s="2627">
        <f>SUMIFS(AH$5:AH$120,$C$5:$C$120,$C232)</f>
        <v/>
      </c>
      <c r="AI232" s="2627">
        <f>SUMIFS(AI$5:AI$120,$C$5:$C$120,$C232)</f>
        <v/>
      </c>
      <c r="AJ232" s="2627">
        <f>SUMIFS(AJ$5:AJ$120,$C$5:$C$120,$C232)</f>
        <v/>
      </c>
      <c r="AK232" s="2627">
        <f>SUMIFS(AK$5:AK$120,$C$5:$C$120,$C232)</f>
        <v/>
      </c>
      <c r="AL232" s="2627">
        <f>SUMIFS(AL$5:AL$120,$C$5:$C$120,$C232)</f>
        <v/>
      </c>
      <c r="AM232" s="2627">
        <f>SUMIFS(AM$5:AM$120,$C$5:$C$120,$C232)</f>
        <v/>
      </c>
      <c r="AN232" s="2627">
        <f>SUMIFS(AN$5:AN$120,$C$5:$C$120,$C232)</f>
        <v/>
      </c>
      <c r="AO232" s="2627">
        <f>SUMIFS(AO$5:AO$120,$C$5:$C$120,$C232)</f>
        <v/>
      </c>
      <c r="AP232" s="2627">
        <f>SUMIFS(AP$5:AP$120,$C$5:$C$120,$C232)</f>
        <v/>
      </c>
      <c r="AQ232" s="2627">
        <f>SUMIFS(AQ$5:AQ$120,$C$5:$C$120,$C232)</f>
        <v/>
      </c>
      <c r="AR232" s="2627">
        <f>SUMIFS(AR$5:AR$120,$C$5:$C$120,$C232)</f>
        <v/>
      </c>
      <c r="AS232" s="2626">
        <f>SUM(AG232:AR232)</f>
        <v/>
      </c>
      <c r="AU232" s="2627">
        <f>SUMIFS(AU$5:AU$120,$C$5:$C$120,$C232)</f>
        <v/>
      </c>
      <c r="AV232" s="2627">
        <f>SUMIFS(AV$5:AV$120,$C$5:$C$120,$C232)</f>
        <v/>
      </c>
      <c r="AW232" s="2627">
        <f>SUMIFS(AW$5:AW$120,$C$5:$C$120,$C232)</f>
        <v/>
      </c>
      <c r="AX232" s="2627">
        <f>SUMIFS(AX$5:AX$120,$C$5:$C$120,$C232)</f>
        <v/>
      </c>
      <c r="AY232" s="2627">
        <f>SUMIFS(AY$5:AY$120,$C$5:$C$120,$C232)</f>
        <v/>
      </c>
      <c r="AZ232" s="2627">
        <f>SUMIFS(AZ$5:AZ$120,$C$5:$C$120,$C232)</f>
        <v/>
      </c>
      <c r="BA232" s="2627">
        <f>SUMIFS(BA$5:BA$120,$C$5:$C$120,$C232)</f>
        <v/>
      </c>
      <c r="BB232" s="2627">
        <f>SUMIFS(BB$5:BB$120,$C$5:$C$120,$C232)</f>
        <v/>
      </c>
      <c r="BC232" s="2627">
        <f>SUMIFS(BC$5:BC$120,$C$5:$C$120,$C232)</f>
        <v/>
      </c>
      <c r="BD232" s="2627">
        <f>SUMIFS(BD$5:BD$120,$C$5:$C$120,$C232)</f>
        <v/>
      </c>
      <c r="BE232" s="2627">
        <f>SUMIFS(BE$5:BE$120,$C$5:$C$120,$C232)</f>
        <v/>
      </c>
      <c r="BF232" s="2627">
        <f>SUMIFS(BF$5:BF$120,$C$5:$C$120,$C232)</f>
        <v/>
      </c>
      <c r="BG232" s="2628">
        <f>SUM(AU232:BF232)</f>
        <v/>
      </c>
      <c r="BI232" s="2627">
        <f>SUMIFS(BI$5:BI$120,$C$5:$C$120,$C232)</f>
        <v/>
      </c>
      <c r="BJ232" s="2627">
        <f>SUMIFS(BJ$5:BJ$120,$C$5:$C$120,$C232)</f>
        <v/>
      </c>
      <c r="BK232" s="2627">
        <f>SUMIFS(BK$5:BK$120,$C$5:$C$120,$C232)</f>
        <v/>
      </c>
      <c r="BL232" s="2627">
        <f>SUMIFS(BL$5:BL$120,$C$5:$C$120,$C232)</f>
        <v/>
      </c>
      <c r="BM232" s="2627">
        <f>SUMIFS(BM$5:BM$120,$C$5:$C$120,$C232)</f>
        <v/>
      </c>
      <c r="BN232" s="2627">
        <f>SUMIFS(BN$5:BN$120,$C$5:$C$120,$C232)</f>
        <v/>
      </c>
      <c r="BO232" s="2627">
        <f>SUMIFS(BO$5:BO$120,$C$5:$C$120,$C232)</f>
        <v/>
      </c>
      <c r="BP232" s="2627">
        <f>SUMIFS(BP$5:BP$120,$C$5:$C$120,$C232)</f>
        <v/>
      </c>
      <c r="BQ232" s="2627">
        <f>SUMIFS(BQ$5:BQ$120,$C$5:$C$120,$C232)</f>
        <v/>
      </c>
      <c r="BR232" s="2627">
        <f>SUMIFS(BR$5:BR$120,$C$5:$C$120,$C232)</f>
        <v/>
      </c>
      <c r="BS232" s="2627">
        <f>SUMIFS(BS$5:BS$120,$C$5:$C$120,$C232)</f>
        <v/>
      </c>
      <c r="BT232" s="2627">
        <f>SUMIFS(BT$5:BT$120,$C$5:$C$120,$C232)</f>
        <v/>
      </c>
      <c r="BU232" s="2628">
        <f>SUM(BI232:BT232)</f>
        <v/>
      </c>
    </row>
    <row r="233" outlineLevel="1">
      <c r="A233" s="1436" t="n"/>
      <c r="B233" s="1485" t="inlineStr">
        <is>
          <t>지급수수료</t>
        </is>
      </c>
      <c r="C233" s="1485" t="inlineStr">
        <is>
          <t>지급수수료</t>
        </is>
      </c>
      <c r="D233" s="2627">
        <f>SUMIFS(D$5:D$120,$C$5:$C$120,$C233)</f>
        <v/>
      </c>
      <c r="E233" s="2627">
        <f>SUMIFS(E$5:E$120,$C$5:$C$120,$C233)</f>
        <v/>
      </c>
      <c r="F233" s="2627">
        <f>SUMIFS(F$5:F$120,$C$5:$C$120,$C233)</f>
        <v/>
      </c>
      <c r="G233" s="2627">
        <f>SUMIFS(G$5:G$120,$C$5:$C$120,$C233)</f>
        <v/>
      </c>
      <c r="H233" s="2627">
        <f>SUMIFS(H$5:H$120,$C$5:$C$120,$C233)</f>
        <v/>
      </c>
      <c r="I233" s="2627">
        <f>SUMIFS(I$5:I$120,$C$5:$C$120,$C233)</f>
        <v/>
      </c>
      <c r="J233" s="2627">
        <f>SUMIFS(J$5:J$120,$C$5:$C$120,$C233)</f>
        <v/>
      </c>
      <c r="K233" s="2627">
        <f>SUMIFS(K$5:K$120,$C$5:$C$120,$C233)</f>
        <v/>
      </c>
      <c r="L233" s="2627">
        <f>SUMIFS(L$5:L$120,$C$5:$C$120,$C233)</f>
        <v/>
      </c>
      <c r="M233" s="2627">
        <f>SUMIFS(M$5:M$120,$C$5:$C$120,$C233)</f>
        <v/>
      </c>
      <c r="N233" s="2627">
        <f>SUMIFS(N$5:N$120,$C$5:$C$120,$C233)</f>
        <v/>
      </c>
      <c r="O233" s="2627">
        <f>SUMIFS(O$5:O$120,$C$5:$C$120,$C233)</f>
        <v/>
      </c>
      <c r="P233" s="2626">
        <f>SUM(D233:O233)</f>
        <v/>
      </c>
      <c r="Q233" s="1436" t="n"/>
      <c r="R233" s="1436" t="n"/>
      <c r="S233" s="2627">
        <f>SUMIFS(S$5:S$120,$C$5:$C$120,$C233)</f>
        <v/>
      </c>
      <c r="T233" s="2627">
        <f>SUMIFS(T$5:T$120,$C$5:$C$120,$C233)</f>
        <v/>
      </c>
      <c r="U233" s="2627">
        <f>SUMIFS(U$5:U$120,$C$5:$C$120,$C233)</f>
        <v/>
      </c>
      <c r="V233" s="2627">
        <f>SUMIFS(V$5:V$120,$C$5:$C$120,$C233)</f>
        <v/>
      </c>
      <c r="W233" s="2627">
        <f>SUMIFS(W$5:W$120,$C$5:$C$120,$C233)</f>
        <v/>
      </c>
      <c r="X233" s="2627">
        <f>SUMIFS(X$5:X$120,$C$5:$C$120,$C233)</f>
        <v/>
      </c>
      <c r="Y233" s="2627">
        <f>SUMIFS(Y$5:Y$120,$C$5:$C$120,$C233)</f>
        <v/>
      </c>
      <c r="Z233" s="2627">
        <f>SUMIFS(Z$5:Z$120,$C$5:$C$120,$C233)</f>
        <v/>
      </c>
      <c r="AA233" s="2627">
        <f>SUMIFS(AA$5:AA$120,$C$5:$C$120,$C233)</f>
        <v/>
      </c>
      <c r="AB233" s="2627">
        <f>SUMIFS(AB$5:AB$120,$C$5:$C$120,$C233)</f>
        <v/>
      </c>
      <c r="AC233" s="2627">
        <f>SUMIFS(AC$5:AC$120,$C$5:$C$120,$C233)</f>
        <v/>
      </c>
      <c r="AD233" s="2627">
        <f>SUMIFS(AD$5:AD$120,$C$5:$C$120,$C233)</f>
        <v/>
      </c>
      <c r="AE233" s="2626">
        <f>SUM(S233:AD233)</f>
        <v/>
      </c>
      <c r="AF233" s="1436" t="n"/>
      <c r="AG233" s="2627">
        <f>SUMIFS(AG$5:AG$120,$C$5:$C$120,$C233)</f>
        <v/>
      </c>
      <c r="AH233" s="2627">
        <f>SUMIFS(AH$5:AH$120,$C$5:$C$120,$C233)</f>
        <v/>
      </c>
      <c r="AI233" s="2627">
        <f>SUMIFS(AI$5:AI$120,$C$5:$C$120,$C233)</f>
        <v/>
      </c>
      <c r="AJ233" s="2627">
        <f>SUMIFS(AJ$5:AJ$120,$C$5:$C$120,$C233)</f>
        <v/>
      </c>
      <c r="AK233" s="2627">
        <f>SUMIFS(AK$5:AK$120,$C$5:$C$120,$C233)</f>
        <v/>
      </c>
      <c r="AL233" s="2627">
        <f>SUMIFS(AL$5:AL$120,$C$5:$C$120,$C233)</f>
        <v/>
      </c>
      <c r="AM233" s="2627">
        <f>SUMIFS(AM$5:AM$120,$C$5:$C$120,$C233)</f>
        <v/>
      </c>
      <c r="AN233" s="2627">
        <f>SUMIFS(AN$5:AN$120,$C$5:$C$120,$C233)</f>
        <v/>
      </c>
      <c r="AO233" s="2627">
        <f>SUMIFS(AO$5:AO$120,$C$5:$C$120,$C233)</f>
        <v/>
      </c>
      <c r="AP233" s="2627">
        <f>SUMIFS(AP$5:AP$120,$C$5:$C$120,$C233)</f>
        <v/>
      </c>
      <c r="AQ233" s="2627">
        <f>SUMIFS(AQ$5:AQ$120,$C$5:$C$120,$C233)</f>
        <v/>
      </c>
      <c r="AR233" s="2627">
        <f>SUMIFS(AR$5:AR$120,$C$5:$C$120,$C233)</f>
        <v/>
      </c>
      <c r="AS233" s="2626">
        <f>SUM(AG233:AR233)</f>
        <v/>
      </c>
      <c r="AU233" s="2627">
        <f>SUMIFS(AU$5:AU$120,$C$5:$C$120,$C233)</f>
        <v/>
      </c>
      <c r="AV233" s="2627">
        <f>SUMIFS(AV$5:AV$120,$C$5:$C$120,$C233)</f>
        <v/>
      </c>
      <c r="AW233" s="2627">
        <f>SUMIFS(AW$5:AW$120,$C$5:$C$120,$C233)</f>
        <v/>
      </c>
      <c r="AX233" s="2627">
        <f>SUMIFS(AX$5:AX$120,$C$5:$C$120,$C233)</f>
        <v/>
      </c>
      <c r="AY233" s="2627">
        <f>SUMIFS(AY$5:AY$120,$C$5:$C$120,$C233)</f>
        <v/>
      </c>
      <c r="AZ233" s="2627">
        <f>SUMIFS(AZ$5:AZ$120,$C$5:$C$120,$C233)</f>
        <v/>
      </c>
      <c r="BA233" s="2627">
        <f>SUMIFS(BA$5:BA$120,$C$5:$C$120,$C233)</f>
        <v/>
      </c>
      <c r="BB233" s="2627">
        <f>SUMIFS(BB$5:BB$120,$C$5:$C$120,$C233)</f>
        <v/>
      </c>
      <c r="BC233" s="2627">
        <f>SUMIFS(BC$5:BC$120,$C$5:$C$120,$C233)</f>
        <v/>
      </c>
      <c r="BD233" s="2627">
        <f>SUMIFS(BD$5:BD$120,$C$5:$C$120,$C233)</f>
        <v/>
      </c>
      <c r="BE233" s="2627">
        <f>SUMIFS(BE$5:BE$120,$C$5:$C$120,$C233)</f>
        <v/>
      </c>
      <c r="BF233" s="2627">
        <f>SUMIFS(BF$5:BF$120,$C$5:$C$120,$C233)</f>
        <v/>
      </c>
      <c r="BG233" s="2628">
        <f>SUM(AU233:BF233)</f>
        <v/>
      </c>
      <c r="BI233" s="2627">
        <f>SUMIFS(BI$5:BI$120,$C$5:$C$120,$C233)</f>
        <v/>
      </c>
      <c r="BJ233" s="2627">
        <f>SUMIFS(BJ$5:BJ$120,$C$5:$C$120,$C233)</f>
        <v/>
      </c>
      <c r="BK233" s="2627">
        <f>SUMIFS(BK$5:BK$120,$C$5:$C$120,$C233)</f>
        <v/>
      </c>
      <c r="BL233" s="2627">
        <f>SUMIFS(BL$5:BL$120,$C$5:$C$120,$C233)</f>
        <v/>
      </c>
      <c r="BM233" s="2627">
        <f>SUMIFS(BM$5:BM$120,$C$5:$C$120,$C233)</f>
        <v/>
      </c>
      <c r="BN233" s="2627">
        <f>SUMIFS(BN$5:BN$120,$C$5:$C$120,$C233)</f>
        <v/>
      </c>
      <c r="BO233" s="2627">
        <f>SUMIFS(BO$5:BO$120,$C$5:$C$120,$C233)</f>
        <v/>
      </c>
      <c r="BP233" s="2627">
        <f>SUMIFS(BP$5:BP$120,$C$5:$C$120,$C233)</f>
        <v/>
      </c>
      <c r="BQ233" s="2627">
        <f>SUMIFS(BQ$5:BQ$120,$C$5:$C$120,$C233)</f>
        <v/>
      </c>
      <c r="BR233" s="2627">
        <f>SUMIFS(BR$5:BR$120,$C$5:$C$120,$C233)</f>
        <v/>
      </c>
      <c r="BS233" s="2627">
        <f>SUMIFS(BS$5:BS$120,$C$5:$C$120,$C233)</f>
        <v/>
      </c>
      <c r="BT233" s="2627">
        <f>SUMIFS(BT$5:BT$120,$C$5:$C$120,$C233)</f>
        <v/>
      </c>
      <c r="BU233" s="2628">
        <f>SUM(BI233:BT233)</f>
        <v/>
      </c>
    </row>
    <row r="234" outlineLevel="1">
      <c r="A234" s="1436" t="n"/>
      <c r="B234" s="1485" t="inlineStr">
        <is>
          <t>기타비용</t>
        </is>
      </c>
      <c r="C234" s="1485" t="inlineStr">
        <is>
          <t>기타</t>
        </is>
      </c>
      <c r="D234" s="2627">
        <f>SUMIFS(D$5:D$120,$C$5:$C$120,$C234)</f>
        <v/>
      </c>
      <c r="E234" s="2627">
        <f>SUMIFS(E$5:E$120,$C$5:$C$120,$C234)</f>
        <v/>
      </c>
      <c r="F234" s="2627">
        <f>SUMIFS(F$5:F$120,$C$5:$C$120,$C234)</f>
        <v/>
      </c>
      <c r="G234" s="2627">
        <f>SUMIFS(G$5:G$120,$C$5:$C$120,$C234)</f>
        <v/>
      </c>
      <c r="H234" s="2627">
        <f>SUMIFS(H$5:H$120,$C$5:$C$120,$C234)</f>
        <v/>
      </c>
      <c r="I234" s="2627">
        <f>SUMIFS(I$5:I$120,$C$5:$C$120,$C234)</f>
        <v/>
      </c>
      <c r="J234" s="2627">
        <f>SUMIFS(J$5:J$120,$C$5:$C$120,$C234)</f>
        <v/>
      </c>
      <c r="K234" s="2627">
        <f>SUMIFS(K$5:K$120,$C$5:$C$120,$C234)</f>
        <v/>
      </c>
      <c r="L234" s="2627">
        <f>SUMIFS(L$5:L$120,$C$5:$C$120,$C234)</f>
        <v/>
      </c>
      <c r="M234" s="2627">
        <f>SUMIFS(M$5:M$120,$C$5:$C$120,$C234)</f>
        <v/>
      </c>
      <c r="N234" s="2627">
        <f>SUMIFS(N$5:N$120,$C$5:$C$120,$C234)</f>
        <v/>
      </c>
      <c r="O234" s="2627">
        <f>SUMIFS(O$5:O$120,$C$5:$C$120,$C234)</f>
        <v/>
      </c>
      <c r="P234" s="2626">
        <f>SUM(D234:O234)</f>
        <v/>
      </c>
      <c r="Q234" s="1436" t="n"/>
      <c r="R234" s="1436" t="n"/>
      <c r="S234" s="2627">
        <f>SUMIFS(S$5:S$120,$C$5:$C$120,$C234)</f>
        <v/>
      </c>
      <c r="T234" s="2627">
        <f>SUMIFS(T$5:T$120,$C$5:$C$120,$C234)</f>
        <v/>
      </c>
      <c r="U234" s="2627">
        <f>SUMIFS(U$5:U$120,$C$5:$C$120,$C234)</f>
        <v/>
      </c>
      <c r="V234" s="2627">
        <f>SUMIFS(V$5:V$120,$C$5:$C$120,$C234)</f>
        <v/>
      </c>
      <c r="W234" s="2627">
        <f>SUMIFS(W$5:W$120,$C$5:$C$120,$C234)</f>
        <v/>
      </c>
      <c r="X234" s="2627">
        <f>SUMIFS(X$5:X$120,$C$5:$C$120,$C234)</f>
        <v/>
      </c>
      <c r="Y234" s="2627">
        <f>SUMIFS(Y$5:Y$120,$C$5:$C$120,$C234)</f>
        <v/>
      </c>
      <c r="Z234" s="2627">
        <f>SUMIFS(Z$5:Z$120,$C$5:$C$120,$C234)</f>
        <v/>
      </c>
      <c r="AA234" s="2627">
        <f>SUMIFS(AA$5:AA$120,$C$5:$C$120,$C234)</f>
        <v/>
      </c>
      <c r="AB234" s="2627">
        <f>SUMIFS(AB$5:AB$120,$C$5:$C$120,$C234)</f>
        <v/>
      </c>
      <c r="AC234" s="2627">
        <f>SUMIFS(AC$5:AC$120,$C$5:$C$120,$C234)</f>
        <v/>
      </c>
      <c r="AD234" s="2627">
        <f>SUMIFS(AD$5:AD$120,$C$5:$C$120,$C234)</f>
        <v/>
      </c>
      <c r="AE234" s="2626">
        <f>SUM(S234:AD234)</f>
        <v/>
      </c>
      <c r="AF234" s="1436" t="n"/>
      <c r="AG234" s="2627">
        <f>SUMIFS(AG$5:AG$120,$C$5:$C$120,$C234)</f>
        <v/>
      </c>
      <c r="AH234" s="2627">
        <f>SUMIFS(AH$5:AH$120,$C$5:$C$120,$C234)</f>
        <v/>
      </c>
      <c r="AI234" s="2627">
        <f>SUMIFS(AI$5:AI$120,$C$5:$C$120,$C234)</f>
        <v/>
      </c>
      <c r="AJ234" s="2627">
        <f>SUMIFS(AJ$5:AJ$120,$C$5:$C$120,$C234)</f>
        <v/>
      </c>
      <c r="AK234" s="2627">
        <f>SUMIFS(AK$5:AK$120,$C$5:$C$120,$C234)</f>
        <v/>
      </c>
      <c r="AL234" s="2627">
        <f>SUMIFS(AL$5:AL$120,$C$5:$C$120,$C234)</f>
        <v/>
      </c>
      <c r="AM234" s="2627">
        <f>SUMIFS(AM$5:AM$120,$C$5:$C$120,$C234)</f>
        <v/>
      </c>
      <c r="AN234" s="2627">
        <f>SUMIFS(AN$5:AN$120,$C$5:$C$120,$C234)</f>
        <v/>
      </c>
      <c r="AO234" s="2627">
        <f>SUMIFS(AO$5:AO$120,$C$5:$C$120,$C234)</f>
        <v/>
      </c>
      <c r="AP234" s="2627">
        <f>SUMIFS(AP$5:AP$120,$C$5:$C$120,$C234)</f>
        <v/>
      </c>
      <c r="AQ234" s="2627">
        <f>SUMIFS(AQ$5:AQ$120,$C$5:$C$120,$C234)</f>
        <v/>
      </c>
      <c r="AR234" s="2627">
        <f>SUMIFS(AR$5:AR$120,$C$5:$C$120,$C234)</f>
        <v/>
      </c>
      <c r="AS234" s="2626">
        <f>SUM(AG234:AR234)</f>
        <v/>
      </c>
      <c r="AU234" s="2627">
        <f>SUMIFS(AU$5:AU$120,$C$5:$C$120,$C234)</f>
        <v/>
      </c>
      <c r="AV234" s="2627">
        <f>SUMIFS(AV$5:AV$120,$C$5:$C$120,$C234)</f>
        <v/>
      </c>
      <c r="AW234" s="2627">
        <f>SUMIFS(AW$5:AW$120,$C$5:$C$120,$C234)</f>
        <v/>
      </c>
      <c r="AX234" s="2627">
        <f>SUMIFS(AX$5:AX$120,$C$5:$C$120,$C234)</f>
        <v/>
      </c>
      <c r="AY234" s="2627">
        <f>SUMIFS(AY$5:AY$120,$C$5:$C$120,$C234)</f>
        <v/>
      </c>
      <c r="AZ234" s="2627">
        <f>SUMIFS(AZ$5:AZ$120,$C$5:$C$120,$C234)</f>
        <v/>
      </c>
      <c r="BA234" s="2627">
        <f>SUMIFS(BA$5:BA$120,$C$5:$C$120,$C234)</f>
        <v/>
      </c>
      <c r="BB234" s="2627">
        <f>SUMIFS(BB$5:BB$120,$C$5:$C$120,$C234)</f>
        <v/>
      </c>
      <c r="BC234" s="2627">
        <f>SUMIFS(BC$5:BC$120,$C$5:$C$120,$C234)</f>
        <v/>
      </c>
      <c r="BD234" s="2627">
        <f>SUMIFS(BD$5:BD$120,$C$5:$C$120,$C234)</f>
        <v/>
      </c>
      <c r="BE234" s="2627">
        <f>SUMIFS(BE$5:BE$120,$C$5:$C$120,$C234)</f>
        <v/>
      </c>
      <c r="BF234" s="2627">
        <f>SUMIFS(BF$5:BF$120,$C$5:$C$120,$C234)</f>
        <v/>
      </c>
      <c r="BG234" s="2628">
        <f>SUM(AU234:BF234)</f>
        <v/>
      </c>
      <c r="BI234" s="2627">
        <f>SUMIFS(BI$5:BI$120,$C$5:$C$120,$C234)</f>
        <v/>
      </c>
      <c r="BJ234" s="2627">
        <f>SUMIFS(BJ$5:BJ$120,$C$5:$C$120,$C234)</f>
        <v/>
      </c>
      <c r="BK234" s="2627">
        <f>SUMIFS(BK$5:BK$120,$C$5:$C$120,$C234)</f>
        <v/>
      </c>
      <c r="BL234" s="2627">
        <f>SUMIFS(BL$5:BL$120,$C$5:$C$120,$C234)</f>
        <v/>
      </c>
      <c r="BM234" s="2627">
        <f>SUMIFS(BM$5:BM$120,$C$5:$C$120,$C234)</f>
        <v/>
      </c>
      <c r="BN234" s="2627">
        <f>SUMIFS(BN$5:BN$120,$C$5:$C$120,$C234)</f>
        <v/>
      </c>
      <c r="BO234" s="2627">
        <f>SUMIFS(BO$5:BO$120,$C$5:$C$120,$C234)</f>
        <v/>
      </c>
      <c r="BP234" s="2627">
        <f>SUMIFS(BP$5:BP$120,$C$5:$C$120,$C234)</f>
        <v/>
      </c>
      <c r="BQ234" s="2627">
        <f>SUMIFS(BQ$5:BQ$120,$C$5:$C$120,$C234)</f>
        <v/>
      </c>
      <c r="BR234" s="2627">
        <f>SUMIFS(BR$5:BR$120,$C$5:$C$120,$C234)</f>
        <v/>
      </c>
      <c r="BS234" s="2627">
        <f>SUMIFS(BS$5:BS$120,$C$5:$C$120,$C234)</f>
        <v/>
      </c>
      <c r="BT234" s="2627">
        <f>SUMIFS(BT$5:BT$120,$C$5:$C$120,$C234)</f>
        <v/>
      </c>
      <c r="BU234" s="2628">
        <f>SUM(BI234:BT234)</f>
        <v/>
      </c>
    </row>
    <row r="235" outlineLevel="1">
      <c r="A235" s="1436" t="n"/>
      <c r="B235" s="1436" t="n"/>
      <c r="C235" s="1436" t="n"/>
      <c r="D235" s="1436" t="n"/>
      <c r="E235" s="1436" t="n"/>
      <c r="F235" s="1436" t="n"/>
      <c r="G235" s="1436" t="n"/>
      <c r="H235" s="1436" t="n"/>
      <c r="I235" s="1436" t="n"/>
      <c r="J235" s="1436" t="n"/>
      <c r="K235" s="1436" t="n"/>
      <c r="L235" s="1436" t="n"/>
      <c r="M235" s="1436" t="n"/>
      <c r="N235" s="1436" t="n"/>
      <c r="O235" s="1436" t="n"/>
      <c r="P235" s="1436" t="n"/>
      <c r="Q235" s="1436" t="n"/>
      <c r="R235" s="1436" t="n"/>
      <c r="S235" s="1436" t="n"/>
      <c r="T235" s="1436" t="n"/>
      <c r="U235" s="1436" t="n"/>
      <c r="V235" s="1436" t="n"/>
      <c r="W235" s="1436" t="n"/>
      <c r="X235" s="1436" t="n"/>
      <c r="Y235" s="1436" t="n"/>
      <c r="Z235" s="1436" t="n"/>
      <c r="AA235" s="1436" t="n"/>
      <c r="AB235" s="1436" t="n"/>
      <c r="AC235" s="1436" t="n"/>
      <c r="AD235" s="1436" t="n"/>
      <c r="AE235" s="1436" t="n"/>
      <c r="AF235" s="1436" t="n"/>
      <c r="AG235" s="1436" t="n"/>
      <c r="AH235" s="1436" t="n"/>
      <c r="AI235" s="1436" t="n"/>
      <c r="AJ235" s="1436" t="n"/>
      <c r="AK235" s="1436" t="n"/>
      <c r="AL235" s="1436" t="n"/>
      <c r="AM235" s="1436" t="n"/>
      <c r="AN235" s="1436" t="n"/>
      <c r="AO235" s="1436" t="n"/>
      <c r="AP235" s="1436" t="n"/>
      <c r="AQ235" s="1436" t="n"/>
      <c r="AR235" s="1436" t="n"/>
      <c r="AS235" s="1436" t="n"/>
      <c r="AU235" s="1436" t="n"/>
      <c r="AV235" s="1436" t="n"/>
      <c r="AW235" s="1436" t="n"/>
      <c r="AX235" s="1436" t="n"/>
      <c r="AY235" s="1436" t="n"/>
      <c r="AZ235" s="1436" t="n"/>
      <c r="BA235" s="1436" t="n"/>
      <c r="BB235" s="1436" t="n"/>
      <c r="BC235" s="1436" t="n"/>
      <c r="BD235" s="1436" t="n"/>
      <c r="BE235" s="1436" t="n"/>
      <c r="BF235" s="1436" t="n"/>
      <c r="BG235" s="1436" t="n"/>
      <c r="BI235" s="1436" t="n"/>
      <c r="BJ235" s="1436" t="n"/>
      <c r="BK235" s="1436" t="n"/>
      <c r="BL235" s="1436" t="n"/>
      <c r="BM235" s="1436" t="n"/>
      <c r="BN235" s="1436" t="n"/>
      <c r="BO235" s="1436" t="n"/>
      <c r="BP235" s="1436" t="n"/>
      <c r="BQ235" s="1436" t="n"/>
      <c r="BR235" s="1436" t="n"/>
      <c r="BS235" s="1436" t="n"/>
      <c r="BT235" s="1436" t="n"/>
      <c r="BU235" s="1436" t="n"/>
    </row>
    <row r="236" outlineLevel="1">
      <c r="A236" s="1436" t="n"/>
      <c r="B236" s="1486" t="n"/>
      <c r="C236" s="1456" t="n"/>
      <c r="D236" s="2627" t="n"/>
      <c r="E236" s="2627" t="n"/>
      <c r="F236" s="2627" t="n"/>
      <c r="G236" s="2627" t="n"/>
      <c r="H236" s="2627" t="n"/>
      <c r="I236" s="2627" t="n"/>
      <c r="J236" s="2627" t="n"/>
      <c r="K236" s="2627" t="n"/>
      <c r="L236" s="2627" t="n"/>
      <c r="M236" s="2627" t="n"/>
      <c r="N236" s="2627" t="n"/>
      <c r="O236" s="2627" t="n"/>
      <c r="P236" s="2627" t="n"/>
      <c r="Q236" s="1436" t="n"/>
      <c r="R236" s="1436" t="n"/>
      <c r="S236" s="2627" t="n"/>
      <c r="T236" s="2627" t="n"/>
      <c r="U236" s="2627" t="n"/>
      <c r="V236" s="2627" t="n"/>
      <c r="W236" s="2627" t="n"/>
      <c r="X236" s="2627" t="n"/>
      <c r="Y236" s="2627" t="n"/>
      <c r="Z236" s="2627" t="n"/>
      <c r="AA236" s="2627" t="n"/>
      <c r="AB236" s="2627" t="n"/>
      <c r="AC236" s="2627" t="n"/>
      <c r="AD236" s="2627" t="n"/>
      <c r="AE236" s="2627" t="n"/>
      <c r="AF236" s="1436" t="n"/>
      <c r="AG236" s="2627" t="n"/>
      <c r="AH236" s="2627" t="n"/>
      <c r="AI236" s="2627" t="n"/>
      <c r="AJ236" s="2627" t="n"/>
      <c r="AK236" s="2627" t="n"/>
      <c r="AL236" s="2627" t="n"/>
      <c r="AM236" s="2627" t="n"/>
      <c r="AN236" s="2627" t="n"/>
      <c r="AO236" s="2627" t="n"/>
      <c r="AP236" s="2627" t="n"/>
      <c r="AQ236" s="2627" t="n"/>
      <c r="AR236" s="2627" t="n"/>
      <c r="AS236" s="2627" t="n"/>
      <c r="AU236" s="2627" t="n"/>
      <c r="AV236" s="2627" t="n"/>
      <c r="AW236" s="2627" t="n"/>
      <c r="AX236" s="2627" t="n"/>
      <c r="AY236" s="2627" t="n"/>
      <c r="AZ236" s="2627" t="n"/>
      <c r="BA236" s="2627" t="n"/>
      <c r="BB236" s="2627" t="n"/>
      <c r="BC236" s="2627" t="n"/>
      <c r="BD236" s="2627" t="n"/>
      <c r="BE236" s="2627" t="n"/>
      <c r="BF236" s="2627" t="n"/>
      <c r="BG236" s="2627" t="n"/>
      <c r="BI236" s="2627" t="n"/>
      <c r="BJ236" s="2627" t="n"/>
      <c r="BK236" s="2627" t="n"/>
      <c r="BL236" s="2627" t="n"/>
      <c r="BM236" s="2627" t="n"/>
      <c r="BN236" s="2627" t="n"/>
      <c r="BO236" s="2627" t="n"/>
      <c r="BP236" s="2627" t="n"/>
      <c r="BQ236" s="2627" t="n"/>
      <c r="BR236" s="2627" t="n"/>
      <c r="BS236" s="2627" t="n"/>
      <c r="BT236" s="2627" t="n"/>
      <c r="BU236" s="2627" t="n"/>
    </row>
    <row r="237" outlineLevel="1">
      <c r="A237" s="1436" t="n"/>
      <c r="B237" s="1486" t="n"/>
      <c r="C237" s="1456" t="n"/>
      <c r="D237" s="2627" t="n"/>
      <c r="E237" s="2627" t="n"/>
      <c r="F237" s="2627" t="n"/>
      <c r="G237" s="2627" t="n"/>
      <c r="H237" s="2627" t="n"/>
      <c r="I237" s="2627" t="n"/>
      <c r="J237" s="2627" t="n"/>
      <c r="K237" s="2627" t="n"/>
      <c r="L237" s="2627" t="n"/>
      <c r="M237" s="2627" t="n"/>
      <c r="N237" s="2627" t="n"/>
      <c r="O237" s="2627" t="n"/>
      <c r="P237" s="2627" t="n"/>
      <c r="Q237" s="1436" t="n"/>
      <c r="R237" s="1436" t="n"/>
      <c r="S237" s="2627" t="n"/>
      <c r="T237" s="2627" t="n"/>
      <c r="U237" s="2627" t="n"/>
      <c r="V237" s="2627" t="n"/>
      <c r="W237" s="2627" t="n"/>
      <c r="X237" s="2627" t="n"/>
      <c r="Y237" s="2627" t="n"/>
      <c r="Z237" s="2627" t="n"/>
      <c r="AA237" s="2627" t="n"/>
      <c r="AB237" s="2627" t="n"/>
      <c r="AC237" s="2627" t="n"/>
      <c r="AD237" s="2627" t="n"/>
      <c r="AE237" s="2627" t="n"/>
      <c r="AF237" s="1436" t="n"/>
      <c r="AG237" s="2627" t="n"/>
      <c r="AH237" s="2627" t="n"/>
      <c r="AI237" s="2627" t="n"/>
      <c r="AJ237" s="2627" t="n"/>
      <c r="AK237" s="2627" t="n"/>
      <c r="AL237" s="2627" t="n"/>
      <c r="AM237" s="2627" t="n"/>
      <c r="AN237" s="2627" t="n"/>
      <c r="AO237" s="2627" t="n"/>
      <c r="AP237" s="2627" t="n"/>
      <c r="AQ237" s="2627" t="n"/>
      <c r="AR237" s="2627" t="n"/>
      <c r="AS237" s="2627" t="n"/>
      <c r="AU237" s="2627" t="n"/>
      <c r="AV237" s="2627" t="n"/>
      <c r="AW237" s="2627" t="n"/>
      <c r="AX237" s="2627" t="n"/>
      <c r="AY237" s="2627" t="n"/>
      <c r="AZ237" s="2627" t="n"/>
      <c r="BA237" s="2627" t="n"/>
      <c r="BB237" s="2627" t="n"/>
      <c r="BC237" s="2627" t="n"/>
      <c r="BD237" s="2627" t="n"/>
      <c r="BE237" s="2627" t="n"/>
      <c r="BF237" s="2627" t="n"/>
      <c r="BG237" s="2627" t="n"/>
      <c r="BI237" s="2627" t="n"/>
      <c r="BJ237" s="2627" t="n"/>
      <c r="BK237" s="2627" t="n"/>
      <c r="BL237" s="2627" t="n"/>
      <c r="BM237" s="2627" t="n"/>
      <c r="BN237" s="2627" t="n"/>
      <c r="BO237" s="2627" t="n"/>
      <c r="BP237" s="2627" t="n"/>
      <c r="BQ237" s="2627" t="n"/>
      <c r="BR237" s="2627" t="n"/>
      <c r="BS237" s="2627" t="n"/>
      <c r="BT237" s="2627" t="n"/>
      <c r="BU237" s="2627" t="n"/>
    </row>
    <row r="238" outlineLevel="1">
      <c r="A238" s="1436" t="n"/>
      <c r="B238" s="1486" t="n"/>
      <c r="C238" s="1456" t="n"/>
      <c r="D238" s="2627" t="n"/>
      <c r="E238" s="2627" t="n"/>
      <c r="F238" s="2627" t="n"/>
      <c r="G238" s="2627" t="n"/>
      <c r="H238" s="2627" t="n"/>
      <c r="I238" s="2627" t="n"/>
      <c r="J238" s="2627" t="n"/>
      <c r="K238" s="2627" t="n"/>
      <c r="L238" s="2627" t="n"/>
      <c r="M238" s="2627" t="n"/>
      <c r="N238" s="2627" t="n"/>
      <c r="O238" s="2627" t="n"/>
      <c r="P238" s="2627" t="n"/>
      <c r="Q238" s="1436" t="n"/>
      <c r="R238" s="1436" t="n"/>
      <c r="S238" s="2627" t="n"/>
      <c r="T238" s="2627" t="n"/>
      <c r="U238" s="2627" t="n"/>
      <c r="V238" s="2627" t="n"/>
      <c r="W238" s="2627" t="n"/>
      <c r="X238" s="2627" t="n"/>
      <c r="Y238" s="2627" t="n"/>
      <c r="Z238" s="2627" t="n"/>
      <c r="AA238" s="2627" t="n"/>
      <c r="AB238" s="2627" t="n"/>
      <c r="AC238" s="2627" t="n"/>
      <c r="AD238" s="2627" t="n"/>
      <c r="AE238" s="2627" t="n"/>
      <c r="AF238" s="1436" t="n"/>
      <c r="AG238" s="2627" t="n"/>
      <c r="AH238" s="2627" t="n"/>
      <c r="AI238" s="2627" t="n"/>
      <c r="AJ238" s="2627" t="n"/>
      <c r="AK238" s="2627" t="n"/>
      <c r="AL238" s="2627" t="n"/>
      <c r="AM238" s="2627" t="n"/>
      <c r="AN238" s="2627" t="n"/>
      <c r="AO238" s="2627" t="n"/>
      <c r="AP238" s="2627" t="n"/>
      <c r="AQ238" s="2627" t="n"/>
      <c r="AR238" s="2627" t="n"/>
      <c r="AS238" s="2627" t="n"/>
      <c r="AU238" s="2627" t="n"/>
      <c r="AV238" s="2627" t="n"/>
      <c r="AW238" s="2627" t="n"/>
      <c r="AX238" s="2627" t="n"/>
      <c r="AY238" s="2627" t="n"/>
      <c r="AZ238" s="2627" t="n"/>
      <c r="BA238" s="2627" t="n"/>
      <c r="BB238" s="2627" t="n"/>
      <c r="BC238" s="2627" t="n"/>
      <c r="BD238" s="2627" t="n"/>
      <c r="BE238" s="2627" t="n"/>
      <c r="BF238" s="2627" t="n"/>
      <c r="BG238" s="2627" t="n"/>
      <c r="BI238" s="2627" t="n"/>
      <c r="BJ238" s="2627" t="n"/>
      <c r="BK238" s="2627" t="n"/>
      <c r="BL238" s="2627" t="n"/>
      <c r="BM238" s="2627" t="n"/>
      <c r="BN238" s="2627" t="n"/>
      <c r="BO238" s="2627" t="n"/>
      <c r="BP238" s="2627" t="n"/>
      <c r="BQ238" s="2627" t="n"/>
      <c r="BR238" s="2627" t="n"/>
      <c r="BS238" s="2627" t="n"/>
      <c r="BT238" s="2627" t="n"/>
      <c r="BU238" s="2627" t="n"/>
    </row>
    <row r="239" outlineLevel="1">
      <c r="A239" s="1436" t="n"/>
      <c r="B239" s="1436" t="inlineStr">
        <is>
          <t>인건비</t>
        </is>
      </c>
      <c r="C239" s="1436" t="inlineStr">
        <is>
          <t>급여</t>
        </is>
      </c>
      <c r="D239" s="2638">
        <f>SUM(D54,D69,D88)</f>
        <v/>
      </c>
      <c r="E239" s="2638">
        <f>SUM(E54,E69,E88)</f>
        <v/>
      </c>
      <c r="F239" s="2638">
        <f>SUM(F54,F69,F88)</f>
        <v/>
      </c>
      <c r="G239" s="2638">
        <f>SUM(G54,G69,G88)</f>
        <v/>
      </c>
      <c r="H239" s="2638">
        <f>SUM(H54,H69,H88)</f>
        <v/>
      </c>
      <c r="I239" s="2638">
        <f>SUM(I54,I69,I88)</f>
        <v/>
      </c>
      <c r="J239" s="2638">
        <f>SUM(J54,J69,J88)</f>
        <v/>
      </c>
      <c r="K239" s="2638">
        <f>SUM(K54,K69,K88)</f>
        <v/>
      </c>
      <c r="L239" s="2638">
        <f>SUM(L54,L69,L88)</f>
        <v/>
      </c>
      <c r="M239" s="2638">
        <f>SUM(M54,M69,M88)</f>
        <v/>
      </c>
      <c r="N239" s="2638">
        <f>SUM(N54,N69,N88)</f>
        <v/>
      </c>
      <c r="O239" s="2638">
        <f>SUM(O54,O69,O88)</f>
        <v/>
      </c>
      <c r="P239" s="2639">
        <f>SUM(D239:O239)</f>
        <v/>
      </c>
      <c r="Q239" s="1436" t="n"/>
      <c r="R239" s="1436" t="n"/>
      <c r="S239" s="2638">
        <f>SUM(S54,S69,S88,S99)</f>
        <v/>
      </c>
      <c r="T239" s="2638">
        <f>SUM(T54,T69,T88,T99)</f>
        <v/>
      </c>
      <c r="U239" s="2638">
        <f>SUM(U54,U69,U88,U99)</f>
        <v/>
      </c>
      <c r="V239" s="2638">
        <f>SUM(V54,V69,V88,V99)</f>
        <v/>
      </c>
      <c r="W239" s="2638">
        <f>SUM(W54,W69,W88,W99)</f>
        <v/>
      </c>
      <c r="X239" s="2638">
        <f>SUM(X54,X69,X88,X99)</f>
        <v/>
      </c>
      <c r="Y239" s="2638">
        <f>SUM(Y54,Y69,Y88,Y99)</f>
        <v/>
      </c>
      <c r="Z239" s="2638">
        <f>SUM(Z54,Z69,Z88,Z99)</f>
        <v/>
      </c>
      <c r="AA239" s="2638">
        <f>SUM(AA54,AA69,AA88,AA99)</f>
        <v/>
      </c>
      <c r="AB239" s="2638">
        <f>SUM(AB54,AB69,AB88,AB99)</f>
        <v/>
      </c>
      <c r="AC239" s="2638">
        <f>SUM(AC54,AC69,AC88,AC99)</f>
        <v/>
      </c>
      <c r="AD239" s="2638">
        <f>SUM(AD54,AD69,AD88,AD99)</f>
        <v/>
      </c>
      <c r="AE239" s="2639">
        <f>SUM(S239:AD239)</f>
        <v/>
      </c>
      <c r="AF239" s="1436" t="n"/>
      <c r="AG239" s="2638">
        <f>SUM(AG54,AG69,AG88,AG99)</f>
        <v/>
      </c>
      <c r="AH239" s="2638">
        <f>SUM(AH54,AH69,AH88,AH99)</f>
        <v/>
      </c>
      <c r="AI239" s="2638">
        <f>SUM(AI54,AI69,AI88,AI99)</f>
        <v/>
      </c>
      <c r="AJ239" s="2638">
        <f>SUM(AJ54,AJ69,AJ88,AJ99)</f>
        <v/>
      </c>
      <c r="AK239" s="2638">
        <f>SUM(AK54,AK69,AK88,AK99)</f>
        <v/>
      </c>
      <c r="AL239" s="2638">
        <f>SUM(AL54,AL69,AL88,AL99)</f>
        <v/>
      </c>
      <c r="AM239" s="2638">
        <f>SUM(AM54,AM69,AM88,AM99)</f>
        <v/>
      </c>
      <c r="AN239" s="2638">
        <f>SUM(AN54,AN69,AN88,AN99)</f>
        <v/>
      </c>
      <c r="AO239" s="2638">
        <f>SUM(AO54,AO69,AO88,AO99)</f>
        <v/>
      </c>
      <c r="AP239" s="2638">
        <f>SUM(AP54,AP69,AP88,AP99)</f>
        <v/>
      </c>
      <c r="AQ239" s="2638">
        <f>SUM(AQ54,AQ69,AQ88,AQ99)</f>
        <v/>
      </c>
      <c r="AR239" s="2638">
        <f>SUM(AR54,AR69,AR88,AR99)</f>
        <v/>
      </c>
      <c r="AS239" s="2639">
        <f>SUM(AG239:AR239)</f>
        <v/>
      </c>
      <c r="AU239" s="2638">
        <f>SUM(AU54,AU69,AU88,AU99)</f>
        <v/>
      </c>
      <c r="AV239" s="2638">
        <f>SUM(AV54,AV69,AV88,AV99)</f>
        <v/>
      </c>
      <c r="AW239" s="2638">
        <f>SUM(AW54,AW69,AW88,AW99)</f>
        <v/>
      </c>
      <c r="AX239" s="2638">
        <f>SUM(AX54,AX69,AX88,AX99)</f>
        <v/>
      </c>
      <c r="AY239" s="2638">
        <f>SUM(AY54,AY69,AY88,AY99)</f>
        <v/>
      </c>
      <c r="AZ239" s="2638">
        <f>SUM(AZ54,AZ69,AZ88,AZ99)</f>
        <v/>
      </c>
      <c r="BA239" s="2638">
        <f>SUM(BA54,BA69,BA88,BA99)</f>
        <v/>
      </c>
      <c r="BB239" s="2638">
        <f>SUM(BB54,BB69,BB88,BB99)</f>
        <v/>
      </c>
      <c r="BC239" s="2638">
        <f>SUM(BC54,BC69,BC88,BC99)</f>
        <v/>
      </c>
      <c r="BD239" s="2638">
        <f>SUM(BD54,BD69,BD88,BD99)</f>
        <v/>
      </c>
      <c r="BE239" s="2638">
        <f>SUM(BE54,BE69,BE88,BE99)</f>
        <v/>
      </c>
      <c r="BF239" s="2638">
        <f>SUM(BF54,BF69,BF88,BF99)</f>
        <v/>
      </c>
      <c r="BG239" s="2640">
        <f>SUM(AU239:BF239)</f>
        <v/>
      </c>
      <c r="BI239" s="2638">
        <f>SUM(BI54,BI69,BI88,BI99)</f>
        <v/>
      </c>
      <c r="BJ239" s="2638">
        <f>SUM(BJ54,BJ69,BJ88,BJ99)</f>
        <v/>
      </c>
      <c r="BK239" s="2638">
        <f>SUM(BK54,BK69,BK88,BK99)</f>
        <v/>
      </c>
      <c r="BL239" s="2638">
        <f>SUM(BL54,BL69,BL88,BL99)</f>
        <v/>
      </c>
      <c r="BM239" s="2638">
        <f>SUM(BM54,BM69,BM88,BM99)</f>
        <v/>
      </c>
      <c r="BN239" s="2638">
        <f>SUM(BN54,BN69,BN88,BN99)</f>
        <v/>
      </c>
      <c r="BO239" s="2638">
        <f>SUM(BO54,BO69,BO88,BO99)</f>
        <v/>
      </c>
      <c r="BP239" s="2638">
        <f>SUM(BP54,BP69,BP88,BP99)</f>
        <v/>
      </c>
      <c r="BQ239" s="2638">
        <f>SUM(BQ54,BQ69,BQ88,BQ99)</f>
        <v/>
      </c>
      <c r="BR239" s="2638">
        <f>SUM(BR54,BR69,BR88,BR99)</f>
        <v/>
      </c>
      <c r="BS239" s="2638">
        <f>SUM(BS54,BS69,BS88,BS99)</f>
        <v/>
      </c>
      <c r="BT239" s="2638">
        <f>SUM(BT54,BT69,BT88,BT99)</f>
        <v/>
      </c>
      <c r="BU239" s="2640">
        <f>SUM(BI239:BT239)</f>
        <v/>
      </c>
    </row>
    <row r="240" outlineLevel="1">
      <c r="A240" s="1436" t="n"/>
      <c r="B240" s="1436" t="n"/>
      <c r="C240" s="1436" t="inlineStr">
        <is>
          <t>상여</t>
        </is>
      </c>
      <c r="D240" s="2638">
        <f>SUM(D55,D89)</f>
        <v/>
      </c>
      <c r="E240" s="2638">
        <f>SUM(E55,E89)</f>
        <v/>
      </c>
      <c r="F240" s="2638">
        <f>SUM(F55,F89)</f>
        <v/>
      </c>
      <c r="G240" s="2638">
        <f>SUM(G55,G89)</f>
        <v/>
      </c>
      <c r="H240" s="2638">
        <f>SUM(H55,H89)</f>
        <v/>
      </c>
      <c r="I240" s="2638">
        <f>SUM(I55,I89)</f>
        <v/>
      </c>
      <c r="J240" s="2638">
        <f>SUM(J55,J89)</f>
        <v/>
      </c>
      <c r="K240" s="2638">
        <f>SUM(K55,K89)</f>
        <v/>
      </c>
      <c r="L240" s="2638">
        <f>SUM(L55,L89)</f>
        <v/>
      </c>
      <c r="M240" s="2638">
        <f>SUM(M55,M89)</f>
        <v/>
      </c>
      <c r="N240" s="2638">
        <f>SUM(N55,N89)</f>
        <v/>
      </c>
      <c r="O240" s="2638">
        <f>SUM(O55,O89)</f>
        <v/>
      </c>
      <c r="P240" s="2639">
        <f>SUM(D240:O240)</f>
        <v/>
      </c>
      <c r="Q240" s="1436" t="n"/>
      <c r="R240" s="1436" t="n"/>
      <c r="S240" s="2638">
        <f>SUM(S55,S89)</f>
        <v/>
      </c>
      <c r="T240" s="2638">
        <f>SUM(T55,T89)</f>
        <v/>
      </c>
      <c r="U240" s="2638">
        <f>SUM(U55,U89)</f>
        <v/>
      </c>
      <c r="V240" s="2638">
        <f>SUM(V55,V89)</f>
        <v/>
      </c>
      <c r="W240" s="2638">
        <f>SUM(W55,W89)</f>
        <v/>
      </c>
      <c r="X240" s="2638">
        <f>SUM(X55,X89)</f>
        <v/>
      </c>
      <c r="Y240" s="2638">
        <f>SUM(Y55,Y89)</f>
        <v/>
      </c>
      <c r="Z240" s="2638">
        <f>SUM(Z55,Z89)</f>
        <v/>
      </c>
      <c r="AA240" s="2638">
        <f>SUM(AA55,AA89)</f>
        <v/>
      </c>
      <c r="AB240" s="2638">
        <f>SUM(AB55,AB89)</f>
        <v/>
      </c>
      <c r="AC240" s="2638">
        <f>SUM(AC55,AC89)</f>
        <v/>
      </c>
      <c r="AD240" s="2638">
        <f>SUM(AD55,AD89)</f>
        <v/>
      </c>
      <c r="AE240" s="2639">
        <f>SUM(S240:AD240)</f>
        <v/>
      </c>
      <c r="AF240" s="1436" t="n"/>
      <c r="AG240" s="2638">
        <f>SUM(AG55,AG89)</f>
        <v/>
      </c>
      <c r="AH240" s="2638">
        <f>SUM(AH55,AH89)</f>
        <v/>
      </c>
      <c r="AI240" s="2638">
        <f>SUM(AI55,AI89)</f>
        <v/>
      </c>
      <c r="AJ240" s="2638">
        <f>SUM(AJ55,AJ89)</f>
        <v/>
      </c>
      <c r="AK240" s="2638">
        <f>SUM(AK55,AK89)</f>
        <v/>
      </c>
      <c r="AL240" s="2638">
        <f>SUM(AL55,AL89)</f>
        <v/>
      </c>
      <c r="AM240" s="2638">
        <f>SUM(AM55,AM89)</f>
        <v/>
      </c>
      <c r="AN240" s="2638">
        <f>SUM(AN55,AN89)</f>
        <v/>
      </c>
      <c r="AO240" s="2638">
        <f>SUM(AO55,AO89)</f>
        <v/>
      </c>
      <c r="AP240" s="2638">
        <f>SUM(AP55,AP89)</f>
        <v/>
      </c>
      <c r="AQ240" s="2638">
        <f>SUM(AQ55,AQ89)</f>
        <v/>
      </c>
      <c r="AR240" s="2638">
        <f>SUM(AR55,AR89)</f>
        <v/>
      </c>
      <c r="AS240" s="2639">
        <f>SUM(AG240:AR240)</f>
        <v/>
      </c>
      <c r="AU240" s="2638">
        <f>SUM(AU55,AU89)</f>
        <v/>
      </c>
      <c r="AV240" s="2638">
        <f>SUM(AV55,AV89)</f>
        <v/>
      </c>
      <c r="AW240" s="2638">
        <f>SUM(AW55,AW89)</f>
        <v/>
      </c>
      <c r="AX240" s="2638">
        <f>SUM(AX55,AX89)</f>
        <v/>
      </c>
      <c r="AY240" s="2638">
        <f>SUM(AY55,AY89)</f>
        <v/>
      </c>
      <c r="AZ240" s="2638">
        <f>SUM(AZ55,AZ89)</f>
        <v/>
      </c>
      <c r="BA240" s="2638">
        <f>SUM(BA55,BA89)</f>
        <v/>
      </c>
      <c r="BB240" s="2638">
        <f>SUM(BB55,BB89)</f>
        <v/>
      </c>
      <c r="BC240" s="2638">
        <f>SUM(BC55,BC89)</f>
        <v/>
      </c>
      <c r="BD240" s="2638">
        <f>SUM(BD55,BD89)</f>
        <v/>
      </c>
      <c r="BE240" s="2638">
        <f>SUM(BE55,BE89)</f>
        <v/>
      </c>
      <c r="BF240" s="2638">
        <f>SUM(BF55,BF89)</f>
        <v/>
      </c>
      <c r="BG240" s="2640">
        <f>SUM(AU240:BF240)</f>
        <v/>
      </c>
      <c r="BI240" s="2638">
        <f>SUM(BI55,BI89)</f>
        <v/>
      </c>
      <c r="BJ240" s="2638">
        <f>SUM(BJ55,BJ89)</f>
        <v/>
      </c>
      <c r="BK240" s="2638">
        <f>SUM(BK55,BK89)</f>
        <v/>
      </c>
      <c r="BL240" s="2638">
        <f>SUM(BL55,BL89)</f>
        <v/>
      </c>
      <c r="BM240" s="2638">
        <f>SUM(BM55,BM89)</f>
        <v/>
      </c>
      <c r="BN240" s="2638">
        <f>SUM(BN55,BN89)</f>
        <v/>
      </c>
      <c r="BO240" s="2638">
        <f>SUM(BO55,BO89)</f>
        <v/>
      </c>
      <c r="BP240" s="2638">
        <f>SUM(BP55,BP89)</f>
        <v/>
      </c>
      <c r="BQ240" s="2638">
        <f>SUM(BQ55,BQ89)</f>
        <v/>
      </c>
      <c r="BR240" s="2638">
        <f>SUM(BR55,BR89)</f>
        <v/>
      </c>
      <c r="BS240" s="2638">
        <f>SUM(BS55,BS89)</f>
        <v/>
      </c>
      <c r="BT240" s="2638">
        <f>SUM(BT55,BT89)</f>
        <v/>
      </c>
      <c r="BU240" s="2640">
        <f>SUM(BI240:BT240)</f>
        <v/>
      </c>
    </row>
    <row r="241" outlineLevel="1">
      <c r="A241" s="1436" t="n"/>
      <c r="B241" s="1436" t="n"/>
      <c r="C241" s="1436" t="inlineStr">
        <is>
          <t>퇴직급여</t>
        </is>
      </c>
      <c r="D241" s="2638">
        <f>SUM(D56,D90)</f>
        <v/>
      </c>
      <c r="E241" s="2638">
        <f>SUM(E56,E90)</f>
        <v/>
      </c>
      <c r="F241" s="2638">
        <f>SUM(F56,F90)</f>
        <v/>
      </c>
      <c r="G241" s="2638">
        <f>SUM(G56,G90)</f>
        <v/>
      </c>
      <c r="H241" s="2638">
        <f>SUM(H56,H90)</f>
        <v/>
      </c>
      <c r="I241" s="2638">
        <f>SUM(I56,I90)</f>
        <v/>
      </c>
      <c r="J241" s="2638">
        <f>SUM(J56,J90)</f>
        <v/>
      </c>
      <c r="K241" s="2638">
        <f>SUM(K56,K90)</f>
        <v/>
      </c>
      <c r="L241" s="2638">
        <f>SUM(L56,L90)</f>
        <v/>
      </c>
      <c r="M241" s="2638">
        <f>SUM(M56,M90)</f>
        <v/>
      </c>
      <c r="N241" s="2638">
        <f>SUM(N56,N90)</f>
        <v/>
      </c>
      <c r="O241" s="2638">
        <f>SUM(O56,O90)</f>
        <v/>
      </c>
      <c r="P241" s="2639">
        <f>SUM(D241:O241)</f>
        <v/>
      </c>
      <c r="Q241" s="1436" t="n"/>
      <c r="R241" s="1436" t="n"/>
      <c r="S241" s="2638">
        <f>SUM(S56,S90)</f>
        <v/>
      </c>
      <c r="T241" s="2638">
        <f>SUM(T56,T90)</f>
        <v/>
      </c>
      <c r="U241" s="2638">
        <f>SUM(U56,U90)</f>
        <v/>
      </c>
      <c r="V241" s="2638">
        <f>SUM(V56,V90)</f>
        <v/>
      </c>
      <c r="W241" s="2638">
        <f>SUM(W56,W90)</f>
        <v/>
      </c>
      <c r="X241" s="2638">
        <f>SUM(X56,X90)</f>
        <v/>
      </c>
      <c r="Y241" s="2638">
        <f>SUM(Y56,Y90)</f>
        <v/>
      </c>
      <c r="Z241" s="2638">
        <f>SUM(Z56,Z90)</f>
        <v/>
      </c>
      <c r="AA241" s="2638">
        <f>SUM(AA56,AA90)</f>
        <v/>
      </c>
      <c r="AB241" s="2638">
        <f>SUM(AB56,AB90)</f>
        <v/>
      </c>
      <c r="AC241" s="2638">
        <f>SUM(AC56,AC90)</f>
        <v/>
      </c>
      <c r="AD241" s="2638">
        <f>SUM(AD56,AD90)</f>
        <v/>
      </c>
      <c r="AE241" s="2639">
        <f>SUM(S241:AD241)</f>
        <v/>
      </c>
      <c r="AF241" s="1436" t="n"/>
      <c r="AG241" s="2638">
        <f>SUM(AG56,AG90)</f>
        <v/>
      </c>
      <c r="AH241" s="2638">
        <f>SUM(AH56,AH90)</f>
        <v/>
      </c>
      <c r="AI241" s="2638">
        <f>SUM(AI56,AI90)</f>
        <v/>
      </c>
      <c r="AJ241" s="2638">
        <f>SUM(AJ56,AJ90)</f>
        <v/>
      </c>
      <c r="AK241" s="2638">
        <f>SUM(AK56,AK90)</f>
        <v/>
      </c>
      <c r="AL241" s="2638">
        <f>SUM(AL56,AL90)</f>
        <v/>
      </c>
      <c r="AM241" s="2638">
        <f>SUM(AM56,AM90)</f>
        <v/>
      </c>
      <c r="AN241" s="2638">
        <f>SUM(AN56,AN90)</f>
        <v/>
      </c>
      <c r="AO241" s="2638">
        <f>SUM(AO56,AO90)</f>
        <v/>
      </c>
      <c r="AP241" s="2638">
        <f>SUM(AP56,AP90)</f>
        <v/>
      </c>
      <c r="AQ241" s="2638">
        <f>SUM(AQ56,AQ90)</f>
        <v/>
      </c>
      <c r="AR241" s="2638">
        <f>SUM(AR56,AR90)</f>
        <v/>
      </c>
      <c r="AS241" s="2639">
        <f>SUM(AG241:AR241)</f>
        <v/>
      </c>
      <c r="AU241" s="2638">
        <f>SUM(AU56,AU90)</f>
        <v/>
      </c>
      <c r="AV241" s="2638">
        <f>SUM(AV56,AV90)</f>
        <v/>
      </c>
      <c r="AW241" s="2638">
        <f>SUM(AW56,AW90)</f>
        <v/>
      </c>
      <c r="AX241" s="2638">
        <f>SUM(AX56,AX90)</f>
        <v/>
      </c>
      <c r="AY241" s="2638">
        <f>SUM(AY56,AY90)</f>
        <v/>
      </c>
      <c r="AZ241" s="2638">
        <f>SUM(AZ56,AZ90)</f>
        <v/>
      </c>
      <c r="BA241" s="2638">
        <f>SUM(BA56,BA90)</f>
        <v/>
      </c>
      <c r="BB241" s="2638">
        <f>SUM(BB56,BB90)</f>
        <v/>
      </c>
      <c r="BC241" s="2638">
        <f>SUM(BC56,BC90)</f>
        <v/>
      </c>
      <c r="BD241" s="2638">
        <f>SUM(BD56,BD90)</f>
        <v/>
      </c>
      <c r="BE241" s="2638">
        <f>SUM(BE56,BE90)</f>
        <v/>
      </c>
      <c r="BF241" s="2638">
        <f>SUM(BF56,BF90)</f>
        <v/>
      </c>
      <c r="BG241" s="2640">
        <f>SUM(AU241:BF241)</f>
        <v/>
      </c>
      <c r="BI241" s="2638">
        <f>SUM(BI56,BI90)</f>
        <v/>
      </c>
      <c r="BJ241" s="2638">
        <f>SUM(BJ56,BJ90)</f>
        <v/>
      </c>
      <c r="BK241" s="2638">
        <f>SUM(BK56,BK90)</f>
        <v/>
      </c>
      <c r="BL241" s="2638">
        <f>SUM(BL56,BL90)</f>
        <v/>
      </c>
      <c r="BM241" s="2638">
        <f>SUM(BM56,BM90)</f>
        <v/>
      </c>
      <c r="BN241" s="2638">
        <f>SUM(BN56,BN90)</f>
        <v/>
      </c>
      <c r="BO241" s="2638">
        <f>SUM(BO56,BO90)</f>
        <v/>
      </c>
      <c r="BP241" s="2638">
        <f>SUM(BP56,BP90)</f>
        <v/>
      </c>
      <c r="BQ241" s="2638">
        <f>SUM(BQ56,BQ90)</f>
        <v/>
      </c>
      <c r="BR241" s="2638">
        <f>SUM(BR56,BR90)</f>
        <v/>
      </c>
      <c r="BS241" s="2638">
        <f>SUM(BS56,BS90)</f>
        <v/>
      </c>
      <c r="BT241" s="2638">
        <f>SUM(BT56,BT90)</f>
        <v/>
      </c>
      <c r="BU241" s="2640">
        <f>SUM(BI241:BT241)</f>
        <v/>
      </c>
    </row>
    <row r="242" outlineLevel="1">
      <c r="A242" s="1436" t="n"/>
      <c r="B242" s="1486" t="n"/>
      <c r="C242" s="1456" t="n"/>
      <c r="D242" s="2627" t="n"/>
      <c r="E242" s="2627" t="n"/>
      <c r="F242" s="2627" t="n"/>
      <c r="G242" s="2627" t="n"/>
      <c r="H242" s="2627" t="n"/>
      <c r="I242" s="2627" t="n"/>
      <c r="J242" s="2627" t="n"/>
      <c r="K242" s="2627" t="n"/>
      <c r="L242" s="2627" t="n"/>
      <c r="M242" s="2627" t="n"/>
      <c r="N242" s="2627" t="n"/>
      <c r="O242" s="2627" t="n"/>
      <c r="P242" s="2627" t="n"/>
      <c r="Q242" s="1436" t="n"/>
      <c r="R242" s="1436" t="n"/>
      <c r="S242" s="2627" t="n"/>
      <c r="T242" s="2627" t="n"/>
      <c r="U242" s="2627" t="n"/>
      <c r="V242" s="2627" t="n"/>
      <c r="W242" s="2627" t="n"/>
      <c r="X242" s="2627" t="n"/>
      <c r="Y242" s="2627" t="n"/>
      <c r="Z242" s="2627" t="n"/>
      <c r="AA242" s="2627" t="n"/>
      <c r="AB242" s="2627" t="n"/>
      <c r="AC242" s="2627" t="n"/>
      <c r="AD242" s="2627" t="n"/>
      <c r="AE242" s="2627" t="n"/>
      <c r="AF242" s="1436" t="n"/>
      <c r="AG242" s="2627" t="n"/>
      <c r="AH242" s="2627" t="n"/>
      <c r="AI242" s="2627" t="n"/>
      <c r="AJ242" s="2627" t="n"/>
      <c r="AK242" s="2627" t="n"/>
      <c r="AL242" s="2627" t="n"/>
      <c r="AM242" s="2627" t="n"/>
      <c r="AN242" s="2627" t="n"/>
      <c r="AO242" s="2627" t="n"/>
      <c r="AP242" s="2627" t="n"/>
      <c r="AQ242" s="2627" t="n"/>
      <c r="AR242" s="2627" t="n"/>
      <c r="AS242" s="2627" t="n"/>
      <c r="AU242" s="2627" t="n"/>
      <c r="AV242" s="2627" t="n"/>
      <c r="AW242" s="2627" t="n"/>
      <c r="AX242" s="2627" t="n"/>
      <c r="AY242" s="2627" t="n"/>
      <c r="AZ242" s="2627" t="n"/>
      <c r="BA242" s="2627" t="n"/>
      <c r="BB242" s="2627" t="n"/>
      <c r="BC242" s="2627" t="n"/>
      <c r="BD242" s="2627" t="n"/>
      <c r="BE242" s="2627" t="n"/>
      <c r="BF242" s="2627" t="n"/>
      <c r="BG242" s="2627" t="n"/>
      <c r="BI242" s="2627" t="n"/>
      <c r="BJ242" s="2627" t="n"/>
      <c r="BK242" s="2627" t="n"/>
      <c r="BL242" s="2627" t="n"/>
      <c r="BM242" s="2627" t="n"/>
      <c r="BN242" s="2627" t="n"/>
      <c r="BO242" s="2627" t="n"/>
      <c r="BP242" s="2627" t="n"/>
      <c r="BQ242" s="2627" t="n"/>
      <c r="BR242" s="2627" t="n"/>
      <c r="BS242" s="2627" t="n"/>
      <c r="BT242" s="2627" t="n"/>
      <c r="BU242" s="2627" t="n"/>
    </row>
    <row r="243" outlineLevel="1">
      <c r="A243" s="1436" t="n"/>
      <c r="B243" s="1436" t="inlineStr">
        <is>
          <t>인건비성경비</t>
        </is>
      </c>
      <c r="C243" s="1436" t="inlineStr">
        <is>
          <t>복리후생비</t>
        </is>
      </c>
      <c r="D243" s="2638">
        <f>SUM(D57,D91)</f>
        <v/>
      </c>
      <c r="E243" s="2638">
        <f>SUM(E57,E91)</f>
        <v/>
      </c>
      <c r="F243" s="2638">
        <f>SUM(F57,F91)</f>
        <v/>
      </c>
      <c r="G243" s="2638">
        <f>SUM(G57,G91)</f>
        <v/>
      </c>
      <c r="H243" s="2638">
        <f>SUM(H57,H91)</f>
        <v/>
      </c>
      <c r="I243" s="2638">
        <f>SUM(I57,I91)</f>
        <v/>
      </c>
      <c r="J243" s="2638">
        <f>SUM(J57,J91)</f>
        <v/>
      </c>
      <c r="K243" s="2638">
        <f>SUM(K57,K91)</f>
        <v/>
      </c>
      <c r="L243" s="2638">
        <f>SUM(L57,L91)</f>
        <v/>
      </c>
      <c r="M243" s="2638">
        <f>SUM(M57,M91)</f>
        <v/>
      </c>
      <c r="N243" s="2638">
        <f>SUM(N57,N91)</f>
        <v/>
      </c>
      <c r="O243" s="2638">
        <f>SUM(O57,O91)</f>
        <v/>
      </c>
      <c r="P243" s="2639">
        <f>SUM(D243:O243)</f>
        <v/>
      </c>
      <c r="Q243" s="1436" t="n"/>
      <c r="R243" s="1436" t="n"/>
      <c r="S243" s="2638">
        <f>SUM(S57,S91)</f>
        <v/>
      </c>
      <c r="T243" s="2638">
        <f>SUM(T57,T91)</f>
        <v/>
      </c>
      <c r="U243" s="2638">
        <f>SUM(U57,U91)</f>
        <v/>
      </c>
      <c r="V243" s="2638">
        <f>SUM(V57,V91)</f>
        <v/>
      </c>
      <c r="W243" s="2638">
        <f>SUM(W57,W91)</f>
        <v/>
      </c>
      <c r="X243" s="2638">
        <f>SUM(X57,X91)</f>
        <v/>
      </c>
      <c r="Y243" s="2638">
        <f>SUM(Y57,Y91)</f>
        <v/>
      </c>
      <c r="Z243" s="2638">
        <f>SUM(Z57,Z91)</f>
        <v/>
      </c>
      <c r="AA243" s="2638">
        <f>SUM(AA57,AA91)</f>
        <v/>
      </c>
      <c r="AB243" s="2638">
        <f>SUM(AB57,AB91)</f>
        <v/>
      </c>
      <c r="AC243" s="2638">
        <f>SUM(AC57,AC91)</f>
        <v/>
      </c>
      <c r="AD243" s="2638">
        <f>SUM(AD57,AD91)</f>
        <v/>
      </c>
      <c r="AE243" s="2639">
        <f>SUM(S243:AD243)</f>
        <v/>
      </c>
      <c r="AF243" s="1436" t="n"/>
      <c r="AG243" s="2638">
        <f>SUM(AG57,AG91)</f>
        <v/>
      </c>
      <c r="AH243" s="2638">
        <f>SUM(AH57,AH91)</f>
        <v/>
      </c>
      <c r="AI243" s="2638">
        <f>SUM(AI57,AI91)</f>
        <v/>
      </c>
      <c r="AJ243" s="2638">
        <f>SUM(AJ57,AJ91)</f>
        <v/>
      </c>
      <c r="AK243" s="2638">
        <f>SUM(AK57,AK91)</f>
        <v/>
      </c>
      <c r="AL243" s="2638">
        <f>SUM(AL57,AL91)</f>
        <v/>
      </c>
      <c r="AM243" s="2638">
        <f>SUM(AM57,AM91)</f>
        <v/>
      </c>
      <c r="AN243" s="2638">
        <f>SUM(AN57,AN91)</f>
        <v/>
      </c>
      <c r="AO243" s="2638">
        <f>SUM(AO57,AO91)</f>
        <v/>
      </c>
      <c r="AP243" s="2638">
        <f>SUM(AP57,AP91)</f>
        <v/>
      </c>
      <c r="AQ243" s="2638">
        <f>SUM(AQ57,AQ91)</f>
        <v/>
      </c>
      <c r="AR243" s="2638">
        <f>SUM(AR57,AR91)</f>
        <v/>
      </c>
      <c r="AS243" s="2639">
        <f>SUM(AG243:AR243)</f>
        <v/>
      </c>
      <c r="AU243" s="2638">
        <f>SUM(AU57,AU91)</f>
        <v/>
      </c>
      <c r="AV243" s="2638">
        <f>SUM(AV57,AV91)</f>
        <v/>
      </c>
      <c r="AW243" s="2638">
        <f>SUM(AW57,AW91)</f>
        <v/>
      </c>
      <c r="AX243" s="2638">
        <f>SUM(AX57,AX91)</f>
        <v/>
      </c>
      <c r="AY243" s="2638">
        <f>SUM(AY57,AY91)</f>
        <v/>
      </c>
      <c r="AZ243" s="2638">
        <f>SUM(AZ57,AZ91)</f>
        <v/>
      </c>
      <c r="BA243" s="2638">
        <f>SUM(BA57,BA91)</f>
        <v/>
      </c>
      <c r="BB243" s="2638">
        <f>SUM(BB57,BB91)</f>
        <v/>
      </c>
      <c r="BC243" s="2638">
        <f>SUM(BC57,BC91)</f>
        <v/>
      </c>
      <c r="BD243" s="2638">
        <f>SUM(BD57,BD91)</f>
        <v/>
      </c>
      <c r="BE243" s="2638">
        <f>SUM(BE57,BE91)</f>
        <v/>
      </c>
      <c r="BF243" s="2638">
        <f>SUM(BF57,BF91)</f>
        <v/>
      </c>
      <c r="BG243" s="2640">
        <f>SUM(AU243:BF243)</f>
        <v/>
      </c>
      <c r="BI243" s="2638">
        <f>SUM(BI57,BI91)</f>
        <v/>
      </c>
      <c r="BJ243" s="2638">
        <f>SUM(BJ57,BJ91)</f>
        <v/>
      </c>
      <c r="BK243" s="2638">
        <f>SUM(BK57,BK91)</f>
        <v/>
      </c>
      <c r="BL243" s="2638">
        <f>SUM(BL57,BL91)</f>
        <v/>
      </c>
      <c r="BM243" s="2638">
        <f>SUM(BM57,BM91)</f>
        <v/>
      </c>
      <c r="BN243" s="2638">
        <f>SUM(BN57,BN91)</f>
        <v/>
      </c>
      <c r="BO243" s="2638">
        <f>SUM(BO57,BO91)</f>
        <v/>
      </c>
      <c r="BP243" s="2638">
        <f>SUM(BP57,BP91)</f>
        <v/>
      </c>
      <c r="BQ243" s="2638">
        <f>SUM(BQ57,BQ91)</f>
        <v/>
      </c>
      <c r="BR243" s="2638">
        <f>SUM(BR57,BR91)</f>
        <v/>
      </c>
      <c r="BS243" s="2638">
        <f>SUM(BS57,BS91)</f>
        <v/>
      </c>
      <c r="BT243" s="2638">
        <f>SUM(BT57,BT91)</f>
        <v/>
      </c>
      <c r="BU243" s="2640">
        <f>SUM(BI243:BT243)</f>
        <v/>
      </c>
    </row>
    <row r="244" outlineLevel="1">
      <c r="A244" s="1436" t="n"/>
      <c r="B244" s="1486" t="n"/>
      <c r="C244" s="1436" t="inlineStr">
        <is>
          <t>여비교통비</t>
        </is>
      </c>
      <c r="D244" s="2638">
        <f>SUM(D59,D93)</f>
        <v/>
      </c>
      <c r="E244" s="2638">
        <f>SUM(E59,E93)</f>
        <v/>
      </c>
      <c r="F244" s="2638">
        <f>SUM(F59,F93)</f>
        <v/>
      </c>
      <c r="G244" s="2638">
        <f>SUM(G59,G93)</f>
        <v/>
      </c>
      <c r="H244" s="2638">
        <f>SUM(H59,H93)</f>
        <v/>
      </c>
      <c r="I244" s="2638">
        <f>SUM(I59,I93)</f>
        <v/>
      </c>
      <c r="J244" s="2638">
        <f>SUM(J59,J93)</f>
        <v/>
      </c>
      <c r="K244" s="2638">
        <f>SUM(K59,K93)</f>
        <v/>
      </c>
      <c r="L244" s="2638">
        <f>SUM(L59,L93)</f>
        <v/>
      </c>
      <c r="M244" s="2638">
        <f>SUM(M59,M93)</f>
        <v/>
      </c>
      <c r="N244" s="2638">
        <f>SUM(N59,N93)</f>
        <v/>
      </c>
      <c r="O244" s="2638">
        <f>SUM(O59,O93)</f>
        <v/>
      </c>
      <c r="P244" s="2639">
        <f>SUM(D244:O244)</f>
        <v/>
      </c>
      <c r="Q244" s="1436" t="n"/>
      <c r="R244" s="1436" t="n"/>
      <c r="S244" s="2638">
        <f>SUM(S59,S93)</f>
        <v/>
      </c>
      <c r="T244" s="2638">
        <f>SUM(T59,T93)</f>
        <v/>
      </c>
      <c r="U244" s="2638">
        <f>SUM(U59,U93)</f>
        <v/>
      </c>
      <c r="V244" s="2638">
        <f>SUM(V59,V93)</f>
        <v/>
      </c>
      <c r="W244" s="2638">
        <f>SUM(W59,W93)</f>
        <v/>
      </c>
      <c r="X244" s="2638">
        <f>SUM(X59,X93)</f>
        <v/>
      </c>
      <c r="Y244" s="2638">
        <f>SUM(Y59,Y93)</f>
        <v/>
      </c>
      <c r="Z244" s="2638">
        <f>SUM(Z59,Z93)</f>
        <v/>
      </c>
      <c r="AA244" s="2638">
        <f>SUM(AA59,AA93)</f>
        <v/>
      </c>
      <c r="AB244" s="2638">
        <f>SUM(AB59,AB93)</f>
        <v/>
      </c>
      <c r="AC244" s="2638">
        <f>SUM(AC59,AC93)</f>
        <v/>
      </c>
      <c r="AD244" s="2638">
        <f>SUM(AD59,AD93)</f>
        <v/>
      </c>
      <c r="AE244" s="2639">
        <f>SUM(S244:AD244)</f>
        <v/>
      </c>
      <c r="AF244" s="1436" t="n"/>
      <c r="AG244" s="2638">
        <f>SUM(AG59,AG93)</f>
        <v/>
      </c>
      <c r="AH244" s="2638">
        <f>SUM(AH59,AH93)</f>
        <v/>
      </c>
      <c r="AI244" s="2638">
        <f>SUM(AI59,AI93)</f>
        <v/>
      </c>
      <c r="AJ244" s="2638">
        <f>SUM(AJ59,AJ93)</f>
        <v/>
      </c>
      <c r="AK244" s="2638">
        <f>SUM(AK59,AK93)</f>
        <v/>
      </c>
      <c r="AL244" s="2638">
        <f>SUM(AL59,AL93)</f>
        <v/>
      </c>
      <c r="AM244" s="2638">
        <f>SUM(AM59,AM93)</f>
        <v/>
      </c>
      <c r="AN244" s="2638">
        <f>SUM(AN59,AN93)</f>
        <v/>
      </c>
      <c r="AO244" s="2638">
        <f>SUM(AO59,AO93)</f>
        <v/>
      </c>
      <c r="AP244" s="2638">
        <f>SUM(AP59,AP93)</f>
        <v/>
      </c>
      <c r="AQ244" s="2638">
        <f>SUM(AQ59,AQ93)</f>
        <v/>
      </c>
      <c r="AR244" s="2638">
        <f>SUM(AR59,AR93)</f>
        <v/>
      </c>
      <c r="AS244" s="2639">
        <f>SUM(AG244:AR244)</f>
        <v/>
      </c>
      <c r="AU244" s="2638">
        <f>SUM(AU59,AU93)</f>
        <v/>
      </c>
      <c r="AV244" s="2638">
        <f>SUM(AV59,AV93)</f>
        <v/>
      </c>
      <c r="AW244" s="2638">
        <f>SUM(AW59,AW93)</f>
        <v/>
      </c>
      <c r="AX244" s="2638">
        <f>SUM(AX59,AX93)</f>
        <v/>
      </c>
      <c r="AY244" s="2638">
        <f>SUM(AY59,AY93)</f>
        <v/>
      </c>
      <c r="AZ244" s="2638">
        <f>SUM(AZ59,AZ93)</f>
        <v/>
      </c>
      <c r="BA244" s="2638">
        <f>SUM(BA59,BA93)</f>
        <v/>
      </c>
      <c r="BB244" s="2638">
        <f>SUM(BB59,BB93)</f>
        <v/>
      </c>
      <c r="BC244" s="2638">
        <f>SUM(BC59,BC93)</f>
        <v/>
      </c>
      <c r="BD244" s="2638">
        <f>SUM(BD59,BD93)</f>
        <v/>
      </c>
      <c r="BE244" s="2638">
        <f>SUM(BE59,BE93)</f>
        <v/>
      </c>
      <c r="BF244" s="2638">
        <f>SUM(BF59,BF93)</f>
        <v/>
      </c>
      <c r="BG244" s="2640">
        <f>SUM(AU244:BF244)</f>
        <v/>
      </c>
      <c r="BI244" s="2638">
        <f>SUM(BI59,BI93)</f>
        <v/>
      </c>
      <c r="BJ244" s="2638">
        <f>SUM(BJ59,BJ93)</f>
        <v/>
      </c>
      <c r="BK244" s="2638">
        <f>SUM(BK59,BK93)</f>
        <v/>
      </c>
      <c r="BL244" s="2638">
        <f>SUM(BL59,BL93)</f>
        <v/>
      </c>
      <c r="BM244" s="2638">
        <f>SUM(BM59,BM93)</f>
        <v/>
      </c>
      <c r="BN244" s="2638">
        <f>SUM(BN59,BN93)</f>
        <v/>
      </c>
      <c r="BO244" s="2638">
        <f>SUM(BO59,BO93)</f>
        <v/>
      </c>
      <c r="BP244" s="2638">
        <f>SUM(BP59,BP93)</f>
        <v/>
      </c>
      <c r="BQ244" s="2638">
        <f>SUM(BQ59,BQ93)</f>
        <v/>
      </c>
      <c r="BR244" s="2638">
        <f>SUM(BR59,BR93)</f>
        <v/>
      </c>
      <c r="BS244" s="2638">
        <f>SUM(BS59,BS93)</f>
        <v/>
      </c>
      <c r="BT244" s="2638">
        <f>SUM(BT59,BT93)</f>
        <v/>
      </c>
      <c r="BU244" s="2640">
        <f>SUM(BI244:BT244)</f>
        <v/>
      </c>
    </row>
    <row r="245" outlineLevel="1">
      <c r="A245" s="1436" t="n"/>
      <c r="B245" s="1486" t="n"/>
      <c r="C245" s="1436" t="inlineStr">
        <is>
          <t>교육훈련비</t>
        </is>
      </c>
      <c r="D245" s="2638">
        <f>SUM(D70,D104)</f>
        <v/>
      </c>
      <c r="E245" s="2638">
        <f>SUM(E70,E104)</f>
        <v/>
      </c>
      <c r="F245" s="2638">
        <f>SUM(F70,F104)</f>
        <v/>
      </c>
      <c r="G245" s="2638">
        <f>SUM(G70,G104)</f>
        <v/>
      </c>
      <c r="H245" s="2638">
        <f>SUM(H70,H104)</f>
        <v/>
      </c>
      <c r="I245" s="2638">
        <f>SUM(I70,I104)</f>
        <v/>
      </c>
      <c r="J245" s="2638">
        <f>SUM(J70,J104)</f>
        <v/>
      </c>
      <c r="K245" s="2638">
        <f>SUM(K70,K104)</f>
        <v/>
      </c>
      <c r="L245" s="2638">
        <f>SUM(L70,L104)</f>
        <v/>
      </c>
      <c r="M245" s="2638">
        <f>SUM(M70,M104)</f>
        <v/>
      </c>
      <c r="N245" s="2638">
        <f>SUM(N70,N104)</f>
        <v/>
      </c>
      <c r="O245" s="2638">
        <f>SUM(O70,O104)</f>
        <v/>
      </c>
      <c r="P245" s="2639">
        <f>SUM(D245:O245)</f>
        <v/>
      </c>
      <c r="Q245" s="1436" t="n"/>
      <c r="R245" s="1436" t="n"/>
      <c r="S245" s="2638">
        <f>SUM(S70,S104)</f>
        <v/>
      </c>
      <c r="T245" s="2638">
        <f>SUM(T70,T104)</f>
        <v/>
      </c>
      <c r="U245" s="2638">
        <f>SUM(U70,U104)</f>
        <v/>
      </c>
      <c r="V245" s="2638">
        <f>SUM(V70,V104)</f>
        <v/>
      </c>
      <c r="W245" s="2638">
        <f>SUM(W70,W104)</f>
        <v/>
      </c>
      <c r="X245" s="2638">
        <f>SUM(X70,X104)</f>
        <v/>
      </c>
      <c r="Y245" s="2638">
        <f>SUM(Y70,Y104)</f>
        <v/>
      </c>
      <c r="Z245" s="2638">
        <f>SUM(Z70,Z104)</f>
        <v/>
      </c>
      <c r="AA245" s="2638">
        <f>SUM(AA70,AA104)</f>
        <v/>
      </c>
      <c r="AB245" s="2638">
        <f>SUM(AB70,AB104)</f>
        <v/>
      </c>
      <c r="AC245" s="2638">
        <f>SUM(AC70,AC104)</f>
        <v/>
      </c>
      <c r="AD245" s="2638">
        <f>SUM(AD70,AD104)</f>
        <v/>
      </c>
      <c r="AE245" s="2639">
        <f>SUM(S245:AD245)</f>
        <v/>
      </c>
      <c r="AF245" s="1436" t="n"/>
      <c r="AG245" s="2638">
        <f>SUM(AG70,AG104)</f>
        <v/>
      </c>
      <c r="AH245" s="2638">
        <f>SUM(AH70,AH104)</f>
        <v/>
      </c>
      <c r="AI245" s="2638">
        <f>SUM(AI70,AI104)</f>
        <v/>
      </c>
      <c r="AJ245" s="2638">
        <f>SUM(AJ70,AJ104)</f>
        <v/>
      </c>
      <c r="AK245" s="2638">
        <f>SUM(AK70,AK104)</f>
        <v/>
      </c>
      <c r="AL245" s="2638">
        <f>SUM(AL70,AL104)</f>
        <v/>
      </c>
      <c r="AM245" s="2638">
        <f>SUM(AM70,AM104)</f>
        <v/>
      </c>
      <c r="AN245" s="2638">
        <f>SUM(AN70,AN104)</f>
        <v/>
      </c>
      <c r="AO245" s="2638">
        <f>SUM(AO70,AO104)</f>
        <v/>
      </c>
      <c r="AP245" s="2638">
        <f>SUM(AP70,AP104)</f>
        <v/>
      </c>
      <c r="AQ245" s="2638">
        <f>SUM(AQ70,AQ104)</f>
        <v/>
      </c>
      <c r="AR245" s="2638">
        <f>SUM(AR70,AR104)</f>
        <v/>
      </c>
      <c r="AS245" s="2639">
        <f>SUM(AG245:AR245)</f>
        <v/>
      </c>
      <c r="AU245" s="2638">
        <f>SUM(AU70,AU104)</f>
        <v/>
      </c>
      <c r="AV245" s="2638">
        <f>SUM(AV70,AV104)</f>
        <v/>
      </c>
      <c r="AW245" s="2638">
        <f>SUM(AW70,AW104)</f>
        <v/>
      </c>
      <c r="AX245" s="2638">
        <f>SUM(AX70,AX104)</f>
        <v/>
      </c>
      <c r="AY245" s="2638">
        <f>SUM(AY70,AY104)</f>
        <v/>
      </c>
      <c r="AZ245" s="2638">
        <f>SUM(AZ70,AZ104)</f>
        <v/>
      </c>
      <c r="BA245" s="2638">
        <f>SUM(BA70,BA104)</f>
        <v/>
      </c>
      <c r="BB245" s="2638">
        <f>SUM(BB70,BB104)</f>
        <v/>
      </c>
      <c r="BC245" s="2638">
        <f>SUM(BC70,BC104)</f>
        <v/>
      </c>
      <c r="BD245" s="2638">
        <f>SUM(BD70,BD104)</f>
        <v/>
      </c>
      <c r="BE245" s="2638">
        <f>SUM(BE70,BE104)</f>
        <v/>
      </c>
      <c r="BF245" s="2638">
        <f>SUM(BF70,BF104)</f>
        <v/>
      </c>
      <c r="BG245" s="2640">
        <f>SUM(AU245:BF245)</f>
        <v/>
      </c>
      <c r="BI245" s="2638">
        <f>SUM(BI70,BI104)</f>
        <v/>
      </c>
      <c r="BJ245" s="2638">
        <f>SUM(BJ70,BJ104)</f>
        <v/>
      </c>
      <c r="BK245" s="2638">
        <f>SUM(BK70,BK104)</f>
        <v/>
      </c>
      <c r="BL245" s="2638">
        <f>SUM(BL70,BL104)</f>
        <v/>
      </c>
      <c r="BM245" s="2638">
        <f>SUM(BM70,BM104)</f>
        <v/>
      </c>
      <c r="BN245" s="2638">
        <f>SUM(BN70,BN104)</f>
        <v/>
      </c>
      <c r="BO245" s="2638">
        <f>SUM(BO70,BO104)</f>
        <v/>
      </c>
      <c r="BP245" s="2638">
        <f>SUM(BP70,BP104)</f>
        <v/>
      </c>
      <c r="BQ245" s="2638">
        <f>SUM(BQ70,BQ104)</f>
        <v/>
      </c>
      <c r="BR245" s="2638">
        <f>SUM(BR70,BR104)</f>
        <v/>
      </c>
      <c r="BS245" s="2638">
        <f>SUM(BS70,BS104)</f>
        <v/>
      </c>
      <c r="BT245" s="2638">
        <f>SUM(BT70,BT104)</f>
        <v/>
      </c>
      <c r="BU245" s="2640">
        <f>SUM(BI245:BT245)</f>
        <v/>
      </c>
    </row>
    <row r="246">
      <c r="A246" s="1436" t="n"/>
      <c r="B246" s="1486" t="n"/>
      <c r="C246" s="1456" t="n"/>
      <c r="D246" s="2627" t="n"/>
      <c r="E246" s="2627" t="n"/>
      <c r="F246" s="2627" t="n"/>
      <c r="G246" s="2627" t="n"/>
      <c r="H246" s="2627" t="n"/>
      <c r="I246" s="2627" t="n"/>
      <c r="J246" s="2627" t="n"/>
      <c r="K246" s="2627" t="n"/>
      <c r="L246" s="2627" t="n"/>
      <c r="M246" s="2627" t="n"/>
      <c r="N246" s="2627" t="n"/>
      <c r="O246" s="2627" t="n"/>
      <c r="P246" s="2627" t="n"/>
      <c r="Q246" s="1436" t="n"/>
      <c r="R246" s="1436" t="n"/>
      <c r="S246" s="2627" t="n"/>
      <c r="T246" s="2627" t="n"/>
      <c r="U246" s="2627" t="n"/>
      <c r="V246" s="2627" t="n"/>
      <c r="W246" s="2627" t="n"/>
      <c r="X246" s="2627" t="n"/>
      <c r="Y246" s="2627" t="n"/>
      <c r="Z246" s="2627" t="n"/>
      <c r="AA246" s="2627" t="n"/>
      <c r="AB246" s="2627" t="n"/>
      <c r="AC246" s="2627" t="n"/>
      <c r="AD246" s="2627" t="n"/>
      <c r="AE246" s="2627" t="n"/>
      <c r="AF246" s="1436" t="n"/>
      <c r="AG246" s="2627" t="n"/>
      <c r="AH246" s="2627" t="n"/>
      <c r="AI246" s="2627" t="n"/>
      <c r="AJ246" s="2627" t="n"/>
      <c r="AK246" s="2627" t="n"/>
      <c r="AL246" s="2627" t="n"/>
      <c r="AM246" s="2627" t="n"/>
      <c r="AN246" s="2627" t="n"/>
      <c r="AO246" s="2627" t="n"/>
      <c r="AP246" s="2627" t="n"/>
      <c r="AQ246" s="2627" t="n"/>
      <c r="AR246" s="2627" t="n"/>
      <c r="AS246" s="2627" t="n"/>
      <c r="AU246" s="2627" t="n"/>
      <c r="AV246" s="2627" t="n"/>
      <c r="AW246" s="2627" t="n"/>
      <c r="AX246" s="2627" t="n"/>
      <c r="AY246" s="2627" t="n"/>
      <c r="AZ246" s="2627" t="n"/>
      <c r="BA246" s="2627" t="n"/>
      <c r="BB246" s="2627" t="n"/>
      <c r="BC246" s="2627" t="n"/>
      <c r="BD246" s="2627" t="n"/>
      <c r="BE246" s="2627" t="n"/>
      <c r="BF246" s="2627" t="n"/>
      <c r="BG246" s="2627" t="n"/>
      <c r="BI246" s="2627" t="n"/>
      <c r="BJ246" s="2627" t="n"/>
      <c r="BK246" s="2627" t="n"/>
      <c r="BL246" s="2627" t="n"/>
      <c r="BM246" s="2627" t="n"/>
      <c r="BN246" s="2627" t="n"/>
      <c r="BO246" s="2627" t="n"/>
      <c r="BP246" s="2627" t="n"/>
      <c r="BQ246" s="2627" t="n"/>
      <c r="BR246" s="2627" t="n"/>
      <c r="BS246" s="2627" t="n"/>
      <c r="BT246" s="2627" t="n"/>
      <c r="BU246" s="2627" t="n"/>
    </row>
    <row r="247">
      <c r="A247" s="1436" t="n"/>
      <c r="B247" s="1486" t="n"/>
      <c r="C247" s="1456" t="n"/>
      <c r="D247" s="2627" t="n"/>
      <c r="E247" s="2627" t="n"/>
      <c r="F247" s="2627" t="n"/>
      <c r="G247" s="2627" t="n"/>
      <c r="H247" s="2627" t="n"/>
      <c r="I247" s="2627" t="n"/>
      <c r="J247" s="2627" t="n"/>
      <c r="K247" s="2627" t="n"/>
      <c r="L247" s="2627" t="n"/>
      <c r="M247" s="2627" t="n"/>
      <c r="N247" s="2627" t="n"/>
      <c r="O247" s="2627" t="n"/>
      <c r="P247" s="2627" t="n"/>
      <c r="Q247" s="1436" t="n"/>
      <c r="R247" s="1436" t="n"/>
      <c r="S247" s="2627" t="n"/>
      <c r="T247" s="2627" t="n"/>
      <c r="U247" s="2627" t="n"/>
      <c r="V247" s="2627" t="n"/>
      <c r="W247" s="2627" t="n"/>
      <c r="X247" s="2627" t="n"/>
      <c r="Y247" s="2627" t="n"/>
      <c r="Z247" s="2627" t="n"/>
      <c r="AA247" s="2627" t="n"/>
      <c r="AB247" s="2627" t="n"/>
      <c r="AC247" s="2627" t="n"/>
      <c r="AD247" s="2627" t="n"/>
      <c r="AE247" s="2627" t="n"/>
      <c r="AF247" s="1436" t="n"/>
      <c r="AG247" s="2627" t="n"/>
      <c r="AH247" s="2627" t="n"/>
      <c r="AI247" s="2627" t="n"/>
      <c r="AJ247" s="2627" t="n"/>
      <c r="AK247" s="2627" t="n"/>
      <c r="AL247" s="2627" t="n"/>
      <c r="AM247" s="2627" t="n"/>
      <c r="AN247" s="2627" t="n"/>
      <c r="AO247" s="2627" t="n"/>
      <c r="AP247" s="2627" t="n"/>
      <c r="AQ247" s="2627" t="n"/>
      <c r="AR247" s="2627" t="n"/>
      <c r="AS247" s="2627" t="n"/>
      <c r="AU247" s="2627" t="n"/>
      <c r="AV247" s="2627" t="n"/>
      <c r="AW247" s="2627" t="n"/>
      <c r="AX247" s="2627" t="n"/>
      <c r="AY247" s="2627" t="n"/>
      <c r="AZ247" s="2627" t="n"/>
      <c r="BA247" s="2627" t="n"/>
      <c r="BB247" s="2627" t="n"/>
      <c r="BC247" s="2627" t="n"/>
      <c r="BD247" s="2627" t="n"/>
      <c r="BE247" s="2627" t="n"/>
      <c r="BF247" s="2627" t="n"/>
      <c r="BG247" s="2627" t="n"/>
      <c r="BI247" s="2627" t="n"/>
      <c r="BJ247" s="2627" t="n"/>
      <c r="BK247" s="2627" t="n"/>
      <c r="BL247" s="2627" t="n"/>
      <c r="BM247" s="2627" t="n"/>
      <c r="BN247" s="2627" t="n"/>
      <c r="BO247" s="2627" t="n"/>
      <c r="BP247" s="2627" t="n"/>
      <c r="BQ247" s="2627" t="n"/>
      <c r="BR247" s="2627" t="n"/>
      <c r="BS247" s="2627" t="n"/>
      <c r="BT247" s="2627" t="n"/>
      <c r="BU247" s="2627" t="n"/>
    </row>
    <row r="248">
      <c r="A248" s="1436" t="n"/>
      <c r="B248" s="1486" t="n"/>
      <c r="C248" s="1456" t="n"/>
      <c r="D248" s="2627" t="n"/>
      <c r="E248" s="2627" t="n"/>
      <c r="F248" s="2627" t="n"/>
      <c r="G248" s="2627" t="n"/>
      <c r="H248" s="2627" t="n"/>
      <c r="I248" s="2627" t="n"/>
      <c r="J248" s="2627" t="n"/>
      <c r="K248" s="2627" t="n"/>
      <c r="L248" s="2627" t="n"/>
      <c r="M248" s="2627" t="n"/>
      <c r="N248" s="2627" t="n"/>
      <c r="O248" s="2627" t="n"/>
      <c r="P248" s="2627" t="n"/>
      <c r="Q248" s="1436" t="n"/>
      <c r="R248" s="1436" t="n"/>
      <c r="S248" s="2627" t="n"/>
      <c r="T248" s="2627" t="n"/>
      <c r="U248" s="2627" t="n"/>
      <c r="V248" s="2627" t="n"/>
      <c r="W248" s="2627" t="n"/>
      <c r="X248" s="2627" t="n"/>
      <c r="Y248" s="2627" t="n"/>
      <c r="Z248" s="2627" t="n"/>
      <c r="AA248" s="2627" t="n"/>
      <c r="AB248" s="2627" t="n"/>
      <c r="AC248" s="2627" t="n"/>
      <c r="AD248" s="2627" t="n"/>
      <c r="AE248" s="2627" t="n"/>
      <c r="AF248" s="1436" t="n"/>
      <c r="AG248" s="2627" t="n"/>
      <c r="AH248" s="2627" t="n"/>
      <c r="AI248" s="2627" t="n"/>
      <c r="AJ248" s="2627" t="n"/>
      <c r="AK248" s="2627" t="n"/>
      <c r="AL248" s="2627" t="n"/>
      <c r="AM248" s="2627" t="n"/>
      <c r="AN248" s="2627" t="n"/>
      <c r="AO248" s="2627" t="n"/>
      <c r="AP248" s="2627" t="n"/>
      <c r="AQ248" s="2627" t="n"/>
      <c r="AR248" s="2627" t="n"/>
      <c r="AS248" s="2627" t="n"/>
      <c r="AU248" s="2627" t="n"/>
      <c r="AV248" s="2627" t="n"/>
      <c r="AW248" s="2627" t="n"/>
      <c r="AX248" s="2627" t="n"/>
      <c r="AY248" s="2627" t="n"/>
      <c r="AZ248" s="2627" t="n"/>
      <c r="BA248" s="2627" t="n"/>
      <c r="BB248" s="2627" t="n"/>
      <c r="BC248" s="2627" t="n"/>
      <c r="BD248" s="2627" t="n"/>
      <c r="BE248" s="2627" t="n"/>
      <c r="BF248" s="2627" t="n"/>
      <c r="BG248" s="2627" t="n"/>
      <c r="BI248" s="2627" t="n"/>
      <c r="BJ248" s="2627" t="n"/>
      <c r="BK248" s="2627" t="n"/>
      <c r="BL248" s="2627" t="n"/>
      <c r="BM248" s="2627" t="n"/>
      <c r="BN248" s="2627" t="n"/>
      <c r="BO248" s="2627" t="n"/>
      <c r="BP248" s="2627" t="n"/>
      <c r="BQ248" s="2627" t="n"/>
      <c r="BR248" s="2627" t="n"/>
      <c r="BS248" s="2627" t="n"/>
      <c r="BT248" s="2627" t="n"/>
      <c r="BU248" s="2627" t="n"/>
    </row>
    <row r="249">
      <c r="A249" s="1436" t="n"/>
      <c r="B249" s="1486" t="n"/>
      <c r="C249" s="1456" t="n"/>
      <c r="D249" s="2627" t="n"/>
      <c r="E249" s="2627" t="n"/>
      <c r="F249" s="2627" t="n"/>
      <c r="G249" s="2627" t="n"/>
      <c r="H249" s="2627" t="n"/>
      <c r="I249" s="2627" t="n"/>
      <c r="J249" s="2627" t="n"/>
      <c r="K249" s="2627" t="n"/>
      <c r="L249" s="2627" t="n"/>
      <c r="M249" s="2627" t="n"/>
      <c r="N249" s="2627" t="n"/>
      <c r="O249" s="2627" t="n"/>
      <c r="P249" s="2627" t="n"/>
      <c r="Q249" s="1436" t="n"/>
      <c r="R249" s="1436" t="n"/>
      <c r="S249" s="2627" t="n"/>
      <c r="T249" s="2627" t="n"/>
      <c r="U249" s="2627" t="n"/>
      <c r="V249" s="2627" t="n"/>
      <c r="W249" s="2627" t="n"/>
      <c r="X249" s="2627" t="n"/>
      <c r="Y249" s="2627" t="n"/>
      <c r="Z249" s="2627" t="n"/>
      <c r="AA249" s="2627" t="n"/>
      <c r="AB249" s="2627" t="n"/>
      <c r="AC249" s="2627" t="n"/>
      <c r="AD249" s="2627" t="n"/>
      <c r="AE249" s="2627" t="n"/>
      <c r="AF249" s="1436" t="n"/>
      <c r="AG249" s="2627" t="n"/>
      <c r="AH249" s="2627" t="n"/>
      <c r="AI249" s="2627" t="n"/>
      <c r="AJ249" s="2627" t="n"/>
      <c r="AK249" s="2627" t="n"/>
      <c r="AL249" s="2627" t="n"/>
      <c r="AM249" s="2627" t="n"/>
      <c r="AN249" s="2627" t="n"/>
      <c r="AO249" s="2627" t="n"/>
      <c r="AP249" s="2627" t="n"/>
      <c r="AQ249" s="2627" t="n"/>
      <c r="AR249" s="2627" t="n"/>
      <c r="AS249" s="2627" t="n"/>
      <c r="AU249" s="2627" t="n"/>
      <c r="AV249" s="2627" t="n"/>
      <c r="AW249" s="2627" t="n"/>
      <c r="AX249" s="2627" t="n"/>
      <c r="AY249" s="2627" t="n"/>
      <c r="AZ249" s="2627" t="n"/>
      <c r="BA249" s="2627" t="n"/>
      <c r="BB249" s="2627" t="n"/>
      <c r="BC249" s="2627" t="n"/>
      <c r="BD249" s="2627" t="n"/>
      <c r="BE249" s="2627" t="n"/>
      <c r="BF249" s="2627" t="n"/>
      <c r="BG249" s="2627" t="n"/>
      <c r="BI249" s="2627" t="n"/>
      <c r="BJ249" s="2627" t="n"/>
      <c r="BK249" s="2627" t="n"/>
      <c r="BL249" s="2627" t="n"/>
      <c r="BM249" s="2627" t="n"/>
      <c r="BN249" s="2627" t="n"/>
      <c r="BO249" s="2627" t="n"/>
      <c r="BP249" s="2627" t="n"/>
      <c r="BQ249" s="2627" t="n"/>
      <c r="BR249" s="2627" t="n"/>
      <c r="BS249" s="2627" t="n"/>
      <c r="BT249" s="2627" t="n"/>
      <c r="BU249" s="2627" t="n"/>
    </row>
    <row r="250">
      <c r="A250" s="1436" t="n"/>
      <c r="B250" s="1486" t="n"/>
      <c r="C250" s="1456" t="n"/>
      <c r="D250" s="2627" t="n"/>
      <c r="E250" s="2627" t="n"/>
      <c r="F250" s="2627" t="n"/>
      <c r="G250" s="2627">
        <f>G230</f>
        <v/>
      </c>
      <c r="H250" s="2627">
        <f>H230</f>
        <v/>
      </c>
      <c r="I250" s="2627">
        <f>I230</f>
        <v/>
      </c>
      <c r="J250" s="2627">
        <f>J230</f>
        <v/>
      </c>
      <c r="K250" s="2627">
        <f>K230</f>
        <v/>
      </c>
      <c r="L250" s="2627">
        <f>L230</f>
        <v/>
      </c>
      <c r="M250" s="2627">
        <f>M230</f>
        <v/>
      </c>
      <c r="N250" s="2627">
        <f>N230</f>
        <v/>
      </c>
      <c r="O250" s="2627">
        <f>O230</f>
        <v/>
      </c>
      <c r="P250" s="2627" t="n"/>
      <c r="Q250" s="1436" t="n"/>
      <c r="R250" s="1436" t="n"/>
      <c r="S250" s="2627">
        <f>S230</f>
        <v/>
      </c>
      <c r="T250" s="2627">
        <f>T230</f>
        <v/>
      </c>
      <c r="U250" s="2627">
        <f>U230</f>
        <v/>
      </c>
      <c r="V250" s="2627">
        <f>V230</f>
        <v/>
      </c>
      <c r="W250" s="2627">
        <f>W230</f>
        <v/>
      </c>
      <c r="X250" s="2627">
        <f>X230</f>
        <v/>
      </c>
      <c r="Y250" s="2627">
        <f>Y230</f>
        <v/>
      </c>
      <c r="Z250" s="2627">
        <f>Z230</f>
        <v/>
      </c>
      <c r="AA250" s="2627">
        <f>AA230</f>
        <v/>
      </c>
      <c r="AB250" s="2627">
        <f>AB230</f>
        <v/>
      </c>
      <c r="AC250" s="2627">
        <f>AC230</f>
        <v/>
      </c>
      <c r="AD250" s="2627">
        <f>AD230</f>
        <v/>
      </c>
      <c r="AE250" s="2627" t="n"/>
      <c r="AF250" s="1436" t="n"/>
      <c r="AG250" s="2627" t="n"/>
      <c r="AH250" s="2627" t="n"/>
      <c r="AI250" s="2627" t="n"/>
      <c r="AJ250" s="2627" t="n"/>
      <c r="AK250" s="2627" t="n"/>
      <c r="AL250" s="2627" t="n"/>
      <c r="AM250" s="2627" t="n"/>
      <c r="AN250" s="2627" t="n"/>
      <c r="AO250" s="2627" t="n"/>
      <c r="AP250" s="2627" t="n"/>
      <c r="AQ250" s="2627" t="n"/>
      <c r="AR250" s="2627" t="n"/>
      <c r="AS250" s="2627" t="n"/>
      <c r="AU250" s="2627" t="n"/>
      <c r="AV250" s="2627" t="n"/>
      <c r="AW250" s="2627" t="n"/>
      <c r="AX250" s="2627" t="n"/>
      <c r="AY250" s="2627" t="n"/>
      <c r="AZ250" s="2627" t="n"/>
      <c r="BA250" s="2627" t="n"/>
      <c r="BB250" s="2627" t="n"/>
      <c r="BC250" s="2627" t="n"/>
      <c r="BD250" s="2627" t="n"/>
      <c r="BE250" s="2627" t="n"/>
      <c r="BF250" s="2627" t="n"/>
      <c r="BG250" s="2627" t="n"/>
      <c r="BI250" s="2627" t="n"/>
      <c r="BJ250" s="2627" t="n"/>
      <c r="BK250" s="2627" t="n"/>
      <c r="BL250" s="2627" t="n"/>
      <c r="BM250" s="2627" t="n"/>
      <c r="BN250" s="2627" t="n"/>
      <c r="BO250" s="2627" t="n"/>
      <c r="BP250" s="2627" t="n"/>
      <c r="BQ250" s="2627" t="n"/>
      <c r="BR250" s="2627" t="n"/>
      <c r="BS250" s="2627" t="n"/>
      <c r="BT250" s="2627" t="n"/>
      <c r="BU250" s="2627" t="n"/>
    </row>
    <row r="251">
      <c r="A251" s="1436" t="n"/>
      <c r="B251" s="1486" t="n"/>
      <c r="C251" s="1456" t="n"/>
      <c r="D251" s="2627" t="n"/>
      <c r="E251" s="2627" t="n"/>
      <c r="F251" s="2627" t="n"/>
      <c r="G251" s="2627">
        <f>G232</f>
        <v/>
      </c>
      <c r="H251" s="2627">
        <f>H232</f>
        <v/>
      </c>
      <c r="I251" s="2627">
        <f>I232</f>
        <v/>
      </c>
      <c r="J251" s="2627">
        <f>J232</f>
        <v/>
      </c>
      <c r="K251" s="2627">
        <f>K232</f>
        <v/>
      </c>
      <c r="L251" s="2627">
        <f>L232</f>
        <v/>
      </c>
      <c r="M251" s="2627">
        <f>M232</f>
        <v/>
      </c>
      <c r="N251" s="2627">
        <f>N232</f>
        <v/>
      </c>
      <c r="O251" s="2627">
        <f>O232</f>
        <v/>
      </c>
      <c r="P251" s="2627" t="n"/>
      <c r="Q251" s="1436" t="n"/>
      <c r="R251" s="1436" t="n"/>
      <c r="S251" s="2627">
        <f>S232</f>
        <v/>
      </c>
      <c r="T251" s="2627">
        <f>T232</f>
        <v/>
      </c>
      <c r="U251" s="2627">
        <f>U232</f>
        <v/>
      </c>
      <c r="V251" s="2627">
        <f>V232</f>
        <v/>
      </c>
      <c r="W251" s="2627">
        <f>W232</f>
        <v/>
      </c>
      <c r="X251" s="2627">
        <f>X232</f>
        <v/>
      </c>
      <c r="Y251" s="2627">
        <f>Y232</f>
        <v/>
      </c>
      <c r="Z251" s="2627">
        <f>Z232</f>
        <v/>
      </c>
      <c r="AA251" s="2627">
        <f>AA232</f>
        <v/>
      </c>
      <c r="AB251" s="2627">
        <f>AB232</f>
        <v/>
      </c>
      <c r="AC251" s="2627">
        <f>AC232</f>
        <v/>
      </c>
      <c r="AD251" s="2627">
        <f>AD232</f>
        <v/>
      </c>
      <c r="AE251" s="2627" t="n"/>
      <c r="AF251" s="1436" t="n"/>
      <c r="AG251" s="2627" t="n"/>
      <c r="AH251" s="2627" t="n"/>
      <c r="AI251" s="2627" t="n"/>
      <c r="AJ251" s="2627" t="n"/>
      <c r="AK251" s="2627" t="n"/>
      <c r="AL251" s="2627" t="n"/>
      <c r="AM251" s="2627" t="n"/>
      <c r="AN251" s="2627" t="n"/>
      <c r="AO251" s="2627" t="n"/>
      <c r="AP251" s="2627" t="n"/>
      <c r="AQ251" s="2627" t="n"/>
      <c r="AR251" s="2627" t="n"/>
      <c r="AS251" s="2627" t="n"/>
      <c r="AU251" s="2627" t="n"/>
      <c r="AV251" s="2627" t="n"/>
      <c r="AW251" s="2627" t="n"/>
      <c r="AX251" s="2627" t="n"/>
      <c r="AY251" s="2627" t="n"/>
      <c r="AZ251" s="2627" t="n"/>
      <c r="BA251" s="2627" t="n"/>
      <c r="BB251" s="2627" t="n"/>
      <c r="BC251" s="2627" t="n"/>
      <c r="BD251" s="2627" t="n"/>
      <c r="BE251" s="2627" t="n"/>
      <c r="BF251" s="2627" t="n"/>
      <c r="BG251" s="2627" t="n"/>
      <c r="BI251" s="2627" t="n"/>
      <c r="BJ251" s="2627" t="n"/>
      <c r="BK251" s="2627" t="n"/>
      <c r="BL251" s="2627" t="n"/>
      <c r="BM251" s="2627" t="n"/>
      <c r="BN251" s="2627" t="n"/>
      <c r="BO251" s="2627" t="n"/>
      <c r="BP251" s="2627" t="n"/>
      <c r="BQ251" s="2627" t="n"/>
      <c r="BR251" s="2627" t="n"/>
      <c r="BS251" s="2627" t="n"/>
      <c r="BT251" s="2627" t="n"/>
      <c r="BU251" s="2627" t="n"/>
    </row>
    <row r="252">
      <c r="A252" s="1436" t="n"/>
      <c r="B252" s="1486" t="n"/>
      <c r="C252" s="1456" t="n"/>
      <c r="D252" s="2627" t="n"/>
      <c r="E252" s="2627" t="n"/>
      <c r="F252" s="2627" t="n"/>
      <c r="G252" s="2627">
        <f>G231+G234+G233</f>
        <v/>
      </c>
      <c r="H252" s="2627">
        <f>H231+H234+H233</f>
        <v/>
      </c>
      <c r="I252" s="2627">
        <f>I231+I234+I233</f>
        <v/>
      </c>
      <c r="J252" s="2627">
        <f>J231+J234+J233</f>
        <v/>
      </c>
      <c r="K252" s="2627">
        <f>K231+K234+K233</f>
        <v/>
      </c>
      <c r="L252" s="2627">
        <f>L231+L234+L233</f>
        <v/>
      </c>
      <c r="M252" s="2627">
        <f>M231+M234+M233</f>
        <v/>
      </c>
      <c r="N252" s="2627">
        <f>N231+N234+N233</f>
        <v/>
      </c>
      <c r="O252" s="2627">
        <f>O231+O234+O233</f>
        <v/>
      </c>
      <c r="P252" s="2627" t="n"/>
      <c r="Q252" s="1436" t="n"/>
      <c r="R252" s="1436" t="n"/>
      <c r="S252" s="2627">
        <f>S231+S234+S233</f>
        <v/>
      </c>
      <c r="T252" s="2627">
        <f>T231+T234+T233</f>
        <v/>
      </c>
      <c r="U252" s="2627">
        <f>U231+U234+U233</f>
        <v/>
      </c>
      <c r="V252" s="2627">
        <f>V231+V234+V233</f>
        <v/>
      </c>
      <c r="W252" s="2627">
        <f>W231+W234+W233</f>
        <v/>
      </c>
      <c r="X252" s="2627">
        <f>X231+X234+X233</f>
        <v/>
      </c>
      <c r="Y252" s="2627">
        <f>Y231+Y234+Y233</f>
        <v/>
      </c>
      <c r="Z252" s="2627">
        <f>Z231+Z234+Z233</f>
        <v/>
      </c>
      <c r="AA252" s="2627">
        <f>AA231+AA234+AA233</f>
        <v/>
      </c>
      <c r="AB252" s="2627">
        <f>AB231+AB234+AB233</f>
        <v/>
      </c>
      <c r="AC252" s="2627">
        <f>AC231+AC234+AC233</f>
        <v/>
      </c>
      <c r="AD252" s="2627">
        <f>AD231+AD234+AD233</f>
        <v/>
      </c>
      <c r="AE252" s="2627" t="n"/>
      <c r="AF252" s="1436" t="n"/>
      <c r="AG252" s="2627" t="n"/>
      <c r="AH252" s="2627" t="n"/>
      <c r="AI252" s="2627" t="n"/>
      <c r="AJ252" s="2627" t="n"/>
      <c r="AK252" s="2627" t="n"/>
      <c r="AL252" s="2627" t="n"/>
      <c r="AM252" s="2627" t="n"/>
      <c r="AN252" s="2627" t="n"/>
      <c r="AO252" s="2627" t="n"/>
      <c r="AP252" s="2627" t="n"/>
      <c r="AQ252" s="1436" t="n"/>
      <c r="AR252" s="1436" t="n"/>
      <c r="AS252" s="2627" t="n"/>
      <c r="AU252" s="1436" t="n"/>
      <c r="AV252" s="1436" t="n"/>
      <c r="AW252" s="1436" t="n"/>
      <c r="AX252" s="1436" t="n"/>
      <c r="AY252" s="1436" t="n"/>
      <c r="AZ252" s="1436" t="n"/>
      <c r="BA252" s="1436" t="n"/>
      <c r="BB252" s="1436" t="n"/>
      <c r="BC252" s="1436" t="n"/>
      <c r="BD252" s="1436" t="n"/>
      <c r="BE252" s="1436" t="n"/>
      <c r="BF252" s="1436" t="n"/>
      <c r="BG252" s="2627" t="n"/>
      <c r="BI252" s="1436" t="n"/>
      <c r="BJ252" s="1436" t="n"/>
      <c r="BK252" s="1436" t="n"/>
      <c r="BL252" s="1436" t="n"/>
      <c r="BM252" s="1436" t="n"/>
      <c r="BN252" s="1436" t="n"/>
      <c r="BO252" s="1436" t="n"/>
      <c r="BP252" s="1436" t="n"/>
      <c r="BQ252" s="1436" t="n"/>
      <c r="BR252" s="1436" t="n"/>
      <c r="BS252" s="1436" t="n"/>
      <c r="BT252" s="1436" t="n"/>
      <c r="BU252" s="2627" t="n"/>
    </row>
    <row r="253">
      <c r="A253" s="1436" t="n"/>
      <c r="B253" s="1486" t="n"/>
      <c r="C253" s="1456" t="n"/>
      <c r="D253" s="2627" t="n"/>
      <c r="E253" s="2627" t="n"/>
      <c r="F253" s="2627" t="n"/>
      <c r="G253" s="2627" t="n"/>
      <c r="H253" s="2627" t="n"/>
      <c r="I253" s="2627" t="n"/>
      <c r="J253" s="2627" t="n"/>
      <c r="K253" s="2627" t="n"/>
      <c r="L253" s="2627" t="n"/>
      <c r="M253" s="2627" t="n"/>
      <c r="N253" s="2627" t="n"/>
      <c r="O253" s="2627" t="n"/>
      <c r="P253" s="2627" t="n"/>
      <c r="Q253" s="1436" t="n"/>
      <c r="R253" s="1436" t="n"/>
      <c r="S253" s="2627" t="n"/>
      <c r="T253" s="2627" t="n"/>
      <c r="U253" s="2627" t="n"/>
      <c r="V253" s="2627" t="n"/>
      <c r="W253" s="2627" t="n"/>
      <c r="X253" s="2627" t="n"/>
      <c r="Y253" s="2627" t="n"/>
      <c r="Z253" s="2627" t="n"/>
      <c r="AA253" s="2627" t="n"/>
      <c r="AB253" s="2627" t="n"/>
      <c r="AC253" s="2627" t="n"/>
      <c r="AD253" s="2627" t="n"/>
      <c r="AE253" s="2627" t="n"/>
      <c r="AF253" s="1436" t="n"/>
      <c r="AG253" s="2627" t="n"/>
      <c r="AH253" s="2627" t="n"/>
      <c r="AI253" s="2627" t="n"/>
      <c r="AJ253" s="2627" t="n"/>
      <c r="AK253" s="2627" t="n"/>
      <c r="AL253" s="2627" t="n"/>
      <c r="AM253" s="2627" t="n"/>
      <c r="AN253" s="2627" t="n"/>
      <c r="AO253" s="2627" t="n"/>
      <c r="AP253" s="2627" t="n"/>
      <c r="AQ253" s="1436" t="n"/>
      <c r="AR253" s="1436" t="n"/>
      <c r="AS253" s="2627" t="n"/>
      <c r="AU253" s="1436" t="n"/>
      <c r="AV253" s="1436" t="n"/>
      <c r="AW253" s="1436" t="n"/>
      <c r="AX253" s="1436" t="n"/>
      <c r="AY253" s="1436" t="n"/>
      <c r="AZ253" s="1436" t="n"/>
      <c r="BA253" s="1436" t="n"/>
      <c r="BB253" s="1436" t="n"/>
      <c r="BC253" s="1436" t="n"/>
      <c r="BD253" s="1436" t="n"/>
      <c r="BE253" s="1436" t="n"/>
      <c r="BF253" s="1436" t="n"/>
      <c r="BG253" s="2627" t="n"/>
      <c r="BI253" s="1436" t="n"/>
      <c r="BJ253" s="1436" t="n"/>
      <c r="BK253" s="1436" t="n"/>
      <c r="BL253" s="1436" t="n"/>
      <c r="BM253" s="1436" t="n"/>
      <c r="BN253" s="1436" t="n"/>
      <c r="BO253" s="1436" t="n"/>
      <c r="BP253" s="1436" t="n"/>
      <c r="BQ253" s="1436" t="n"/>
      <c r="BR253" s="1436" t="n"/>
      <c r="BS253" s="1436" t="n"/>
      <c r="BT253" s="1436" t="n"/>
      <c r="BU253" s="2627" t="n"/>
    </row>
    <row r="254">
      <c r="A254" s="1436" t="n"/>
      <c r="B254" s="1486" t="n"/>
      <c r="C254" s="1456" t="n"/>
      <c r="D254" s="2627" t="n"/>
      <c r="E254" s="2627" t="n"/>
      <c r="F254" s="2627" t="n"/>
      <c r="G254" s="2627" t="n"/>
      <c r="H254" s="2627" t="n"/>
      <c r="I254" s="2627" t="n"/>
      <c r="J254" s="2627" t="n"/>
      <c r="K254" s="2627" t="n"/>
      <c r="L254" s="2627" t="n"/>
      <c r="M254" s="2627" t="n"/>
      <c r="N254" s="2627" t="n"/>
      <c r="O254" s="2627" t="n"/>
      <c r="P254" s="2627" t="n"/>
      <c r="Q254" s="1436" t="n"/>
      <c r="R254" s="1436" t="n"/>
      <c r="S254" s="2627" t="n"/>
      <c r="T254" s="2627" t="n"/>
      <c r="U254" s="2627" t="n"/>
      <c r="V254" s="2627" t="n"/>
      <c r="W254" s="2627" t="n"/>
      <c r="X254" s="2627" t="n"/>
      <c r="Y254" s="2627" t="n"/>
      <c r="Z254" s="2627" t="n"/>
      <c r="AA254" s="2627" t="n"/>
      <c r="AB254" s="2627" t="n"/>
      <c r="AC254" s="2627" t="n"/>
      <c r="AD254" s="2627" t="n"/>
      <c r="AE254" s="2627" t="n"/>
      <c r="AF254" s="1436" t="n"/>
      <c r="AG254" s="2627" t="n"/>
      <c r="AH254" s="2627" t="n"/>
      <c r="AI254" s="2627" t="n"/>
      <c r="AJ254" s="2627" t="n"/>
      <c r="AK254" s="2627" t="n"/>
      <c r="AL254" s="2627" t="n"/>
      <c r="AM254" s="2627" t="n"/>
      <c r="AN254" s="2627" t="n"/>
      <c r="AO254" s="2627" t="n"/>
      <c r="AP254" s="2627" t="n"/>
      <c r="AQ254" s="1436" t="n"/>
      <c r="AR254" s="1436" t="n"/>
      <c r="AS254" s="2627" t="n"/>
      <c r="AU254" s="1436" t="n"/>
      <c r="AV254" s="1436" t="n"/>
      <c r="AW254" s="1436" t="n"/>
      <c r="AX254" s="1436" t="n"/>
      <c r="AY254" s="1436" t="n"/>
      <c r="AZ254" s="1436" t="n"/>
      <c r="BA254" s="1436" t="n"/>
      <c r="BB254" s="1436" t="n"/>
      <c r="BC254" s="1436" t="n"/>
      <c r="BD254" s="1436" t="n"/>
      <c r="BE254" s="1436" t="n"/>
      <c r="BF254" s="1436" t="n"/>
      <c r="BG254" s="2627" t="n"/>
      <c r="BI254" s="1436" t="n"/>
      <c r="BJ254" s="1436" t="n"/>
      <c r="BK254" s="1436" t="n"/>
      <c r="BL254" s="1436" t="n"/>
      <c r="BM254" s="1436" t="n"/>
      <c r="BN254" s="1436" t="n"/>
      <c r="BO254" s="1436" t="n"/>
      <c r="BP254" s="1436" t="n"/>
      <c r="BQ254" s="1436" t="n"/>
      <c r="BR254" s="1436" t="n"/>
      <c r="BS254" s="1436" t="n"/>
      <c r="BT254" s="1436" t="n"/>
      <c r="BU254" s="2627" t="n"/>
    </row>
    <row r="255">
      <c r="A255" s="1436" t="n"/>
      <c r="B255" s="1436" t="n"/>
      <c r="C255" s="1436" t="n"/>
      <c r="D255" s="2627" t="n"/>
      <c r="E255" s="2627" t="n"/>
      <c r="F255" s="2627" t="n"/>
      <c r="G255" s="2627" t="n"/>
      <c r="H255" s="2627" t="n"/>
      <c r="I255" s="2627" t="n"/>
      <c r="J255" s="2627" t="n"/>
      <c r="K255" s="2627" t="n"/>
      <c r="L255" s="2627" t="n"/>
      <c r="M255" s="2627" t="n"/>
      <c r="N255" s="2627" t="n"/>
      <c r="O255" s="2627" t="n"/>
      <c r="P255" s="2627" t="n"/>
      <c r="Q255" s="1436" t="n"/>
      <c r="R255" s="1436" t="n"/>
      <c r="S255" s="2627" t="n"/>
      <c r="T255" s="2627" t="n"/>
      <c r="U255" s="2627" t="n"/>
      <c r="V255" s="2627" t="n"/>
      <c r="W255" s="2627" t="n"/>
      <c r="X255" s="2627" t="n"/>
      <c r="Y255" s="2627" t="n"/>
      <c r="Z255" s="2627" t="n"/>
      <c r="AA255" s="2627" t="n"/>
      <c r="AB255" s="2627" t="n"/>
      <c r="AC255" s="2627" t="n"/>
      <c r="AD255" s="2627" t="n"/>
      <c r="AE255" s="2627" t="n"/>
      <c r="AF255" s="1436" t="n"/>
      <c r="AG255" s="2627" t="n"/>
      <c r="AH255" s="2627" t="n"/>
      <c r="AI255" s="2627" t="n"/>
      <c r="AJ255" s="2627" t="n"/>
      <c r="AK255" s="2627" t="n"/>
      <c r="AL255" s="2627" t="n"/>
      <c r="AM255" s="2627" t="n"/>
      <c r="AN255" s="2627" t="n"/>
      <c r="AO255" s="2627" t="n"/>
      <c r="AP255" s="2627" t="n"/>
      <c r="AQ255" s="1436" t="n"/>
      <c r="AR255" s="1436" t="n"/>
      <c r="AS255" s="2627" t="n"/>
      <c r="AU255" s="1436" t="n"/>
      <c r="AV255" s="1436" t="n"/>
      <c r="AW255" s="1436" t="n"/>
      <c r="AX255" s="1436" t="n"/>
      <c r="AY255" s="1436" t="n"/>
      <c r="AZ255" s="1436" t="n"/>
      <c r="BA255" s="1436" t="n"/>
      <c r="BB255" s="1436" t="n"/>
      <c r="BC255" s="1436" t="n"/>
      <c r="BD255" s="1436" t="n"/>
      <c r="BE255" s="1436" t="n"/>
      <c r="BF255" s="1436" t="n"/>
      <c r="BG255" s="2627" t="n"/>
      <c r="BI255" s="1436" t="n"/>
      <c r="BJ255" s="1436" t="n"/>
      <c r="BK255" s="1436" t="n"/>
      <c r="BL255" s="1436" t="n"/>
      <c r="BM255" s="1436" t="n"/>
      <c r="BN255" s="1436" t="n"/>
      <c r="BO255" s="1436" t="n"/>
      <c r="BP255" s="1436" t="n"/>
      <c r="BQ255" s="1436" t="n"/>
      <c r="BR255" s="1436" t="n"/>
      <c r="BS255" s="1436" t="n"/>
      <c r="BT255" s="1436" t="n"/>
      <c r="BU255" s="2627" t="n"/>
    </row>
    <row r="256">
      <c r="A256" s="1436" t="n"/>
      <c r="B256" s="1436" t="n"/>
      <c r="C256" s="1436" t="n"/>
      <c r="D256" s="2614" t="n"/>
      <c r="E256" s="2614" t="n"/>
      <c r="F256" s="2614" t="n"/>
      <c r="G256" s="2614" t="n"/>
      <c r="H256" s="2614" t="n"/>
      <c r="I256" s="2614" t="n"/>
      <c r="J256" s="2614" t="n"/>
      <c r="K256" s="2614" t="n"/>
      <c r="L256" s="2614" t="n"/>
      <c r="M256" s="2614" t="n"/>
      <c r="N256" s="2614" t="n"/>
      <c r="O256" s="2614" t="n"/>
      <c r="P256" s="2614" t="n"/>
      <c r="Q256" s="1436" t="n"/>
      <c r="R256" s="1436" t="n"/>
      <c r="S256" s="2614" t="n"/>
      <c r="T256" s="2614" t="n"/>
      <c r="U256" s="2614" t="n"/>
      <c r="V256" s="2614" t="n"/>
      <c r="W256" s="2614" t="n"/>
      <c r="X256" s="2614" t="n"/>
      <c r="Y256" s="2614" t="n"/>
      <c r="Z256" s="2614" t="n"/>
      <c r="AA256" s="2614" t="n"/>
      <c r="AB256" s="2614" t="n"/>
      <c r="AC256" s="2614" t="n"/>
      <c r="AD256" s="2614" t="n"/>
      <c r="AE256" s="2614" t="n"/>
      <c r="AF256" s="1436" t="n"/>
      <c r="AG256" s="2614" t="n"/>
      <c r="AH256" s="2614" t="n"/>
      <c r="AI256" s="2614" t="n"/>
      <c r="AJ256" s="2614" t="n"/>
      <c r="AK256" s="2614" t="n"/>
      <c r="AL256" s="2614" t="n"/>
      <c r="AM256" s="2614" t="n"/>
      <c r="AN256" s="2614" t="n"/>
      <c r="AO256" s="2614" t="n"/>
      <c r="AP256" s="2614" t="n"/>
      <c r="AQ256" s="1436" t="n"/>
      <c r="AR256" s="1436" t="n"/>
      <c r="AS256" s="2614" t="n"/>
      <c r="AU256" s="1436" t="n"/>
      <c r="AV256" s="1436" t="n"/>
      <c r="AW256" s="1436" t="n"/>
      <c r="AX256" s="1436" t="n"/>
      <c r="AY256" s="1436" t="n"/>
      <c r="AZ256" s="1436" t="n"/>
      <c r="BA256" s="1436" t="n"/>
      <c r="BB256" s="1436" t="n"/>
      <c r="BC256" s="1436" t="n"/>
      <c r="BD256" s="1436" t="n"/>
      <c r="BE256" s="1436" t="n"/>
      <c r="BF256" s="1436" t="n"/>
      <c r="BG256" s="2614" t="n"/>
      <c r="BI256" s="1436" t="n"/>
      <c r="BJ256" s="1436" t="n"/>
      <c r="BK256" s="1436" t="n"/>
      <c r="BL256" s="1436" t="n"/>
      <c r="BM256" s="1436" t="n"/>
      <c r="BN256" s="1436" t="n"/>
      <c r="BO256" s="1436" t="n"/>
      <c r="BP256" s="1436" t="n"/>
      <c r="BQ256" s="1436" t="n"/>
      <c r="BR256" s="1436" t="n"/>
      <c r="BS256" s="1436" t="n"/>
      <c r="BT256" s="1436" t="n"/>
      <c r="BU256" s="2614" t="n"/>
    </row>
    <row r="257">
      <c r="A257" s="1436" t="n"/>
      <c r="B257" s="1490" t="n"/>
      <c r="C257" s="1436" t="n"/>
      <c r="D257" s="2637" t="n"/>
      <c r="E257" s="2637" t="n"/>
      <c r="F257" s="2637" t="n"/>
      <c r="G257" s="2637" t="n"/>
      <c r="H257" s="2637" t="n"/>
      <c r="I257" s="2637" t="n"/>
      <c r="J257" s="2637" t="n"/>
      <c r="K257" s="2637" t="n"/>
      <c r="L257" s="2637" t="n"/>
      <c r="M257" s="2637" t="n"/>
      <c r="N257" s="2637" t="n"/>
      <c r="O257" s="2637" t="n"/>
      <c r="P257" s="2637" t="n"/>
      <c r="Q257" s="1436" t="n"/>
      <c r="R257" s="1436" t="n"/>
      <c r="S257" s="2637" t="n"/>
      <c r="T257" s="2637" t="n"/>
      <c r="U257" s="2637" t="n"/>
      <c r="V257" s="2637" t="n"/>
      <c r="W257" s="2637" t="n"/>
      <c r="X257" s="2637" t="n"/>
      <c r="Y257" s="2637" t="n"/>
      <c r="Z257" s="2637" t="n"/>
      <c r="AA257" s="2637" t="n"/>
      <c r="AB257" s="2637" t="n"/>
      <c r="AC257" s="2637" t="n"/>
      <c r="AD257" s="2637" t="n"/>
      <c r="AE257" s="2637" t="n"/>
      <c r="AF257" s="1436" t="n"/>
      <c r="AG257" s="2637" t="n"/>
      <c r="AH257" s="2637" t="n"/>
      <c r="AI257" s="2637" t="n"/>
      <c r="AJ257" s="2637" t="n"/>
      <c r="AK257" s="2637" t="n"/>
      <c r="AL257" s="2637" t="n"/>
      <c r="AM257" s="2637" t="n"/>
      <c r="AN257" s="2637" t="n"/>
      <c r="AO257" s="2637" t="n"/>
      <c r="AP257" s="2637" t="n"/>
      <c r="AQ257" s="1436" t="n"/>
      <c r="AR257" s="1436" t="n"/>
      <c r="AS257" s="2637" t="n"/>
      <c r="AU257" s="1436" t="n"/>
      <c r="AV257" s="1436" t="n"/>
      <c r="AW257" s="1436" t="n"/>
      <c r="AX257" s="1436" t="n"/>
      <c r="AY257" s="1436" t="n"/>
      <c r="AZ257" s="1436" t="n"/>
      <c r="BA257" s="1436" t="n"/>
      <c r="BB257" s="1436" t="n"/>
      <c r="BC257" s="1436" t="n"/>
      <c r="BD257" s="1436" t="n"/>
      <c r="BE257" s="1436" t="n"/>
      <c r="BF257" s="1436" t="n"/>
      <c r="BG257" s="2637" t="n"/>
      <c r="BI257" s="1436" t="n"/>
      <c r="BJ257" s="1436" t="n"/>
      <c r="BK257" s="1436" t="n"/>
      <c r="BL257" s="1436" t="n"/>
      <c r="BM257" s="1436" t="n"/>
      <c r="BN257" s="1436" t="n"/>
      <c r="BO257" s="1436" t="n"/>
      <c r="BP257" s="1436" t="n"/>
      <c r="BQ257" s="1436" t="n"/>
      <c r="BR257" s="1436" t="n"/>
      <c r="BS257" s="1436" t="n"/>
      <c r="BT257" s="1436" t="n"/>
      <c r="BU257" s="2637" t="n"/>
    </row>
    <row r="258">
      <c r="A258" s="1436" t="n"/>
      <c r="B258" s="1491" t="n"/>
      <c r="C258" s="1436" t="n"/>
      <c r="D258" s="2627" t="n"/>
      <c r="E258" s="2627" t="n"/>
      <c r="F258" s="2627" t="n"/>
      <c r="G258" s="2627" t="n"/>
      <c r="H258" s="2627" t="n"/>
      <c r="I258" s="2627" t="n"/>
      <c r="J258" s="2627" t="n"/>
      <c r="K258" s="2627" t="n"/>
      <c r="L258" s="2627" t="n"/>
      <c r="M258" s="2627" t="n"/>
      <c r="N258" s="2627" t="n"/>
      <c r="O258" s="2627" t="n"/>
      <c r="P258" s="2627" t="n"/>
      <c r="Q258" s="1436" t="n"/>
      <c r="R258" s="1436" t="n"/>
      <c r="S258" s="2627" t="n"/>
      <c r="T258" s="2627" t="n"/>
      <c r="U258" s="2627" t="n"/>
      <c r="V258" s="2627" t="n"/>
      <c r="W258" s="2627" t="n"/>
      <c r="X258" s="2627" t="n"/>
      <c r="Y258" s="2627" t="n"/>
      <c r="Z258" s="2627" t="n"/>
      <c r="AA258" s="2627" t="n"/>
      <c r="AB258" s="2627" t="n"/>
      <c r="AC258" s="2627" t="n"/>
      <c r="AD258" s="2627" t="n"/>
      <c r="AE258" s="2627" t="n"/>
      <c r="AF258" s="1436" t="n"/>
      <c r="AG258" s="2627" t="n"/>
      <c r="AH258" s="2627" t="n"/>
      <c r="AI258" s="2627" t="n"/>
      <c r="AJ258" s="2627" t="n"/>
      <c r="AK258" s="2627" t="n"/>
      <c r="AL258" s="2627" t="n"/>
      <c r="AM258" s="2627" t="n"/>
      <c r="AN258" s="2627" t="n"/>
      <c r="AO258" s="2627" t="n"/>
      <c r="AP258" s="2627" t="n"/>
      <c r="AQ258" s="1436" t="n"/>
      <c r="AR258" s="1436" t="n"/>
      <c r="AS258" s="2627" t="n"/>
      <c r="AU258" s="1436" t="n"/>
      <c r="AV258" s="1436" t="n"/>
      <c r="AW258" s="1436" t="n"/>
      <c r="AX258" s="1436" t="n"/>
      <c r="AY258" s="1436" t="n"/>
      <c r="AZ258" s="1436" t="n"/>
      <c r="BA258" s="1436" t="n"/>
      <c r="BB258" s="1436" t="n"/>
      <c r="BC258" s="1436" t="n"/>
      <c r="BD258" s="1436" t="n"/>
      <c r="BE258" s="1436" t="n"/>
      <c r="BF258" s="1436" t="n"/>
      <c r="BG258" s="2627" t="n"/>
      <c r="BI258" s="1436" t="n"/>
      <c r="BJ258" s="1436" t="n"/>
      <c r="BK258" s="1436" t="n"/>
      <c r="BL258" s="1436" t="n"/>
      <c r="BM258" s="1436" t="n"/>
      <c r="BN258" s="1436" t="n"/>
      <c r="BO258" s="1436" t="n"/>
      <c r="BP258" s="1436" t="n"/>
      <c r="BQ258" s="1436" t="n"/>
      <c r="BR258" s="1436" t="n"/>
      <c r="BS258" s="1436" t="n"/>
      <c r="BT258" s="1436" t="n"/>
      <c r="BU258" s="2627" t="n"/>
    </row>
    <row r="259">
      <c r="A259" s="1436" t="n"/>
      <c r="B259" s="1492" t="n"/>
      <c r="C259" s="1436" t="n"/>
      <c r="D259" s="2627" t="n"/>
      <c r="E259" s="2627" t="n"/>
      <c r="F259" s="2627" t="n"/>
      <c r="G259" s="2627" t="n"/>
      <c r="H259" s="2627" t="n"/>
      <c r="I259" s="2627" t="n"/>
      <c r="J259" s="2627" t="n"/>
      <c r="K259" s="2627" t="n"/>
      <c r="L259" s="2627" t="n"/>
      <c r="M259" s="2627" t="n"/>
      <c r="N259" s="2627" t="n"/>
      <c r="O259" s="2627" t="n"/>
      <c r="P259" s="2627" t="n"/>
      <c r="Q259" s="1436" t="n"/>
      <c r="R259" s="1436" t="n"/>
      <c r="S259" s="2627" t="n"/>
      <c r="T259" s="2627" t="n"/>
      <c r="U259" s="2627" t="n"/>
      <c r="V259" s="2627" t="n"/>
      <c r="W259" s="2627" t="n"/>
      <c r="X259" s="2627" t="n"/>
      <c r="Y259" s="2627" t="n"/>
      <c r="Z259" s="2627" t="n"/>
      <c r="AA259" s="2627" t="n"/>
      <c r="AB259" s="2627" t="n"/>
      <c r="AC259" s="2627" t="n"/>
      <c r="AD259" s="2627" t="n"/>
      <c r="AE259" s="2627" t="n"/>
      <c r="AF259" s="1436" t="n"/>
      <c r="AG259" s="2627" t="n"/>
      <c r="AH259" s="2627" t="n"/>
      <c r="AI259" s="2627" t="n"/>
      <c r="AJ259" s="2627" t="n"/>
      <c r="AK259" s="2627" t="n"/>
      <c r="AL259" s="2627" t="n"/>
      <c r="AM259" s="2627" t="n"/>
      <c r="AN259" s="2627" t="n"/>
      <c r="AO259" s="2627" t="n"/>
      <c r="AP259" s="2627" t="n"/>
      <c r="AQ259" s="1436" t="n"/>
      <c r="AR259" s="1436" t="n"/>
      <c r="AS259" s="2627" t="n"/>
      <c r="AU259" s="1436" t="n"/>
      <c r="AV259" s="1436" t="n"/>
      <c r="AW259" s="1436" t="n"/>
      <c r="AX259" s="1436" t="n"/>
      <c r="AY259" s="1436" t="n"/>
      <c r="AZ259" s="1436" t="n"/>
      <c r="BA259" s="1436" t="n"/>
      <c r="BB259" s="1436" t="n"/>
      <c r="BC259" s="1436" t="n"/>
      <c r="BD259" s="1436" t="n"/>
      <c r="BE259" s="1436" t="n"/>
      <c r="BF259" s="1436" t="n"/>
      <c r="BG259" s="2627" t="n"/>
      <c r="BI259" s="1436" t="n"/>
      <c r="BJ259" s="1436" t="n"/>
      <c r="BK259" s="1436" t="n"/>
      <c r="BL259" s="1436" t="n"/>
      <c r="BM259" s="1436" t="n"/>
      <c r="BN259" s="1436" t="n"/>
      <c r="BO259" s="1436" t="n"/>
      <c r="BP259" s="1436" t="n"/>
      <c r="BQ259" s="1436" t="n"/>
      <c r="BR259" s="1436" t="n"/>
      <c r="BS259" s="1436" t="n"/>
      <c r="BT259" s="1436" t="n"/>
      <c r="BU259" s="2627" t="n"/>
    </row>
    <row r="260">
      <c r="A260" s="1436" t="n"/>
      <c r="B260" s="1436" t="n"/>
      <c r="C260" s="1436" t="n"/>
      <c r="D260" s="1436" t="n"/>
      <c r="E260" s="1436" t="n"/>
      <c r="F260" s="1436" t="n"/>
      <c r="G260" s="1436" t="n"/>
      <c r="H260" s="1436" t="n"/>
      <c r="I260" s="1436" t="n"/>
      <c r="J260" s="1436" t="n"/>
      <c r="K260" s="1436" t="n"/>
      <c r="L260" s="1436" t="n"/>
      <c r="M260" s="1436" t="n"/>
      <c r="N260" s="1436" t="n"/>
      <c r="O260" s="1436" t="n"/>
      <c r="P260" s="1436" t="n"/>
      <c r="Q260" s="1436" t="n"/>
      <c r="R260" s="1436" t="n"/>
      <c r="S260" s="1436" t="n"/>
      <c r="T260" s="1436" t="n"/>
      <c r="U260" s="1436" t="n"/>
      <c r="V260" s="1436" t="n"/>
      <c r="W260" s="1436" t="n"/>
      <c r="X260" s="1436" t="n"/>
      <c r="Y260" s="1436" t="n"/>
      <c r="Z260" s="1436" t="n"/>
      <c r="AA260" s="1436" t="n"/>
      <c r="AB260" s="1436" t="n"/>
      <c r="AC260" s="1436" t="n"/>
      <c r="AD260" s="1436" t="n"/>
      <c r="AE260" s="1436" t="n"/>
      <c r="AF260" s="1436" t="n"/>
      <c r="AG260" s="1436" t="n"/>
      <c r="AH260" s="1436" t="n"/>
      <c r="AI260" s="1436" t="n"/>
      <c r="AJ260" s="1436" t="n"/>
      <c r="AK260" s="1436" t="n"/>
      <c r="AL260" s="1436" t="n"/>
      <c r="AM260" s="1436" t="n"/>
      <c r="AN260" s="1436" t="n"/>
      <c r="AO260" s="1436" t="n"/>
      <c r="AP260" s="1436" t="n"/>
      <c r="AQ260" s="1436" t="n"/>
      <c r="AR260" s="1436" t="n"/>
      <c r="AS260" s="1436" t="n"/>
      <c r="AU260" s="1436" t="n"/>
      <c r="AV260" s="1436" t="n"/>
      <c r="AW260" s="1436" t="n"/>
      <c r="AX260" s="1436" t="n"/>
      <c r="AY260" s="1436" t="n"/>
      <c r="AZ260" s="1436" t="n"/>
      <c r="BA260" s="1436" t="n"/>
      <c r="BB260" s="1436" t="n"/>
      <c r="BC260" s="1436" t="n"/>
      <c r="BD260" s="1436" t="n"/>
      <c r="BE260" s="1436" t="n"/>
      <c r="BF260" s="1436" t="n"/>
      <c r="BG260" s="1436" t="n"/>
      <c r="BI260" s="1436" t="n"/>
      <c r="BJ260" s="1436" t="n"/>
      <c r="BK260" s="1436" t="n"/>
      <c r="BL260" s="1436" t="n"/>
      <c r="BM260" s="1436" t="n"/>
      <c r="BN260" s="1436" t="n"/>
      <c r="BO260" s="1436" t="n"/>
      <c r="BP260" s="1436" t="n"/>
      <c r="BQ260" s="1436" t="n"/>
      <c r="BR260" s="1436" t="n"/>
      <c r="BS260" s="1436" t="n"/>
      <c r="BT260" s="1436" t="n"/>
      <c r="BU260" s="1436" t="n"/>
    </row>
    <row r="261">
      <c r="A261" s="1436" t="n"/>
      <c r="B261" s="1490" t="n"/>
      <c r="C261" s="1436" t="n"/>
      <c r="D261" s="2637" t="n"/>
      <c r="E261" s="2637" t="n"/>
      <c r="F261" s="2637" t="n"/>
      <c r="G261" s="2637" t="n"/>
      <c r="H261" s="2637" t="n"/>
      <c r="I261" s="2637" t="n"/>
      <c r="J261" s="2637" t="n"/>
      <c r="K261" s="2637" t="n"/>
      <c r="L261" s="2637" t="n"/>
      <c r="M261" s="2637" t="n"/>
      <c r="N261" s="2637" t="n"/>
      <c r="O261" s="2637" t="n"/>
      <c r="P261" s="2637" t="n"/>
      <c r="Q261" s="1436" t="n"/>
      <c r="R261" s="1436" t="n"/>
      <c r="S261" s="2637" t="n"/>
      <c r="T261" s="2637" t="n"/>
      <c r="U261" s="2637" t="n"/>
      <c r="V261" s="2637" t="n"/>
      <c r="W261" s="2637" t="n"/>
      <c r="X261" s="2637" t="n"/>
      <c r="Y261" s="2637" t="n"/>
      <c r="Z261" s="2637" t="n"/>
      <c r="AA261" s="2637" t="n"/>
      <c r="AB261" s="2637" t="n"/>
      <c r="AC261" s="2637" t="n"/>
      <c r="AD261" s="2637" t="n"/>
      <c r="AE261" s="2637" t="n"/>
      <c r="AF261" s="1436" t="n"/>
      <c r="AG261" s="2637" t="n"/>
      <c r="AH261" s="2637" t="n"/>
      <c r="AI261" s="2637" t="n"/>
      <c r="AJ261" s="2637" t="n"/>
      <c r="AK261" s="2637" t="n"/>
      <c r="AL261" s="2637" t="n"/>
      <c r="AM261" s="2637" t="n"/>
      <c r="AN261" s="2637" t="n"/>
      <c r="AO261" s="2637" t="n"/>
      <c r="AP261" s="2637" t="n"/>
      <c r="AQ261" s="1436" t="n"/>
      <c r="AR261" s="1436" t="n"/>
      <c r="AS261" s="2637" t="n"/>
      <c r="AU261" s="1436" t="n"/>
      <c r="AV261" s="1436" t="n"/>
      <c r="AW261" s="1436" t="n"/>
      <c r="AX261" s="1436" t="n"/>
      <c r="AY261" s="1436" t="n"/>
      <c r="AZ261" s="1436" t="n"/>
      <c r="BA261" s="1436" t="n"/>
      <c r="BB261" s="1436" t="n"/>
      <c r="BC261" s="1436" t="n"/>
      <c r="BD261" s="1436" t="n"/>
      <c r="BE261" s="1436" t="n"/>
      <c r="BF261" s="1436" t="n"/>
      <c r="BG261" s="2637" t="n"/>
      <c r="BI261" s="1436" t="n"/>
      <c r="BJ261" s="1436" t="n"/>
      <c r="BK261" s="1436" t="n"/>
      <c r="BL261" s="1436" t="n"/>
      <c r="BM261" s="1436" t="n"/>
      <c r="BN261" s="1436" t="n"/>
      <c r="BO261" s="1436" t="n"/>
      <c r="BP261" s="1436" t="n"/>
      <c r="BQ261" s="1436" t="n"/>
      <c r="BR261" s="1436" t="n"/>
      <c r="BS261" s="1436" t="n"/>
      <c r="BT261" s="1436" t="n"/>
      <c r="BU261" s="2637" t="n"/>
    </row>
    <row r="262">
      <c r="A262" s="1436" t="n"/>
      <c r="B262" s="1491" t="n"/>
      <c r="C262" s="1436" t="n"/>
      <c r="D262" s="2627" t="n"/>
      <c r="E262" s="2627" t="n"/>
      <c r="F262" s="2627" t="n"/>
      <c r="G262" s="2627" t="n"/>
      <c r="H262" s="2627" t="n"/>
      <c r="I262" s="2627" t="n"/>
      <c r="J262" s="2627" t="n"/>
      <c r="K262" s="2627" t="n"/>
      <c r="L262" s="2627" t="n"/>
      <c r="M262" s="2627" t="n"/>
      <c r="N262" s="2627" t="n"/>
      <c r="O262" s="2627" t="n"/>
      <c r="P262" s="2627" t="n"/>
      <c r="Q262" s="1436" t="n"/>
      <c r="R262" s="1436" t="n"/>
      <c r="S262" s="2627" t="n"/>
      <c r="T262" s="2627" t="n"/>
      <c r="U262" s="2627" t="n"/>
      <c r="V262" s="2627" t="n"/>
      <c r="W262" s="2627" t="n"/>
      <c r="X262" s="2627" t="n"/>
      <c r="Y262" s="2627" t="n"/>
      <c r="Z262" s="2627" t="n"/>
      <c r="AA262" s="2627" t="n"/>
      <c r="AB262" s="2627" t="n"/>
      <c r="AC262" s="2627" t="n"/>
      <c r="AD262" s="2627" t="n"/>
      <c r="AE262" s="2627" t="n"/>
      <c r="AF262" s="1436" t="n"/>
      <c r="AG262" s="2627" t="n"/>
      <c r="AH262" s="2627" t="n"/>
      <c r="AI262" s="2627" t="n"/>
      <c r="AJ262" s="2627" t="n"/>
      <c r="AK262" s="2627" t="n"/>
      <c r="AL262" s="2627" t="n"/>
      <c r="AM262" s="2627" t="n"/>
      <c r="AN262" s="2627" t="n"/>
      <c r="AO262" s="2627" t="n"/>
      <c r="AP262" s="2627" t="n"/>
      <c r="AQ262" s="1436" t="n"/>
      <c r="AR262" s="1436" t="n"/>
      <c r="AS262" s="2627" t="n"/>
      <c r="AU262" s="1436" t="n"/>
      <c r="AV262" s="1436" t="n"/>
      <c r="AW262" s="1436" t="n"/>
      <c r="AX262" s="1436" t="n"/>
      <c r="AY262" s="1436" t="n"/>
      <c r="AZ262" s="1436" t="n"/>
      <c r="BA262" s="1436" t="n"/>
      <c r="BB262" s="1436" t="n"/>
      <c r="BC262" s="1436" t="n"/>
      <c r="BD262" s="1436" t="n"/>
      <c r="BE262" s="1436" t="n"/>
      <c r="BF262" s="1436" t="n"/>
      <c r="BG262" s="2627" t="n"/>
      <c r="BI262" s="1436" t="n"/>
      <c r="BJ262" s="1436" t="n"/>
      <c r="BK262" s="1436" t="n"/>
      <c r="BL262" s="1436" t="n"/>
      <c r="BM262" s="1436" t="n"/>
      <c r="BN262" s="1436" t="n"/>
      <c r="BO262" s="1436" t="n"/>
      <c r="BP262" s="1436" t="n"/>
      <c r="BQ262" s="1436" t="n"/>
      <c r="BR262" s="1436" t="n"/>
      <c r="BS262" s="1436" t="n"/>
      <c r="BT262" s="1436" t="n"/>
      <c r="BU262" s="2627" t="n"/>
    </row>
    <row r="263">
      <c r="A263" s="1436" t="n"/>
      <c r="B263" s="1492" t="n"/>
      <c r="C263" s="1436" t="n"/>
      <c r="D263" s="2627" t="n"/>
      <c r="E263" s="2627" t="n"/>
      <c r="F263" s="2627" t="n"/>
      <c r="G263" s="2627" t="n"/>
      <c r="H263" s="2627" t="n"/>
      <c r="I263" s="2627" t="n"/>
      <c r="J263" s="2627" t="n"/>
      <c r="K263" s="2627" t="n"/>
      <c r="L263" s="2627" t="n"/>
      <c r="M263" s="2627" t="n"/>
      <c r="N263" s="2627" t="n"/>
      <c r="O263" s="2627" t="n"/>
      <c r="P263" s="2627" t="n"/>
      <c r="Q263" s="1436" t="n"/>
      <c r="R263" s="1436" t="n"/>
      <c r="S263" s="2627" t="n"/>
      <c r="T263" s="2627" t="n"/>
      <c r="U263" s="2627" t="n"/>
      <c r="V263" s="2627" t="n"/>
      <c r="W263" s="2627" t="n"/>
      <c r="X263" s="2627" t="n"/>
      <c r="Y263" s="2627" t="n"/>
      <c r="Z263" s="2627" t="n"/>
      <c r="AA263" s="2627" t="n"/>
      <c r="AB263" s="2627" t="n"/>
      <c r="AC263" s="2627" t="n"/>
      <c r="AD263" s="2627" t="n"/>
      <c r="AE263" s="2627" t="n"/>
      <c r="AF263" s="1436" t="n"/>
      <c r="AG263" s="2627" t="n"/>
      <c r="AH263" s="2627" t="n"/>
      <c r="AI263" s="2627" t="n"/>
      <c r="AJ263" s="2627" t="n"/>
      <c r="AK263" s="2627" t="n"/>
      <c r="AL263" s="2627" t="n"/>
      <c r="AM263" s="2627" t="n"/>
      <c r="AN263" s="2627" t="n"/>
      <c r="AO263" s="2627" t="n"/>
      <c r="AP263" s="2627" t="n"/>
      <c r="AQ263" s="1436" t="n"/>
      <c r="AR263" s="1436" t="n"/>
      <c r="AS263" s="2627" t="n"/>
      <c r="AU263" s="1436" t="n"/>
      <c r="AV263" s="1436" t="n"/>
      <c r="AW263" s="1436" t="n"/>
      <c r="AX263" s="1436" t="n"/>
      <c r="AY263" s="1436" t="n"/>
      <c r="AZ263" s="1436" t="n"/>
      <c r="BA263" s="1436" t="n"/>
      <c r="BB263" s="1436" t="n"/>
      <c r="BC263" s="1436" t="n"/>
      <c r="BD263" s="1436" t="n"/>
      <c r="BE263" s="1436" t="n"/>
      <c r="BF263" s="1436" t="n"/>
      <c r="BG263" s="2627" t="n"/>
      <c r="BI263" s="1436" t="n"/>
      <c r="BJ263" s="1436" t="n"/>
      <c r="BK263" s="1436" t="n"/>
      <c r="BL263" s="1436" t="n"/>
      <c r="BM263" s="1436" t="n"/>
      <c r="BN263" s="1436" t="n"/>
      <c r="BO263" s="1436" t="n"/>
      <c r="BP263" s="1436" t="n"/>
      <c r="BQ263" s="1436" t="n"/>
      <c r="BR263" s="1436" t="n"/>
      <c r="BS263" s="1436" t="n"/>
      <c r="BT263" s="1436" t="n"/>
      <c r="BU263" s="2627" t="n"/>
    </row>
    <row r="264">
      <c r="A264" s="1436" t="n"/>
      <c r="B264" s="1436" t="n"/>
      <c r="C264" s="1436" t="n"/>
      <c r="D264" s="1436" t="n"/>
      <c r="E264" s="1436" t="n"/>
      <c r="F264" s="1436" t="n"/>
      <c r="G264" s="1436" t="n"/>
      <c r="H264" s="1436" t="n"/>
      <c r="I264" s="1436" t="n"/>
      <c r="J264" s="1436" t="n"/>
      <c r="K264" s="1436" t="n"/>
      <c r="L264" s="1436" t="n"/>
      <c r="M264" s="1436" t="n"/>
      <c r="N264" s="1436" t="n"/>
      <c r="O264" s="1436" t="n"/>
      <c r="P264" s="1436" t="n"/>
      <c r="Q264" s="1436" t="n"/>
      <c r="R264" s="1436" t="n"/>
      <c r="S264" s="1436" t="n"/>
      <c r="T264" s="1436" t="n"/>
      <c r="U264" s="1436" t="n"/>
      <c r="V264" s="1436" t="n"/>
      <c r="W264" s="1436" t="n"/>
      <c r="X264" s="1436" t="n"/>
      <c r="Y264" s="1436" t="n"/>
      <c r="Z264" s="1436" t="n"/>
      <c r="AA264" s="1436" t="n"/>
      <c r="AB264" s="1436" t="n"/>
      <c r="AC264" s="1436" t="n"/>
      <c r="AD264" s="1436" t="n"/>
      <c r="AE264" s="1436" t="n"/>
      <c r="AF264" s="1436" t="n"/>
      <c r="AG264" s="1436" t="n"/>
      <c r="AH264" s="1436" t="n"/>
      <c r="AI264" s="1436" t="n"/>
      <c r="AJ264" s="1436" t="n"/>
      <c r="AK264" s="1436" t="n"/>
      <c r="AL264" s="1436" t="n"/>
      <c r="AM264" s="1436" t="n"/>
      <c r="AN264" s="1436" t="n"/>
      <c r="AO264" s="1436" t="n"/>
      <c r="AP264" s="1436" t="n"/>
      <c r="AQ264" s="1436" t="n"/>
      <c r="AR264" s="1436" t="n"/>
      <c r="AS264" s="1436" t="n"/>
      <c r="AU264" s="1436" t="n"/>
      <c r="AV264" s="1436" t="n"/>
      <c r="AW264" s="1436" t="n"/>
      <c r="AX264" s="1436" t="n"/>
      <c r="AY264" s="1436" t="n"/>
      <c r="AZ264" s="1436" t="n"/>
      <c r="BA264" s="1436" t="n"/>
      <c r="BB264" s="1436" t="n"/>
      <c r="BC264" s="1436" t="n"/>
      <c r="BD264" s="1436" t="n"/>
      <c r="BE264" s="1436" t="n"/>
      <c r="BF264" s="1436" t="n"/>
      <c r="BG264" s="1436" t="n"/>
      <c r="BI264" s="1436" t="n"/>
      <c r="BJ264" s="1436" t="n"/>
      <c r="BK264" s="1436" t="n"/>
      <c r="BL264" s="1436" t="n"/>
      <c r="BM264" s="1436" t="n"/>
      <c r="BN264" s="1436" t="n"/>
      <c r="BO264" s="1436" t="n"/>
      <c r="BP264" s="1436" t="n"/>
      <c r="BQ264" s="1436" t="n"/>
      <c r="BR264" s="1436" t="n"/>
      <c r="BS264" s="1436" t="n"/>
      <c r="BT264" s="1436" t="n"/>
      <c r="BU264" s="1436" t="n"/>
    </row>
    <row r="265">
      <c r="A265" s="1436" t="n"/>
      <c r="B265" s="1486" t="n"/>
      <c r="C265" s="1456" t="n"/>
      <c r="D265" s="2627" t="n"/>
      <c r="E265" s="2627" t="n"/>
      <c r="F265" s="2627" t="n"/>
      <c r="G265" s="2627" t="n"/>
      <c r="H265" s="2627" t="n"/>
      <c r="I265" s="2627" t="n"/>
      <c r="J265" s="2627" t="n"/>
      <c r="K265" s="2627" t="n"/>
      <c r="L265" s="2627" t="n"/>
      <c r="M265" s="2627" t="n"/>
      <c r="N265" s="2627" t="n"/>
      <c r="O265" s="2627" t="n"/>
      <c r="P265" s="2627" t="n"/>
      <c r="Q265" s="1436" t="n"/>
      <c r="R265" s="1436" t="n"/>
      <c r="S265" s="2627" t="n"/>
      <c r="T265" s="2627" t="n"/>
      <c r="U265" s="2627" t="n"/>
      <c r="V265" s="2627" t="n"/>
      <c r="W265" s="2627" t="n"/>
      <c r="X265" s="2627" t="n"/>
      <c r="Y265" s="2627" t="n"/>
      <c r="Z265" s="2627" t="n"/>
      <c r="AA265" s="2627" t="n"/>
      <c r="AB265" s="2627" t="n"/>
      <c r="AC265" s="2627" t="n"/>
      <c r="AD265" s="2627" t="n"/>
      <c r="AE265" s="2627" t="n"/>
      <c r="AF265" s="1436" t="n"/>
      <c r="AG265" s="2627" t="n"/>
      <c r="AH265" s="2627" t="n"/>
      <c r="AI265" s="2627" t="n"/>
      <c r="AJ265" s="2627" t="n"/>
      <c r="AK265" s="2627" t="n"/>
      <c r="AL265" s="2627" t="n"/>
      <c r="AM265" s="2627" t="n"/>
      <c r="AN265" s="2627" t="n"/>
      <c r="AO265" s="2627" t="n"/>
      <c r="AP265" s="2627" t="n"/>
      <c r="AQ265" s="1436" t="n"/>
      <c r="AR265" s="1436" t="n"/>
      <c r="AS265" s="2627" t="n"/>
      <c r="AU265" s="1436" t="n"/>
      <c r="AV265" s="1436" t="n"/>
      <c r="AW265" s="1436" t="n"/>
      <c r="AX265" s="1436" t="n"/>
      <c r="AY265" s="1436" t="n"/>
      <c r="AZ265" s="1436" t="n"/>
      <c r="BA265" s="1436" t="n"/>
      <c r="BB265" s="1436" t="n"/>
      <c r="BC265" s="1436" t="n"/>
      <c r="BD265" s="1436" t="n"/>
      <c r="BE265" s="1436" t="n"/>
      <c r="BF265" s="1436" t="n"/>
      <c r="BG265" s="2627" t="n"/>
      <c r="BI265" s="1436" t="n"/>
      <c r="BJ265" s="1436" t="n"/>
      <c r="BK265" s="1436" t="n"/>
      <c r="BL265" s="1436" t="n"/>
      <c r="BM265" s="1436" t="n"/>
      <c r="BN265" s="1436" t="n"/>
      <c r="BO265" s="1436" t="n"/>
      <c r="BP265" s="1436" t="n"/>
      <c r="BQ265" s="1436" t="n"/>
      <c r="BR265" s="1436" t="n"/>
      <c r="BS265" s="1436" t="n"/>
      <c r="BT265" s="1436" t="n"/>
      <c r="BU265" s="2627" t="n"/>
    </row>
    <row r="266">
      <c r="A266" s="1436" t="n"/>
      <c r="B266" s="1486" t="n"/>
      <c r="C266" s="1456" t="n"/>
      <c r="D266" s="2627" t="n"/>
      <c r="E266" s="2627" t="n"/>
      <c r="F266" s="2627" t="n"/>
      <c r="G266" s="2627" t="n"/>
      <c r="H266" s="2627" t="n"/>
      <c r="I266" s="2627" t="n"/>
      <c r="J266" s="2627" t="n"/>
      <c r="K266" s="2627" t="n"/>
      <c r="L266" s="2627" t="n"/>
      <c r="M266" s="2627" t="n"/>
      <c r="N266" s="2627" t="n"/>
      <c r="O266" s="2627" t="n"/>
      <c r="P266" s="2627" t="n"/>
      <c r="Q266" s="1436" t="n"/>
      <c r="R266" s="1436" t="n"/>
      <c r="S266" s="2627" t="n"/>
      <c r="T266" s="2627" t="n"/>
      <c r="U266" s="2627" t="n"/>
      <c r="V266" s="2627" t="n"/>
      <c r="W266" s="2627" t="n"/>
      <c r="X266" s="2627" t="n"/>
      <c r="Y266" s="2627" t="n"/>
      <c r="Z266" s="2627" t="n"/>
      <c r="AA266" s="2627" t="n"/>
      <c r="AB266" s="2627" t="n"/>
      <c r="AC266" s="2627" t="n"/>
      <c r="AD266" s="2627" t="n"/>
      <c r="AE266" s="2627" t="n"/>
      <c r="AF266" s="1436" t="n"/>
      <c r="AG266" s="2627" t="n"/>
      <c r="AH266" s="2627" t="n"/>
      <c r="AI266" s="2627" t="n"/>
      <c r="AJ266" s="2627" t="n"/>
      <c r="AK266" s="2627" t="n"/>
      <c r="AL266" s="2627" t="n"/>
      <c r="AM266" s="2627" t="n"/>
      <c r="AN266" s="2627" t="n"/>
      <c r="AO266" s="2627" t="n"/>
      <c r="AP266" s="2627" t="n"/>
      <c r="AQ266" s="1436" t="n"/>
      <c r="AR266" s="1436" t="n"/>
      <c r="AS266" s="2627" t="n"/>
      <c r="AU266" s="1436" t="n"/>
      <c r="AV266" s="1436" t="n"/>
      <c r="AW266" s="1436" t="n"/>
      <c r="AX266" s="1436" t="n"/>
      <c r="AY266" s="1436" t="n"/>
      <c r="AZ266" s="1436" t="n"/>
      <c r="BA266" s="1436" t="n"/>
      <c r="BB266" s="1436" t="n"/>
      <c r="BC266" s="1436" t="n"/>
      <c r="BD266" s="1436" t="n"/>
      <c r="BE266" s="1436" t="n"/>
      <c r="BF266" s="1436" t="n"/>
      <c r="BG266" s="2627" t="n"/>
      <c r="BI266" s="1436" t="n"/>
      <c r="BJ266" s="1436" t="n"/>
      <c r="BK266" s="1436" t="n"/>
      <c r="BL266" s="1436" t="n"/>
      <c r="BM266" s="1436" t="n"/>
      <c r="BN266" s="1436" t="n"/>
      <c r="BO266" s="1436" t="n"/>
      <c r="BP266" s="1436" t="n"/>
      <c r="BQ266" s="1436" t="n"/>
      <c r="BR266" s="1436" t="n"/>
      <c r="BS266" s="1436" t="n"/>
      <c r="BT266" s="1436" t="n"/>
      <c r="BU266" s="2627" t="n"/>
    </row>
    <row r="267">
      <c r="A267" s="1436" t="n"/>
      <c r="B267" s="1486" t="n"/>
      <c r="C267" s="1456" t="n"/>
      <c r="D267" s="2627" t="n"/>
      <c r="E267" s="2627" t="n"/>
      <c r="F267" s="2627" t="n"/>
      <c r="G267" s="2627" t="n"/>
      <c r="H267" s="2627" t="n"/>
      <c r="I267" s="2627" t="n"/>
      <c r="J267" s="2627" t="n"/>
      <c r="K267" s="2627" t="n"/>
      <c r="L267" s="2627" t="n"/>
      <c r="M267" s="2627" t="n"/>
      <c r="N267" s="2627" t="n"/>
      <c r="O267" s="2627" t="n"/>
      <c r="P267" s="2627" t="n"/>
      <c r="Q267" s="1436" t="n"/>
      <c r="R267" s="1436" t="n"/>
      <c r="S267" s="2627" t="n"/>
      <c r="T267" s="2627" t="n"/>
      <c r="U267" s="2627" t="n"/>
      <c r="V267" s="2627" t="n"/>
      <c r="W267" s="2627" t="n"/>
      <c r="X267" s="2627" t="n"/>
      <c r="Y267" s="2627" t="n"/>
      <c r="Z267" s="2627" t="n"/>
      <c r="AA267" s="2627" t="n"/>
      <c r="AB267" s="2627" t="n"/>
      <c r="AC267" s="2627" t="n"/>
      <c r="AD267" s="2627" t="n"/>
      <c r="AE267" s="2627" t="n"/>
      <c r="AF267" s="1436" t="n"/>
      <c r="AG267" s="2627" t="n"/>
      <c r="AH267" s="2627" t="n"/>
      <c r="AI267" s="2627" t="n"/>
      <c r="AJ267" s="2627" t="n"/>
      <c r="AK267" s="2627" t="n"/>
      <c r="AL267" s="2627" t="n"/>
      <c r="AM267" s="2627" t="n"/>
      <c r="AN267" s="2627" t="n"/>
      <c r="AO267" s="2627" t="n"/>
      <c r="AP267" s="2627" t="n"/>
      <c r="AQ267" s="1436" t="n"/>
      <c r="AR267" s="1436" t="n"/>
      <c r="AS267" s="2627" t="n"/>
      <c r="AU267" s="1436" t="n"/>
      <c r="AV267" s="1436" t="n"/>
      <c r="AW267" s="1436" t="n"/>
      <c r="AX267" s="1436" t="n"/>
      <c r="AY267" s="1436" t="n"/>
      <c r="AZ267" s="1436" t="n"/>
      <c r="BA267" s="1436" t="n"/>
      <c r="BB267" s="1436" t="n"/>
      <c r="BC267" s="1436" t="n"/>
      <c r="BD267" s="1436" t="n"/>
      <c r="BE267" s="1436" t="n"/>
      <c r="BF267" s="1436" t="n"/>
      <c r="BG267" s="2627" t="n"/>
      <c r="BI267" s="1436" t="n"/>
      <c r="BJ267" s="1436" t="n"/>
      <c r="BK267" s="1436" t="n"/>
      <c r="BL267" s="1436" t="n"/>
      <c r="BM267" s="1436" t="n"/>
      <c r="BN267" s="1436" t="n"/>
      <c r="BO267" s="1436" t="n"/>
      <c r="BP267" s="1436" t="n"/>
      <c r="BQ267" s="1436" t="n"/>
      <c r="BR267" s="1436" t="n"/>
      <c r="BS267" s="1436" t="n"/>
      <c r="BT267" s="1436" t="n"/>
      <c r="BU267" s="2627" t="n"/>
    </row>
    <row r="268">
      <c r="A268" s="1436" t="n"/>
      <c r="B268" s="1486" t="n"/>
      <c r="C268" s="1456" t="n"/>
      <c r="D268" s="2627" t="n"/>
      <c r="E268" s="2627" t="n"/>
      <c r="F268" s="2627" t="n"/>
      <c r="G268" s="2627" t="n"/>
      <c r="H268" s="2627" t="n"/>
      <c r="I268" s="2627" t="n"/>
      <c r="J268" s="2627" t="n"/>
      <c r="K268" s="2627" t="n"/>
      <c r="L268" s="2627" t="n"/>
      <c r="M268" s="2627" t="n"/>
      <c r="N268" s="2627" t="n"/>
      <c r="O268" s="2627" t="n"/>
      <c r="P268" s="2627" t="n"/>
      <c r="Q268" s="1436" t="n"/>
      <c r="R268" s="1436" t="n"/>
      <c r="S268" s="2627" t="n"/>
      <c r="T268" s="2627" t="n"/>
      <c r="U268" s="2627" t="n"/>
      <c r="V268" s="2627" t="n"/>
      <c r="W268" s="2627" t="n"/>
      <c r="X268" s="2627" t="n"/>
      <c r="Y268" s="2627" t="n"/>
      <c r="Z268" s="2627" t="n"/>
      <c r="AA268" s="2627" t="n"/>
      <c r="AB268" s="2627" t="n"/>
      <c r="AC268" s="2627" t="n"/>
      <c r="AD268" s="2627" t="n"/>
      <c r="AE268" s="2627" t="n"/>
      <c r="AF268" s="1436" t="n"/>
      <c r="AG268" s="2627" t="n"/>
      <c r="AH268" s="2627" t="n"/>
      <c r="AI268" s="2627" t="n"/>
      <c r="AJ268" s="2627" t="n"/>
      <c r="AK268" s="2627" t="n"/>
      <c r="AL268" s="2627" t="n"/>
      <c r="AM268" s="2627" t="n"/>
      <c r="AN268" s="2627" t="n"/>
      <c r="AO268" s="2627" t="n"/>
      <c r="AP268" s="2627" t="n"/>
      <c r="AQ268" s="1436" t="n"/>
      <c r="AR268" s="1436" t="n"/>
      <c r="AS268" s="2627" t="n"/>
      <c r="AU268" s="1436" t="n"/>
      <c r="AV268" s="1436" t="n"/>
      <c r="AW268" s="1436" t="n"/>
      <c r="AX268" s="1436" t="n"/>
      <c r="AY268" s="1436" t="n"/>
      <c r="AZ268" s="1436" t="n"/>
      <c r="BA268" s="1436" t="n"/>
      <c r="BB268" s="1436" t="n"/>
      <c r="BC268" s="1436" t="n"/>
      <c r="BD268" s="1436" t="n"/>
      <c r="BE268" s="1436" t="n"/>
      <c r="BF268" s="1436" t="n"/>
      <c r="BG268" s="2627" t="n"/>
      <c r="BI268" s="1436" t="n"/>
      <c r="BJ268" s="1436" t="n"/>
      <c r="BK268" s="1436" t="n"/>
      <c r="BL268" s="1436" t="n"/>
      <c r="BM268" s="1436" t="n"/>
      <c r="BN268" s="1436" t="n"/>
      <c r="BO268" s="1436" t="n"/>
      <c r="BP268" s="1436" t="n"/>
      <c r="BQ268" s="1436" t="n"/>
      <c r="BR268" s="1436" t="n"/>
      <c r="BS268" s="1436" t="n"/>
      <c r="BT268" s="1436" t="n"/>
      <c r="BU268" s="2627" t="n"/>
    </row>
    <row r="269">
      <c r="A269" s="1436" t="n"/>
      <c r="B269" s="1486" t="n"/>
      <c r="C269" s="1456" t="n"/>
      <c r="D269" s="2627" t="n"/>
      <c r="E269" s="2627" t="n"/>
      <c r="F269" s="2627" t="n"/>
      <c r="G269" s="2627" t="n"/>
      <c r="H269" s="2627" t="n"/>
      <c r="I269" s="2627" t="n"/>
      <c r="J269" s="2627" t="n"/>
      <c r="K269" s="2627" t="n"/>
      <c r="L269" s="2627" t="n"/>
      <c r="M269" s="2627" t="n"/>
      <c r="N269" s="2627" t="n"/>
      <c r="O269" s="2627" t="n"/>
      <c r="P269" s="2627" t="n"/>
      <c r="Q269" s="1436" t="n"/>
      <c r="R269" s="1436" t="n"/>
      <c r="S269" s="2627" t="n"/>
      <c r="T269" s="2627" t="n"/>
      <c r="U269" s="2627" t="n"/>
      <c r="V269" s="2627" t="n"/>
      <c r="W269" s="2627" t="n"/>
      <c r="X269" s="2627" t="n"/>
      <c r="Y269" s="2627" t="n"/>
      <c r="Z269" s="2627" t="n"/>
      <c r="AA269" s="2627" t="n"/>
      <c r="AB269" s="2627" t="n"/>
      <c r="AC269" s="2627" t="n"/>
      <c r="AD269" s="2627" t="n"/>
      <c r="AE269" s="2627" t="n"/>
      <c r="AF269" s="1436" t="n"/>
      <c r="AG269" s="2627" t="n"/>
      <c r="AH269" s="2627" t="n"/>
      <c r="AI269" s="2627" t="n"/>
      <c r="AJ269" s="2627" t="n"/>
      <c r="AK269" s="2627" t="n"/>
      <c r="AL269" s="2627" t="n"/>
      <c r="AM269" s="2627" t="n"/>
      <c r="AN269" s="2627" t="n"/>
      <c r="AO269" s="2627" t="n"/>
      <c r="AP269" s="2627" t="n"/>
      <c r="AQ269" s="1436" t="n"/>
      <c r="AR269" s="1436" t="n"/>
      <c r="AS269" s="2627" t="n"/>
      <c r="AU269" s="1436" t="n"/>
      <c r="AV269" s="1436" t="n"/>
      <c r="AW269" s="1436" t="n"/>
      <c r="AX269" s="1436" t="n"/>
      <c r="AY269" s="1436" t="n"/>
      <c r="AZ269" s="1436" t="n"/>
      <c r="BA269" s="1436" t="n"/>
      <c r="BB269" s="1436" t="n"/>
      <c r="BC269" s="1436" t="n"/>
      <c r="BD269" s="1436" t="n"/>
      <c r="BE269" s="1436" t="n"/>
      <c r="BF269" s="1436" t="n"/>
      <c r="BG269" s="2627" t="n"/>
      <c r="BI269" s="1436" t="n"/>
      <c r="BJ269" s="1436" t="n"/>
      <c r="BK269" s="1436" t="n"/>
      <c r="BL269" s="1436" t="n"/>
      <c r="BM269" s="1436" t="n"/>
      <c r="BN269" s="1436" t="n"/>
      <c r="BO269" s="1436" t="n"/>
      <c r="BP269" s="1436" t="n"/>
      <c r="BQ269" s="1436" t="n"/>
      <c r="BR269" s="1436" t="n"/>
      <c r="BS269" s="1436" t="n"/>
      <c r="BT269" s="1436" t="n"/>
      <c r="BU269" s="2627" t="n"/>
    </row>
    <row r="270">
      <c r="A270" s="1436" t="n"/>
      <c r="B270" s="1486" t="n"/>
      <c r="C270" s="1456" t="n"/>
      <c r="D270" s="2627" t="n"/>
      <c r="E270" s="2627" t="n"/>
      <c r="F270" s="2627" t="n"/>
      <c r="G270" s="2627" t="n"/>
      <c r="H270" s="2627" t="n"/>
      <c r="I270" s="2627" t="n"/>
      <c r="J270" s="2627" t="n"/>
      <c r="K270" s="2627" t="n"/>
      <c r="L270" s="2627" t="n"/>
      <c r="M270" s="2627" t="n"/>
      <c r="N270" s="2627" t="n"/>
      <c r="O270" s="2627" t="n"/>
      <c r="P270" s="2627" t="n"/>
      <c r="Q270" s="1436" t="n"/>
      <c r="R270" s="1436" t="n"/>
      <c r="S270" s="2627" t="n"/>
      <c r="T270" s="2627" t="n"/>
      <c r="U270" s="2627" t="n"/>
      <c r="V270" s="2627" t="n"/>
      <c r="W270" s="2627" t="n"/>
      <c r="X270" s="2627" t="n"/>
      <c r="Y270" s="2627" t="n"/>
      <c r="Z270" s="2627" t="n"/>
      <c r="AA270" s="2627" t="n"/>
      <c r="AB270" s="2627" t="n"/>
      <c r="AC270" s="2627" t="n"/>
      <c r="AD270" s="2627" t="n"/>
      <c r="AE270" s="2627" t="n"/>
      <c r="AF270" s="1436" t="n"/>
      <c r="AG270" s="2627" t="n"/>
      <c r="AH270" s="2627" t="n"/>
      <c r="AI270" s="2627" t="n"/>
      <c r="AJ270" s="2627" t="n"/>
      <c r="AK270" s="2627" t="n"/>
      <c r="AL270" s="2627" t="n"/>
      <c r="AM270" s="2627" t="n"/>
      <c r="AN270" s="2627" t="n"/>
      <c r="AO270" s="2627" t="n"/>
      <c r="AP270" s="2627" t="n"/>
      <c r="AQ270" s="1436" t="n"/>
      <c r="AR270" s="1436" t="n"/>
      <c r="AS270" s="2627" t="n"/>
      <c r="AU270" s="1436" t="n"/>
      <c r="AV270" s="1436" t="n"/>
      <c r="AW270" s="1436" t="n"/>
      <c r="AX270" s="1436" t="n"/>
      <c r="AY270" s="1436" t="n"/>
      <c r="AZ270" s="1436" t="n"/>
      <c r="BA270" s="1436" t="n"/>
      <c r="BB270" s="1436" t="n"/>
      <c r="BC270" s="1436" t="n"/>
      <c r="BD270" s="1436" t="n"/>
      <c r="BE270" s="1436" t="n"/>
      <c r="BF270" s="1436" t="n"/>
      <c r="BG270" s="2627" t="n"/>
      <c r="BI270" s="1436" t="n"/>
      <c r="BJ270" s="1436" t="n"/>
      <c r="BK270" s="1436" t="n"/>
      <c r="BL270" s="1436" t="n"/>
      <c r="BM270" s="1436" t="n"/>
      <c r="BN270" s="1436" t="n"/>
      <c r="BO270" s="1436" t="n"/>
      <c r="BP270" s="1436" t="n"/>
      <c r="BQ270" s="1436" t="n"/>
      <c r="BR270" s="1436" t="n"/>
      <c r="BS270" s="1436" t="n"/>
      <c r="BT270" s="1436" t="n"/>
      <c r="BU270" s="2627" t="n"/>
    </row>
    <row r="271">
      <c r="A271" s="1436" t="n"/>
      <c r="B271" s="1486" t="n"/>
      <c r="C271" s="1456" t="n"/>
      <c r="D271" s="2627" t="n"/>
      <c r="E271" s="2627" t="n"/>
      <c r="F271" s="2627" t="n"/>
      <c r="G271" s="2627" t="n"/>
      <c r="H271" s="2627" t="n"/>
      <c r="I271" s="2627" t="n"/>
      <c r="J271" s="2627" t="n"/>
      <c r="K271" s="2627" t="n"/>
      <c r="L271" s="2627" t="n"/>
      <c r="M271" s="2627" t="n"/>
      <c r="N271" s="2627" t="n"/>
      <c r="O271" s="2627" t="n"/>
      <c r="P271" s="2627" t="n"/>
      <c r="Q271" s="1436" t="n"/>
      <c r="R271" s="1436" t="n"/>
      <c r="S271" s="2627" t="n"/>
      <c r="T271" s="2627" t="n"/>
      <c r="U271" s="2627" t="n"/>
      <c r="V271" s="2627" t="n"/>
      <c r="W271" s="2627" t="n"/>
      <c r="X271" s="2627" t="n"/>
      <c r="Y271" s="2627" t="n"/>
      <c r="Z271" s="2627" t="n"/>
      <c r="AA271" s="2627" t="n"/>
      <c r="AB271" s="2627" t="n"/>
      <c r="AC271" s="2627" t="n"/>
      <c r="AD271" s="2627" t="n"/>
      <c r="AE271" s="2627" t="n"/>
      <c r="AF271" s="1436" t="n"/>
      <c r="AG271" s="2627" t="n"/>
      <c r="AH271" s="2627" t="n"/>
      <c r="AI271" s="2627" t="n"/>
      <c r="AJ271" s="2627" t="n"/>
      <c r="AK271" s="2627" t="n"/>
      <c r="AL271" s="2627" t="n"/>
      <c r="AM271" s="2627" t="n"/>
      <c r="AN271" s="2627" t="n"/>
      <c r="AO271" s="2627" t="n"/>
      <c r="AP271" s="2627" t="n"/>
      <c r="AQ271" s="1436" t="n"/>
      <c r="AR271" s="1436" t="n"/>
      <c r="AS271" s="2627" t="n"/>
      <c r="AU271" s="1436" t="n"/>
      <c r="AV271" s="1436" t="n"/>
      <c r="AW271" s="1436" t="n"/>
      <c r="AX271" s="1436" t="n"/>
      <c r="AY271" s="1436" t="n"/>
      <c r="AZ271" s="1436" t="n"/>
      <c r="BA271" s="1436" t="n"/>
      <c r="BB271" s="1436" t="n"/>
      <c r="BC271" s="1436" t="n"/>
      <c r="BD271" s="1436" t="n"/>
      <c r="BE271" s="1436" t="n"/>
      <c r="BF271" s="1436" t="n"/>
      <c r="BG271" s="2627" t="n"/>
      <c r="BI271" s="1436" t="n"/>
      <c r="BJ271" s="1436" t="n"/>
      <c r="BK271" s="1436" t="n"/>
      <c r="BL271" s="1436" t="n"/>
      <c r="BM271" s="1436" t="n"/>
      <c r="BN271" s="1436" t="n"/>
      <c r="BO271" s="1436" t="n"/>
      <c r="BP271" s="1436" t="n"/>
      <c r="BQ271" s="1436" t="n"/>
      <c r="BR271" s="1436" t="n"/>
      <c r="BS271" s="1436" t="n"/>
      <c r="BT271" s="1436" t="n"/>
      <c r="BU271" s="2627" t="n"/>
    </row>
    <row r="272">
      <c r="A272" s="1436" t="n"/>
      <c r="B272" s="1436" t="n"/>
      <c r="C272" s="1436" t="n"/>
      <c r="D272" s="2637" t="n"/>
      <c r="E272" s="2637" t="n"/>
      <c r="F272" s="2637" t="n"/>
      <c r="G272" s="2637" t="n"/>
      <c r="H272" s="2637" t="n"/>
      <c r="I272" s="2637" t="n"/>
      <c r="J272" s="2637" t="n"/>
      <c r="K272" s="2637" t="n"/>
      <c r="L272" s="2637" t="n"/>
      <c r="M272" s="2637" t="n"/>
      <c r="N272" s="2637" t="n"/>
      <c r="O272" s="2637" t="n"/>
      <c r="P272" s="2637" t="n"/>
      <c r="Q272" s="1436" t="n"/>
      <c r="R272" s="1436" t="n"/>
      <c r="S272" s="2637" t="n"/>
      <c r="T272" s="2637" t="n"/>
      <c r="U272" s="2637" t="n"/>
      <c r="V272" s="2637" t="n"/>
      <c r="W272" s="2637" t="n"/>
      <c r="X272" s="2637" t="n"/>
      <c r="Y272" s="2637" t="n"/>
      <c r="Z272" s="2637" t="n"/>
      <c r="AA272" s="2637" t="n"/>
      <c r="AB272" s="2637" t="n"/>
      <c r="AC272" s="2637" t="n"/>
      <c r="AD272" s="2637" t="n"/>
      <c r="AE272" s="2637" t="n"/>
      <c r="AF272" s="1436" t="n"/>
      <c r="AG272" s="2637" t="n"/>
      <c r="AH272" s="2637" t="n"/>
      <c r="AI272" s="2637" t="n"/>
      <c r="AJ272" s="2637" t="n"/>
      <c r="AK272" s="2637" t="n"/>
      <c r="AL272" s="2637" t="n"/>
      <c r="AM272" s="2637" t="n"/>
      <c r="AN272" s="2637" t="n"/>
      <c r="AO272" s="2637" t="n"/>
      <c r="AP272" s="2637" t="n"/>
      <c r="AQ272" s="1436" t="n"/>
      <c r="AR272" s="1436" t="n"/>
      <c r="AS272" s="2637" t="n"/>
      <c r="AU272" s="1436" t="n"/>
      <c r="AV272" s="1436" t="n"/>
      <c r="AW272" s="1436" t="n"/>
      <c r="AX272" s="1436" t="n"/>
      <c r="AY272" s="1436" t="n"/>
      <c r="AZ272" s="1436" t="n"/>
      <c r="BA272" s="1436" t="n"/>
      <c r="BB272" s="1436" t="n"/>
      <c r="BC272" s="1436" t="n"/>
      <c r="BD272" s="1436" t="n"/>
      <c r="BE272" s="1436" t="n"/>
      <c r="BF272" s="1436" t="n"/>
      <c r="BG272" s="2637" t="n"/>
      <c r="BI272" s="1436" t="n"/>
      <c r="BJ272" s="1436" t="n"/>
      <c r="BK272" s="1436" t="n"/>
      <c r="BL272" s="1436" t="n"/>
      <c r="BM272" s="1436" t="n"/>
      <c r="BN272" s="1436" t="n"/>
      <c r="BO272" s="1436" t="n"/>
      <c r="BP272" s="1436" t="n"/>
      <c r="BQ272" s="1436" t="n"/>
      <c r="BR272" s="1436" t="n"/>
      <c r="BS272" s="1436" t="n"/>
      <c r="BT272" s="1436" t="n"/>
      <c r="BU272" s="2637" t="n"/>
    </row>
    <row r="273">
      <c r="A273" s="1436" t="n"/>
      <c r="B273" s="1436" t="n"/>
      <c r="C273" s="1436" t="n"/>
      <c r="D273" s="1436" t="n"/>
      <c r="E273" s="1436" t="n"/>
      <c r="F273" s="1436" t="n"/>
      <c r="G273" s="1436" t="n"/>
      <c r="H273" s="1436" t="n"/>
      <c r="I273" s="1436" t="n"/>
      <c r="J273" s="1436" t="n"/>
      <c r="K273" s="1436" t="n"/>
      <c r="L273" s="1436" t="n"/>
      <c r="M273" s="1436" t="n"/>
      <c r="N273" s="1436" t="n"/>
      <c r="O273" s="1436" t="n"/>
      <c r="P273" s="1436" t="n"/>
      <c r="Q273" s="1436" t="n"/>
      <c r="R273" s="1436" t="n"/>
      <c r="S273" s="1436" t="n"/>
      <c r="T273" s="1436" t="n"/>
      <c r="U273" s="1436" t="n"/>
      <c r="V273" s="1436" t="n"/>
      <c r="W273" s="1436" t="n"/>
      <c r="X273" s="1436" t="n"/>
      <c r="Y273" s="1436" t="n"/>
      <c r="Z273" s="1436" t="n"/>
      <c r="AA273" s="1436" t="n"/>
      <c r="AB273" s="1436" t="n"/>
      <c r="AC273" s="1436" t="n"/>
      <c r="AD273" s="1436" t="n"/>
      <c r="AE273" s="1436" t="n"/>
      <c r="AF273" s="1436" t="n"/>
      <c r="AG273" s="1436" t="n"/>
      <c r="AH273" s="1436" t="n"/>
      <c r="AI273" s="1436" t="n"/>
      <c r="AJ273" s="1436" t="n"/>
      <c r="AK273" s="1436" t="n"/>
      <c r="AL273" s="1436" t="n"/>
      <c r="AM273" s="1436" t="n"/>
      <c r="AN273" s="1436" t="n"/>
      <c r="AO273" s="1436" t="n"/>
      <c r="AP273" s="1436" t="n"/>
      <c r="AQ273" s="1436" t="n"/>
      <c r="AR273" s="1436" t="n"/>
      <c r="AS273" s="1436" t="n"/>
      <c r="AU273" s="1436" t="n"/>
      <c r="AV273" s="1436" t="n"/>
      <c r="AW273" s="1436" t="n"/>
      <c r="AX273" s="1436" t="n"/>
      <c r="AY273" s="1436" t="n"/>
      <c r="AZ273" s="1436" t="n"/>
      <c r="BA273" s="1436" t="n"/>
      <c r="BB273" s="1436" t="n"/>
      <c r="BC273" s="1436" t="n"/>
      <c r="BD273" s="1436" t="n"/>
      <c r="BE273" s="1436" t="n"/>
      <c r="BF273" s="1436" t="n"/>
      <c r="BG273" s="1436" t="n"/>
      <c r="BI273" s="1436" t="n"/>
      <c r="BJ273" s="1436" t="n"/>
      <c r="BK273" s="1436" t="n"/>
      <c r="BL273" s="1436" t="n"/>
      <c r="BM273" s="1436" t="n"/>
      <c r="BN273" s="1436" t="n"/>
      <c r="BO273" s="1436" t="n"/>
      <c r="BP273" s="1436" t="n"/>
      <c r="BQ273" s="1436" t="n"/>
      <c r="BR273" s="1436" t="n"/>
      <c r="BS273" s="1436" t="n"/>
      <c r="BT273" s="1436" t="n"/>
      <c r="BU273" s="1436" t="n"/>
    </row>
    <row r="274">
      <c r="A274" s="1436" t="n"/>
      <c r="B274" s="1486" t="n"/>
      <c r="C274" s="1456" t="n"/>
      <c r="D274" s="2627" t="n"/>
      <c r="E274" s="2627" t="n"/>
      <c r="F274" s="2627" t="n"/>
      <c r="G274" s="2627" t="n"/>
      <c r="H274" s="2627" t="n"/>
      <c r="I274" s="2627" t="n"/>
      <c r="J274" s="2627" t="n"/>
      <c r="K274" s="2627" t="n"/>
      <c r="L274" s="2627" t="n"/>
      <c r="M274" s="2627" t="n"/>
      <c r="N274" s="2627" t="n"/>
      <c r="O274" s="2627" t="n"/>
      <c r="P274" s="2627" t="n"/>
      <c r="Q274" s="1436" t="n"/>
      <c r="R274" s="1436" t="n"/>
      <c r="S274" s="2627" t="n"/>
      <c r="T274" s="2627" t="n"/>
      <c r="U274" s="2627" t="n"/>
      <c r="V274" s="2627" t="n"/>
      <c r="W274" s="2627" t="n"/>
      <c r="X274" s="2627" t="n"/>
      <c r="Y274" s="2627" t="n"/>
      <c r="Z274" s="2627" t="n"/>
      <c r="AA274" s="2627" t="n"/>
      <c r="AB274" s="2627" t="n"/>
      <c r="AC274" s="2627" t="n"/>
      <c r="AD274" s="2627" t="n"/>
      <c r="AE274" s="2627" t="n"/>
      <c r="AF274" s="1436" t="n"/>
      <c r="AG274" s="2627" t="n"/>
      <c r="AH274" s="2627" t="n"/>
      <c r="AI274" s="2627" t="n"/>
      <c r="AJ274" s="2627" t="n"/>
      <c r="AK274" s="2627" t="n"/>
      <c r="AL274" s="2627" t="n"/>
      <c r="AM274" s="2627" t="n"/>
      <c r="AN274" s="2627" t="n"/>
      <c r="AO274" s="2627" t="n"/>
      <c r="AP274" s="2627" t="n"/>
      <c r="AS274" s="2627" t="n"/>
      <c r="BG274" s="2627" t="n"/>
      <c r="BU274" s="2627" t="n"/>
    </row>
    <row r="275">
      <c r="A275" s="1436" t="n"/>
      <c r="B275" s="1486" t="n"/>
      <c r="C275" s="1456" t="n"/>
      <c r="D275" s="2627" t="n"/>
      <c r="E275" s="2627" t="n"/>
      <c r="F275" s="2627" t="n"/>
      <c r="G275" s="2627" t="n"/>
      <c r="H275" s="2627" t="n"/>
      <c r="I275" s="2627" t="n"/>
      <c r="J275" s="2627" t="n"/>
      <c r="K275" s="2627" t="n"/>
      <c r="L275" s="2627" t="n"/>
      <c r="M275" s="2627" t="n"/>
      <c r="N275" s="2627" t="n"/>
      <c r="O275" s="2627" t="n"/>
      <c r="P275" s="2627" t="n"/>
      <c r="Q275" s="1436" t="n"/>
      <c r="R275" s="1436" t="n"/>
      <c r="S275" s="2627" t="n"/>
      <c r="T275" s="2627" t="n"/>
      <c r="U275" s="2627" t="n"/>
      <c r="V275" s="2627" t="n"/>
      <c r="W275" s="2627" t="n"/>
      <c r="X275" s="2627" t="n"/>
      <c r="Y275" s="2627" t="n"/>
      <c r="Z275" s="2627" t="n"/>
      <c r="AA275" s="2627" t="n"/>
      <c r="AB275" s="2627" t="n"/>
      <c r="AC275" s="2627" t="n"/>
      <c r="AD275" s="2627" t="n"/>
      <c r="AE275" s="2627" t="n"/>
      <c r="AF275" s="1436" t="n"/>
      <c r="AG275" s="2627" t="n"/>
      <c r="AH275" s="2627" t="n"/>
      <c r="AI275" s="2627" t="n"/>
      <c r="AJ275" s="2627" t="n"/>
      <c r="AK275" s="2627" t="n"/>
      <c r="AL275" s="2627" t="n"/>
      <c r="AM275" s="2627" t="n"/>
      <c r="AN275" s="2627" t="n"/>
      <c r="AO275" s="2627" t="n"/>
      <c r="AP275" s="2627" t="n"/>
      <c r="AS275" s="2627" t="n"/>
      <c r="BG275" s="2627" t="n"/>
      <c r="BU275" s="2627" t="n"/>
    </row>
    <row r="276">
      <c r="A276" s="1436" t="n"/>
      <c r="B276" s="1436" t="n"/>
      <c r="C276" s="1436" t="n"/>
      <c r="D276" s="2637" t="n"/>
      <c r="E276" s="2637" t="n"/>
      <c r="F276" s="2637" t="n"/>
      <c r="G276" s="2637" t="n"/>
      <c r="H276" s="2637" t="n"/>
      <c r="I276" s="2637" t="n"/>
      <c r="J276" s="2637" t="n"/>
      <c r="K276" s="2637" t="n"/>
      <c r="L276" s="2637" t="n"/>
      <c r="M276" s="2637" t="n"/>
      <c r="N276" s="2637" t="n"/>
      <c r="O276" s="2637" t="n"/>
      <c r="P276" s="2637" t="n"/>
      <c r="Q276" s="1436" t="n"/>
      <c r="R276" s="1436" t="n"/>
      <c r="S276" s="2637" t="n"/>
      <c r="T276" s="2637" t="n"/>
      <c r="U276" s="2637" t="n"/>
      <c r="V276" s="2637" t="n"/>
      <c r="W276" s="2637" t="n"/>
      <c r="X276" s="2637" t="n"/>
      <c r="Y276" s="2637" t="n"/>
      <c r="Z276" s="2637" t="n"/>
      <c r="AA276" s="2637" t="n"/>
      <c r="AB276" s="2637" t="n"/>
      <c r="AC276" s="2637" t="n"/>
      <c r="AD276" s="2637" t="n"/>
      <c r="AE276" s="2637" t="n"/>
      <c r="AF276" s="1436" t="n"/>
      <c r="AG276" s="2637" t="n"/>
      <c r="AH276" s="2637" t="n"/>
      <c r="AI276" s="2637" t="n"/>
      <c r="AJ276" s="2637" t="n"/>
      <c r="AK276" s="2637" t="n"/>
      <c r="AL276" s="2637" t="n"/>
      <c r="AM276" s="2637" t="n"/>
      <c r="AN276" s="2637" t="n"/>
      <c r="AO276" s="2637" t="n"/>
      <c r="AP276" s="2637" t="n"/>
      <c r="AS276" s="2637" t="n"/>
      <c r="BG276" s="2637" t="n"/>
      <c r="BU276" s="2637" t="n"/>
    </row>
    <row r="277">
      <c r="A277" s="1436" t="n"/>
      <c r="B277" s="1436" t="n"/>
      <c r="C277" s="1436" t="n"/>
      <c r="D277" s="1436" t="n"/>
      <c r="E277" s="1436" t="n"/>
      <c r="F277" s="1436" t="n"/>
      <c r="G277" s="1436" t="n"/>
      <c r="H277" s="1436" t="n"/>
      <c r="I277" s="1436" t="n"/>
      <c r="J277" s="1436" t="n"/>
      <c r="K277" s="1436" t="n"/>
      <c r="L277" s="1436" t="n"/>
      <c r="M277" s="1436" t="n"/>
      <c r="N277" s="1436" t="n"/>
      <c r="O277" s="1436" t="n"/>
      <c r="P277" s="1436" t="n"/>
      <c r="Q277" s="1436" t="n"/>
      <c r="R277" s="1436" t="n"/>
      <c r="S277" s="1436" t="n"/>
      <c r="T277" s="1436" t="n"/>
      <c r="U277" s="1436" t="n"/>
      <c r="V277" s="1436" t="n"/>
      <c r="W277" s="1436" t="n"/>
      <c r="X277" s="1436" t="n"/>
      <c r="Y277" s="1436" t="n"/>
      <c r="Z277" s="1436" t="n"/>
      <c r="AA277" s="1436" t="n"/>
      <c r="AB277" s="1436" t="n"/>
      <c r="AC277" s="1436" t="n"/>
      <c r="AD277" s="1436" t="n"/>
      <c r="AE277" s="1436" t="n"/>
      <c r="AF277" s="1436" t="n"/>
      <c r="AG277" s="1436" t="n"/>
      <c r="AH277" s="1436" t="n"/>
      <c r="AI277" s="1436" t="n"/>
      <c r="AJ277" s="1436" t="n"/>
      <c r="AK277" s="1436" t="n"/>
      <c r="AL277" s="1436" t="n"/>
      <c r="AM277" s="1436" t="n"/>
      <c r="AN277" s="1436" t="n"/>
      <c r="AO277" s="1436" t="n"/>
      <c r="AP277" s="1436" t="n"/>
      <c r="AS277" s="1436" t="n"/>
      <c r="BG277" s="1436" t="n"/>
      <c r="BU277" s="1436" t="n"/>
    </row>
    <row r="278">
      <c r="A278" s="1436" t="n"/>
      <c r="B278" s="1436" t="n"/>
      <c r="C278" s="1436" t="n"/>
      <c r="D278" s="1436" t="n"/>
      <c r="E278" s="1436" t="n"/>
      <c r="F278" s="1436" t="n"/>
      <c r="G278" s="1436" t="n"/>
      <c r="H278" s="1436" t="n"/>
      <c r="I278" s="1436" t="n"/>
      <c r="J278" s="1436" t="n"/>
      <c r="K278" s="1436" t="n"/>
      <c r="L278" s="1436" t="n"/>
      <c r="M278" s="1436" t="n"/>
      <c r="N278" s="1436" t="n"/>
      <c r="O278" s="1436" t="n"/>
      <c r="P278" s="1436" t="n"/>
      <c r="Q278" s="1436" t="n"/>
      <c r="R278" s="1436" t="n"/>
      <c r="S278" s="1436" t="n"/>
      <c r="T278" s="1436" t="n"/>
      <c r="U278" s="1436" t="n"/>
      <c r="V278" s="1436" t="n"/>
      <c r="W278" s="1436" t="n"/>
      <c r="X278" s="1436" t="n"/>
      <c r="Y278" s="1436" t="n"/>
      <c r="Z278" s="1436" t="n"/>
      <c r="AA278" s="1436" t="n"/>
      <c r="AB278" s="1436" t="n"/>
      <c r="AC278" s="1436" t="n"/>
      <c r="AD278" s="1436" t="n"/>
      <c r="AE278" s="1436" t="n"/>
      <c r="AF278" s="1436" t="n"/>
      <c r="AG278" s="1436" t="n"/>
      <c r="AH278" s="1436" t="n"/>
      <c r="AI278" s="1436" t="n"/>
      <c r="AJ278" s="1436" t="n"/>
      <c r="AK278" s="1436" t="n"/>
      <c r="AL278" s="1436" t="n"/>
      <c r="AM278" s="1436" t="n"/>
      <c r="AN278" s="1436" t="n"/>
      <c r="AO278" s="1436" t="n"/>
      <c r="AP278" s="1436" t="n"/>
      <c r="AS278" s="1436" t="n"/>
      <c r="BG278" s="1436" t="n"/>
      <c r="BU278" s="1436" t="n"/>
    </row>
    <row r="279">
      <c r="A279" s="1436" t="n"/>
      <c r="B279" s="1436" t="n"/>
      <c r="C279" s="1436" t="n"/>
      <c r="D279" s="1436" t="n"/>
      <c r="E279" s="1436" t="n"/>
      <c r="F279" s="1436" t="n"/>
      <c r="G279" s="1436" t="n"/>
      <c r="H279" s="1436" t="n"/>
      <c r="I279" s="1436" t="n"/>
      <c r="J279" s="1436" t="n"/>
      <c r="K279" s="1436" t="n"/>
      <c r="L279" s="1436" t="n"/>
      <c r="M279" s="1436" t="n"/>
      <c r="N279" s="1436" t="n"/>
      <c r="O279" s="1436" t="n"/>
      <c r="P279" s="1436" t="n"/>
      <c r="Q279" s="1436" t="n"/>
      <c r="R279" s="1436" t="n"/>
      <c r="S279" s="1436" t="n"/>
      <c r="T279" s="1436" t="n"/>
      <c r="U279" s="1436" t="n"/>
      <c r="V279" s="1436" t="n"/>
      <c r="W279" s="1436" t="n"/>
      <c r="X279" s="1436" t="n"/>
      <c r="Y279" s="1436" t="n"/>
      <c r="Z279" s="1436" t="n"/>
      <c r="AA279" s="1436" t="n"/>
      <c r="AB279" s="1436" t="n"/>
      <c r="AC279" s="1436" t="n"/>
      <c r="AD279" s="1436" t="n"/>
      <c r="AE279" s="1436" t="n"/>
      <c r="AF279" s="1436" t="n"/>
      <c r="AG279" s="1436" t="n"/>
      <c r="AH279" s="1436" t="n"/>
      <c r="AI279" s="1436" t="n"/>
      <c r="AJ279" s="1436" t="n"/>
      <c r="AK279" s="1436" t="n"/>
      <c r="AL279" s="1436" t="n"/>
      <c r="AM279" s="1436" t="n"/>
      <c r="AN279" s="1436" t="n"/>
      <c r="AO279" s="1436" t="n"/>
      <c r="AP279" s="1436" t="n"/>
      <c r="AS279" s="1436" t="n"/>
      <c r="BG279" s="1436" t="n"/>
      <c r="BU279" s="1436" t="n"/>
    </row>
    <row r="280">
      <c r="A280" s="1436" t="n"/>
      <c r="B280" s="1436" t="n"/>
      <c r="C280" s="1436" t="n"/>
      <c r="D280" s="1436" t="n"/>
      <c r="E280" s="1436" t="n"/>
      <c r="F280" s="1436" t="n"/>
      <c r="G280" s="1436" t="n"/>
      <c r="H280" s="1436" t="n"/>
      <c r="I280" s="1436" t="n"/>
      <c r="J280" s="1436" t="n"/>
      <c r="K280" s="1436" t="n"/>
      <c r="L280" s="1436" t="n"/>
      <c r="M280" s="1436" t="n"/>
      <c r="N280" s="1436" t="n"/>
      <c r="O280" s="1436" t="n"/>
      <c r="P280" s="1436" t="n"/>
      <c r="Q280" s="1436" t="n"/>
      <c r="R280" s="1436" t="n"/>
      <c r="S280" s="1436" t="n"/>
      <c r="T280" s="1436" t="n"/>
      <c r="U280" s="1436" t="n"/>
      <c r="V280" s="1436" t="n"/>
      <c r="W280" s="1436" t="n"/>
      <c r="X280" s="1436" t="n"/>
      <c r="Y280" s="1436" t="n"/>
      <c r="Z280" s="1436" t="n"/>
      <c r="AA280" s="1436" t="n"/>
      <c r="AB280" s="1436" t="n"/>
      <c r="AC280" s="1436" t="n"/>
      <c r="AD280" s="1436" t="n"/>
      <c r="AE280" s="1436" t="n"/>
      <c r="AF280" s="1436" t="n"/>
      <c r="AG280" s="1436" t="n"/>
      <c r="AH280" s="1436" t="n"/>
      <c r="AI280" s="1436" t="n"/>
      <c r="AJ280" s="1436" t="n"/>
      <c r="AK280" s="1436" t="n"/>
      <c r="AL280" s="1436" t="n"/>
      <c r="AM280" s="1436" t="n"/>
      <c r="AN280" s="1436" t="n"/>
      <c r="AO280" s="1436" t="n"/>
      <c r="AP280" s="1436" t="n"/>
      <c r="AS280" s="1436" t="n"/>
      <c r="BG280" s="1436" t="n"/>
      <c r="BU280" s="1436" t="n"/>
    </row>
    <row r="281">
      <c r="A281" s="1436" t="n"/>
      <c r="B281" s="1436" t="n"/>
      <c r="C281" s="1436" t="n"/>
      <c r="D281" s="1436" t="n"/>
      <c r="E281" s="1436" t="n"/>
      <c r="F281" s="1436" t="n"/>
      <c r="G281" s="1436" t="n"/>
      <c r="H281" s="1436" t="n"/>
      <c r="I281" s="1436" t="n"/>
      <c r="J281" s="1436" t="n"/>
      <c r="K281" s="1436" t="n"/>
      <c r="L281" s="1436" t="n"/>
      <c r="M281" s="1436" t="n"/>
      <c r="N281" s="1436" t="n"/>
      <c r="O281" s="1436" t="n"/>
      <c r="P281" s="1436" t="n"/>
      <c r="Q281" s="1436" t="n"/>
      <c r="R281" s="1436" t="n"/>
      <c r="S281" s="1436" t="n"/>
      <c r="T281" s="1436" t="n"/>
      <c r="U281" s="1436" t="n"/>
      <c r="V281" s="1436" t="n"/>
      <c r="W281" s="1436" t="n"/>
      <c r="X281" s="1436" t="n"/>
      <c r="Y281" s="1436" t="n"/>
      <c r="Z281" s="1436" t="n"/>
      <c r="AA281" s="1436" t="n"/>
      <c r="AB281" s="1436" t="n"/>
      <c r="AC281" s="1436" t="n"/>
      <c r="AD281" s="1436" t="n"/>
      <c r="AE281" s="1436" t="n"/>
      <c r="AF281" s="1436" t="n"/>
      <c r="AG281" s="1436" t="n"/>
      <c r="AH281" s="1436" t="n"/>
      <c r="AI281" s="1436" t="n"/>
      <c r="AJ281" s="1436" t="n"/>
      <c r="AK281" s="1436" t="n"/>
      <c r="AL281" s="1436" t="n"/>
      <c r="AM281" s="1436" t="n"/>
      <c r="AN281" s="1436" t="n"/>
      <c r="AO281" s="1436" t="n"/>
      <c r="AP281" s="1436" t="n"/>
      <c r="AS281" s="1436" t="n"/>
      <c r="BG281" s="1436" t="n"/>
      <c r="BU281" s="1436" t="n"/>
    </row>
    <row r="282">
      <c r="A282" s="1436" t="n"/>
      <c r="B282" s="1436" t="n"/>
      <c r="C282" s="1436" t="n"/>
      <c r="D282" s="1436" t="n"/>
      <c r="E282" s="1436" t="n"/>
      <c r="F282" s="1436" t="n"/>
      <c r="G282" s="1436" t="n"/>
      <c r="H282" s="1436" t="n"/>
      <c r="I282" s="1436" t="n"/>
      <c r="J282" s="1436" t="n"/>
      <c r="K282" s="1436" t="n"/>
      <c r="L282" s="1436" t="n"/>
      <c r="M282" s="1436" t="n"/>
      <c r="N282" s="1436" t="n"/>
      <c r="O282" s="1436" t="n"/>
      <c r="P282" s="1436" t="n"/>
      <c r="Q282" s="1436" t="n"/>
      <c r="R282" s="1436" t="n"/>
      <c r="S282" s="1436" t="n"/>
      <c r="T282" s="1436" t="n"/>
      <c r="U282" s="1436" t="n"/>
      <c r="V282" s="1436" t="n"/>
      <c r="W282" s="1436" t="n"/>
      <c r="X282" s="1436" t="n"/>
      <c r="Y282" s="1436" t="n"/>
      <c r="Z282" s="1436" t="n"/>
      <c r="AA282" s="1436" t="n"/>
      <c r="AB282" s="1436" t="n"/>
      <c r="AC282" s="1436" t="n"/>
      <c r="AD282" s="1436" t="n"/>
      <c r="AE282" s="1436" t="n"/>
      <c r="AF282" s="1436" t="n"/>
      <c r="AG282" s="1436" t="n"/>
      <c r="AH282" s="1436" t="n"/>
      <c r="AI282" s="1436" t="n"/>
      <c r="AJ282" s="1436" t="n"/>
      <c r="AK282" s="1436" t="n"/>
      <c r="AL282" s="1436" t="n"/>
      <c r="AM282" s="1436" t="n"/>
      <c r="AN282" s="1436" t="n"/>
      <c r="AO282" s="1436" t="n"/>
      <c r="AP282" s="1436" t="n"/>
      <c r="AS282" s="1436" t="n"/>
      <c r="BG282" s="1436" t="n"/>
      <c r="BU282" s="1436" t="n"/>
    </row>
    <row r="283">
      <c r="A283" s="1436" t="n"/>
      <c r="B283" s="1436" t="n"/>
      <c r="C283" s="1436" t="n"/>
      <c r="D283" s="1436" t="n"/>
      <c r="E283" s="1436" t="n"/>
      <c r="F283" s="1436" t="n"/>
      <c r="G283" s="1436" t="n"/>
      <c r="H283" s="1436" t="n"/>
      <c r="I283" s="1436" t="n"/>
      <c r="J283" s="1436" t="n"/>
      <c r="K283" s="1436" t="n"/>
      <c r="L283" s="1436" t="n"/>
      <c r="M283" s="1436" t="n"/>
      <c r="N283" s="1436" t="n"/>
      <c r="O283" s="1436" t="n"/>
      <c r="P283" s="1436" t="n"/>
      <c r="Q283" s="1436" t="n"/>
      <c r="R283" s="1436" t="n"/>
      <c r="S283" s="1436" t="n"/>
      <c r="T283" s="1436" t="n"/>
      <c r="U283" s="1436" t="n"/>
      <c r="V283" s="1436" t="n"/>
      <c r="W283" s="1436" t="n"/>
      <c r="X283" s="1436" t="n"/>
      <c r="Y283" s="1436" t="n"/>
      <c r="Z283" s="1436" t="n"/>
      <c r="AA283" s="1436" t="n"/>
      <c r="AB283" s="1436" t="n"/>
      <c r="AC283" s="1436" t="n"/>
      <c r="AD283" s="1436" t="n"/>
      <c r="AE283" s="1436" t="n"/>
      <c r="AF283" s="1436" t="n"/>
      <c r="AG283" s="1436" t="n"/>
      <c r="AH283" s="1436" t="n"/>
      <c r="AI283" s="1436" t="n"/>
      <c r="AJ283" s="1436" t="n"/>
      <c r="AK283" s="1436" t="n"/>
      <c r="AL283" s="1436" t="n"/>
      <c r="AM283" s="1436" t="n"/>
      <c r="AN283" s="1436" t="n"/>
      <c r="AO283" s="1436" t="n"/>
      <c r="AP283" s="1436" t="n"/>
      <c r="AS283" s="1436" t="n"/>
      <c r="BG283" s="1436" t="n"/>
      <c r="BU283" s="1436" t="n"/>
    </row>
    <row r="284">
      <c r="A284" s="1436" t="n"/>
      <c r="B284" s="1436" t="n"/>
      <c r="C284" s="1436" t="n"/>
      <c r="D284" s="1436" t="n"/>
      <c r="E284" s="1436" t="n"/>
      <c r="F284" s="1436" t="n"/>
      <c r="G284" s="1436" t="n"/>
      <c r="H284" s="1436" t="n"/>
      <c r="I284" s="1436" t="n"/>
      <c r="J284" s="1436" t="n"/>
      <c r="K284" s="1436" t="n"/>
      <c r="L284" s="1436" t="n"/>
      <c r="M284" s="1436" t="n"/>
      <c r="N284" s="1436" t="n"/>
      <c r="O284" s="1436" t="n"/>
      <c r="P284" s="1436" t="n"/>
      <c r="Q284" s="1436" t="n"/>
      <c r="R284" s="1436" t="n"/>
      <c r="S284" s="1436" t="n"/>
      <c r="T284" s="1436" t="n"/>
      <c r="U284" s="1436" t="n"/>
      <c r="V284" s="1436" t="n"/>
      <c r="W284" s="1436" t="n"/>
      <c r="X284" s="1436" t="n"/>
      <c r="Y284" s="1436" t="n"/>
      <c r="Z284" s="1436" t="n"/>
      <c r="AA284" s="1436" t="n"/>
      <c r="AB284" s="1436" t="n"/>
      <c r="AC284" s="1436" t="n"/>
      <c r="AD284" s="1436" t="n"/>
      <c r="AE284" s="1436" t="n"/>
      <c r="AF284" s="1436" t="n"/>
      <c r="AG284" s="1436" t="n"/>
      <c r="AH284" s="1436" t="n"/>
      <c r="AI284" s="1436" t="n"/>
      <c r="AJ284" s="1436" t="n"/>
      <c r="AK284" s="1436" t="n"/>
      <c r="AL284" s="1436" t="n"/>
      <c r="AM284" s="1436" t="n"/>
      <c r="AN284" s="1436" t="n"/>
      <c r="AO284" s="1436" t="n"/>
      <c r="AP284" s="1436" t="n"/>
      <c r="AS284" s="1436" t="n"/>
      <c r="BG284" s="1436" t="n"/>
      <c r="BU284" s="1436" t="n"/>
    </row>
    <row r="285">
      <c r="A285" s="1436" t="n"/>
      <c r="B285" s="1436" t="n"/>
      <c r="C285" s="1436" t="n"/>
      <c r="D285" s="1436" t="n"/>
      <c r="E285" s="1436" t="n"/>
      <c r="F285" s="1436" t="n"/>
      <c r="G285" s="1436" t="n"/>
      <c r="H285" s="1436" t="n"/>
      <c r="I285" s="1436" t="n"/>
      <c r="J285" s="1436" t="n"/>
      <c r="K285" s="1436" t="n"/>
      <c r="L285" s="1436" t="n"/>
      <c r="M285" s="1436" t="n"/>
      <c r="N285" s="1436" t="n"/>
      <c r="O285" s="1436" t="n"/>
      <c r="P285" s="1436" t="n"/>
      <c r="Q285" s="1436" t="n"/>
      <c r="R285" s="1436" t="n"/>
      <c r="S285" s="1436" t="n"/>
      <c r="T285" s="1436" t="n"/>
      <c r="U285" s="1436" t="n"/>
      <c r="V285" s="1436" t="n"/>
      <c r="W285" s="1436" t="n"/>
      <c r="X285" s="1436" t="n"/>
      <c r="Y285" s="1436" t="n"/>
      <c r="Z285" s="1436" t="n"/>
      <c r="AA285" s="1436" t="n"/>
      <c r="AB285" s="1436" t="n"/>
      <c r="AC285" s="1436" t="n"/>
      <c r="AD285" s="1436" t="n"/>
      <c r="AE285" s="1436" t="n"/>
      <c r="AF285" s="1436" t="n"/>
      <c r="AG285" s="1436" t="n"/>
      <c r="AH285" s="1436" t="n"/>
      <c r="AI285" s="1436" t="n"/>
      <c r="AJ285" s="1436" t="n"/>
      <c r="AK285" s="1436" t="n"/>
      <c r="AL285" s="1436" t="n"/>
      <c r="AM285" s="1436" t="n"/>
      <c r="AN285" s="1436" t="n"/>
      <c r="AO285" s="1436" t="n"/>
      <c r="AP285" s="1436" t="n"/>
      <c r="AS285" s="1436" t="n"/>
      <c r="BG285" s="1436" t="n"/>
      <c r="BU285" s="1436" t="n"/>
    </row>
    <row r="286">
      <c r="A286" s="1436" t="n"/>
      <c r="B286" s="1436" t="n"/>
      <c r="C286" s="1436" t="n"/>
      <c r="D286" s="1436" t="n"/>
      <c r="E286" s="1436" t="n"/>
      <c r="F286" s="1436" t="n"/>
      <c r="G286" s="1436" t="n"/>
      <c r="H286" s="1436" t="n"/>
      <c r="I286" s="1436" t="n"/>
      <c r="J286" s="1436" t="n"/>
      <c r="K286" s="1436" t="n"/>
      <c r="L286" s="1436" t="n"/>
      <c r="M286" s="1436" t="n"/>
      <c r="N286" s="1436" t="n"/>
      <c r="O286" s="1436" t="n"/>
      <c r="P286" s="1436" t="n"/>
      <c r="Q286" s="1436" t="n"/>
      <c r="R286" s="1436" t="n"/>
      <c r="S286" s="1436" t="n"/>
      <c r="T286" s="1436" t="n"/>
      <c r="U286" s="1436" t="n"/>
      <c r="V286" s="1436" t="n"/>
      <c r="W286" s="1436" t="n"/>
      <c r="X286" s="1436" t="n"/>
      <c r="Y286" s="1436" t="n"/>
      <c r="Z286" s="1436" t="n"/>
      <c r="AA286" s="1436" t="n"/>
      <c r="AB286" s="1436" t="n"/>
      <c r="AC286" s="1436" t="n"/>
      <c r="AD286" s="1436" t="n"/>
      <c r="AE286" s="1436" t="n"/>
      <c r="AF286" s="1436" t="n"/>
      <c r="AG286" s="1436" t="n"/>
      <c r="AH286" s="1436" t="n"/>
      <c r="AI286" s="1436" t="n"/>
      <c r="AJ286" s="1436" t="n"/>
      <c r="AK286" s="1436" t="n"/>
      <c r="AL286" s="1436" t="n"/>
      <c r="AM286" s="1436" t="n"/>
      <c r="AN286" s="1436" t="n"/>
      <c r="AO286" s="1436" t="n"/>
      <c r="AP286" s="1436" t="n"/>
      <c r="AS286" s="1436" t="n"/>
      <c r="BG286" s="1436" t="n"/>
      <c r="BU286" s="1436" t="n"/>
    </row>
    <row r="287">
      <c r="A287" s="1436" t="n"/>
      <c r="B287" s="1436" t="n"/>
      <c r="C287" s="1436" t="n"/>
      <c r="D287" s="1436" t="n"/>
      <c r="E287" s="1436" t="n"/>
      <c r="F287" s="1436" t="n"/>
      <c r="G287" s="1436" t="n"/>
      <c r="H287" s="1436" t="n"/>
      <c r="I287" s="1436" t="n"/>
      <c r="J287" s="1436" t="n"/>
      <c r="K287" s="1436" t="n"/>
      <c r="L287" s="1436" t="n"/>
      <c r="M287" s="1436" t="n"/>
      <c r="N287" s="1436" t="n"/>
      <c r="O287" s="1436" t="n"/>
      <c r="P287" s="1436" t="n"/>
      <c r="Q287" s="1436" t="n"/>
      <c r="R287" s="1436" t="n"/>
      <c r="S287" s="1436" t="n"/>
      <c r="T287" s="1436" t="n"/>
      <c r="U287" s="1436" t="n"/>
      <c r="V287" s="1436" t="n"/>
      <c r="W287" s="1436" t="n"/>
      <c r="X287" s="1436" t="n"/>
      <c r="Y287" s="1436" t="n"/>
      <c r="Z287" s="1436" t="n"/>
      <c r="AA287" s="1436" t="n"/>
      <c r="AB287" s="1436" t="n"/>
      <c r="AC287" s="1436" t="n"/>
      <c r="AD287" s="1436" t="n"/>
      <c r="AE287" s="1436" t="n"/>
      <c r="AF287" s="1436" t="n"/>
      <c r="AG287" s="1436" t="n"/>
      <c r="AH287" s="1436" t="n"/>
      <c r="AI287" s="1436" t="n"/>
      <c r="AJ287" s="1436" t="n"/>
      <c r="AK287" s="1436" t="n"/>
      <c r="AL287" s="1436" t="n"/>
      <c r="AM287" s="1436" t="n"/>
      <c r="AN287" s="1436" t="n"/>
      <c r="AO287" s="1436" t="n"/>
      <c r="AP287" s="1436" t="n"/>
      <c r="AS287" s="1436" t="n"/>
      <c r="BG287" s="1436" t="n"/>
      <c r="BU287" s="1436" t="n"/>
    </row>
    <row r="288">
      <c r="A288" s="1436" t="n"/>
      <c r="B288" s="1436" t="n"/>
      <c r="C288" s="1436" t="n"/>
      <c r="D288" s="1436" t="n"/>
      <c r="E288" s="1436" t="n"/>
      <c r="F288" s="1436" t="n"/>
      <c r="G288" s="1436" t="n"/>
      <c r="H288" s="1436" t="n"/>
      <c r="I288" s="1436" t="n"/>
      <c r="J288" s="1436" t="n"/>
      <c r="K288" s="1436" t="n"/>
      <c r="L288" s="1436" t="n"/>
      <c r="M288" s="1436" t="n"/>
      <c r="N288" s="1436" t="n"/>
      <c r="O288" s="1436" t="n"/>
      <c r="P288" s="1436" t="n"/>
      <c r="Q288" s="1436" t="n"/>
      <c r="R288" s="1436" t="n"/>
      <c r="S288" s="1436" t="n"/>
      <c r="T288" s="1436" t="n"/>
      <c r="U288" s="1436" t="n"/>
      <c r="V288" s="1436" t="n"/>
      <c r="W288" s="1436" t="n"/>
      <c r="X288" s="1436" t="n"/>
      <c r="Y288" s="1436" t="n"/>
      <c r="Z288" s="1436" t="n"/>
      <c r="AA288" s="1436" t="n"/>
      <c r="AB288" s="1436" t="n"/>
      <c r="AC288" s="1436" t="n"/>
      <c r="AD288" s="1436" t="n"/>
      <c r="AE288" s="1436" t="n"/>
      <c r="AF288" s="1436" t="n"/>
      <c r="AG288" s="1436" t="n"/>
      <c r="AH288" s="1436" t="n"/>
      <c r="AI288" s="1436" t="n"/>
      <c r="AJ288" s="1436" t="n"/>
      <c r="AK288" s="1436" t="n"/>
      <c r="AL288" s="1436" t="n"/>
      <c r="AM288" s="1436" t="n"/>
      <c r="AN288" s="1436" t="n"/>
      <c r="AO288" s="1436" t="n"/>
      <c r="AP288" s="1436" t="n"/>
      <c r="AS288" s="1436" t="n"/>
      <c r="BG288" s="1436" t="n"/>
      <c r="BU288" s="1436" t="n"/>
    </row>
    <row r="289">
      <c r="A289" s="1436" t="n"/>
      <c r="B289" s="1436" t="n"/>
      <c r="C289" s="1436" t="n"/>
      <c r="D289" s="1436" t="n"/>
      <c r="E289" s="1436" t="n"/>
      <c r="F289" s="1436" t="n"/>
      <c r="G289" s="1436" t="n"/>
      <c r="H289" s="1436" t="n"/>
      <c r="I289" s="1436" t="n"/>
      <c r="J289" s="1436" t="n"/>
      <c r="K289" s="1436" t="n"/>
      <c r="L289" s="1436" t="n"/>
      <c r="M289" s="1436" t="n"/>
      <c r="N289" s="1436" t="n"/>
      <c r="O289" s="1436" t="n"/>
      <c r="P289" s="1436" t="n"/>
      <c r="Q289" s="1436" t="n"/>
      <c r="R289" s="1436" t="n"/>
      <c r="S289" s="1436" t="n"/>
      <c r="T289" s="1436" t="n"/>
      <c r="U289" s="1436" t="n"/>
      <c r="V289" s="1436" t="n"/>
      <c r="W289" s="1436" t="n"/>
      <c r="X289" s="1436" t="n"/>
      <c r="Y289" s="1436" t="n"/>
      <c r="Z289" s="1436" t="n"/>
      <c r="AA289" s="1436" t="n"/>
      <c r="AB289" s="1436" t="n"/>
      <c r="AC289" s="1436" t="n"/>
      <c r="AD289" s="1436" t="n"/>
      <c r="AE289" s="1436" t="n"/>
      <c r="AF289" s="1436" t="n"/>
      <c r="AG289" s="1436" t="n"/>
      <c r="AH289" s="1436" t="n"/>
      <c r="AI289" s="1436" t="n"/>
      <c r="AJ289" s="1436" t="n"/>
      <c r="AK289" s="1436" t="n"/>
      <c r="AL289" s="1436" t="n"/>
      <c r="AM289" s="1436" t="n"/>
      <c r="AN289" s="1436" t="n"/>
      <c r="AO289" s="1436" t="n"/>
      <c r="AP289" s="1436" t="n"/>
      <c r="AS289" s="1436" t="n"/>
      <c r="BG289" s="1436" t="n"/>
      <c r="BU289" s="1436" t="n"/>
    </row>
    <row r="290">
      <c r="A290" s="1436" t="n"/>
      <c r="B290" s="1436" t="n"/>
      <c r="C290" s="1436" t="n"/>
      <c r="D290" s="1436" t="n"/>
      <c r="E290" s="1436" t="n"/>
      <c r="F290" s="1436" t="n"/>
      <c r="G290" s="1436" t="n"/>
      <c r="H290" s="1436" t="n"/>
      <c r="I290" s="1436" t="n"/>
      <c r="J290" s="1436" t="n"/>
      <c r="K290" s="1436" t="n"/>
      <c r="L290" s="1436" t="n"/>
      <c r="M290" s="1436" t="n"/>
      <c r="N290" s="1436" t="n"/>
      <c r="O290" s="1436" t="n"/>
      <c r="P290" s="1436" t="n"/>
      <c r="Q290" s="1436" t="n"/>
      <c r="R290" s="1436" t="n"/>
      <c r="S290" s="1436" t="n"/>
      <c r="T290" s="1436" t="n"/>
      <c r="U290" s="1436" t="n"/>
      <c r="V290" s="1436" t="n"/>
      <c r="W290" s="1436" t="n"/>
      <c r="X290" s="1436" t="n"/>
      <c r="Y290" s="1436" t="n"/>
      <c r="Z290" s="1436" t="n"/>
      <c r="AA290" s="1436" t="n"/>
      <c r="AB290" s="1436" t="n"/>
      <c r="AC290" s="1436" t="n"/>
      <c r="AD290" s="1436" t="n"/>
      <c r="AE290" s="1436" t="n"/>
      <c r="AF290" s="1436" t="n"/>
      <c r="AG290" s="1436" t="n"/>
      <c r="AH290" s="1436" t="n"/>
      <c r="AI290" s="1436" t="n"/>
      <c r="AJ290" s="1436" t="n"/>
      <c r="AK290" s="1436" t="n"/>
      <c r="AL290" s="1436" t="n"/>
      <c r="AM290" s="1436" t="n"/>
      <c r="AN290" s="1436" t="n"/>
      <c r="AO290" s="1436" t="n"/>
      <c r="AP290" s="1436" t="n"/>
      <c r="AS290" s="1436" t="n"/>
      <c r="BG290" s="1436" t="n"/>
      <c r="BU290" s="1436" t="n"/>
    </row>
    <row r="291">
      <c r="A291" s="1436" t="n"/>
      <c r="B291" s="1436" t="n"/>
      <c r="C291" s="1436" t="n"/>
      <c r="D291" s="1436" t="n"/>
      <c r="E291" s="1436" t="n"/>
      <c r="F291" s="1436" t="n"/>
      <c r="G291" s="1436" t="n"/>
      <c r="H291" s="1436" t="n"/>
      <c r="I291" s="1436" t="n"/>
      <c r="J291" s="1436" t="n"/>
      <c r="K291" s="1436" t="n"/>
      <c r="L291" s="1436" t="n"/>
      <c r="M291" s="1436" t="n"/>
      <c r="N291" s="1436" t="n"/>
      <c r="O291" s="1436" t="n"/>
      <c r="P291" s="1436" t="n"/>
      <c r="Q291" s="1436" t="n"/>
      <c r="R291" s="1436" t="n"/>
      <c r="S291" s="1436" t="n"/>
      <c r="T291" s="1436" t="n"/>
      <c r="U291" s="1436" t="n"/>
      <c r="V291" s="1436" t="n"/>
      <c r="W291" s="1436" t="n"/>
      <c r="X291" s="1436" t="n"/>
      <c r="Y291" s="1436" t="n"/>
      <c r="Z291" s="1436" t="n"/>
      <c r="AA291" s="1436" t="n"/>
      <c r="AB291" s="1436" t="n"/>
      <c r="AC291" s="1436" t="n"/>
      <c r="AD291" s="1436" t="n"/>
      <c r="AE291" s="1436" t="n"/>
      <c r="AF291" s="1436" t="n"/>
      <c r="AG291" s="1436" t="n"/>
      <c r="AH291" s="1436" t="n"/>
      <c r="AI291" s="1436" t="n"/>
      <c r="AJ291" s="1436" t="n"/>
      <c r="AK291" s="1436" t="n"/>
      <c r="AL291" s="1436" t="n"/>
      <c r="AM291" s="1436" t="n"/>
      <c r="AN291" s="1436" t="n"/>
      <c r="AO291" s="1436" t="n"/>
      <c r="AP291" s="1436" t="n"/>
      <c r="AS291" s="1436" t="n"/>
      <c r="BG291" s="1436" t="n"/>
      <c r="BU291" s="1436" t="n"/>
    </row>
    <row r="292">
      <c r="A292" s="1436" t="n"/>
      <c r="B292" s="1436" t="n"/>
      <c r="C292" s="1436" t="n"/>
      <c r="D292" s="1436" t="n"/>
      <c r="E292" s="1436" t="n"/>
      <c r="F292" s="1436" t="n"/>
      <c r="G292" s="1436" t="n"/>
      <c r="H292" s="1436" t="n"/>
      <c r="I292" s="1436" t="n"/>
      <c r="J292" s="1436" t="n"/>
      <c r="K292" s="1436" t="n"/>
      <c r="L292" s="1436" t="n"/>
      <c r="M292" s="1436" t="n"/>
      <c r="N292" s="1436" t="n"/>
      <c r="O292" s="1436" t="n"/>
      <c r="P292" s="1436" t="n"/>
      <c r="Q292" s="1436" t="n"/>
      <c r="R292" s="1436" t="n"/>
      <c r="S292" s="1436" t="n"/>
      <c r="T292" s="1436" t="n"/>
      <c r="U292" s="1436" t="n"/>
      <c r="V292" s="1436" t="n"/>
      <c r="W292" s="1436" t="n"/>
      <c r="X292" s="1436" t="n"/>
      <c r="Y292" s="1436" t="n"/>
      <c r="Z292" s="1436" t="n"/>
      <c r="AA292" s="1436" t="n"/>
      <c r="AB292" s="1436" t="n"/>
      <c r="AC292" s="1436" t="n"/>
      <c r="AD292" s="1436" t="n"/>
      <c r="AE292" s="1436" t="n"/>
      <c r="AF292" s="1436" t="n"/>
      <c r="AG292" s="1436" t="n"/>
      <c r="AH292" s="1436" t="n"/>
      <c r="AI292" s="1436" t="n"/>
      <c r="AJ292" s="1436" t="n"/>
      <c r="AK292" s="1436" t="n"/>
      <c r="AL292" s="1436" t="n"/>
      <c r="AM292" s="1436" t="n"/>
      <c r="AN292" s="1436" t="n"/>
      <c r="AO292" s="1436" t="n"/>
      <c r="AP292" s="1436" t="n"/>
      <c r="AS292" s="1436" t="n"/>
      <c r="BG292" s="1436" t="n"/>
      <c r="BU292" s="1436" t="n"/>
    </row>
    <row r="293">
      <c r="A293" s="1436" t="n"/>
      <c r="B293" s="1436" t="n"/>
      <c r="C293" s="1436" t="n"/>
      <c r="D293" s="1436" t="n"/>
      <c r="E293" s="1436" t="n"/>
      <c r="F293" s="1436" t="n"/>
      <c r="G293" s="1436" t="n"/>
      <c r="H293" s="1436" t="n"/>
      <c r="I293" s="1436" t="n"/>
      <c r="J293" s="1436" t="n"/>
      <c r="K293" s="1436" t="n"/>
      <c r="L293" s="1436" t="n"/>
      <c r="M293" s="1436" t="n"/>
      <c r="N293" s="1436" t="n"/>
      <c r="O293" s="1436" t="n"/>
      <c r="P293" s="1436" t="n"/>
      <c r="Q293" s="1436" t="n"/>
      <c r="R293" s="1436" t="n"/>
      <c r="S293" s="1436" t="n"/>
      <c r="T293" s="1436" t="n"/>
      <c r="U293" s="1436" t="n"/>
      <c r="V293" s="1436" t="n"/>
      <c r="W293" s="1436" t="n"/>
      <c r="X293" s="1436" t="n"/>
      <c r="Y293" s="1436" t="n"/>
      <c r="Z293" s="1436" t="n"/>
      <c r="AA293" s="1436" t="n"/>
      <c r="AB293" s="1436" t="n"/>
      <c r="AC293" s="1436" t="n"/>
      <c r="AD293" s="1436" t="n"/>
      <c r="AE293" s="1436" t="n"/>
      <c r="AF293" s="1436" t="n"/>
      <c r="AG293" s="1436" t="n"/>
      <c r="AH293" s="1436" t="n"/>
      <c r="AI293" s="1436" t="n"/>
      <c r="AJ293" s="1436" t="n"/>
      <c r="AK293" s="1436" t="n"/>
      <c r="AL293" s="1436" t="n"/>
      <c r="AM293" s="1436" t="n"/>
      <c r="AN293" s="1436" t="n"/>
      <c r="AO293" s="1436" t="n"/>
      <c r="AP293" s="1436" t="n"/>
      <c r="AS293" s="1436" t="n"/>
      <c r="BG293" s="1436" t="n"/>
      <c r="BU293" s="1436" t="n"/>
    </row>
    <row r="294">
      <c r="A294" s="1436" t="n"/>
      <c r="B294" s="1436" t="n"/>
      <c r="C294" s="1436" t="n"/>
      <c r="D294" s="1436" t="n"/>
      <c r="E294" s="1436" t="n"/>
      <c r="F294" s="1436" t="n"/>
      <c r="G294" s="1436" t="n"/>
      <c r="H294" s="1436" t="n"/>
      <c r="I294" s="1436" t="n"/>
      <c r="J294" s="1436" t="n"/>
      <c r="K294" s="1436" t="n"/>
      <c r="L294" s="1436" t="n"/>
      <c r="M294" s="1436" t="n"/>
      <c r="N294" s="1436" t="n"/>
      <c r="O294" s="1436" t="n"/>
      <c r="P294" s="1436" t="n"/>
      <c r="Q294" s="1436" t="n"/>
      <c r="R294" s="1436" t="n"/>
      <c r="S294" s="1436" t="n"/>
      <c r="T294" s="1436" t="n"/>
      <c r="U294" s="1436" t="n"/>
      <c r="V294" s="1436" t="n"/>
      <c r="W294" s="1436" t="n"/>
      <c r="X294" s="1436" t="n"/>
      <c r="Y294" s="1436" t="n"/>
      <c r="Z294" s="1436" t="n"/>
      <c r="AA294" s="1436" t="n"/>
      <c r="AB294" s="1436" t="n"/>
      <c r="AC294" s="1436" t="n"/>
      <c r="AD294" s="1436" t="n"/>
      <c r="AE294" s="1436" t="n"/>
      <c r="AF294" s="1436" t="n"/>
      <c r="AG294" s="1436" t="n"/>
      <c r="AH294" s="1436" t="n"/>
      <c r="AI294" s="1436" t="n"/>
      <c r="AJ294" s="1436" t="n"/>
      <c r="AK294" s="1436" t="n"/>
      <c r="AL294" s="1436" t="n"/>
      <c r="AM294" s="1436" t="n"/>
      <c r="AN294" s="1436" t="n"/>
      <c r="AO294" s="1436" t="n"/>
      <c r="AP294" s="1436" t="n"/>
      <c r="AS294" s="1436" t="n"/>
      <c r="BG294" s="1436" t="n"/>
      <c r="BU294" s="1436" t="n"/>
    </row>
    <row r="295">
      <c r="A295" s="1436" t="n"/>
      <c r="B295" s="1436" t="n"/>
      <c r="C295" s="1436" t="n"/>
      <c r="D295" s="1436" t="n"/>
      <c r="E295" s="1436" t="n"/>
      <c r="F295" s="1436" t="n"/>
      <c r="G295" s="1436" t="n"/>
      <c r="H295" s="1436" t="n"/>
      <c r="I295" s="1436" t="n"/>
      <c r="J295" s="1436" t="n"/>
      <c r="K295" s="1436" t="n"/>
      <c r="L295" s="1436" t="n"/>
      <c r="M295" s="1436" t="n"/>
      <c r="N295" s="1436" t="n"/>
      <c r="O295" s="1436" t="n"/>
      <c r="P295" s="1436" t="n"/>
      <c r="Q295" s="1436" t="n"/>
      <c r="R295" s="1436" t="n"/>
      <c r="S295" s="1436" t="n"/>
      <c r="T295" s="1436" t="n"/>
      <c r="U295" s="1436" t="n"/>
      <c r="V295" s="1436" t="n"/>
      <c r="W295" s="1436" t="n"/>
      <c r="X295" s="1436" t="n"/>
      <c r="Y295" s="1436" t="n"/>
      <c r="Z295" s="1436" t="n"/>
      <c r="AA295" s="1436" t="n"/>
      <c r="AB295" s="1436" t="n"/>
      <c r="AC295" s="1436" t="n"/>
      <c r="AD295" s="1436" t="n"/>
      <c r="AE295" s="1436" t="n"/>
      <c r="AF295" s="1436" t="n"/>
      <c r="AG295" s="1436" t="n"/>
      <c r="AH295" s="1436" t="n"/>
      <c r="AI295" s="1436" t="n"/>
      <c r="AJ295" s="1436" t="n"/>
      <c r="AK295" s="1436" t="n"/>
      <c r="AL295" s="1436" t="n"/>
      <c r="AM295" s="1436" t="n"/>
      <c r="AN295" s="1436" t="n"/>
      <c r="AO295" s="1436" t="n"/>
      <c r="AP295" s="1436" t="n"/>
      <c r="AS295" s="1436" t="n"/>
      <c r="BG295" s="1436" t="n"/>
      <c r="BU295" s="1436" t="n"/>
    </row>
    <row r="296">
      <c r="A296" s="1436" t="n"/>
      <c r="B296" s="1436" t="n"/>
      <c r="C296" s="1436" t="n"/>
      <c r="D296" s="1436" t="n"/>
      <c r="E296" s="1436" t="n"/>
      <c r="F296" s="1436" t="n"/>
      <c r="G296" s="1436" t="n"/>
      <c r="H296" s="1436" t="n"/>
      <c r="I296" s="1436" t="n"/>
      <c r="J296" s="1436" t="n"/>
      <c r="K296" s="1436" t="n"/>
      <c r="L296" s="1436" t="n"/>
      <c r="M296" s="1436" t="n"/>
      <c r="N296" s="1436" t="n"/>
      <c r="O296" s="1436" t="n"/>
      <c r="P296" s="1436" t="n"/>
      <c r="Q296" s="1436" t="n"/>
      <c r="R296" s="1436" t="n"/>
      <c r="S296" s="1436" t="n"/>
      <c r="T296" s="1436" t="n"/>
      <c r="U296" s="1436" t="n"/>
      <c r="V296" s="1436" t="n"/>
      <c r="W296" s="1436" t="n"/>
      <c r="X296" s="1436" t="n"/>
      <c r="Y296" s="1436" t="n"/>
      <c r="Z296" s="1436" t="n"/>
      <c r="AA296" s="1436" t="n"/>
      <c r="AB296" s="1436" t="n"/>
      <c r="AC296" s="1436" t="n"/>
      <c r="AD296" s="1436" t="n"/>
      <c r="AE296" s="1436" t="n"/>
      <c r="AF296" s="1436" t="n"/>
      <c r="AG296" s="1436" t="n"/>
      <c r="AH296" s="1436" t="n"/>
      <c r="AI296" s="1436" t="n"/>
      <c r="AJ296" s="1436" t="n"/>
      <c r="AK296" s="1436" t="n"/>
      <c r="AL296" s="1436" t="n"/>
      <c r="AM296" s="1436" t="n"/>
      <c r="AN296" s="1436" t="n"/>
      <c r="AO296" s="1436" t="n"/>
      <c r="AP296" s="1436" t="n"/>
      <c r="AS296" s="1436" t="n"/>
      <c r="BG296" s="1436" t="n"/>
      <c r="BU296" s="1436" t="n"/>
    </row>
    <row r="297">
      <c r="A297" s="1436" t="n"/>
      <c r="B297" s="1436" t="n"/>
      <c r="C297" s="1436" t="n"/>
      <c r="D297" s="1436" t="n"/>
      <c r="E297" s="1436" t="n"/>
      <c r="F297" s="1436" t="n"/>
      <c r="G297" s="1436" t="n"/>
      <c r="H297" s="1436" t="n"/>
      <c r="I297" s="1436" t="n"/>
      <c r="J297" s="1436" t="n"/>
      <c r="K297" s="1436" t="n"/>
      <c r="L297" s="1436" t="n"/>
      <c r="M297" s="1436" t="n"/>
      <c r="N297" s="1436" t="n"/>
      <c r="O297" s="1436" t="n"/>
      <c r="P297" s="1436" t="n"/>
      <c r="Q297" s="1436" t="n"/>
      <c r="R297" s="1436" t="n"/>
      <c r="S297" s="1436" t="n"/>
      <c r="T297" s="1436" t="n"/>
      <c r="U297" s="1436" t="n"/>
      <c r="V297" s="1436" t="n"/>
      <c r="W297" s="1436" t="n"/>
      <c r="X297" s="1436" t="n"/>
      <c r="Y297" s="1436" t="n"/>
      <c r="Z297" s="1436" t="n"/>
      <c r="AA297" s="1436" t="n"/>
      <c r="AB297" s="1436" t="n"/>
      <c r="AC297" s="1436" t="n"/>
      <c r="AD297" s="1436" t="n"/>
      <c r="AE297" s="1436" t="n"/>
      <c r="AF297" s="1436" t="n"/>
      <c r="AG297" s="1436" t="n"/>
      <c r="AH297" s="1436" t="n"/>
      <c r="AI297" s="1436" t="n"/>
      <c r="AJ297" s="1436" t="n"/>
      <c r="AK297" s="1436" t="n"/>
      <c r="AL297" s="1436" t="n"/>
      <c r="AM297" s="1436" t="n"/>
      <c r="AN297" s="1436" t="n"/>
      <c r="AO297" s="1436" t="n"/>
      <c r="AP297" s="1436" t="n"/>
      <c r="AS297" s="1436" t="n"/>
      <c r="BG297" s="1436" t="n"/>
      <c r="BU297" s="1436" t="n"/>
    </row>
    <row r="298">
      <c r="A298" s="1436" t="n"/>
      <c r="B298" s="1436" t="n"/>
      <c r="C298" s="1436" t="n"/>
      <c r="D298" s="1436" t="n"/>
      <c r="E298" s="1436" t="n"/>
      <c r="F298" s="1436" t="n"/>
      <c r="G298" s="1436" t="n"/>
      <c r="H298" s="1436" t="n"/>
      <c r="I298" s="1436" t="n"/>
      <c r="J298" s="1436" t="n"/>
      <c r="K298" s="1436" t="n"/>
      <c r="L298" s="1436" t="n"/>
      <c r="M298" s="1436" t="n"/>
      <c r="N298" s="1436" t="n"/>
      <c r="O298" s="1436" t="n"/>
      <c r="P298" s="1436" t="n"/>
      <c r="Q298" s="1436" t="n"/>
      <c r="R298" s="1436" t="n"/>
      <c r="S298" s="1436" t="n"/>
      <c r="T298" s="1436" t="n"/>
      <c r="U298" s="1436" t="n"/>
      <c r="V298" s="1436" t="n"/>
      <c r="W298" s="1436" t="n"/>
      <c r="X298" s="1436" t="n"/>
      <c r="Y298" s="1436" t="n"/>
      <c r="Z298" s="1436" t="n"/>
      <c r="AA298" s="1436" t="n"/>
      <c r="AB298" s="1436" t="n"/>
      <c r="AC298" s="1436" t="n"/>
      <c r="AD298" s="1436" t="n"/>
      <c r="AE298" s="1436" t="n"/>
      <c r="AF298" s="1436" t="n"/>
      <c r="AG298" s="1436" t="n"/>
      <c r="AH298" s="1436" t="n"/>
      <c r="AI298" s="1436" t="n"/>
      <c r="AJ298" s="1436" t="n"/>
      <c r="AK298" s="1436" t="n"/>
      <c r="AL298" s="1436" t="n"/>
      <c r="AM298" s="1436" t="n"/>
      <c r="AN298" s="1436" t="n"/>
      <c r="AO298" s="1436" t="n"/>
      <c r="AP298" s="1436" t="n"/>
      <c r="AS298" s="1436" t="n"/>
      <c r="BG298" s="1436" t="n"/>
      <c r="BU298" s="1436" t="n"/>
    </row>
    <row r="299">
      <c r="A299" s="1436" t="n"/>
      <c r="B299" s="1436" t="n"/>
      <c r="C299" s="1436" t="n"/>
      <c r="D299" s="1436" t="n"/>
      <c r="E299" s="1436" t="n"/>
      <c r="F299" s="1436" t="n"/>
      <c r="G299" s="1436" t="n"/>
      <c r="H299" s="1436" t="n"/>
      <c r="I299" s="1436" t="n"/>
      <c r="J299" s="1436" t="n"/>
      <c r="K299" s="1436" t="n"/>
      <c r="L299" s="1436" t="n"/>
      <c r="M299" s="1436" t="n"/>
      <c r="N299" s="1436" t="n"/>
      <c r="O299" s="1436" t="n"/>
      <c r="P299" s="1436" t="n"/>
      <c r="Q299" s="1436" t="n"/>
      <c r="R299" s="1436" t="n"/>
      <c r="S299" s="1436" t="n"/>
      <c r="T299" s="1436" t="n"/>
      <c r="U299" s="1436" t="n"/>
      <c r="V299" s="1436" t="n"/>
      <c r="W299" s="1436" t="n"/>
      <c r="X299" s="1436" t="n"/>
      <c r="Y299" s="1436" t="n"/>
      <c r="Z299" s="1436" t="n"/>
      <c r="AA299" s="1436" t="n"/>
      <c r="AB299" s="1436" t="n"/>
      <c r="AC299" s="1436" t="n"/>
      <c r="AD299" s="1436" t="n"/>
      <c r="AE299" s="1436" t="n"/>
      <c r="AF299" s="1436" t="n"/>
      <c r="AG299" s="1436" t="n"/>
      <c r="AH299" s="1436" t="n"/>
      <c r="AI299" s="1436" t="n"/>
      <c r="AJ299" s="1436" t="n"/>
      <c r="AK299" s="1436" t="n"/>
      <c r="AL299" s="1436" t="n"/>
      <c r="AM299" s="1436" t="n"/>
      <c r="AN299" s="1436" t="n"/>
      <c r="AO299" s="1436" t="n"/>
      <c r="AP299" s="1436" t="n"/>
      <c r="AS299" s="1436" t="n"/>
      <c r="BG299" s="1436" t="n"/>
      <c r="BU299" s="1436" t="n"/>
    </row>
    <row r="300">
      <c r="A300" s="1436" t="n"/>
      <c r="B300" s="1436" t="n"/>
      <c r="C300" s="1436" t="n"/>
      <c r="D300" s="1436" t="n"/>
      <c r="E300" s="1436" t="n"/>
      <c r="F300" s="1436" t="n"/>
      <c r="G300" s="1436" t="n"/>
      <c r="H300" s="1436" t="n"/>
      <c r="I300" s="1436" t="n"/>
      <c r="J300" s="1436" t="n"/>
      <c r="K300" s="1436" t="n"/>
      <c r="L300" s="1436" t="n"/>
      <c r="M300" s="1436" t="n"/>
      <c r="N300" s="1436" t="n"/>
      <c r="O300" s="1436" t="n"/>
      <c r="P300" s="1436" t="n"/>
      <c r="Q300" s="1436" t="n"/>
      <c r="R300" s="1436" t="n"/>
      <c r="S300" s="1436" t="n"/>
      <c r="T300" s="1436" t="n"/>
      <c r="U300" s="1436" t="n"/>
      <c r="V300" s="1436" t="n"/>
      <c r="W300" s="1436" t="n"/>
      <c r="X300" s="1436" t="n"/>
      <c r="Y300" s="1436" t="n"/>
      <c r="Z300" s="1436" t="n"/>
      <c r="AA300" s="1436" t="n"/>
      <c r="AB300" s="1436" t="n"/>
      <c r="AC300" s="1436" t="n"/>
      <c r="AD300" s="1436" t="n"/>
      <c r="AE300" s="1436" t="n"/>
      <c r="AF300" s="1436" t="n"/>
      <c r="AG300" s="1436" t="n"/>
      <c r="AH300" s="1436" t="n"/>
      <c r="AI300" s="1436" t="n"/>
      <c r="AJ300" s="1436" t="n"/>
      <c r="AK300" s="1436" t="n"/>
      <c r="AL300" s="1436" t="n"/>
      <c r="AM300" s="1436" t="n"/>
      <c r="AN300" s="1436" t="n"/>
      <c r="AO300" s="1436" t="n"/>
      <c r="AP300" s="1436" t="n"/>
      <c r="AS300" s="1436" t="n"/>
      <c r="BG300" s="1436" t="n"/>
      <c r="BU300" s="1436" t="n"/>
    </row>
    <row r="301">
      <c r="A301" s="1436" t="n"/>
      <c r="B301" s="1436" t="n"/>
      <c r="C301" s="1436" t="n"/>
      <c r="D301" s="1436" t="n"/>
      <c r="E301" s="1436" t="n"/>
      <c r="F301" s="1436" t="n"/>
      <c r="G301" s="1436" t="n"/>
      <c r="H301" s="1436" t="n"/>
      <c r="I301" s="1436" t="n"/>
      <c r="J301" s="1436" t="n"/>
      <c r="K301" s="1436" t="n"/>
      <c r="L301" s="1436" t="n"/>
      <c r="M301" s="1436" t="n"/>
      <c r="N301" s="1436" t="n"/>
      <c r="O301" s="1436" t="n"/>
      <c r="P301" s="1436" t="n"/>
      <c r="Q301" s="1436" t="n"/>
      <c r="R301" s="1436" t="n"/>
      <c r="S301" s="1436" t="n"/>
      <c r="T301" s="1436" t="n"/>
      <c r="U301" s="1436" t="n"/>
      <c r="V301" s="1436" t="n"/>
      <c r="W301" s="1436" t="n"/>
      <c r="X301" s="1436" t="n"/>
      <c r="Y301" s="1436" t="n"/>
      <c r="Z301" s="1436" t="n"/>
      <c r="AA301" s="1436" t="n"/>
      <c r="AB301" s="1436" t="n"/>
      <c r="AC301" s="1436" t="n"/>
      <c r="AD301" s="1436" t="n"/>
      <c r="AE301" s="1436" t="n"/>
      <c r="AF301" s="1436" t="n"/>
      <c r="AG301" s="1436" t="n"/>
      <c r="AH301" s="1436" t="n"/>
      <c r="AI301" s="1436" t="n"/>
      <c r="AJ301" s="1436" t="n"/>
      <c r="AK301" s="1436" t="n"/>
      <c r="AL301" s="1436" t="n"/>
      <c r="AM301" s="1436" t="n"/>
      <c r="AN301" s="1436" t="n"/>
      <c r="AO301" s="1436" t="n"/>
      <c r="AP301" s="1436" t="n"/>
      <c r="AS301" s="1436" t="n"/>
      <c r="BG301" s="1436" t="n"/>
      <c r="BU301" s="1436" t="n"/>
    </row>
    <row r="302">
      <c r="A302" s="1436" t="n"/>
      <c r="B302" s="1436" t="n"/>
      <c r="C302" s="1436" t="n"/>
      <c r="D302" s="1436" t="n"/>
      <c r="E302" s="1436" t="n"/>
      <c r="F302" s="1436" t="n"/>
      <c r="G302" s="1436" t="n"/>
      <c r="H302" s="1436" t="n"/>
      <c r="I302" s="1436" t="n"/>
      <c r="J302" s="1436" t="n"/>
      <c r="K302" s="1436" t="n"/>
      <c r="L302" s="1436" t="n"/>
      <c r="M302" s="1436" t="n"/>
      <c r="N302" s="1436" t="n"/>
      <c r="O302" s="1436" t="n"/>
      <c r="P302" s="1436" t="n"/>
      <c r="Q302" s="1436" t="n"/>
      <c r="R302" s="1436" t="n"/>
      <c r="S302" s="1436" t="n"/>
      <c r="T302" s="1436" t="n"/>
      <c r="U302" s="1436" t="n"/>
      <c r="V302" s="1436" t="n"/>
      <c r="W302" s="1436" t="n"/>
      <c r="X302" s="1436" t="n"/>
      <c r="Y302" s="1436" t="n"/>
      <c r="Z302" s="1436" t="n"/>
      <c r="AA302" s="1436" t="n"/>
      <c r="AB302" s="1436" t="n"/>
      <c r="AC302" s="1436" t="n"/>
      <c r="AD302" s="1436" t="n"/>
      <c r="AE302" s="1436" t="n"/>
      <c r="AF302" s="1436" t="n"/>
      <c r="AG302" s="1436" t="n"/>
      <c r="AH302" s="1436" t="n"/>
      <c r="AI302" s="1436" t="n"/>
      <c r="AJ302" s="1436" t="n"/>
      <c r="AK302" s="1436" t="n"/>
      <c r="AL302" s="1436" t="n"/>
      <c r="AM302" s="1436" t="n"/>
      <c r="AN302" s="1436" t="n"/>
      <c r="AO302" s="1436" t="n"/>
      <c r="AP302" s="1436" t="n"/>
      <c r="AS302" s="1436" t="n"/>
      <c r="BG302" s="1436" t="n"/>
      <c r="BU302" s="1436" t="n"/>
    </row>
    <row r="303">
      <c r="A303" s="1436" t="n"/>
      <c r="B303" s="1436" t="n"/>
      <c r="C303" s="1436" t="n"/>
      <c r="D303" s="1436" t="n"/>
      <c r="E303" s="1436" t="n"/>
      <c r="F303" s="1436" t="n"/>
      <c r="G303" s="1436" t="n"/>
      <c r="H303" s="1436" t="n"/>
      <c r="I303" s="1436" t="n"/>
      <c r="J303" s="1436" t="n"/>
      <c r="K303" s="1436" t="n"/>
      <c r="L303" s="1436" t="n"/>
      <c r="M303" s="1436" t="n"/>
      <c r="N303" s="1436" t="n"/>
      <c r="O303" s="1436" t="n"/>
      <c r="P303" s="1436" t="n"/>
      <c r="Q303" s="1436" t="n"/>
      <c r="R303" s="1436" t="n"/>
      <c r="S303" s="1436" t="n"/>
      <c r="T303" s="1436" t="n"/>
      <c r="U303" s="1436" t="n"/>
      <c r="V303" s="1436" t="n"/>
      <c r="W303" s="1436" t="n"/>
      <c r="X303" s="1436" t="n"/>
      <c r="Y303" s="1436" t="n"/>
      <c r="Z303" s="1436" t="n"/>
      <c r="AA303" s="1436" t="n"/>
      <c r="AB303" s="1436" t="n"/>
      <c r="AC303" s="1436" t="n"/>
      <c r="AD303" s="1436" t="n"/>
      <c r="AE303" s="1436" t="n"/>
      <c r="AF303" s="1436" t="n"/>
      <c r="AG303" s="1436" t="n"/>
      <c r="AH303" s="1436" t="n"/>
      <c r="AI303" s="1436" t="n"/>
      <c r="AJ303" s="1436" t="n"/>
      <c r="AK303" s="1436" t="n"/>
      <c r="AL303" s="1436" t="n"/>
      <c r="AM303" s="1436" t="n"/>
      <c r="AN303" s="1436" t="n"/>
      <c r="AO303" s="1436" t="n"/>
      <c r="AP303" s="1436" t="n"/>
      <c r="AS303" s="1436" t="n"/>
      <c r="BG303" s="1436" t="n"/>
      <c r="BU303" s="1436" t="n"/>
    </row>
    <row r="304">
      <c r="A304" s="1436" t="n"/>
      <c r="B304" s="1436" t="n"/>
      <c r="C304" s="1436" t="n"/>
      <c r="D304" s="1436" t="n"/>
      <c r="E304" s="1436" t="n"/>
      <c r="F304" s="1436" t="n"/>
      <c r="G304" s="1436" t="n"/>
      <c r="H304" s="1436" t="n"/>
      <c r="I304" s="1436" t="n"/>
      <c r="J304" s="1436" t="n"/>
      <c r="K304" s="1436" t="n"/>
      <c r="L304" s="1436" t="n"/>
      <c r="M304" s="1436" t="n"/>
      <c r="N304" s="1436" t="n"/>
      <c r="O304" s="1436" t="n"/>
      <c r="P304" s="1436" t="n"/>
      <c r="Q304" s="1436" t="n"/>
      <c r="R304" s="1436" t="n"/>
      <c r="S304" s="1436" t="n"/>
      <c r="T304" s="1436" t="n"/>
      <c r="U304" s="1436" t="n"/>
      <c r="V304" s="1436" t="n"/>
      <c r="W304" s="1436" t="n"/>
      <c r="X304" s="1436" t="n"/>
      <c r="Y304" s="1436" t="n"/>
      <c r="Z304" s="1436" t="n"/>
      <c r="AA304" s="1436" t="n"/>
      <c r="AB304" s="1436" t="n"/>
      <c r="AC304" s="1436" t="n"/>
      <c r="AD304" s="1436" t="n"/>
      <c r="AE304" s="1436" t="n"/>
      <c r="AF304" s="1436" t="n"/>
      <c r="AG304" s="1436" t="n"/>
      <c r="AH304" s="1436" t="n"/>
      <c r="AI304" s="1436" t="n"/>
      <c r="AJ304" s="1436" t="n"/>
      <c r="AK304" s="1436" t="n"/>
      <c r="AL304" s="1436" t="n"/>
      <c r="AM304" s="1436" t="n"/>
      <c r="AN304" s="1436" t="n"/>
      <c r="AO304" s="1436" t="n"/>
      <c r="AP304" s="1436" t="n"/>
      <c r="AS304" s="1436" t="n"/>
      <c r="BG304" s="1436" t="n"/>
      <c r="BU304" s="1436" t="n"/>
    </row>
    <row r="305">
      <c r="A305" s="1436" t="n"/>
      <c r="B305" s="1436" t="n"/>
      <c r="C305" s="1436" t="n"/>
      <c r="D305" s="1436" t="n"/>
      <c r="E305" s="1436" t="n"/>
      <c r="F305" s="1436" t="n"/>
      <c r="G305" s="1436" t="n"/>
      <c r="H305" s="1436" t="n"/>
      <c r="I305" s="1436" t="n"/>
      <c r="J305" s="1436" t="n"/>
      <c r="K305" s="1436" t="n"/>
      <c r="L305" s="1436" t="n"/>
      <c r="M305" s="1436" t="n"/>
      <c r="N305" s="1436" t="n"/>
      <c r="O305" s="1436" t="n"/>
      <c r="P305" s="1436" t="n"/>
      <c r="Q305" s="1436" t="n"/>
      <c r="R305" s="1436" t="n"/>
      <c r="S305" s="1436" t="n"/>
      <c r="T305" s="1436" t="n"/>
      <c r="U305" s="1436" t="n"/>
      <c r="V305" s="1436" t="n"/>
      <c r="W305" s="1436" t="n"/>
      <c r="X305" s="1436" t="n"/>
      <c r="Y305" s="1436" t="n"/>
      <c r="Z305" s="1436" t="n"/>
      <c r="AA305" s="1436" t="n"/>
      <c r="AB305" s="1436" t="n"/>
      <c r="AC305" s="1436" t="n"/>
      <c r="AD305" s="1436" t="n"/>
      <c r="AE305" s="1436" t="n"/>
      <c r="AF305" s="1436" t="n"/>
      <c r="AG305" s="1436" t="n"/>
      <c r="AH305" s="1436" t="n"/>
      <c r="AI305" s="1436" t="n"/>
      <c r="AJ305" s="1436" t="n"/>
      <c r="AK305" s="1436" t="n"/>
      <c r="AL305" s="1436" t="n"/>
      <c r="AM305" s="1436" t="n"/>
      <c r="AN305" s="1436" t="n"/>
      <c r="AO305" s="1436" t="n"/>
      <c r="AP305" s="1436" t="n"/>
      <c r="AS305" s="1436" t="n"/>
      <c r="BG305" s="1436" t="n"/>
      <c r="BU305" s="1436" t="n"/>
    </row>
    <row r="306">
      <c r="A306" s="1436" t="n"/>
      <c r="B306" s="1436" t="n"/>
      <c r="C306" s="1436" t="n"/>
      <c r="D306" s="1436" t="n"/>
      <c r="E306" s="1436" t="n"/>
      <c r="F306" s="1436" t="n"/>
      <c r="G306" s="1436" t="n"/>
      <c r="H306" s="1436" t="n"/>
      <c r="I306" s="1436" t="n"/>
      <c r="J306" s="1436" t="n"/>
      <c r="K306" s="1436" t="n"/>
      <c r="L306" s="1436" t="n"/>
      <c r="M306" s="1436" t="n"/>
      <c r="N306" s="1436" t="n"/>
      <c r="O306" s="1436" t="n"/>
      <c r="P306" s="1436" t="n"/>
      <c r="Q306" s="1436" t="n"/>
      <c r="R306" s="1436" t="n"/>
      <c r="S306" s="1436" t="n"/>
      <c r="T306" s="1436" t="n"/>
      <c r="U306" s="1436" t="n"/>
      <c r="V306" s="1436" t="n"/>
      <c r="W306" s="1436" t="n"/>
      <c r="X306" s="1436" t="n"/>
      <c r="Y306" s="1436" t="n"/>
      <c r="Z306" s="1436" t="n"/>
      <c r="AA306" s="1436" t="n"/>
      <c r="AB306" s="1436" t="n"/>
      <c r="AC306" s="1436" t="n"/>
      <c r="AD306" s="1436" t="n"/>
      <c r="AE306" s="1436" t="n"/>
      <c r="AF306" s="1436" t="n"/>
      <c r="AG306" s="1436" t="n"/>
      <c r="AH306" s="1436" t="n"/>
      <c r="AI306" s="1436" t="n"/>
      <c r="AJ306" s="1436" t="n"/>
      <c r="AK306" s="1436" t="n"/>
      <c r="AL306" s="1436" t="n"/>
      <c r="AM306" s="1436" t="n"/>
      <c r="AN306" s="1436" t="n"/>
      <c r="AO306" s="1436" t="n"/>
      <c r="AP306" s="1436" t="n"/>
      <c r="AS306" s="1436" t="n"/>
      <c r="BG306" s="1436" t="n"/>
      <c r="BU306" s="1436" t="n"/>
    </row>
    <row r="307">
      <c r="A307" s="1436" t="n"/>
      <c r="B307" s="1436" t="n"/>
      <c r="C307" s="1436" t="n"/>
      <c r="D307" s="1436" t="n"/>
      <c r="E307" s="1436" t="n"/>
      <c r="F307" s="1436" t="n"/>
      <c r="G307" s="1436" t="n"/>
      <c r="H307" s="1436" t="n"/>
      <c r="I307" s="1436" t="n"/>
      <c r="J307" s="1436" t="n"/>
      <c r="K307" s="1436" t="n"/>
      <c r="L307" s="1436" t="n"/>
      <c r="M307" s="1436" t="n"/>
      <c r="N307" s="1436" t="n"/>
      <c r="O307" s="1436" t="n"/>
      <c r="P307" s="1436" t="n"/>
      <c r="Q307" s="1436" t="n"/>
      <c r="R307" s="1436" t="n"/>
      <c r="S307" s="1436" t="n"/>
      <c r="T307" s="1436" t="n"/>
      <c r="U307" s="1436" t="n"/>
      <c r="V307" s="1436" t="n"/>
      <c r="W307" s="1436" t="n"/>
      <c r="X307" s="1436" t="n"/>
      <c r="Y307" s="1436" t="n"/>
      <c r="Z307" s="1436" t="n"/>
      <c r="AA307" s="1436" t="n"/>
      <c r="AB307" s="1436" t="n"/>
      <c r="AC307" s="1436" t="n"/>
      <c r="AD307" s="1436" t="n"/>
      <c r="AE307" s="1436" t="n"/>
      <c r="AF307" s="1436" t="n"/>
      <c r="AG307" s="1436" t="n"/>
      <c r="AH307" s="1436" t="n"/>
      <c r="AI307" s="1436" t="n"/>
      <c r="AJ307" s="1436" t="n"/>
      <c r="AK307" s="1436" t="n"/>
      <c r="AL307" s="1436" t="n"/>
      <c r="AM307" s="1436" t="n"/>
      <c r="AN307" s="1436" t="n"/>
      <c r="AO307" s="1436" t="n"/>
      <c r="AP307" s="1436" t="n"/>
      <c r="AS307" s="1436" t="n"/>
      <c r="BG307" s="1436" t="n"/>
      <c r="BU307" s="1436" t="n"/>
    </row>
    <row r="308">
      <c r="A308" s="1436" t="n"/>
      <c r="B308" s="1436" t="n"/>
      <c r="C308" s="1436" t="n"/>
      <c r="D308" s="1436" t="n"/>
      <c r="E308" s="1436" t="n"/>
      <c r="F308" s="1436" t="n"/>
      <c r="G308" s="1436" t="n"/>
      <c r="H308" s="1436" t="n"/>
      <c r="I308" s="1436" t="n"/>
      <c r="J308" s="1436" t="n"/>
      <c r="K308" s="1436" t="n"/>
      <c r="L308" s="1436" t="n"/>
      <c r="M308" s="1436" t="n"/>
      <c r="N308" s="1436" t="n"/>
      <c r="O308" s="1436" t="n"/>
      <c r="P308" s="1436" t="n"/>
      <c r="Q308" s="1436" t="n"/>
      <c r="R308" s="1436" t="n"/>
      <c r="S308" s="1436" t="n"/>
      <c r="T308" s="1436" t="n"/>
      <c r="U308" s="1436" t="n"/>
      <c r="V308" s="1436" t="n"/>
      <c r="W308" s="1436" t="n"/>
      <c r="X308" s="1436" t="n"/>
      <c r="Y308" s="1436" t="n"/>
      <c r="Z308" s="1436" t="n"/>
      <c r="AA308" s="1436" t="n"/>
      <c r="AB308" s="1436" t="n"/>
      <c r="AC308" s="1436" t="n"/>
      <c r="AD308" s="1436" t="n"/>
      <c r="AE308" s="1436" t="n"/>
      <c r="AF308" s="1436" t="n"/>
      <c r="AG308" s="1436" t="n"/>
      <c r="AH308" s="1436" t="n"/>
      <c r="AI308" s="1436" t="n"/>
      <c r="AJ308" s="1436" t="n"/>
      <c r="AK308" s="1436" t="n"/>
      <c r="AL308" s="1436" t="n"/>
      <c r="AM308" s="1436" t="n"/>
      <c r="AN308" s="1436" t="n"/>
      <c r="AO308" s="1436" t="n"/>
      <c r="AP308" s="1436" t="n"/>
      <c r="AS308" s="1436" t="n"/>
      <c r="BG308" s="1436" t="n"/>
      <c r="BU308" s="1436" t="n"/>
    </row>
    <row r="309">
      <c r="A309" s="1436" t="n"/>
      <c r="B309" s="1436" t="n"/>
      <c r="C309" s="1436" t="n"/>
      <c r="D309" s="1436" t="n"/>
      <c r="E309" s="1436" t="n"/>
      <c r="F309" s="1436" t="n"/>
      <c r="G309" s="1436" t="n"/>
      <c r="H309" s="1436" t="n"/>
      <c r="I309" s="1436" t="n"/>
      <c r="J309" s="1436" t="n"/>
      <c r="K309" s="1436" t="n"/>
      <c r="L309" s="1436" t="n"/>
      <c r="M309" s="1436" t="n"/>
      <c r="N309" s="1436" t="n"/>
      <c r="O309" s="1436" t="n"/>
      <c r="P309" s="1436" t="n"/>
      <c r="Q309" s="1436" t="n"/>
      <c r="R309" s="1436" t="n"/>
      <c r="S309" s="1436" t="n"/>
      <c r="T309" s="1436" t="n"/>
      <c r="U309" s="1436" t="n"/>
      <c r="V309" s="1436" t="n"/>
      <c r="W309" s="1436" t="n"/>
      <c r="X309" s="1436" t="n"/>
      <c r="Y309" s="1436" t="n"/>
      <c r="Z309" s="1436" t="n"/>
      <c r="AA309" s="1436" t="n"/>
      <c r="AB309" s="1436" t="n"/>
      <c r="AC309" s="1436" t="n"/>
      <c r="AD309" s="1436" t="n"/>
      <c r="AE309" s="1436" t="n"/>
      <c r="AF309" s="1436" t="n"/>
      <c r="AG309" s="1436" t="n"/>
      <c r="AH309" s="1436" t="n"/>
      <c r="AI309" s="1436" t="n"/>
      <c r="AJ309" s="1436" t="n"/>
      <c r="AK309" s="1436" t="n"/>
      <c r="AL309" s="1436" t="n"/>
      <c r="AM309" s="1436" t="n"/>
      <c r="AN309" s="1436" t="n"/>
      <c r="AO309" s="1436" t="n"/>
      <c r="AP309" s="1436" t="n"/>
      <c r="AS309" s="1436" t="n"/>
      <c r="BG309" s="1436" t="n"/>
      <c r="BU309" s="1436" t="n"/>
    </row>
    <row r="310">
      <c r="A310" s="1436" t="n"/>
      <c r="B310" s="1436" t="n"/>
      <c r="C310" s="1436" t="n"/>
      <c r="D310" s="1436" t="n"/>
      <c r="E310" s="1436" t="n"/>
      <c r="F310" s="1436" t="n"/>
      <c r="G310" s="1436" t="n"/>
      <c r="H310" s="1436" t="n"/>
      <c r="I310" s="1436" t="n"/>
      <c r="J310" s="1436" t="n"/>
      <c r="K310" s="1436" t="n"/>
      <c r="L310" s="1436" t="n"/>
      <c r="M310" s="1436" t="n"/>
      <c r="N310" s="1436" t="n"/>
      <c r="O310" s="1436" t="n"/>
      <c r="P310" s="1436" t="n"/>
      <c r="Q310" s="1436" t="n"/>
      <c r="R310" s="1436" t="n"/>
      <c r="S310" s="1436" t="n"/>
      <c r="T310" s="1436" t="n"/>
      <c r="U310" s="1436" t="n"/>
      <c r="V310" s="1436" t="n"/>
      <c r="W310" s="1436" t="n"/>
      <c r="X310" s="1436" t="n"/>
      <c r="Y310" s="1436" t="n"/>
      <c r="Z310" s="1436" t="n"/>
      <c r="AA310" s="1436" t="n"/>
      <c r="AB310" s="1436" t="n"/>
      <c r="AC310" s="1436" t="n"/>
      <c r="AD310" s="1436" t="n"/>
      <c r="AE310" s="1436" t="n"/>
      <c r="AF310" s="1436" t="n"/>
      <c r="AG310" s="1436" t="n"/>
      <c r="AH310" s="1436" t="n"/>
      <c r="AI310" s="1436" t="n"/>
      <c r="AJ310" s="1436" t="n"/>
      <c r="AK310" s="1436" t="n"/>
      <c r="AL310" s="1436" t="n"/>
      <c r="AM310" s="1436" t="n"/>
      <c r="AN310" s="1436" t="n"/>
      <c r="AO310" s="1436" t="n"/>
      <c r="AP310" s="1436" t="n"/>
      <c r="AS310" s="1436" t="n"/>
      <c r="BG310" s="1436" t="n"/>
      <c r="BU310" s="1436" t="n"/>
    </row>
    <row r="311">
      <c r="A311" s="1436" t="n"/>
      <c r="B311" s="1436" t="n"/>
      <c r="C311" s="1436" t="n"/>
      <c r="D311" s="1436" t="n"/>
      <c r="E311" s="1436" t="n"/>
      <c r="F311" s="1436" t="n"/>
      <c r="G311" s="1436" t="n"/>
      <c r="H311" s="1436" t="n"/>
      <c r="I311" s="1436" t="n"/>
      <c r="J311" s="1436" t="n"/>
      <c r="K311" s="1436" t="n"/>
      <c r="L311" s="1436" t="n"/>
      <c r="M311" s="1436" t="n"/>
      <c r="N311" s="1436" t="n"/>
      <c r="O311" s="1436" t="n"/>
      <c r="P311" s="1436" t="n"/>
      <c r="Q311" s="1436" t="n"/>
      <c r="R311" s="1436" t="n"/>
      <c r="S311" s="1436" t="n"/>
      <c r="T311" s="1436" t="n"/>
      <c r="U311" s="1436" t="n"/>
      <c r="V311" s="1436" t="n"/>
      <c r="W311" s="1436" t="n"/>
      <c r="X311" s="1436" t="n"/>
      <c r="Y311" s="1436" t="n"/>
      <c r="Z311" s="1436" t="n"/>
      <c r="AA311" s="1436" t="n"/>
      <c r="AB311" s="1436" t="n"/>
      <c r="AC311" s="1436" t="n"/>
      <c r="AD311" s="1436" t="n"/>
      <c r="AE311" s="1436" t="n"/>
      <c r="AF311" s="1436" t="n"/>
      <c r="AG311" s="1436" t="n"/>
      <c r="AH311" s="1436" t="n"/>
      <c r="AI311" s="1436" t="n"/>
      <c r="AJ311" s="1436" t="n"/>
      <c r="AK311" s="1436" t="n"/>
      <c r="AL311" s="1436" t="n"/>
      <c r="AM311" s="1436" t="n"/>
      <c r="AN311" s="1436" t="n"/>
      <c r="AO311" s="1436" t="n"/>
      <c r="AP311" s="1436" t="n"/>
      <c r="AS311" s="1436" t="n"/>
      <c r="BG311" s="1436" t="n"/>
      <c r="BU311" s="1436" t="n"/>
    </row>
    <row r="312">
      <c r="A312" s="1436" t="n"/>
      <c r="B312" s="1436" t="n"/>
      <c r="C312" s="1436" t="n"/>
      <c r="D312" s="1436" t="n"/>
      <c r="E312" s="1436" t="n"/>
      <c r="F312" s="1436" t="n"/>
      <c r="G312" s="1436" t="n"/>
      <c r="H312" s="1436" t="n"/>
      <c r="I312" s="1436" t="n"/>
      <c r="J312" s="1436" t="n"/>
      <c r="K312" s="1436" t="n"/>
      <c r="L312" s="1436" t="n"/>
      <c r="M312" s="1436" t="n"/>
      <c r="N312" s="1436" t="n"/>
      <c r="O312" s="1436" t="n"/>
      <c r="P312" s="1436" t="n"/>
      <c r="Q312" s="1436" t="n"/>
      <c r="R312" s="1436" t="n"/>
      <c r="S312" s="1436" t="n"/>
      <c r="T312" s="1436" t="n"/>
      <c r="U312" s="1436" t="n"/>
      <c r="V312" s="1436" t="n"/>
      <c r="W312" s="1436" t="n"/>
      <c r="X312" s="1436" t="n"/>
      <c r="Y312" s="1436" t="n"/>
      <c r="Z312" s="1436" t="n"/>
      <c r="AA312" s="1436" t="n"/>
      <c r="AB312" s="1436" t="n"/>
      <c r="AC312" s="1436" t="n"/>
      <c r="AD312" s="1436" t="n"/>
      <c r="AE312" s="1436" t="n"/>
      <c r="AF312" s="1436" t="n"/>
      <c r="AG312" s="1436" t="n"/>
      <c r="AH312" s="1436" t="n"/>
      <c r="AI312" s="1436" t="n"/>
      <c r="AJ312" s="1436" t="n"/>
      <c r="AK312" s="1436" t="n"/>
      <c r="AL312" s="1436" t="n"/>
      <c r="AM312" s="1436" t="n"/>
      <c r="AN312" s="1436" t="n"/>
      <c r="AO312" s="1436" t="n"/>
      <c r="AP312" s="1436" t="n"/>
      <c r="AS312" s="1436" t="n"/>
      <c r="BG312" s="1436" t="n"/>
      <c r="BU312" s="1436" t="n"/>
    </row>
    <row r="313">
      <c r="A313" s="1436" t="n"/>
      <c r="B313" s="1436" t="n"/>
      <c r="C313" s="1436" t="n"/>
      <c r="D313" s="1436" t="n"/>
      <c r="E313" s="1436" t="n"/>
      <c r="F313" s="1436" t="n"/>
      <c r="G313" s="1436" t="n"/>
      <c r="H313" s="1436" t="n"/>
      <c r="I313" s="1436" t="n"/>
      <c r="J313" s="1436" t="n"/>
      <c r="K313" s="1436" t="n"/>
      <c r="L313" s="1436" t="n"/>
      <c r="M313" s="1436" t="n"/>
      <c r="N313" s="1436" t="n"/>
      <c r="O313" s="1436" t="n"/>
      <c r="P313" s="1436" t="n"/>
      <c r="Q313" s="1436" t="n"/>
      <c r="R313" s="1436" t="n"/>
      <c r="S313" s="1436" t="n"/>
      <c r="T313" s="1436" t="n"/>
      <c r="U313" s="1436" t="n"/>
      <c r="V313" s="1436" t="n"/>
      <c r="W313" s="1436" t="n"/>
      <c r="X313" s="1436" t="n"/>
      <c r="Y313" s="1436" t="n"/>
      <c r="Z313" s="1436" t="n"/>
      <c r="AA313" s="1436" t="n"/>
      <c r="AB313" s="1436" t="n"/>
      <c r="AC313" s="1436" t="n"/>
      <c r="AD313" s="1436" t="n"/>
      <c r="AE313" s="1436" t="n"/>
      <c r="AF313" s="1436" t="n"/>
      <c r="AG313" s="1436" t="n"/>
      <c r="AH313" s="1436" t="n"/>
      <c r="AI313" s="1436" t="n"/>
      <c r="AJ313" s="1436" t="n"/>
      <c r="AK313" s="1436" t="n"/>
      <c r="AL313" s="1436" t="n"/>
      <c r="AM313" s="1436" t="n"/>
      <c r="AN313" s="1436" t="n"/>
      <c r="AO313" s="1436" t="n"/>
      <c r="AP313" s="1436" t="n"/>
      <c r="AS313" s="1436" t="n"/>
      <c r="BG313" s="1436" t="n"/>
      <c r="BU313" s="1436" t="n"/>
    </row>
    <row r="314">
      <c r="A314" s="1436" t="n"/>
      <c r="B314" s="1436" t="n"/>
      <c r="C314" s="1436" t="n"/>
      <c r="D314" s="1436" t="n"/>
      <c r="E314" s="1436" t="n"/>
      <c r="F314" s="1436" t="n"/>
      <c r="G314" s="1436" t="n"/>
      <c r="H314" s="1436" t="n"/>
      <c r="I314" s="1436" t="n"/>
      <c r="J314" s="1436" t="n"/>
      <c r="K314" s="1436" t="n"/>
      <c r="L314" s="1436" t="n"/>
      <c r="M314" s="1436" t="n"/>
      <c r="N314" s="1436" t="n"/>
      <c r="O314" s="1436" t="n"/>
      <c r="P314" s="1436" t="n"/>
      <c r="Q314" s="1436" t="n"/>
      <c r="R314" s="1436" t="n"/>
      <c r="S314" s="1436" t="n"/>
      <c r="T314" s="1436" t="n"/>
      <c r="U314" s="1436" t="n"/>
      <c r="V314" s="1436" t="n"/>
      <c r="W314" s="1436" t="n"/>
      <c r="X314" s="1436" t="n"/>
      <c r="Y314" s="1436" t="n"/>
      <c r="Z314" s="1436" t="n"/>
      <c r="AA314" s="1436" t="n"/>
      <c r="AB314" s="1436" t="n"/>
      <c r="AC314" s="1436" t="n"/>
      <c r="AD314" s="1436" t="n"/>
      <c r="AE314" s="1436" t="n"/>
      <c r="AF314" s="1436" t="n"/>
      <c r="AG314" s="1436" t="n"/>
      <c r="AH314" s="1436" t="n"/>
      <c r="AI314" s="1436" t="n"/>
      <c r="AJ314" s="1436" t="n"/>
      <c r="AK314" s="1436" t="n"/>
      <c r="AL314" s="1436" t="n"/>
      <c r="AM314" s="1436" t="n"/>
      <c r="AN314" s="1436" t="n"/>
      <c r="AO314" s="1436" t="n"/>
      <c r="AP314" s="1436" t="n"/>
      <c r="AS314" s="1436" t="n"/>
      <c r="BG314" s="1436" t="n"/>
      <c r="BU314" s="1436" t="n"/>
    </row>
    <row r="315">
      <c r="A315" s="1436" t="n"/>
      <c r="B315" s="1436" t="n"/>
      <c r="C315" s="1436" t="n"/>
      <c r="D315" s="1436" t="n"/>
      <c r="E315" s="1436" t="n"/>
      <c r="F315" s="1436" t="n"/>
      <c r="G315" s="1436" t="n"/>
      <c r="H315" s="1436" t="n"/>
      <c r="I315" s="1436" t="n"/>
      <c r="J315" s="1436" t="n"/>
      <c r="K315" s="1436" t="n"/>
      <c r="L315" s="1436" t="n"/>
      <c r="M315" s="1436" t="n"/>
      <c r="N315" s="1436" t="n"/>
      <c r="O315" s="1436" t="n"/>
      <c r="P315" s="1436" t="n"/>
      <c r="Q315" s="1436" t="n"/>
      <c r="R315" s="1436" t="n"/>
      <c r="S315" s="1436" t="n"/>
      <c r="T315" s="1436" t="n"/>
      <c r="U315" s="1436" t="n"/>
      <c r="V315" s="1436" t="n"/>
      <c r="W315" s="1436" t="n"/>
      <c r="X315" s="1436" t="n"/>
      <c r="Y315" s="1436" t="n"/>
      <c r="Z315" s="1436" t="n"/>
      <c r="AA315" s="1436" t="n"/>
      <c r="AB315" s="1436" t="n"/>
      <c r="AC315" s="1436" t="n"/>
      <c r="AD315" s="1436" t="n"/>
      <c r="AE315" s="1436" t="n"/>
      <c r="AF315" s="1436" t="n"/>
      <c r="AG315" s="1436" t="n"/>
      <c r="AH315" s="1436" t="n"/>
      <c r="AI315" s="1436" t="n"/>
      <c r="AJ315" s="1436" t="n"/>
      <c r="AK315" s="1436" t="n"/>
      <c r="AL315" s="1436" t="n"/>
      <c r="AM315" s="1436" t="n"/>
      <c r="AN315" s="1436" t="n"/>
      <c r="AO315" s="1436" t="n"/>
      <c r="AP315" s="1436" t="n"/>
      <c r="AS315" s="1436" t="n"/>
      <c r="BG315" s="1436" t="n"/>
      <c r="BU315" s="1436" t="n"/>
    </row>
    <row r="316">
      <c r="A316" s="1436" t="n"/>
      <c r="B316" s="1436" t="n"/>
      <c r="C316" s="1436" t="n"/>
      <c r="D316" s="1436" t="n"/>
      <c r="E316" s="1436" t="n"/>
      <c r="F316" s="1436" t="n"/>
      <c r="G316" s="1436" t="n"/>
      <c r="H316" s="1436" t="n"/>
      <c r="I316" s="1436" t="n"/>
      <c r="J316" s="1436" t="n"/>
      <c r="K316" s="1436" t="n"/>
      <c r="L316" s="1436" t="n"/>
      <c r="M316" s="1436" t="n"/>
      <c r="N316" s="1436" t="n"/>
      <c r="O316" s="1436" t="n"/>
      <c r="P316" s="1436" t="n"/>
      <c r="Q316" s="1436" t="n"/>
      <c r="R316" s="1436" t="n"/>
      <c r="S316" s="1436" t="n"/>
      <c r="T316" s="1436" t="n"/>
      <c r="U316" s="1436" t="n"/>
      <c r="V316" s="1436" t="n"/>
      <c r="W316" s="1436" t="n"/>
      <c r="X316" s="1436" t="n"/>
      <c r="Y316" s="1436" t="n"/>
      <c r="Z316" s="1436" t="n"/>
      <c r="AA316" s="1436" t="n"/>
      <c r="AB316" s="1436" t="n"/>
      <c r="AC316" s="1436" t="n"/>
      <c r="AD316" s="1436" t="n"/>
      <c r="AE316" s="1436" t="n"/>
      <c r="AF316" s="1436" t="n"/>
      <c r="AG316" s="1436" t="n"/>
      <c r="AH316" s="1436" t="n"/>
      <c r="AI316" s="1436" t="n"/>
      <c r="AJ316" s="1436" t="n"/>
      <c r="AK316" s="1436" t="n"/>
      <c r="AL316" s="1436" t="n"/>
      <c r="AM316" s="1436" t="n"/>
      <c r="AN316" s="1436" t="n"/>
      <c r="AO316" s="1436" t="n"/>
      <c r="AP316" s="1436" t="n"/>
      <c r="AS316" s="1436" t="n"/>
      <c r="BG316" s="1436" t="n"/>
      <c r="BU316" s="1436" t="n"/>
    </row>
    <row r="317">
      <c r="A317" s="1436" t="n"/>
      <c r="B317" s="1436" t="n"/>
      <c r="C317" s="1436" t="n"/>
      <c r="D317" s="1436" t="n"/>
      <c r="E317" s="1436" t="n"/>
      <c r="F317" s="1436" t="n"/>
      <c r="G317" s="1436" t="n"/>
      <c r="H317" s="1436" t="n"/>
      <c r="I317" s="1436" t="n"/>
      <c r="J317" s="1436" t="n"/>
      <c r="K317" s="1436" t="n"/>
      <c r="L317" s="1436" t="n"/>
      <c r="M317" s="1436" t="n"/>
      <c r="N317" s="1436" t="n"/>
      <c r="O317" s="1436" t="n"/>
      <c r="P317" s="1436" t="n"/>
      <c r="Q317" s="1436" t="n"/>
      <c r="R317" s="1436" t="n"/>
      <c r="S317" s="1436" t="n"/>
      <c r="T317" s="1436" t="n"/>
      <c r="U317" s="1436" t="n"/>
      <c r="V317" s="1436" t="n"/>
      <c r="W317" s="1436" t="n"/>
      <c r="X317" s="1436" t="n"/>
      <c r="Y317" s="1436" t="n"/>
      <c r="Z317" s="1436" t="n"/>
      <c r="AA317" s="1436" t="n"/>
      <c r="AB317" s="1436" t="n"/>
      <c r="AC317" s="1436" t="n"/>
      <c r="AD317" s="1436" t="n"/>
      <c r="AE317" s="1436" t="n"/>
      <c r="AF317" s="1436" t="n"/>
      <c r="AG317" s="1436" t="n"/>
      <c r="AH317" s="1436" t="n"/>
      <c r="AI317" s="1436" t="n"/>
      <c r="AJ317" s="1436" t="n"/>
      <c r="AK317" s="1436" t="n"/>
      <c r="AL317" s="1436" t="n"/>
      <c r="AM317" s="1436" t="n"/>
      <c r="AN317" s="1436" t="n"/>
      <c r="AO317" s="1436" t="n"/>
      <c r="AP317" s="1436" t="n"/>
      <c r="AS317" s="1436" t="n"/>
      <c r="BG317" s="1436" t="n"/>
      <c r="BU317" s="1436" t="n"/>
    </row>
    <row r="318">
      <c r="A318" s="1436" t="n"/>
      <c r="B318" s="1436" t="n"/>
      <c r="C318" s="1436" t="n"/>
      <c r="D318" s="1436" t="n"/>
      <c r="E318" s="1436" t="n"/>
      <c r="F318" s="1436" t="n"/>
      <c r="G318" s="1436" t="n"/>
      <c r="H318" s="1436" t="n"/>
      <c r="I318" s="1436" t="n"/>
      <c r="J318" s="1436" t="n"/>
      <c r="K318" s="1436" t="n"/>
      <c r="L318" s="1436" t="n"/>
      <c r="M318" s="1436" t="n"/>
      <c r="N318" s="1436" t="n"/>
      <c r="O318" s="1436" t="n"/>
      <c r="P318" s="1436" t="n"/>
      <c r="Q318" s="1436" t="n"/>
      <c r="R318" s="1436" t="n"/>
      <c r="S318" s="1436" t="n"/>
      <c r="T318" s="1436" t="n"/>
      <c r="U318" s="1436" t="n"/>
      <c r="V318" s="1436" t="n"/>
      <c r="W318" s="1436" t="n"/>
      <c r="X318" s="1436" t="n"/>
      <c r="Y318" s="1436" t="n"/>
      <c r="Z318" s="1436" t="n"/>
      <c r="AA318" s="1436" t="n"/>
      <c r="AB318" s="1436" t="n"/>
      <c r="AC318" s="1436" t="n"/>
      <c r="AD318" s="1436" t="n"/>
      <c r="AE318" s="1436" t="n"/>
      <c r="AF318" s="1436" t="n"/>
      <c r="AG318" s="1436" t="n"/>
      <c r="AH318" s="1436" t="n"/>
      <c r="AI318" s="1436" t="n"/>
      <c r="AJ318" s="1436" t="n"/>
      <c r="AK318" s="1436" t="n"/>
      <c r="AL318" s="1436" t="n"/>
      <c r="AM318" s="1436" t="n"/>
      <c r="AN318" s="1436" t="n"/>
      <c r="AO318" s="1436" t="n"/>
      <c r="AP318" s="1436" t="n"/>
      <c r="AS318" s="1436" t="n"/>
      <c r="BG318" s="1436" t="n"/>
      <c r="BU318" s="1436" t="n"/>
    </row>
    <row r="319">
      <c r="A319" s="1436" t="n"/>
      <c r="B319" s="1436" t="n"/>
      <c r="C319" s="1436" t="n"/>
      <c r="D319" s="1436" t="n"/>
      <c r="E319" s="1436" t="n"/>
      <c r="F319" s="1436" t="n"/>
      <c r="G319" s="1436" t="n"/>
      <c r="H319" s="1436" t="n"/>
      <c r="I319" s="1436" t="n"/>
      <c r="J319" s="1436" t="n"/>
      <c r="K319" s="1436" t="n"/>
      <c r="L319" s="1436" t="n"/>
      <c r="M319" s="1436" t="n"/>
      <c r="N319" s="1436" t="n"/>
      <c r="O319" s="1436" t="n"/>
      <c r="P319" s="1436" t="n"/>
      <c r="Q319" s="1436" t="n"/>
      <c r="R319" s="1436" t="n"/>
      <c r="S319" s="1436" t="n"/>
      <c r="T319" s="1436" t="n"/>
      <c r="U319" s="1436" t="n"/>
      <c r="V319" s="1436" t="n"/>
      <c r="W319" s="1436" t="n"/>
      <c r="X319" s="1436" t="n"/>
      <c r="Y319" s="1436" t="n"/>
      <c r="Z319" s="1436" t="n"/>
      <c r="AA319" s="1436" t="n"/>
      <c r="AB319" s="1436" t="n"/>
      <c r="AC319" s="1436" t="n"/>
      <c r="AD319" s="1436" t="n"/>
      <c r="AE319" s="1436" t="n"/>
      <c r="AF319" s="1436" t="n"/>
      <c r="AG319" s="1436" t="n"/>
      <c r="AH319" s="1436" t="n"/>
      <c r="AI319" s="1436" t="n"/>
      <c r="AJ319" s="1436" t="n"/>
      <c r="AK319" s="1436" t="n"/>
      <c r="AL319" s="1436" t="n"/>
      <c r="AM319" s="1436" t="n"/>
      <c r="AN319" s="1436" t="n"/>
      <c r="AO319" s="1436" t="n"/>
      <c r="AP319" s="1436" t="n"/>
      <c r="AS319" s="1436" t="n"/>
      <c r="BG319" s="1436" t="n"/>
      <c r="BU319" s="1436" t="n"/>
    </row>
    <row r="320">
      <c r="A320" s="1436" t="n"/>
      <c r="B320" s="1436" t="n"/>
      <c r="C320" s="1436" t="n"/>
      <c r="D320" s="1436" t="n"/>
      <c r="E320" s="1436" t="n"/>
      <c r="F320" s="1436" t="n"/>
      <c r="G320" s="1436" t="n"/>
      <c r="H320" s="1436" t="n"/>
      <c r="I320" s="1436" t="n"/>
      <c r="J320" s="1436" t="n"/>
      <c r="K320" s="1436" t="n"/>
      <c r="L320" s="1436" t="n"/>
      <c r="M320" s="1436" t="n"/>
      <c r="N320" s="1436" t="n"/>
      <c r="O320" s="1436" t="n"/>
      <c r="P320" s="1436" t="n"/>
      <c r="Q320" s="1436" t="n"/>
      <c r="R320" s="1436" t="n"/>
      <c r="S320" s="1436" t="n"/>
      <c r="T320" s="1436" t="n"/>
      <c r="U320" s="1436" t="n"/>
      <c r="V320" s="1436" t="n"/>
      <c r="W320" s="1436" t="n"/>
      <c r="X320" s="1436" t="n"/>
      <c r="Y320" s="1436" t="n"/>
      <c r="Z320" s="1436" t="n"/>
      <c r="AA320" s="1436" t="n"/>
      <c r="AB320" s="1436" t="n"/>
      <c r="AC320" s="1436" t="n"/>
      <c r="AD320" s="1436" t="n"/>
      <c r="AE320" s="1436" t="n"/>
      <c r="AF320" s="1436" t="n"/>
      <c r="AG320" s="1436" t="n"/>
      <c r="AH320" s="1436" t="n"/>
      <c r="AI320" s="1436" t="n"/>
      <c r="AJ320" s="1436" t="n"/>
      <c r="AK320" s="1436" t="n"/>
      <c r="AL320" s="1436" t="n"/>
      <c r="AM320" s="1436" t="n"/>
      <c r="AN320" s="1436" t="n"/>
      <c r="AO320" s="1436" t="n"/>
      <c r="AP320" s="1436" t="n"/>
      <c r="AS320" s="1436" t="n"/>
      <c r="BG320" s="1436" t="n"/>
      <c r="BU320" s="1436" t="n"/>
    </row>
    <row r="321">
      <c r="A321" s="1436" t="n"/>
      <c r="B321" s="1436" t="n"/>
      <c r="C321" s="1436" t="n"/>
      <c r="D321" s="1436" t="n"/>
      <c r="E321" s="1436" t="n"/>
      <c r="F321" s="1436" t="n"/>
      <c r="G321" s="1436" t="n"/>
      <c r="H321" s="1436" t="n"/>
      <c r="I321" s="1436" t="n"/>
      <c r="J321" s="1436" t="n"/>
      <c r="K321" s="1436" t="n"/>
      <c r="L321" s="1436" t="n"/>
      <c r="M321" s="1436" t="n"/>
      <c r="N321" s="1436" t="n"/>
      <c r="O321" s="1436" t="n"/>
      <c r="P321" s="1436" t="n"/>
      <c r="Q321" s="1436" t="n"/>
      <c r="R321" s="1436" t="n"/>
      <c r="S321" s="1436" t="n"/>
      <c r="T321" s="1436" t="n"/>
      <c r="U321" s="1436" t="n"/>
      <c r="V321" s="1436" t="n"/>
      <c r="W321" s="1436" t="n"/>
      <c r="X321" s="1436" t="n"/>
      <c r="Y321" s="1436" t="n"/>
      <c r="Z321" s="1436" t="n"/>
      <c r="AA321" s="1436" t="n"/>
      <c r="AB321" s="1436" t="n"/>
      <c r="AC321" s="1436" t="n"/>
      <c r="AD321" s="1436" t="n"/>
      <c r="AE321" s="1436" t="n"/>
      <c r="AF321" s="1436" t="n"/>
      <c r="AG321" s="1436" t="n"/>
      <c r="AH321" s="1436" t="n"/>
      <c r="AI321" s="1436" t="n"/>
      <c r="AJ321" s="1436" t="n"/>
      <c r="AK321" s="1436" t="n"/>
      <c r="AL321" s="1436" t="n"/>
      <c r="AM321" s="1436" t="n"/>
      <c r="AN321" s="1436" t="n"/>
      <c r="AO321" s="1436" t="n"/>
      <c r="AP321" s="1436" t="n"/>
      <c r="AS321" s="1436" t="n"/>
      <c r="BG321" s="1436" t="n"/>
      <c r="BU321" s="1436" t="n"/>
    </row>
    <row r="322">
      <c r="A322" s="1436" t="n"/>
      <c r="B322" s="1436" t="n"/>
      <c r="C322" s="1436" t="n"/>
      <c r="D322" s="1436" t="n"/>
      <c r="E322" s="1436" t="n"/>
      <c r="F322" s="1436" t="n"/>
      <c r="G322" s="1436" t="n"/>
      <c r="H322" s="1436" t="n"/>
      <c r="I322" s="1436" t="n"/>
      <c r="J322" s="1436" t="n"/>
      <c r="K322" s="1436" t="n"/>
      <c r="L322" s="1436" t="n"/>
      <c r="M322" s="1436" t="n"/>
      <c r="N322" s="1436" t="n"/>
      <c r="O322" s="1436" t="n"/>
      <c r="P322" s="1436" t="n"/>
      <c r="Q322" s="1436" t="n"/>
      <c r="R322" s="1436" t="n"/>
      <c r="S322" s="1436" t="n"/>
      <c r="T322" s="1436" t="n"/>
      <c r="U322" s="1436" t="n"/>
      <c r="V322" s="1436" t="n"/>
      <c r="W322" s="1436" t="n"/>
      <c r="X322" s="1436" t="n"/>
      <c r="Y322" s="1436" t="n"/>
      <c r="Z322" s="1436" t="n"/>
      <c r="AA322" s="1436" t="n"/>
      <c r="AB322" s="1436" t="n"/>
      <c r="AC322" s="1436" t="n"/>
      <c r="AD322" s="1436" t="n"/>
      <c r="AE322" s="1436" t="n"/>
      <c r="AF322" s="1436" t="n"/>
      <c r="AG322" s="1436" t="n"/>
      <c r="AH322" s="1436" t="n"/>
      <c r="AI322" s="1436" t="n"/>
      <c r="AJ322" s="1436" t="n"/>
      <c r="AK322" s="1436" t="n"/>
      <c r="AL322" s="1436" t="n"/>
      <c r="AM322" s="1436" t="n"/>
      <c r="AN322" s="1436" t="n"/>
      <c r="AO322" s="1436" t="n"/>
      <c r="AP322" s="1436" t="n"/>
      <c r="AS322" s="1436" t="n"/>
      <c r="BG322" s="1436" t="n"/>
      <c r="BU322" s="1436" t="n"/>
    </row>
    <row r="323">
      <c r="A323" s="1436" t="n"/>
      <c r="B323" s="1436" t="n"/>
      <c r="C323" s="1436" t="n"/>
      <c r="D323" s="1436" t="n"/>
      <c r="E323" s="1436" t="n"/>
      <c r="F323" s="1436" t="n"/>
      <c r="G323" s="1436" t="n"/>
      <c r="H323" s="1436" t="n"/>
      <c r="I323" s="1436" t="n"/>
      <c r="J323" s="1436" t="n"/>
      <c r="K323" s="1436" t="n"/>
      <c r="L323" s="1436" t="n"/>
      <c r="M323" s="1436" t="n"/>
      <c r="N323" s="1436" t="n"/>
      <c r="O323" s="1436" t="n"/>
      <c r="P323" s="1436" t="n"/>
      <c r="Q323" s="1436" t="n"/>
      <c r="R323" s="1436" t="n"/>
      <c r="S323" s="1436" t="n"/>
      <c r="T323" s="1436" t="n"/>
      <c r="U323" s="1436" t="n"/>
      <c r="V323" s="1436" t="n"/>
      <c r="W323" s="1436" t="n"/>
      <c r="X323" s="1436" t="n"/>
      <c r="Y323" s="1436" t="n"/>
      <c r="Z323" s="1436" t="n"/>
      <c r="AA323" s="1436" t="n"/>
      <c r="AB323" s="1436" t="n"/>
      <c r="AC323" s="1436" t="n"/>
      <c r="AD323" s="1436" t="n"/>
      <c r="AE323" s="1436" t="n"/>
      <c r="AF323" s="1436" t="n"/>
      <c r="AG323" s="1436" t="n"/>
      <c r="AH323" s="1436" t="n"/>
      <c r="AI323" s="1436" t="n"/>
      <c r="AJ323" s="1436" t="n"/>
      <c r="AK323" s="1436" t="n"/>
      <c r="AL323" s="1436" t="n"/>
      <c r="AM323" s="1436" t="n"/>
      <c r="AN323" s="1436" t="n"/>
      <c r="AO323" s="1436" t="n"/>
      <c r="AP323" s="1436" t="n"/>
      <c r="AS323" s="1436" t="n"/>
      <c r="BG323" s="1436" t="n"/>
      <c r="BU323" s="1436" t="n"/>
    </row>
    <row r="324">
      <c r="A324" s="1436" t="n"/>
      <c r="B324" s="1436" t="n"/>
      <c r="C324" s="1436" t="n"/>
      <c r="D324" s="1436" t="n"/>
      <c r="E324" s="1436" t="n"/>
      <c r="F324" s="1436" t="n"/>
      <c r="G324" s="1436" t="n"/>
      <c r="H324" s="1436" t="n"/>
      <c r="I324" s="1436" t="n"/>
      <c r="J324" s="1436" t="n"/>
      <c r="K324" s="1436" t="n"/>
      <c r="L324" s="1436" t="n"/>
      <c r="M324" s="1436" t="n"/>
      <c r="N324" s="1436" t="n"/>
      <c r="O324" s="1436" t="n"/>
      <c r="P324" s="1436" t="n"/>
      <c r="Q324" s="1436" t="n"/>
      <c r="R324" s="1436" t="n"/>
      <c r="S324" s="1436" t="n"/>
      <c r="T324" s="1436" t="n"/>
      <c r="U324" s="1436" t="n"/>
      <c r="V324" s="1436" t="n"/>
      <c r="W324" s="1436" t="n"/>
      <c r="X324" s="1436" t="n"/>
      <c r="Y324" s="1436" t="n"/>
      <c r="Z324" s="1436" t="n"/>
      <c r="AA324" s="1436" t="n"/>
      <c r="AB324" s="1436" t="n"/>
      <c r="AC324" s="1436" t="n"/>
      <c r="AD324" s="1436" t="n"/>
      <c r="AE324" s="1436" t="n"/>
      <c r="AF324" s="1436" t="n"/>
      <c r="AG324" s="1436" t="n"/>
      <c r="AH324" s="1436" t="n"/>
      <c r="AI324" s="1436" t="n"/>
      <c r="AJ324" s="1436" t="n"/>
      <c r="AK324" s="1436" t="n"/>
      <c r="AL324" s="1436" t="n"/>
      <c r="AM324" s="1436" t="n"/>
      <c r="AN324" s="1436" t="n"/>
      <c r="AO324" s="1436" t="n"/>
      <c r="AP324" s="1436" t="n"/>
      <c r="AS324" s="1436" t="n"/>
      <c r="BG324" s="1436" t="n"/>
      <c r="BU324" s="1436" t="n"/>
    </row>
    <row r="325">
      <c r="A325" s="1436" t="n"/>
      <c r="B325" s="1436" t="n"/>
      <c r="C325" s="1436" t="n"/>
      <c r="D325" s="1436" t="n"/>
      <c r="E325" s="1436" t="n"/>
      <c r="F325" s="1436" t="n"/>
      <c r="G325" s="1436" t="n"/>
      <c r="H325" s="1436" t="n"/>
      <c r="I325" s="1436" t="n"/>
      <c r="J325" s="1436" t="n"/>
      <c r="K325" s="1436" t="n"/>
      <c r="L325" s="1436" t="n"/>
      <c r="M325" s="1436" t="n"/>
      <c r="N325" s="1436" t="n"/>
      <c r="O325" s="1436" t="n"/>
      <c r="P325" s="1436" t="n"/>
      <c r="Q325" s="1436" t="n"/>
      <c r="R325" s="1436" t="n"/>
      <c r="S325" s="1436" t="n"/>
      <c r="T325" s="1436" t="n"/>
      <c r="U325" s="1436" t="n"/>
      <c r="V325" s="1436" t="n"/>
      <c r="W325" s="1436" t="n"/>
      <c r="X325" s="1436" t="n"/>
      <c r="Y325" s="1436" t="n"/>
      <c r="Z325" s="1436" t="n"/>
      <c r="AA325" s="1436" t="n"/>
      <c r="AB325" s="1436" t="n"/>
      <c r="AC325" s="1436" t="n"/>
      <c r="AD325" s="1436" t="n"/>
      <c r="AE325" s="1436" t="n"/>
      <c r="AF325" s="1436" t="n"/>
      <c r="AG325" s="1436" t="n"/>
      <c r="AH325" s="1436" t="n"/>
      <c r="AI325" s="1436" t="n"/>
      <c r="AJ325" s="1436" t="n"/>
      <c r="AK325" s="1436" t="n"/>
      <c r="AL325" s="1436" t="n"/>
      <c r="AM325" s="1436" t="n"/>
      <c r="AN325" s="1436" t="n"/>
      <c r="AO325" s="1436" t="n"/>
      <c r="AP325" s="1436" t="n"/>
      <c r="AS325" s="1436" t="n"/>
      <c r="BG325" s="1436" t="n"/>
      <c r="BU325" s="1436" t="n"/>
    </row>
    <row r="326">
      <c r="A326" s="1436" t="n"/>
      <c r="B326" s="1436" t="n"/>
      <c r="C326" s="1436" t="n"/>
      <c r="D326" s="1436" t="n"/>
      <c r="E326" s="1436" t="n"/>
      <c r="F326" s="1436" t="n"/>
      <c r="G326" s="1436" t="n"/>
      <c r="H326" s="1436" t="n"/>
      <c r="I326" s="1436" t="n"/>
      <c r="J326" s="1436" t="n"/>
      <c r="K326" s="1436" t="n"/>
      <c r="L326" s="1436" t="n"/>
      <c r="M326" s="1436" t="n"/>
      <c r="N326" s="1436" t="n"/>
      <c r="O326" s="1436" t="n"/>
      <c r="P326" s="1436" t="n"/>
      <c r="Q326" s="1436" t="n"/>
      <c r="R326" s="1436" t="n"/>
      <c r="S326" s="1436" t="n"/>
      <c r="T326" s="1436" t="n"/>
      <c r="U326" s="1436" t="n"/>
      <c r="V326" s="1436" t="n"/>
      <c r="W326" s="1436" t="n"/>
      <c r="X326" s="1436" t="n"/>
      <c r="Y326" s="1436" t="n"/>
      <c r="Z326" s="1436" t="n"/>
      <c r="AA326" s="1436" t="n"/>
      <c r="AB326" s="1436" t="n"/>
      <c r="AC326" s="1436" t="n"/>
      <c r="AD326" s="1436" t="n"/>
      <c r="AE326" s="1436" t="n"/>
      <c r="AF326" s="1436" t="n"/>
      <c r="AG326" s="1436" t="n"/>
      <c r="AH326" s="1436" t="n"/>
      <c r="AI326" s="1436" t="n"/>
      <c r="AJ326" s="1436" t="n"/>
      <c r="AK326" s="1436" t="n"/>
      <c r="AL326" s="1436" t="n"/>
      <c r="AM326" s="1436" t="n"/>
      <c r="AN326" s="1436" t="n"/>
      <c r="AO326" s="1436" t="n"/>
      <c r="AP326" s="1436" t="n"/>
      <c r="AS326" s="1436" t="n"/>
      <c r="BG326" s="1436" t="n"/>
      <c r="BU326" s="1436" t="n"/>
    </row>
    <row r="327">
      <c r="A327" s="1436" t="n"/>
      <c r="B327" s="1436" t="n"/>
      <c r="C327" s="1436" t="n"/>
      <c r="D327" s="1436" t="n"/>
      <c r="E327" s="1436" t="n"/>
      <c r="F327" s="1436" t="n"/>
      <c r="G327" s="1436" t="n"/>
      <c r="H327" s="1436" t="n"/>
      <c r="I327" s="1436" t="n"/>
      <c r="J327" s="1436" t="n"/>
      <c r="K327" s="1436" t="n"/>
      <c r="L327" s="1436" t="n"/>
      <c r="M327" s="1436" t="n"/>
      <c r="N327" s="1436" t="n"/>
      <c r="O327" s="1436" t="n"/>
      <c r="P327" s="1436" t="n"/>
      <c r="Q327" s="1436" t="n"/>
      <c r="R327" s="1436" t="n"/>
      <c r="S327" s="1436" t="n"/>
      <c r="T327" s="1436" t="n"/>
      <c r="U327" s="1436" t="n"/>
      <c r="V327" s="1436" t="n"/>
      <c r="W327" s="1436" t="n"/>
      <c r="X327" s="1436" t="n"/>
      <c r="Y327" s="1436" t="n"/>
      <c r="Z327" s="1436" t="n"/>
      <c r="AA327" s="1436" t="n"/>
      <c r="AB327" s="1436" t="n"/>
      <c r="AC327" s="1436" t="n"/>
      <c r="AD327" s="1436" t="n"/>
      <c r="AE327" s="1436" t="n"/>
      <c r="AF327" s="1436" t="n"/>
      <c r="AG327" s="1436" t="n"/>
      <c r="AH327" s="1436" t="n"/>
      <c r="AI327" s="1436" t="n"/>
      <c r="AJ327" s="1436" t="n"/>
      <c r="AK327" s="1436" t="n"/>
      <c r="AL327" s="1436" t="n"/>
      <c r="AM327" s="1436" t="n"/>
      <c r="AN327" s="1436" t="n"/>
      <c r="AO327" s="1436" t="n"/>
      <c r="AP327" s="1436" t="n"/>
      <c r="AS327" s="1436" t="n"/>
      <c r="BG327" s="1436" t="n"/>
      <c r="BU327" s="1436" t="n"/>
    </row>
    <row r="328">
      <c r="A328" s="1436" t="n"/>
      <c r="B328" s="1436" t="n"/>
      <c r="C328" s="1436" t="n"/>
      <c r="D328" s="1436" t="n"/>
      <c r="E328" s="1436" t="n"/>
      <c r="F328" s="1436" t="n"/>
      <c r="G328" s="1436" t="n"/>
      <c r="H328" s="1436" t="n"/>
      <c r="I328" s="1436" t="n"/>
      <c r="J328" s="1436" t="n"/>
      <c r="K328" s="1436" t="n"/>
      <c r="L328" s="1436" t="n"/>
      <c r="M328" s="1436" t="n"/>
      <c r="N328" s="1436" t="n"/>
      <c r="O328" s="1436" t="n"/>
      <c r="P328" s="1436" t="n"/>
      <c r="Q328" s="1436" t="n"/>
      <c r="R328" s="1436" t="n"/>
      <c r="S328" s="1436" t="n"/>
      <c r="T328" s="1436" t="n"/>
      <c r="U328" s="1436" t="n"/>
      <c r="V328" s="1436" t="n"/>
      <c r="W328" s="1436" t="n"/>
      <c r="X328" s="1436" t="n"/>
      <c r="Y328" s="1436" t="n"/>
      <c r="Z328" s="1436" t="n"/>
      <c r="AA328" s="1436" t="n"/>
      <c r="AB328" s="1436" t="n"/>
      <c r="AC328" s="1436" t="n"/>
      <c r="AD328" s="1436" t="n"/>
      <c r="AE328" s="1436" t="n"/>
      <c r="AF328" s="1436" t="n"/>
      <c r="AG328" s="1436" t="n"/>
      <c r="AH328" s="1436" t="n"/>
      <c r="AI328" s="1436" t="n"/>
      <c r="AJ328" s="1436" t="n"/>
      <c r="AK328" s="1436" t="n"/>
      <c r="AL328" s="1436" t="n"/>
      <c r="AM328" s="1436" t="n"/>
      <c r="AN328" s="1436" t="n"/>
      <c r="AO328" s="1436" t="n"/>
      <c r="AP328" s="1436" t="n"/>
      <c r="AS328" s="1436" t="n"/>
      <c r="BG328" s="1436" t="n"/>
      <c r="BU328" s="1436" t="n"/>
    </row>
    <row r="329">
      <c r="A329" s="1436" t="n"/>
      <c r="B329" s="1436" t="n"/>
      <c r="C329" s="1436" t="n"/>
      <c r="D329" s="1436" t="n"/>
      <c r="E329" s="1436" t="n"/>
      <c r="F329" s="1436" t="n"/>
      <c r="G329" s="1436" t="n"/>
      <c r="H329" s="1436" t="n"/>
      <c r="I329" s="1436" t="n"/>
      <c r="J329" s="1436" t="n"/>
      <c r="K329" s="1436" t="n"/>
      <c r="L329" s="1436" t="n"/>
      <c r="M329" s="1436" t="n"/>
      <c r="N329" s="1436" t="n"/>
      <c r="O329" s="1436" t="n"/>
      <c r="P329" s="1436" t="n"/>
      <c r="Q329" s="1436" t="n"/>
      <c r="R329" s="1436" t="n"/>
      <c r="S329" s="1436" t="n"/>
      <c r="T329" s="1436" t="n"/>
      <c r="U329" s="1436" t="n"/>
      <c r="V329" s="1436" t="n"/>
      <c r="W329" s="1436" t="n"/>
      <c r="X329" s="1436" t="n"/>
      <c r="Y329" s="1436" t="n"/>
      <c r="Z329" s="1436" t="n"/>
      <c r="AA329" s="1436" t="n"/>
      <c r="AB329" s="1436" t="n"/>
      <c r="AC329" s="1436" t="n"/>
      <c r="AD329" s="1436" t="n"/>
      <c r="AE329" s="1436" t="n"/>
      <c r="AF329" s="1436" t="n"/>
      <c r="AG329" s="1436" t="n"/>
      <c r="AH329" s="1436" t="n"/>
      <c r="AI329" s="1436" t="n"/>
      <c r="AJ329" s="1436" t="n"/>
      <c r="AK329" s="1436" t="n"/>
      <c r="AL329" s="1436" t="n"/>
      <c r="AM329" s="1436" t="n"/>
      <c r="AN329" s="1436" t="n"/>
      <c r="AO329" s="1436" t="n"/>
      <c r="AP329" s="1436" t="n"/>
      <c r="AS329" s="1436" t="n"/>
      <c r="BG329" s="1436" t="n"/>
      <c r="BU329" s="1436" t="n"/>
    </row>
    <row r="330">
      <c r="A330" s="1436" t="n"/>
      <c r="B330" s="1436" t="n"/>
      <c r="C330" s="1436" t="n"/>
      <c r="D330" s="1436" t="n"/>
      <c r="E330" s="1436" t="n"/>
      <c r="F330" s="1436" t="n"/>
      <c r="G330" s="1436" t="n"/>
      <c r="H330" s="1436" t="n"/>
      <c r="I330" s="1436" t="n"/>
      <c r="J330" s="1436" t="n"/>
      <c r="K330" s="1436" t="n"/>
      <c r="L330" s="1436" t="n"/>
      <c r="M330" s="1436" t="n"/>
      <c r="N330" s="1436" t="n"/>
      <c r="O330" s="1436" t="n"/>
      <c r="P330" s="1436" t="n"/>
      <c r="Q330" s="1436" t="n"/>
      <c r="R330" s="1436" t="n"/>
      <c r="S330" s="1436" t="n"/>
      <c r="T330" s="1436" t="n"/>
      <c r="U330" s="1436" t="n"/>
      <c r="V330" s="1436" t="n"/>
      <c r="W330" s="1436" t="n"/>
      <c r="X330" s="1436" t="n"/>
      <c r="Y330" s="1436" t="n"/>
      <c r="Z330" s="1436" t="n"/>
      <c r="AA330" s="1436" t="n"/>
      <c r="AB330" s="1436" t="n"/>
      <c r="AC330" s="1436" t="n"/>
      <c r="AD330" s="1436" t="n"/>
      <c r="AE330" s="1436" t="n"/>
      <c r="AF330" s="1436" t="n"/>
      <c r="AG330" s="1436" t="n"/>
      <c r="AH330" s="1436" t="n"/>
      <c r="AI330" s="1436" t="n"/>
      <c r="AJ330" s="1436" t="n"/>
      <c r="AK330" s="1436" t="n"/>
      <c r="AL330" s="1436" t="n"/>
      <c r="AM330" s="1436" t="n"/>
      <c r="AN330" s="1436" t="n"/>
      <c r="AO330" s="1436" t="n"/>
      <c r="AP330" s="1436" t="n"/>
      <c r="AS330" s="1436" t="n"/>
      <c r="BG330" s="1436" t="n"/>
      <c r="BU330" s="1436" t="n"/>
    </row>
    <row r="331">
      <c r="A331" s="1436" t="n"/>
      <c r="B331" s="1436" t="n"/>
      <c r="C331" s="1436" t="n"/>
      <c r="D331" s="1436" t="n"/>
      <c r="E331" s="1436" t="n"/>
      <c r="F331" s="1436" t="n"/>
      <c r="G331" s="1436" t="n"/>
      <c r="H331" s="1436" t="n"/>
      <c r="I331" s="1436" t="n"/>
      <c r="J331" s="1436" t="n"/>
      <c r="K331" s="1436" t="n"/>
      <c r="L331" s="1436" t="n"/>
      <c r="M331" s="1436" t="n"/>
      <c r="N331" s="1436" t="n"/>
      <c r="O331" s="1436" t="n"/>
      <c r="P331" s="1436" t="n"/>
      <c r="Q331" s="1436" t="n"/>
      <c r="R331" s="1436" t="n"/>
      <c r="S331" s="1436" t="n"/>
      <c r="T331" s="1436" t="n"/>
      <c r="U331" s="1436" t="n"/>
      <c r="V331" s="1436" t="n"/>
      <c r="W331" s="1436" t="n"/>
      <c r="X331" s="1436" t="n"/>
      <c r="Y331" s="1436" t="n"/>
      <c r="Z331" s="1436" t="n"/>
      <c r="AA331" s="1436" t="n"/>
      <c r="AB331" s="1436" t="n"/>
      <c r="AC331" s="1436" t="n"/>
      <c r="AD331" s="1436" t="n"/>
      <c r="AE331" s="1436" t="n"/>
      <c r="AF331" s="1436" t="n"/>
      <c r="AG331" s="1436" t="n"/>
      <c r="AH331" s="1436" t="n"/>
      <c r="AI331" s="1436" t="n"/>
      <c r="AJ331" s="1436" t="n"/>
      <c r="AK331" s="1436" t="n"/>
      <c r="AL331" s="1436" t="n"/>
      <c r="AM331" s="1436" t="n"/>
      <c r="AN331" s="1436" t="n"/>
      <c r="AO331" s="1436" t="n"/>
      <c r="AP331" s="1436" t="n"/>
      <c r="AS331" s="1436" t="n"/>
      <c r="BG331" s="1436" t="n"/>
      <c r="BU331" s="1436" t="n"/>
    </row>
    <row r="332">
      <c r="A332" s="1436" t="n"/>
      <c r="B332" s="1436" t="n"/>
      <c r="C332" s="1436" t="n"/>
      <c r="D332" s="1436" t="n"/>
      <c r="E332" s="1436" t="n"/>
      <c r="F332" s="1436" t="n"/>
      <c r="G332" s="1436" t="n"/>
      <c r="H332" s="1436" t="n"/>
      <c r="I332" s="1436" t="n"/>
      <c r="J332" s="1436" t="n"/>
      <c r="K332" s="1436" t="n"/>
      <c r="L332" s="1436" t="n"/>
      <c r="M332" s="1436" t="n"/>
      <c r="N332" s="1436" t="n"/>
      <c r="O332" s="1436" t="n"/>
      <c r="P332" s="1436" t="n"/>
      <c r="Q332" s="1436" t="n"/>
      <c r="R332" s="1436" t="n"/>
      <c r="S332" s="1436" t="n"/>
      <c r="T332" s="1436" t="n"/>
      <c r="U332" s="1436" t="n"/>
      <c r="V332" s="1436" t="n"/>
      <c r="W332" s="1436" t="n"/>
      <c r="X332" s="1436" t="n"/>
      <c r="Y332" s="1436" t="n"/>
      <c r="Z332" s="1436" t="n"/>
      <c r="AA332" s="1436" t="n"/>
      <c r="AB332" s="1436" t="n"/>
      <c r="AC332" s="1436" t="n"/>
      <c r="AD332" s="1436" t="n"/>
      <c r="AE332" s="1436" t="n"/>
      <c r="AF332" s="1436" t="n"/>
      <c r="AG332" s="1436" t="n"/>
      <c r="AH332" s="1436" t="n"/>
      <c r="AI332" s="1436" t="n"/>
      <c r="AJ332" s="1436" t="n"/>
      <c r="AK332" s="1436" t="n"/>
      <c r="AL332" s="1436" t="n"/>
      <c r="AM332" s="1436" t="n"/>
      <c r="AN332" s="1436" t="n"/>
      <c r="AO332" s="1436" t="n"/>
      <c r="AP332" s="1436" t="n"/>
      <c r="AS332" s="1436" t="n"/>
      <c r="BG332" s="1436" t="n"/>
      <c r="BU332" s="1436" t="n"/>
    </row>
    <row r="333">
      <c r="A333" s="1436" t="n"/>
      <c r="B333" s="1436" t="n"/>
      <c r="C333" s="1436" t="n"/>
      <c r="D333" s="1436" t="n"/>
      <c r="E333" s="1436" t="n"/>
      <c r="F333" s="1436" t="n"/>
      <c r="G333" s="1436" t="n"/>
      <c r="H333" s="1436" t="n"/>
      <c r="I333" s="1436" t="n"/>
      <c r="J333" s="1436" t="n"/>
      <c r="K333" s="1436" t="n"/>
      <c r="L333" s="1436" t="n"/>
      <c r="M333" s="1436" t="n"/>
      <c r="N333" s="1436" t="n"/>
      <c r="O333" s="1436" t="n"/>
      <c r="P333" s="1436" t="n"/>
      <c r="Q333" s="1436" t="n"/>
      <c r="R333" s="1436" t="n"/>
      <c r="S333" s="1436" t="n"/>
      <c r="T333" s="1436" t="n"/>
      <c r="U333" s="1436" t="n"/>
      <c r="V333" s="1436" t="n"/>
      <c r="W333" s="1436" t="n"/>
      <c r="X333" s="1436" t="n"/>
      <c r="Y333" s="1436" t="n"/>
      <c r="Z333" s="1436" t="n"/>
      <c r="AA333" s="1436" t="n"/>
      <c r="AB333" s="1436" t="n"/>
      <c r="AC333" s="1436" t="n"/>
      <c r="AD333" s="1436" t="n"/>
      <c r="AE333" s="1436" t="n"/>
      <c r="AF333" s="1436" t="n"/>
      <c r="AG333" s="1436" t="n"/>
      <c r="AH333" s="1436" t="n"/>
      <c r="AI333" s="1436" t="n"/>
      <c r="AJ333" s="1436" t="n"/>
      <c r="AK333" s="1436" t="n"/>
      <c r="AL333" s="1436" t="n"/>
      <c r="AM333" s="1436" t="n"/>
      <c r="AN333" s="1436" t="n"/>
      <c r="AO333" s="1436" t="n"/>
      <c r="AP333" s="1436" t="n"/>
      <c r="AS333" s="1436" t="n"/>
      <c r="BG333" s="1436" t="n"/>
      <c r="BU333" s="1436" t="n"/>
    </row>
    <row r="334">
      <c r="A334" s="1436" t="n"/>
      <c r="B334" s="1436" t="n"/>
      <c r="C334" s="1436" t="n"/>
      <c r="D334" s="1436" t="n"/>
      <c r="E334" s="1436" t="n"/>
      <c r="F334" s="1436" t="n"/>
      <c r="G334" s="1436" t="n"/>
      <c r="H334" s="1436" t="n"/>
      <c r="I334" s="1436" t="n"/>
      <c r="J334" s="1436" t="n"/>
      <c r="K334" s="1436" t="n"/>
      <c r="L334" s="1436" t="n"/>
      <c r="M334" s="1436" t="n"/>
      <c r="N334" s="1436" t="n"/>
      <c r="O334" s="1436" t="n"/>
      <c r="P334" s="1436" t="n"/>
      <c r="Q334" s="1436" t="n"/>
      <c r="R334" s="1436" t="n"/>
      <c r="S334" s="1436" t="n"/>
      <c r="T334" s="1436" t="n"/>
      <c r="U334" s="1436" t="n"/>
      <c r="V334" s="1436" t="n"/>
      <c r="W334" s="1436" t="n"/>
      <c r="X334" s="1436" t="n"/>
      <c r="Y334" s="1436" t="n"/>
      <c r="Z334" s="1436" t="n"/>
      <c r="AA334" s="1436" t="n"/>
      <c r="AB334" s="1436" t="n"/>
      <c r="AC334" s="1436" t="n"/>
      <c r="AD334" s="1436" t="n"/>
      <c r="AE334" s="1436" t="n"/>
      <c r="AF334" s="1436" t="n"/>
      <c r="AG334" s="1436" t="n"/>
      <c r="AH334" s="1436" t="n"/>
      <c r="AI334" s="1436" t="n"/>
      <c r="AJ334" s="1436" t="n"/>
      <c r="AK334" s="1436" t="n"/>
      <c r="AL334" s="1436" t="n"/>
      <c r="AM334" s="1436" t="n"/>
      <c r="AN334" s="1436" t="n"/>
      <c r="AO334" s="1436" t="n"/>
      <c r="AP334" s="1436" t="n"/>
      <c r="AS334" s="1436" t="n"/>
      <c r="BG334" s="1436" t="n"/>
      <c r="BU334" s="1436" t="n"/>
    </row>
    <row r="335">
      <c r="A335" s="1436" t="n"/>
      <c r="B335" s="1436" t="n"/>
      <c r="C335" s="1436" t="n"/>
      <c r="D335" s="1436" t="n"/>
      <c r="E335" s="1436" t="n"/>
      <c r="F335" s="1436" t="n"/>
      <c r="G335" s="1436" t="n"/>
      <c r="H335" s="1436" t="n"/>
      <c r="I335" s="1436" t="n"/>
      <c r="J335" s="1436" t="n"/>
      <c r="K335" s="1436" t="n"/>
      <c r="L335" s="1436" t="n"/>
      <c r="M335" s="1436" t="n"/>
      <c r="N335" s="1436" t="n"/>
      <c r="O335" s="1436" t="n"/>
      <c r="P335" s="1436" t="n"/>
      <c r="Q335" s="1436" t="n"/>
      <c r="R335" s="1436" t="n"/>
      <c r="S335" s="1436" t="n"/>
      <c r="T335" s="1436" t="n"/>
      <c r="U335" s="1436" t="n"/>
      <c r="V335" s="1436" t="n"/>
      <c r="W335" s="1436" t="n"/>
      <c r="X335" s="1436" t="n"/>
      <c r="Y335" s="1436" t="n"/>
      <c r="Z335" s="1436" t="n"/>
      <c r="AA335" s="1436" t="n"/>
      <c r="AB335" s="1436" t="n"/>
      <c r="AC335" s="1436" t="n"/>
      <c r="AD335" s="1436" t="n"/>
      <c r="AE335" s="1436" t="n"/>
      <c r="AF335" s="1436" t="n"/>
      <c r="AG335" s="1436" t="n"/>
      <c r="AH335" s="1436" t="n"/>
      <c r="AI335" s="1436" t="n"/>
      <c r="AJ335" s="1436" t="n"/>
      <c r="AK335" s="1436" t="n"/>
      <c r="AL335" s="1436" t="n"/>
      <c r="AM335" s="1436" t="n"/>
      <c r="AN335" s="1436" t="n"/>
      <c r="AO335" s="1436" t="n"/>
      <c r="AP335" s="1436" t="n"/>
      <c r="AS335" s="1436" t="n"/>
      <c r="BG335" s="1436" t="n"/>
      <c r="BU335" s="1436" t="n"/>
    </row>
    <row r="336">
      <c r="A336" s="1436" t="n"/>
      <c r="B336" s="1436" t="n"/>
      <c r="C336" s="1436" t="n"/>
      <c r="D336" s="1436" t="n"/>
      <c r="E336" s="1436" t="n"/>
      <c r="F336" s="1436" t="n"/>
      <c r="G336" s="1436" t="n"/>
      <c r="H336" s="1436" t="n"/>
      <c r="I336" s="1436" t="n"/>
      <c r="J336" s="1436" t="n"/>
      <c r="K336" s="1436" t="n"/>
      <c r="L336" s="1436" t="n"/>
      <c r="M336" s="1436" t="n"/>
      <c r="N336" s="1436" t="n"/>
      <c r="O336" s="1436" t="n"/>
      <c r="P336" s="1436" t="n"/>
      <c r="Q336" s="1436" t="n"/>
      <c r="R336" s="1436" t="n"/>
      <c r="S336" s="1436" t="n"/>
      <c r="T336" s="1436" t="n"/>
      <c r="U336" s="1436" t="n"/>
      <c r="V336" s="1436" t="n"/>
      <c r="W336" s="1436" t="n"/>
      <c r="X336" s="1436" t="n"/>
      <c r="Y336" s="1436" t="n"/>
      <c r="Z336" s="1436" t="n"/>
      <c r="AA336" s="1436" t="n"/>
      <c r="AB336" s="1436" t="n"/>
      <c r="AC336" s="1436" t="n"/>
      <c r="AD336" s="1436" t="n"/>
      <c r="AE336" s="1436" t="n"/>
      <c r="AF336" s="1436" t="n"/>
      <c r="AG336" s="1436" t="n"/>
      <c r="AH336" s="1436" t="n"/>
      <c r="AI336" s="1436" t="n"/>
      <c r="AJ336" s="1436" t="n"/>
      <c r="AK336" s="1436" t="n"/>
      <c r="AL336" s="1436" t="n"/>
      <c r="AM336" s="1436" t="n"/>
      <c r="AN336" s="1436" t="n"/>
      <c r="AO336" s="1436" t="n"/>
      <c r="AP336" s="1436" t="n"/>
      <c r="AS336" s="1436" t="n"/>
      <c r="BG336" s="1436" t="n"/>
      <c r="BU336" s="1436" t="n"/>
    </row>
    <row r="337">
      <c r="A337" s="1436" t="n"/>
      <c r="B337" s="1436" t="n"/>
      <c r="C337" s="1436" t="n"/>
      <c r="D337" s="1436" t="n"/>
      <c r="E337" s="1436" t="n"/>
      <c r="F337" s="1436" t="n"/>
      <c r="G337" s="1436" t="n"/>
      <c r="H337" s="1436" t="n"/>
      <c r="I337" s="1436" t="n"/>
      <c r="J337" s="1436" t="n"/>
      <c r="K337" s="1436" t="n"/>
      <c r="L337" s="1436" t="n"/>
      <c r="M337" s="1436" t="n"/>
      <c r="N337" s="1436" t="n"/>
      <c r="O337" s="1436" t="n"/>
      <c r="P337" s="1436" t="n"/>
      <c r="Q337" s="1436" t="n"/>
      <c r="R337" s="1436" t="n"/>
      <c r="S337" s="1436" t="n"/>
      <c r="T337" s="1436" t="n"/>
      <c r="U337" s="1436" t="n"/>
      <c r="V337" s="1436" t="n"/>
      <c r="W337" s="1436" t="n"/>
      <c r="X337" s="1436" t="n"/>
      <c r="Y337" s="1436" t="n"/>
      <c r="Z337" s="1436" t="n"/>
      <c r="AA337" s="1436" t="n"/>
      <c r="AB337" s="1436" t="n"/>
      <c r="AC337" s="1436" t="n"/>
      <c r="AD337" s="1436" t="n"/>
      <c r="AE337" s="1436" t="n"/>
      <c r="AF337" s="1436" t="n"/>
      <c r="AG337" s="1436" t="n"/>
      <c r="AH337" s="1436" t="n"/>
      <c r="AI337" s="1436" t="n"/>
      <c r="AJ337" s="1436" t="n"/>
      <c r="AK337" s="1436" t="n"/>
      <c r="AL337" s="1436" t="n"/>
      <c r="AM337" s="1436" t="n"/>
      <c r="AN337" s="1436" t="n"/>
      <c r="AO337" s="1436" t="n"/>
      <c r="AP337" s="1436" t="n"/>
      <c r="AS337" s="1436" t="n"/>
      <c r="BG337" s="1436" t="n"/>
      <c r="BU337" s="1436" t="n"/>
    </row>
    <row r="338">
      <c r="A338" s="1436" t="n"/>
      <c r="B338" s="1436" t="n"/>
      <c r="C338" s="1436" t="n"/>
      <c r="D338" s="1436" t="n"/>
      <c r="E338" s="1436" t="n"/>
      <c r="F338" s="1436" t="n"/>
      <c r="G338" s="1436" t="n"/>
      <c r="H338" s="1436" t="n"/>
      <c r="I338" s="1436" t="n"/>
      <c r="J338" s="1436" t="n"/>
      <c r="K338" s="1436" t="n"/>
      <c r="L338" s="1436" t="n"/>
      <c r="M338" s="1436" t="n"/>
      <c r="N338" s="1436" t="n"/>
      <c r="O338" s="1436" t="n"/>
      <c r="P338" s="1436" t="n"/>
      <c r="Q338" s="1436" t="n"/>
      <c r="R338" s="1436" t="n"/>
      <c r="S338" s="1436" t="n"/>
      <c r="T338" s="1436" t="n"/>
      <c r="U338" s="1436" t="n"/>
      <c r="V338" s="1436" t="n"/>
      <c r="W338" s="1436" t="n"/>
      <c r="X338" s="1436" t="n"/>
      <c r="Y338" s="1436" t="n"/>
      <c r="Z338" s="1436" t="n"/>
      <c r="AA338" s="1436" t="n"/>
      <c r="AB338" s="1436" t="n"/>
      <c r="AC338" s="1436" t="n"/>
      <c r="AD338" s="1436" t="n"/>
      <c r="AE338" s="1436" t="n"/>
      <c r="AF338" s="1436" t="n"/>
      <c r="AG338" s="1436" t="n"/>
      <c r="AH338" s="1436" t="n"/>
      <c r="AI338" s="1436" t="n"/>
      <c r="AJ338" s="1436" t="n"/>
      <c r="AK338" s="1436" t="n"/>
      <c r="AL338" s="1436" t="n"/>
      <c r="AM338" s="1436" t="n"/>
      <c r="AN338" s="1436" t="n"/>
      <c r="AO338" s="1436" t="n"/>
      <c r="AP338" s="1436" t="n"/>
      <c r="AS338" s="1436" t="n"/>
      <c r="BG338" s="1436" t="n"/>
      <c r="BU338" s="1436" t="n"/>
    </row>
    <row r="339">
      <c r="A339" s="1436" t="n"/>
      <c r="B339" s="1436" t="n"/>
      <c r="C339" s="1436" t="n"/>
      <c r="D339" s="1436" t="n"/>
      <c r="E339" s="1436" t="n"/>
      <c r="F339" s="1436" t="n"/>
      <c r="G339" s="1436" t="n"/>
      <c r="H339" s="1436" t="n"/>
      <c r="I339" s="1436" t="n"/>
      <c r="J339" s="1436" t="n"/>
      <c r="K339" s="1436" t="n"/>
      <c r="L339" s="1436" t="n"/>
      <c r="M339" s="1436" t="n"/>
      <c r="N339" s="1436" t="n"/>
      <c r="O339" s="1436" t="n"/>
      <c r="P339" s="1436" t="n"/>
      <c r="Q339" s="1436" t="n"/>
      <c r="R339" s="1436" t="n"/>
      <c r="S339" s="1436" t="n"/>
      <c r="T339" s="1436" t="n"/>
      <c r="U339" s="1436" t="n"/>
      <c r="V339" s="1436" t="n"/>
      <c r="W339" s="1436" t="n"/>
      <c r="X339" s="1436" t="n"/>
      <c r="Y339" s="1436" t="n"/>
      <c r="Z339" s="1436" t="n"/>
      <c r="AA339" s="1436" t="n"/>
      <c r="AB339" s="1436" t="n"/>
      <c r="AC339" s="1436" t="n"/>
      <c r="AD339" s="1436" t="n"/>
      <c r="AE339" s="1436" t="n"/>
      <c r="AF339" s="1436" t="n"/>
      <c r="AG339" s="1436" t="n"/>
      <c r="AH339" s="1436" t="n"/>
      <c r="AI339" s="1436" t="n"/>
      <c r="AJ339" s="1436" t="n"/>
      <c r="AK339" s="1436" t="n"/>
      <c r="AL339" s="1436" t="n"/>
      <c r="AM339" s="1436" t="n"/>
      <c r="AN339" s="1436" t="n"/>
      <c r="AO339" s="1436" t="n"/>
      <c r="AP339" s="1436" t="n"/>
      <c r="AS339" s="1436" t="n"/>
      <c r="BG339" s="1436" t="n"/>
      <c r="BU339" s="1436" t="n"/>
    </row>
    <row r="340">
      <c r="A340" s="1436" t="n"/>
      <c r="B340" s="1436" t="n"/>
      <c r="C340" s="1436" t="n"/>
      <c r="D340" s="1436" t="n"/>
      <c r="E340" s="1436" t="n"/>
      <c r="F340" s="1436" t="n"/>
      <c r="G340" s="1436" t="n"/>
      <c r="H340" s="1436" t="n"/>
      <c r="I340" s="1436" t="n"/>
      <c r="J340" s="1436" t="n"/>
      <c r="K340" s="1436" t="n"/>
      <c r="L340" s="1436" t="n"/>
      <c r="M340" s="1436" t="n"/>
      <c r="N340" s="1436" t="n"/>
      <c r="O340" s="1436" t="n"/>
      <c r="P340" s="1436" t="n"/>
      <c r="Q340" s="1436" t="n"/>
      <c r="R340" s="1436" t="n"/>
      <c r="S340" s="1436" t="n"/>
      <c r="T340" s="1436" t="n"/>
      <c r="U340" s="1436" t="n"/>
      <c r="V340" s="1436" t="n"/>
      <c r="W340" s="1436" t="n"/>
      <c r="X340" s="1436" t="n"/>
      <c r="Y340" s="1436" t="n"/>
      <c r="Z340" s="1436" t="n"/>
      <c r="AA340" s="1436" t="n"/>
      <c r="AB340" s="1436" t="n"/>
      <c r="AC340" s="1436" t="n"/>
      <c r="AD340" s="1436" t="n"/>
      <c r="AE340" s="1436" t="n"/>
      <c r="AF340" s="1436" t="n"/>
      <c r="AG340" s="1436" t="n"/>
      <c r="AH340" s="1436" t="n"/>
      <c r="AI340" s="1436" t="n"/>
      <c r="AJ340" s="1436" t="n"/>
      <c r="AK340" s="1436" t="n"/>
      <c r="AL340" s="1436" t="n"/>
      <c r="AM340" s="1436" t="n"/>
      <c r="AN340" s="1436" t="n"/>
      <c r="AO340" s="1436" t="n"/>
      <c r="AP340" s="1436" t="n"/>
      <c r="AS340" s="1436" t="n"/>
      <c r="BG340" s="1436" t="n"/>
      <c r="BU340" s="1436" t="n"/>
    </row>
    <row r="341">
      <c r="A341" s="1436" t="n"/>
      <c r="B341" s="1436" t="n"/>
      <c r="C341" s="1436" t="n"/>
      <c r="D341" s="1436" t="n"/>
      <c r="E341" s="1436" t="n"/>
      <c r="F341" s="1436" t="n"/>
      <c r="G341" s="1436" t="n"/>
      <c r="H341" s="1436" t="n"/>
      <c r="I341" s="1436" t="n"/>
      <c r="J341" s="1436" t="n"/>
      <c r="K341" s="1436" t="n"/>
      <c r="L341" s="1436" t="n"/>
      <c r="M341" s="1436" t="n"/>
      <c r="N341" s="1436" t="n"/>
      <c r="O341" s="1436" t="n"/>
      <c r="P341" s="1436" t="n"/>
      <c r="Q341" s="1436" t="n"/>
      <c r="R341" s="1436" t="n"/>
      <c r="S341" s="1436" t="n"/>
      <c r="T341" s="1436" t="n"/>
      <c r="U341" s="1436" t="n"/>
      <c r="V341" s="1436" t="n"/>
      <c r="W341" s="1436" t="n"/>
      <c r="X341" s="1436" t="n"/>
      <c r="Y341" s="1436" t="n"/>
      <c r="Z341" s="1436" t="n"/>
      <c r="AA341" s="1436" t="n"/>
      <c r="AB341" s="1436" t="n"/>
      <c r="AC341" s="1436" t="n"/>
      <c r="AD341" s="1436" t="n"/>
      <c r="AE341" s="1436" t="n"/>
      <c r="AF341" s="1436" t="n"/>
      <c r="AG341" s="1436" t="n"/>
      <c r="AH341" s="1436" t="n"/>
      <c r="AI341" s="1436" t="n"/>
      <c r="AJ341" s="1436" t="n"/>
      <c r="AK341" s="1436" t="n"/>
      <c r="AL341" s="1436" t="n"/>
      <c r="AM341" s="1436" t="n"/>
      <c r="AN341" s="1436" t="n"/>
      <c r="AO341" s="1436" t="n"/>
      <c r="AP341" s="1436" t="n"/>
      <c r="AS341" s="1436" t="n"/>
      <c r="BG341" s="1436" t="n"/>
      <c r="BU341" s="1436" t="n"/>
    </row>
    <row r="342">
      <c r="A342" s="1436" t="n"/>
      <c r="B342" s="1436" t="n"/>
      <c r="C342" s="1436" t="n"/>
      <c r="D342" s="1436" t="n"/>
      <c r="E342" s="1436" t="n"/>
      <c r="F342" s="1436" t="n"/>
      <c r="G342" s="1436" t="n"/>
      <c r="H342" s="1436" t="n"/>
      <c r="I342" s="1436" t="n"/>
      <c r="J342" s="1436" t="n"/>
      <c r="K342" s="1436" t="n"/>
      <c r="L342" s="1436" t="n"/>
      <c r="M342" s="1436" t="n"/>
      <c r="N342" s="1436" t="n"/>
      <c r="O342" s="1436" t="n"/>
      <c r="P342" s="1436" t="n"/>
      <c r="Q342" s="1436" t="n"/>
      <c r="R342" s="1436" t="n"/>
      <c r="S342" s="1436" t="n"/>
      <c r="T342" s="1436" t="n"/>
      <c r="U342" s="1436" t="n"/>
      <c r="V342" s="1436" t="n"/>
      <c r="W342" s="1436" t="n"/>
      <c r="X342" s="1436" t="n"/>
      <c r="Y342" s="1436" t="n"/>
      <c r="Z342" s="1436" t="n"/>
      <c r="AA342" s="1436" t="n"/>
      <c r="AB342" s="1436" t="n"/>
      <c r="AC342" s="1436" t="n"/>
      <c r="AD342" s="1436" t="n"/>
      <c r="AE342" s="1436" t="n"/>
      <c r="AF342" s="1436" t="n"/>
      <c r="AG342" s="1436" t="n"/>
      <c r="AH342" s="1436" t="n"/>
      <c r="AI342" s="1436" t="n"/>
      <c r="AJ342" s="1436" t="n"/>
      <c r="AK342" s="1436" t="n"/>
      <c r="AL342" s="1436" t="n"/>
      <c r="AM342" s="1436" t="n"/>
      <c r="AN342" s="1436" t="n"/>
      <c r="AO342" s="1436" t="n"/>
      <c r="AP342" s="1436" t="n"/>
      <c r="AS342" s="1436" t="n"/>
      <c r="BG342" s="1436" t="n"/>
      <c r="BU342" s="1436" t="n"/>
    </row>
    <row r="343">
      <c r="A343" s="1436" t="n"/>
      <c r="B343" s="1436" t="n"/>
      <c r="C343" s="1436" t="n"/>
      <c r="D343" s="1436" t="n"/>
      <c r="E343" s="1436" t="n"/>
      <c r="F343" s="1436" t="n"/>
      <c r="G343" s="1436" t="n"/>
      <c r="H343" s="1436" t="n"/>
      <c r="I343" s="1436" t="n"/>
      <c r="J343" s="1436" t="n"/>
      <c r="K343" s="1436" t="n"/>
      <c r="L343" s="1436" t="n"/>
      <c r="M343" s="1436" t="n"/>
      <c r="N343" s="1436" t="n"/>
      <c r="O343" s="1436" t="n"/>
      <c r="P343" s="1436" t="n"/>
      <c r="Q343" s="1436" t="n"/>
      <c r="R343" s="1436" t="n"/>
      <c r="S343" s="1436" t="n"/>
      <c r="T343" s="1436" t="n"/>
      <c r="U343" s="1436" t="n"/>
      <c r="V343" s="1436" t="n"/>
      <c r="W343" s="1436" t="n"/>
      <c r="X343" s="1436" t="n"/>
      <c r="Y343" s="1436" t="n"/>
      <c r="Z343" s="1436" t="n"/>
      <c r="AA343" s="1436" t="n"/>
      <c r="AB343" s="1436" t="n"/>
      <c r="AC343" s="1436" t="n"/>
      <c r="AD343" s="1436" t="n"/>
      <c r="AE343" s="1436" t="n"/>
      <c r="AF343" s="1436" t="n"/>
      <c r="AG343" s="1436" t="n"/>
      <c r="AH343" s="1436" t="n"/>
      <c r="AI343" s="1436" t="n"/>
      <c r="AJ343" s="1436" t="n"/>
      <c r="AK343" s="1436" t="n"/>
      <c r="AL343" s="1436" t="n"/>
      <c r="AM343" s="1436" t="n"/>
      <c r="AN343" s="1436" t="n"/>
      <c r="AO343" s="1436" t="n"/>
      <c r="AP343" s="1436" t="n"/>
      <c r="AS343" s="1436" t="n"/>
      <c r="BG343" s="1436" t="n"/>
      <c r="BU343" s="1436" t="n"/>
    </row>
    <row r="344">
      <c r="A344" s="1436" t="n"/>
      <c r="B344" s="1436" t="n"/>
      <c r="C344" s="1436" t="n"/>
      <c r="D344" s="1436" t="n"/>
      <c r="E344" s="1436" t="n"/>
      <c r="F344" s="1436" t="n"/>
      <c r="G344" s="1436" t="n"/>
      <c r="H344" s="1436" t="n"/>
      <c r="I344" s="1436" t="n"/>
      <c r="J344" s="1436" t="n"/>
      <c r="K344" s="1436" t="n"/>
      <c r="L344" s="1436" t="n"/>
      <c r="M344" s="1436" t="n"/>
      <c r="N344" s="1436" t="n"/>
      <c r="O344" s="1436" t="n"/>
      <c r="P344" s="1436" t="n"/>
      <c r="Q344" s="1436" t="n"/>
      <c r="R344" s="1436" t="n"/>
      <c r="S344" s="1436" t="n"/>
      <c r="T344" s="1436" t="n"/>
      <c r="U344" s="1436" t="n"/>
      <c r="V344" s="1436" t="n"/>
      <c r="W344" s="1436" t="n"/>
      <c r="X344" s="1436" t="n"/>
      <c r="Y344" s="1436" t="n"/>
      <c r="Z344" s="1436" t="n"/>
      <c r="AA344" s="1436" t="n"/>
      <c r="AB344" s="1436" t="n"/>
      <c r="AC344" s="1436" t="n"/>
      <c r="AD344" s="1436" t="n"/>
      <c r="AE344" s="1436" t="n"/>
      <c r="AF344" s="1436" t="n"/>
      <c r="AG344" s="1436" t="n"/>
      <c r="AH344" s="1436" t="n"/>
      <c r="AI344" s="1436" t="n"/>
      <c r="AJ344" s="1436" t="n"/>
      <c r="AK344" s="1436" t="n"/>
      <c r="AL344" s="1436" t="n"/>
      <c r="AM344" s="1436" t="n"/>
      <c r="AN344" s="1436" t="n"/>
      <c r="AO344" s="1436" t="n"/>
      <c r="AP344" s="1436" t="n"/>
      <c r="AS344" s="1436" t="n"/>
      <c r="BG344" s="1436" t="n"/>
      <c r="BU344" s="1436" t="n"/>
    </row>
    <row r="345">
      <c r="A345" s="1436" t="n"/>
      <c r="B345" s="1436" t="n"/>
      <c r="C345" s="1436" t="n"/>
      <c r="D345" s="1436" t="n"/>
      <c r="E345" s="1436" t="n"/>
      <c r="F345" s="1436" t="n"/>
      <c r="G345" s="1436" t="n"/>
      <c r="H345" s="1436" t="n"/>
      <c r="I345" s="1436" t="n"/>
      <c r="J345" s="1436" t="n"/>
      <c r="K345" s="1436" t="n"/>
      <c r="L345" s="1436" t="n"/>
      <c r="M345" s="1436" t="n"/>
      <c r="N345" s="1436" t="n"/>
      <c r="O345" s="1436" t="n"/>
      <c r="P345" s="1436" t="n"/>
      <c r="Q345" s="1436" t="n"/>
      <c r="R345" s="1436" t="n"/>
      <c r="S345" s="1436" t="n"/>
      <c r="T345" s="1436" t="n"/>
      <c r="U345" s="1436" t="n"/>
      <c r="V345" s="1436" t="n"/>
      <c r="W345" s="1436" t="n"/>
      <c r="X345" s="1436" t="n"/>
      <c r="Y345" s="1436" t="n"/>
      <c r="Z345" s="1436" t="n"/>
      <c r="AA345" s="1436" t="n"/>
      <c r="AB345" s="1436" t="n"/>
      <c r="AC345" s="1436" t="n"/>
      <c r="AD345" s="1436" t="n"/>
      <c r="AE345" s="1436" t="n"/>
      <c r="AF345" s="1436" t="n"/>
      <c r="AG345" s="1436" t="n"/>
      <c r="AH345" s="1436" t="n"/>
      <c r="AI345" s="1436" t="n"/>
      <c r="AJ345" s="1436" t="n"/>
      <c r="AK345" s="1436" t="n"/>
      <c r="AL345" s="1436" t="n"/>
      <c r="AM345" s="1436" t="n"/>
      <c r="AN345" s="1436" t="n"/>
      <c r="AO345" s="1436" t="n"/>
      <c r="AP345" s="1436" t="n"/>
      <c r="AS345" s="1436" t="n"/>
      <c r="BG345" s="1436" t="n"/>
      <c r="BU345" s="1436" t="n"/>
    </row>
    <row r="346">
      <c r="A346" s="1436" t="n"/>
      <c r="B346" s="1436" t="n"/>
      <c r="C346" s="1436" t="n"/>
      <c r="D346" s="1436" t="n"/>
      <c r="E346" s="1436" t="n"/>
      <c r="F346" s="1436" t="n"/>
      <c r="G346" s="1436" t="n"/>
      <c r="H346" s="1436" t="n"/>
      <c r="I346" s="1436" t="n"/>
      <c r="J346" s="1436" t="n"/>
      <c r="K346" s="1436" t="n"/>
      <c r="L346" s="1436" t="n"/>
      <c r="M346" s="1436" t="n"/>
      <c r="N346" s="1436" t="n"/>
      <c r="O346" s="1436" t="n"/>
      <c r="P346" s="1436" t="n"/>
      <c r="Q346" s="1436" t="n"/>
      <c r="R346" s="1436" t="n"/>
      <c r="S346" s="1436" t="n"/>
      <c r="T346" s="1436" t="n"/>
      <c r="U346" s="1436" t="n"/>
      <c r="V346" s="1436" t="n"/>
      <c r="W346" s="1436" t="n"/>
      <c r="X346" s="1436" t="n"/>
      <c r="Y346" s="1436" t="n"/>
      <c r="Z346" s="1436" t="n"/>
      <c r="AA346" s="1436" t="n"/>
      <c r="AB346" s="1436" t="n"/>
      <c r="AC346" s="1436" t="n"/>
      <c r="AD346" s="1436" t="n"/>
      <c r="AE346" s="1436" t="n"/>
      <c r="AF346" s="1436" t="n"/>
      <c r="AG346" s="1436" t="n"/>
      <c r="AH346" s="1436" t="n"/>
      <c r="AI346" s="1436" t="n"/>
      <c r="AJ346" s="1436" t="n"/>
      <c r="AK346" s="1436" t="n"/>
      <c r="AL346" s="1436" t="n"/>
      <c r="AM346" s="1436" t="n"/>
      <c r="AN346" s="1436" t="n"/>
      <c r="AO346" s="1436" t="n"/>
      <c r="AP346" s="1436" t="n"/>
      <c r="AS346" s="1436" t="n"/>
      <c r="BG346" s="1436" t="n"/>
      <c r="BU346" s="1436" t="n"/>
    </row>
    <row r="347">
      <c r="A347" s="1436" t="n"/>
      <c r="B347" s="1436" t="n"/>
      <c r="C347" s="1436" t="n"/>
      <c r="D347" s="1436" t="n"/>
      <c r="E347" s="1436" t="n"/>
      <c r="F347" s="1436" t="n"/>
      <c r="G347" s="1436" t="n"/>
      <c r="H347" s="1436" t="n"/>
      <c r="I347" s="1436" t="n"/>
      <c r="J347" s="1436" t="n"/>
      <c r="K347" s="1436" t="n"/>
      <c r="L347" s="1436" t="n"/>
      <c r="M347" s="1436" t="n"/>
      <c r="N347" s="1436" t="n"/>
      <c r="O347" s="1436" t="n"/>
      <c r="P347" s="1436" t="n"/>
      <c r="Q347" s="1436" t="n"/>
      <c r="R347" s="1436" t="n"/>
      <c r="S347" s="1436" t="n"/>
      <c r="T347" s="1436" t="n"/>
      <c r="U347" s="1436" t="n"/>
      <c r="V347" s="1436" t="n"/>
      <c r="W347" s="1436" t="n"/>
      <c r="X347" s="1436" t="n"/>
      <c r="Y347" s="1436" t="n"/>
      <c r="Z347" s="1436" t="n"/>
      <c r="AA347" s="1436" t="n"/>
      <c r="AB347" s="1436" t="n"/>
      <c r="AC347" s="1436" t="n"/>
      <c r="AD347" s="1436" t="n"/>
      <c r="AE347" s="1436" t="n"/>
      <c r="AF347" s="1436" t="n"/>
      <c r="AG347" s="1436" t="n"/>
      <c r="AH347" s="1436" t="n"/>
      <c r="AI347" s="1436" t="n"/>
      <c r="AJ347" s="1436" t="n"/>
      <c r="AK347" s="1436" t="n"/>
      <c r="AL347" s="1436" t="n"/>
      <c r="AM347" s="1436" t="n"/>
      <c r="AN347" s="1436" t="n"/>
      <c r="AO347" s="1436" t="n"/>
      <c r="AP347" s="1436" t="n"/>
      <c r="AS347" s="1436" t="n"/>
      <c r="BG347" s="1436" t="n"/>
      <c r="BU347" s="1436" t="n"/>
    </row>
    <row r="348">
      <c r="A348" s="1436" t="n"/>
      <c r="B348" s="1436" t="n"/>
      <c r="C348" s="1436" t="n"/>
      <c r="D348" s="1436" t="n"/>
      <c r="E348" s="1436" t="n"/>
      <c r="F348" s="1436" t="n"/>
      <c r="G348" s="1436" t="n"/>
      <c r="H348" s="1436" t="n"/>
      <c r="I348" s="1436" t="n"/>
      <c r="J348" s="1436" t="n"/>
      <c r="K348" s="1436" t="n"/>
      <c r="L348" s="1436" t="n"/>
      <c r="M348" s="1436" t="n"/>
      <c r="N348" s="1436" t="n"/>
      <c r="O348" s="1436" t="n"/>
      <c r="P348" s="1436" t="n"/>
      <c r="Q348" s="1436" t="n"/>
      <c r="R348" s="1436" t="n"/>
      <c r="S348" s="1436" t="n"/>
      <c r="T348" s="1436" t="n"/>
      <c r="U348" s="1436" t="n"/>
      <c r="V348" s="1436" t="n"/>
      <c r="W348" s="1436" t="n"/>
      <c r="X348" s="1436" t="n"/>
      <c r="Y348" s="1436" t="n"/>
      <c r="Z348" s="1436" t="n"/>
      <c r="AA348" s="1436" t="n"/>
      <c r="AB348" s="1436" t="n"/>
      <c r="AC348" s="1436" t="n"/>
      <c r="AD348" s="1436" t="n"/>
      <c r="AE348" s="1436" t="n"/>
      <c r="AF348" s="1436" t="n"/>
      <c r="AG348" s="1436" t="n"/>
      <c r="AH348" s="1436" t="n"/>
      <c r="AI348" s="1436" t="n"/>
      <c r="AJ348" s="1436" t="n"/>
      <c r="AK348" s="1436" t="n"/>
      <c r="AL348" s="1436" t="n"/>
      <c r="AM348" s="1436" t="n"/>
      <c r="AN348" s="1436" t="n"/>
      <c r="AO348" s="1436" t="n"/>
      <c r="AP348" s="1436" t="n"/>
      <c r="AS348" s="1436" t="n"/>
      <c r="BG348" s="1436" t="n"/>
      <c r="BU348" s="1436" t="n"/>
    </row>
    <row r="349">
      <c r="A349" s="1436" t="n"/>
      <c r="B349" s="1436" t="n"/>
      <c r="C349" s="1436" t="n"/>
      <c r="D349" s="1436" t="n"/>
      <c r="E349" s="1436" t="n"/>
      <c r="F349" s="1436" t="n"/>
      <c r="G349" s="1436" t="n"/>
      <c r="H349" s="1436" t="n"/>
      <c r="I349" s="1436" t="n"/>
      <c r="J349" s="1436" t="n"/>
      <c r="K349" s="1436" t="n"/>
      <c r="L349" s="1436" t="n"/>
      <c r="M349" s="1436" t="n"/>
      <c r="N349" s="1436" t="n"/>
      <c r="O349" s="1436" t="n"/>
      <c r="P349" s="1436" t="n"/>
      <c r="Q349" s="1436" t="n"/>
      <c r="R349" s="1436" t="n"/>
      <c r="S349" s="1436" t="n"/>
      <c r="T349" s="1436" t="n"/>
      <c r="U349" s="1436" t="n"/>
      <c r="V349" s="1436" t="n"/>
      <c r="W349" s="1436" t="n"/>
      <c r="X349" s="1436" t="n"/>
      <c r="Y349" s="1436" t="n"/>
      <c r="Z349" s="1436" t="n"/>
      <c r="AA349" s="1436" t="n"/>
      <c r="AB349" s="1436" t="n"/>
      <c r="AC349" s="1436" t="n"/>
      <c r="AD349" s="1436" t="n"/>
      <c r="AE349" s="1436" t="n"/>
      <c r="AF349" s="1436" t="n"/>
      <c r="AG349" s="1436" t="n"/>
      <c r="AH349" s="1436" t="n"/>
      <c r="AI349" s="1436" t="n"/>
      <c r="AJ349" s="1436" t="n"/>
      <c r="AK349" s="1436" t="n"/>
      <c r="AL349" s="1436" t="n"/>
      <c r="AM349" s="1436" t="n"/>
      <c r="AN349" s="1436" t="n"/>
      <c r="AO349" s="1436" t="n"/>
      <c r="AP349" s="1436" t="n"/>
      <c r="AS349" s="1436" t="n"/>
      <c r="BG349" s="1436" t="n"/>
      <c r="BU349" s="1436" t="n"/>
    </row>
    <row r="350">
      <c r="A350" s="1436" t="n"/>
      <c r="B350" s="1436" t="n"/>
      <c r="C350" s="1436" t="n"/>
      <c r="D350" s="1436" t="n"/>
      <c r="E350" s="1436" t="n"/>
      <c r="F350" s="1436" t="n"/>
      <c r="G350" s="1436" t="n"/>
      <c r="H350" s="1436" t="n"/>
      <c r="I350" s="1436" t="n"/>
      <c r="J350" s="1436" t="n"/>
      <c r="K350" s="1436" t="n"/>
      <c r="L350" s="1436" t="n"/>
      <c r="M350" s="1436" t="n"/>
      <c r="N350" s="1436" t="n"/>
      <c r="O350" s="1436" t="n"/>
      <c r="P350" s="1436" t="n"/>
      <c r="Q350" s="1436" t="n"/>
      <c r="R350" s="1436" t="n"/>
      <c r="S350" s="1436" t="n"/>
      <c r="T350" s="1436" t="n"/>
      <c r="U350" s="1436" t="n"/>
      <c r="V350" s="1436" t="n"/>
      <c r="W350" s="1436" t="n"/>
      <c r="X350" s="1436" t="n"/>
      <c r="Y350" s="1436" t="n"/>
      <c r="Z350" s="1436" t="n"/>
      <c r="AA350" s="1436" t="n"/>
      <c r="AB350" s="1436" t="n"/>
      <c r="AC350" s="1436" t="n"/>
      <c r="AD350" s="1436" t="n"/>
      <c r="AE350" s="1436" t="n"/>
      <c r="AF350" s="1436" t="n"/>
      <c r="AG350" s="1436" t="n"/>
      <c r="AH350" s="1436" t="n"/>
      <c r="AI350" s="1436" t="n"/>
      <c r="AJ350" s="1436" t="n"/>
      <c r="AK350" s="1436" t="n"/>
      <c r="AL350" s="1436" t="n"/>
      <c r="AM350" s="1436" t="n"/>
      <c r="AN350" s="1436" t="n"/>
      <c r="AO350" s="1436" t="n"/>
      <c r="AP350" s="1436" t="n"/>
      <c r="AS350" s="1436" t="n"/>
      <c r="BG350" s="1436" t="n"/>
      <c r="BU350" s="1436" t="n"/>
    </row>
    <row r="351">
      <c r="A351" s="1436" t="n"/>
      <c r="B351" s="1436" t="n"/>
      <c r="C351" s="1436" t="n"/>
      <c r="D351" s="1436" t="n"/>
      <c r="E351" s="1436" t="n"/>
      <c r="F351" s="1436" t="n"/>
      <c r="G351" s="1436" t="n"/>
      <c r="H351" s="1436" t="n"/>
      <c r="I351" s="1436" t="n"/>
      <c r="J351" s="1436" t="n"/>
      <c r="K351" s="1436" t="n"/>
      <c r="L351" s="1436" t="n"/>
      <c r="M351" s="1436" t="n"/>
      <c r="N351" s="1436" t="n"/>
      <c r="O351" s="1436" t="n"/>
      <c r="P351" s="1436" t="n"/>
      <c r="Q351" s="1436" t="n"/>
      <c r="R351" s="1436" t="n"/>
      <c r="S351" s="1436" t="n"/>
      <c r="T351" s="1436" t="n"/>
      <c r="U351" s="1436" t="n"/>
      <c r="V351" s="1436" t="n"/>
      <c r="W351" s="1436" t="n"/>
      <c r="X351" s="1436" t="n"/>
      <c r="Y351" s="1436" t="n"/>
      <c r="Z351" s="1436" t="n"/>
      <c r="AA351" s="1436" t="n"/>
      <c r="AB351" s="1436" t="n"/>
      <c r="AC351" s="1436" t="n"/>
      <c r="AD351" s="1436" t="n"/>
      <c r="AE351" s="1436" t="n"/>
      <c r="AF351" s="1436" t="n"/>
      <c r="AG351" s="1436" t="n"/>
      <c r="AH351" s="1436" t="n"/>
      <c r="AI351" s="1436" t="n"/>
      <c r="AJ351" s="1436" t="n"/>
      <c r="AK351" s="1436" t="n"/>
      <c r="AL351" s="1436" t="n"/>
      <c r="AM351" s="1436" t="n"/>
      <c r="AN351" s="1436" t="n"/>
      <c r="AO351" s="1436" t="n"/>
      <c r="AP351" s="1436" t="n"/>
      <c r="AS351" s="1436" t="n"/>
      <c r="BG351" s="1436" t="n"/>
      <c r="BU351" s="1436" t="n"/>
    </row>
    <row r="352">
      <c r="A352" s="1436" t="n"/>
      <c r="B352" s="1436" t="n"/>
      <c r="C352" s="1436" t="n"/>
      <c r="D352" s="1436" t="n"/>
      <c r="E352" s="1436" t="n"/>
      <c r="F352" s="1436" t="n"/>
      <c r="G352" s="1436" t="n"/>
      <c r="H352" s="1436" t="n"/>
      <c r="I352" s="1436" t="n"/>
      <c r="J352" s="1436" t="n"/>
      <c r="K352" s="1436" t="n"/>
      <c r="L352" s="1436" t="n"/>
      <c r="M352" s="1436" t="n"/>
      <c r="N352" s="1436" t="n"/>
      <c r="O352" s="1436" t="n"/>
      <c r="P352" s="1436" t="n"/>
      <c r="Q352" s="1436" t="n"/>
      <c r="R352" s="1436" t="n"/>
      <c r="S352" s="1436" t="n"/>
      <c r="T352" s="1436" t="n"/>
      <c r="U352" s="1436" t="n"/>
      <c r="V352" s="1436" t="n"/>
      <c r="W352" s="1436" t="n"/>
      <c r="X352" s="1436" t="n"/>
      <c r="Y352" s="1436" t="n"/>
      <c r="Z352" s="1436" t="n"/>
      <c r="AA352" s="1436" t="n"/>
      <c r="AB352" s="1436" t="n"/>
      <c r="AC352" s="1436" t="n"/>
      <c r="AD352" s="1436" t="n"/>
      <c r="AE352" s="1436" t="n"/>
      <c r="AF352" s="1436" t="n"/>
      <c r="AG352" s="1436" t="n"/>
      <c r="AH352" s="1436" t="n"/>
      <c r="AI352" s="1436" t="n"/>
      <c r="AJ352" s="1436" t="n"/>
      <c r="AK352" s="1436" t="n"/>
      <c r="AL352" s="1436" t="n"/>
      <c r="AM352" s="1436" t="n"/>
      <c r="AN352" s="1436" t="n"/>
      <c r="AO352" s="1436" t="n"/>
      <c r="AP352" s="1436" t="n"/>
      <c r="AS352" s="1436" t="n"/>
      <c r="BG352" s="1436" t="n"/>
      <c r="BU352" s="1436" t="n"/>
    </row>
    <row r="353">
      <c r="A353" s="1436" t="n"/>
      <c r="B353" s="1436" t="n"/>
      <c r="C353" s="1436" t="n"/>
      <c r="D353" s="1436" t="n"/>
      <c r="E353" s="1436" t="n"/>
      <c r="F353" s="1436" t="n"/>
      <c r="G353" s="1436" t="n"/>
      <c r="H353" s="1436" t="n"/>
      <c r="I353" s="1436" t="n"/>
      <c r="J353" s="1436" t="n"/>
      <c r="K353" s="1436" t="n"/>
      <c r="L353" s="1436" t="n"/>
      <c r="M353" s="1436" t="n"/>
      <c r="N353" s="1436" t="n"/>
      <c r="O353" s="1436" t="n"/>
      <c r="P353" s="1436" t="n"/>
      <c r="Q353" s="1436" t="n"/>
      <c r="R353" s="1436" t="n"/>
      <c r="S353" s="1436" t="n"/>
      <c r="T353" s="1436" t="n"/>
      <c r="U353" s="1436" t="n"/>
      <c r="V353" s="1436" t="n"/>
      <c r="W353" s="1436" t="n"/>
      <c r="X353" s="1436" t="n"/>
      <c r="Y353" s="1436" t="n"/>
      <c r="Z353" s="1436" t="n"/>
      <c r="AA353" s="1436" t="n"/>
      <c r="AB353" s="1436" t="n"/>
      <c r="AC353" s="1436" t="n"/>
      <c r="AD353" s="1436" t="n"/>
      <c r="AE353" s="1436" t="n"/>
      <c r="AF353" s="1436" t="n"/>
      <c r="AG353" s="1436" t="n"/>
      <c r="AH353" s="1436" t="n"/>
      <c r="AI353" s="1436" t="n"/>
      <c r="AJ353" s="1436" t="n"/>
      <c r="AK353" s="1436" t="n"/>
      <c r="AL353" s="1436" t="n"/>
      <c r="AM353" s="1436" t="n"/>
      <c r="AN353" s="1436" t="n"/>
      <c r="AO353" s="1436" t="n"/>
      <c r="AP353" s="1436" t="n"/>
      <c r="AS353" s="1436" t="n"/>
      <c r="BG353" s="1436" t="n"/>
      <c r="BU353" s="1436" t="n"/>
    </row>
    <row r="354">
      <c r="A354" s="1436" t="n"/>
      <c r="B354" s="1436" t="n"/>
      <c r="C354" s="1436" t="n"/>
      <c r="D354" s="1436" t="n"/>
      <c r="E354" s="1436" t="n"/>
      <c r="F354" s="1436" t="n"/>
      <c r="G354" s="1436" t="n"/>
      <c r="H354" s="1436" t="n"/>
      <c r="I354" s="1436" t="n"/>
      <c r="J354" s="1436" t="n"/>
      <c r="K354" s="1436" t="n"/>
      <c r="L354" s="1436" t="n"/>
      <c r="M354" s="1436" t="n"/>
      <c r="N354" s="1436" t="n"/>
      <c r="O354" s="1436" t="n"/>
      <c r="P354" s="1436" t="n"/>
      <c r="Q354" s="1436" t="n"/>
      <c r="R354" s="1436" t="n"/>
      <c r="S354" s="1436" t="n"/>
      <c r="T354" s="1436" t="n"/>
      <c r="U354" s="1436" t="n"/>
      <c r="V354" s="1436" t="n"/>
      <c r="W354" s="1436" t="n"/>
      <c r="X354" s="1436" t="n"/>
      <c r="Y354" s="1436" t="n"/>
      <c r="Z354" s="1436" t="n"/>
      <c r="AA354" s="1436" t="n"/>
      <c r="AB354" s="1436" t="n"/>
      <c r="AC354" s="1436" t="n"/>
      <c r="AD354" s="1436" t="n"/>
      <c r="AE354" s="1436" t="n"/>
      <c r="AF354" s="1436" t="n"/>
      <c r="AG354" s="1436" t="n"/>
      <c r="AH354" s="1436" t="n"/>
      <c r="AI354" s="1436" t="n"/>
      <c r="AJ354" s="1436" t="n"/>
      <c r="AK354" s="1436" t="n"/>
      <c r="AL354" s="1436" t="n"/>
      <c r="AM354" s="1436" t="n"/>
      <c r="AN354" s="1436" t="n"/>
      <c r="AO354" s="1436" t="n"/>
      <c r="AP354" s="1436" t="n"/>
      <c r="AS354" s="1436" t="n"/>
      <c r="BG354" s="1436" t="n"/>
      <c r="BU354" s="1436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U354"/>
  <sheetViews>
    <sheetView showGridLines="0" zoomScale="115" zoomScaleNormal="115" workbookViewId="0">
      <pane xSplit="15" ySplit="4" topLeftCell="P110" activePane="bottomRight" state="frozen"/>
      <selection pane="topRight" activeCell="A1" sqref="A1"/>
      <selection pane="bottomLeft" activeCell="A1" sqref="A1"/>
      <selection pane="bottomRight" activeCell="BI230" sqref="BI230"/>
    </sheetView>
  </sheetViews>
  <sheetFormatPr baseColWidth="8" defaultColWidth="0" defaultRowHeight="16.5" outlineLevelRow="1"/>
  <cols>
    <col width="2.125" customWidth="1" style="1440" min="1" max="1"/>
    <col width="32.625" customWidth="1" style="1440" min="2" max="2"/>
    <col width="18" customWidth="1" style="1440" min="3" max="3"/>
    <col hidden="1" outlineLevel="1" width="11" customWidth="1" style="1440" min="4" max="15"/>
    <col collapsed="1" width="11" customWidth="1" style="1440" min="16" max="16"/>
    <col hidden="1" outlineLevel="1" width="12.625" customWidth="1" style="1440" min="17" max="17"/>
    <col hidden="1" outlineLevel="1" width="8.125" customWidth="1" style="1440" min="18" max="18"/>
    <col hidden="1" outlineLevel="1" width="11" customWidth="1" style="1440" min="19" max="30"/>
    <col collapsed="1" width="11" customWidth="1" style="1440" min="31" max="31"/>
    <col hidden="1" outlineLevel="1" width="12.625" customWidth="1" style="1440" min="32" max="32"/>
    <col hidden="1" outlineLevel="1" width="11" customWidth="1" style="1440" min="33" max="42"/>
    <col hidden="1" outlineLevel="1" width="10.625" customWidth="1" style="1440" min="43" max="44"/>
    <col collapsed="1" width="11" customWidth="1" style="1440" min="45" max="45"/>
    <col hidden="1" outlineLevel="1" width="13.75" customWidth="1" style="1440" min="46" max="46"/>
    <col hidden="1" outlineLevel="1" width="10.625" customWidth="1" style="1440" min="47" max="58"/>
    <col collapsed="1" width="11" customWidth="1" style="1440" min="59" max="59"/>
    <col width="12.75" bestFit="1" customWidth="1" style="1440" min="60" max="60"/>
    <col outlineLevel="1" width="10.625" customWidth="1" style="1440" min="61" max="72"/>
    <col width="11" customWidth="1" style="1440" min="73" max="73"/>
    <col width="8.125" customWidth="1" style="1440" min="74" max="620"/>
    <col hidden="1" style="1440" min="621" max="16384"/>
  </cols>
  <sheetData>
    <row r="1" ht="15.75" customHeight="1">
      <c r="A1" s="1436" t="n"/>
      <c r="B1" s="1436" t="n"/>
      <c r="C1" s="1436" t="n"/>
      <c r="D1" s="2614" t="n"/>
      <c r="E1" s="2615" t="inlineStr">
        <is>
          <t>인원실적/계획</t>
        </is>
      </c>
      <c r="F1" s="2615" t="n">
        <v>43</v>
      </c>
      <c r="G1" s="2616" t="n">
        <v>52</v>
      </c>
      <c r="H1" s="2614" t="n">
        <v>61</v>
      </c>
      <c r="I1" s="2614" t="n">
        <v>72</v>
      </c>
      <c r="J1" s="2614" t="n">
        <v>78</v>
      </c>
      <c r="K1" s="2614" t="n">
        <v>95</v>
      </c>
      <c r="L1" s="2614" t="n">
        <v>105</v>
      </c>
      <c r="M1" s="2614" t="n">
        <v>129</v>
      </c>
      <c r="N1" s="2614" t="n">
        <v>133</v>
      </c>
      <c r="O1" s="2614" t="n">
        <v>135</v>
      </c>
      <c r="P1" s="2614" t="n"/>
      <c r="Q1" s="1436" t="n"/>
      <c r="R1" s="1436" t="n"/>
      <c r="S1" s="2614" t="n">
        <v>142</v>
      </c>
      <c r="T1" s="2614" t="n">
        <v>150</v>
      </c>
      <c r="U1" s="2614" t="n">
        <v>150</v>
      </c>
      <c r="V1" s="2614" t="n">
        <v>150</v>
      </c>
      <c r="W1" s="2614" t="n"/>
      <c r="X1" s="2614" t="n"/>
      <c r="Y1" s="2614" t="n"/>
      <c r="Z1" s="2614" t="n"/>
      <c r="AA1" s="2614" t="n"/>
      <c r="AB1" s="2614" t="n"/>
      <c r="AC1" s="2614" t="n"/>
      <c r="AD1" s="2614" t="n"/>
      <c r="AE1" s="2614" t="n"/>
      <c r="AF1" s="1436" t="n"/>
      <c r="AG1" s="2614" t="n"/>
      <c r="AH1" s="2614" t="n"/>
      <c r="AI1" s="2614" t="n"/>
      <c r="AJ1" s="2614" t="n"/>
      <c r="AK1" s="2614" t="n"/>
      <c r="AL1" s="2614" t="n"/>
      <c r="AM1" s="2614" t="n"/>
      <c r="AN1" s="2614" t="n"/>
      <c r="AO1" s="2614" t="n"/>
      <c r="AP1" s="2614" t="n"/>
      <c r="AS1" s="2614" t="n"/>
      <c r="BG1" s="2614" t="n"/>
      <c r="BU1" s="2614" t="n"/>
    </row>
    <row r="2">
      <c r="A2" s="1436" t="n"/>
      <c r="B2" s="1441" t="inlineStr">
        <is>
          <t>■ 카탈리스터 PL (2022/04)</t>
        </is>
      </c>
      <c r="C2" s="1441" t="n"/>
      <c r="E2" s="1436" t="n"/>
      <c r="F2" s="1442" t="n">
        <v>33</v>
      </c>
      <c r="G2" s="2614">
        <f>G1-F1</f>
        <v/>
      </c>
      <c r="H2" s="2614">
        <f>H1-G1</f>
        <v/>
      </c>
      <c r="I2" s="2614">
        <f>I1-H1</f>
        <v/>
      </c>
      <c r="J2" s="2614">
        <f>J1-I1</f>
        <v/>
      </c>
      <c r="K2" s="2614">
        <f>K1-J1</f>
        <v/>
      </c>
      <c r="L2" s="2614">
        <f>L1-K1</f>
        <v/>
      </c>
      <c r="M2" s="2614">
        <f>M1-L1</f>
        <v/>
      </c>
      <c r="N2" s="2614">
        <f>N1-M1</f>
        <v/>
      </c>
      <c r="O2" s="2614">
        <f>O1-N1</f>
        <v/>
      </c>
      <c r="P2" s="2614" t="n"/>
      <c r="Q2" s="1436" t="n"/>
      <c r="R2" s="1436" t="n"/>
      <c r="S2" s="2614">
        <f>S1-O1</f>
        <v/>
      </c>
      <c r="T2" s="2614">
        <f>T1-S1</f>
        <v/>
      </c>
      <c r="U2" s="2614" t="n"/>
      <c r="V2" s="2614" t="n"/>
      <c r="W2" s="2614" t="n"/>
      <c r="X2" s="2614" t="n"/>
      <c r="Y2" s="2614" t="n"/>
      <c r="Z2" s="2614" t="n"/>
      <c r="AA2" s="2614" t="n"/>
      <c r="AB2" s="2614" t="n"/>
      <c r="AC2" s="2614" t="n"/>
      <c r="AD2" s="2614" t="n"/>
      <c r="AE2" s="2614" t="n"/>
      <c r="AF2" s="1436" t="n"/>
      <c r="AG2" s="2614">
        <f>SUM(AG5:AI5)</f>
        <v/>
      </c>
      <c r="AH2" s="2614" t="n"/>
      <c r="AI2" s="2614" t="n"/>
      <c r="AJ2" s="2614">
        <f>SUM(AJ5:AL5)</f>
        <v/>
      </c>
      <c r="AK2" s="2614" t="n"/>
      <c r="AL2" s="2614" t="n"/>
      <c r="AM2" s="2614">
        <f>SUM(AM5:AO5)</f>
        <v/>
      </c>
      <c r="AN2" s="2614" t="n"/>
      <c r="AO2" s="2614" t="n"/>
      <c r="AP2" s="2614">
        <f>SUM(AP5:AR5)</f>
        <v/>
      </c>
      <c r="AS2" s="2614" t="n"/>
      <c r="BG2" s="2614" t="n"/>
      <c r="BU2" s="2614" t="n"/>
    </row>
    <row r="3">
      <c r="A3" s="1436" t="n"/>
      <c r="B3" s="1436" t="n"/>
      <c r="C3" s="1436" t="n"/>
      <c r="D3" s="1443" t="inlineStr">
        <is>
          <t>[추정]&gt;&gt;</t>
        </is>
      </c>
      <c r="E3" s="1444" t="n"/>
      <c r="F3" s="1444" t="n"/>
      <c r="G3" s="1444" t="n"/>
      <c r="H3" s="1444" t="n"/>
      <c r="I3" s="1444" t="n"/>
      <c r="J3" s="1444" t="n"/>
      <c r="K3" s="1444" t="n"/>
      <c r="L3" s="1444" t="n"/>
      <c r="M3" s="1444" t="n"/>
      <c r="N3" s="1444" t="n"/>
      <c r="O3" s="1444" t="n"/>
      <c r="P3" s="1444" t="n"/>
      <c r="Q3" s="1436" t="n"/>
      <c r="R3" s="1436" t="n"/>
      <c r="S3" s="1444" t="n"/>
      <c r="T3" s="1444" t="n"/>
      <c r="U3" s="1444" t="n"/>
      <c r="V3" s="1444" t="n"/>
      <c r="W3" s="1444" t="inlineStr">
        <is>
          <t>실적 고려 약 1억씩 추가 반영</t>
        </is>
      </c>
      <c r="X3" s="1444" t="n"/>
      <c r="Y3" s="1444" t="n"/>
      <c r="Z3" s="1444" t="n"/>
      <c r="AA3" s="1444" t="n"/>
      <c r="AB3" s="1444" t="n"/>
      <c r="AC3" s="1444" t="n"/>
      <c r="AD3" s="1444" t="n"/>
      <c r="AE3" s="1444" t="n"/>
      <c r="AF3" s="1436" t="n"/>
      <c r="AG3" s="1444" t="n"/>
      <c r="AH3" s="1444" t="n"/>
      <c r="AI3" s="1444" t="n"/>
      <c r="AJ3" s="1444" t="n"/>
      <c r="AK3" s="1444" t="n"/>
      <c r="AL3" s="1444" t="n"/>
      <c r="AM3" s="1444" t="n"/>
      <c r="AN3" s="1444" t="n"/>
      <c r="AO3" s="1444" t="n"/>
      <c r="AP3" s="1444" t="n"/>
      <c r="AS3" s="1444" t="n"/>
      <c r="AX3" s="2615" t="n"/>
      <c r="AY3" s="2615" t="n"/>
      <c r="AZ3" s="2615" t="n"/>
      <c r="BA3" s="2615" t="n"/>
      <c r="BB3" s="2615" t="n"/>
      <c r="BC3" s="2615" t="n"/>
      <c r="BD3" s="2615" t="n"/>
      <c r="BE3" s="2615" t="n"/>
    </row>
    <row r="4">
      <c r="A4" s="1436" t="n"/>
      <c r="B4" s="1445" t="n"/>
      <c r="C4" s="1445" t="n"/>
      <c r="D4" s="2617" t="n">
        <v>44592</v>
      </c>
      <c r="E4" s="2617">
        <f>EOMONTH(D4,1)</f>
        <v/>
      </c>
      <c r="F4" s="2617">
        <f>EOMONTH(E4,1)</f>
        <v/>
      </c>
      <c r="G4" s="2617">
        <f>EOMONTH(F4,1)</f>
        <v/>
      </c>
      <c r="H4" s="2617">
        <f>EOMONTH(G4,1)</f>
        <v/>
      </c>
      <c r="I4" s="2617">
        <f>EOMONTH(H4,1)</f>
        <v/>
      </c>
      <c r="J4" s="2617">
        <f>EOMONTH(I4,1)</f>
        <v/>
      </c>
      <c r="K4" s="2617">
        <f>EOMONTH(J4,1)</f>
        <v/>
      </c>
      <c r="L4" s="2617">
        <f>EOMONTH(K4,1)</f>
        <v/>
      </c>
      <c r="M4" s="2617">
        <f>EOMONTH(L4,1)</f>
        <v/>
      </c>
      <c r="N4" s="2617">
        <f>EOMONTH(M4,1)</f>
        <v/>
      </c>
      <c r="O4" s="2617">
        <f>EOMONTH(N4,1)</f>
        <v/>
      </c>
      <c r="P4" s="2618" t="inlineStr">
        <is>
          <t>2022년</t>
        </is>
      </c>
      <c r="Q4" s="1448" t="inlineStr">
        <is>
          <t>비고</t>
        </is>
      </c>
      <c r="R4" s="1436" t="n"/>
      <c r="S4" s="2617">
        <f>EOMONTH(O4,1)</f>
        <v/>
      </c>
      <c r="T4" s="2617">
        <f>EOMONTH(S4,1)</f>
        <v/>
      </c>
      <c r="U4" s="2617">
        <f>EOMONTH(T4,1)</f>
        <v/>
      </c>
      <c r="V4" s="2617">
        <f>EOMONTH(U4,1)</f>
        <v/>
      </c>
      <c r="W4" s="2617">
        <f>EOMONTH(V4,1)</f>
        <v/>
      </c>
      <c r="X4" s="2617">
        <f>EOMONTH(W4,1)</f>
        <v/>
      </c>
      <c r="Y4" s="2617">
        <f>EOMONTH(X4,1)</f>
        <v/>
      </c>
      <c r="Z4" s="2617">
        <f>EOMONTH(Y4,1)</f>
        <v/>
      </c>
      <c r="AA4" s="2617">
        <f>EOMONTH(Z4,1)</f>
        <v/>
      </c>
      <c r="AB4" s="2617">
        <f>EOMONTH(AA4,1)</f>
        <v/>
      </c>
      <c r="AC4" s="2617">
        <f>EOMONTH(AB4,1)</f>
        <v/>
      </c>
      <c r="AD4" s="2617">
        <f>EOMONTH(AC4,1)</f>
        <v/>
      </c>
      <c r="AE4" s="2618" t="inlineStr">
        <is>
          <t>2023년</t>
        </is>
      </c>
      <c r="AF4" s="1448" t="inlineStr">
        <is>
          <t>비고</t>
        </is>
      </c>
      <c r="AG4" s="2617">
        <f>EOMONTH(AD4,1)</f>
        <v/>
      </c>
      <c r="AH4" s="2617">
        <f>EOMONTH(AG4,1)</f>
        <v/>
      </c>
      <c r="AI4" s="2617">
        <f>EOMONTH(AH4,1)</f>
        <v/>
      </c>
      <c r="AJ4" s="2617">
        <f>EOMONTH(AI4,1)</f>
        <v/>
      </c>
      <c r="AK4" s="2617">
        <f>EOMONTH(AJ4,1)</f>
        <v/>
      </c>
      <c r="AL4" s="2617">
        <f>EOMONTH(AK4,1)</f>
        <v/>
      </c>
      <c r="AM4" s="2617">
        <f>EOMONTH(AL4,1)</f>
        <v/>
      </c>
      <c r="AN4" s="2617">
        <f>EOMONTH(AM4,1)</f>
        <v/>
      </c>
      <c r="AO4" s="2617">
        <f>EOMONTH(AN4,1)</f>
        <v/>
      </c>
      <c r="AP4" s="2617">
        <f>EOMONTH(AO4,1)</f>
        <v/>
      </c>
      <c r="AQ4" s="2617">
        <f>EOMONTH(AP4,1)</f>
        <v/>
      </c>
      <c r="AR4" s="2617">
        <f>EOMONTH(AQ4,1)</f>
        <v/>
      </c>
      <c r="AS4" s="2618" t="inlineStr">
        <is>
          <t>2024년</t>
        </is>
      </c>
      <c r="AT4" s="1448" t="inlineStr">
        <is>
          <t>비고</t>
        </is>
      </c>
      <c r="AU4" s="2617" t="n">
        <v>45658</v>
      </c>
      <c r="AV4" s="2617">
        <f>EOMONTH(AU4,1)</f>
        <v/>
      </c>
      <c r="AW4" s="2617">
        <f>EOMONTH(AV4,1)</f>
        <v/>
      </c>
      <c r="AX4" s="2617">
        <f>EOMONTH(AW4,1)</f>
        <v/>
      </c>
      <c r="AY4" s="2617">
        <f>EOMONTH(AX4,1)</f>
        <v/>
      </c>
      <c r="AZ4" s="2617">
        <f>EOMONTH(AY4,1)</f>
        <v/>
      </c>
      <c r="BA4" s="2617">
        <f>EOMONTH(AZ4,1)</f>
        <v/>
      </c>
      <c r="BB4" s="2617">
        <f>EOMONTH(BA4,1)</f>
        <v/>
      </c>
      <c r="BC4" s="2617">
        <f>EOMONTH(BB4,1)</f>
        <v/>
      </c>
      <c r="BD4" s="2617">
        <f>EOMONTH(BC4,1)</f>
        <v/>
      </c>
      <c r="BE4" s="2617">
        <f>EOMONTH(BD4,1)</f>
        <v/>
      </c>
      <c r="BF4" s="2619">
        <f>EOMONTH(BE4,1)</f>
        <v/>
      </c>
      <c r="BG4" s="2620" t="inlineStr">
        <is>
          <t>2025년</t>
        </is>
      </c>
      <c r="BI4" s="2621" t="n">
        <v>46023</v>
      </c>
      <c r="BJ4" s="2621">
        <f>EOMONTH(BI4,1)</f>
        <v/>
      </c>
      <c r="BK4" s="2621">
        <f>EOMONTH(BJ4,1)</f>
        <v/>
      </c>
      <c r="BL4" s="2621">
        <f>EOMONTH(BK4,1)</f>
        <v/>
      </c>
      <c r="BM4" s="2621">
        <f>EOMONTH(BL4,1)</f>
        <v/>
      </c>
      <c r="BN4" s="2621">
        <f>EOMONTH(BM4,1)</f>
        <v/>
      </c>
      <c r="BO4" s="2621">
        <f>EOMONTH(BN4,1)</f>
        <v/>
      </c>
      <c r="BP4" s="2621">
        <f>EOMONTH(BO4,1)</f>
        <v/>
      </c>
      <c r="BQ4" s="2621">
        <f>EOMONTH(BP4,1)</f>
        <v/>
      </c>
      <c r="BR4" s="2621">
        <f>EOMONTH(BQ4,1)</f>
        <v/>
      </c>
      <c r="BS4" s="2621">
        <f>EOMONTH(BR4,1)</f>
        <v/>
      </c>
      <c r="BT4" s="2621">
        <f>EOMONTH(BS4,1)</f>
        <v/>
      </c>
      <c r="BU4" s="2620" t="inlineStr">
        <is>
          <t>2026년</t>
        </is>
      </c>
    </row>
    <row r="5">
      <c r="A5" s="1436" t="n"/>
      <c r="B5" s="1452" t="inlineStr">
        <is>
          <t>Ⅰ. 영업수익</t>
        </is>
      </c>
      <c r="C5" s="1452" t="n"/>
      <c r="D5" s="2622">
        <f>SUM(D6:D13)</f>
        <v/>
      </c>
      <c r="E5" s="2622">
        <f>SUM(E6:E13)</f>
        <v/>
      </c>
      <c r="F5" s="2622">
        <f>SUM(F6:F13)</f>
        <v/>
      </c>
      <c r="G5" s="2622">
        <f>SUM(G6:G13)</f>
        <v/>
      </c>
      <c r="H5" s="2622">
        <f>SUM(H6:H13)</f>
        <v/>
      </c>
      <c r="I5" s="2622">
        <f>SUM(I6:I13)</f>
        <v/>
      </c>
      <c r="J5" s="2622">
        <f>SUM(J6:J13)</f>
        <v/>
      </c>
      <c r="K5" s="2622">
        <f>SUM(K6:K13)</f>
        <v/>
      </c>
      <c r="L5" s="2622">
        <f>SUM(L6:L13)</f>
        <v/>
      </c>
      <c r="M5" s="2622">
        <f>SUM(M6:M13)</f>
        <v/>
      </c>
      <c r="N5" s="2622">
        <f>SUM(N6:N13)</f>
        <v/>
      </c>
      <c r="O5" s="2622">
        <f>SUM(O6:O13)</f>
        <v/>
      </c>
      <c r="P5" s="2623">
        <f>SUM(D5:O5)</f>
        <v/>
      </c>
      <c r="Q5" s="1436" t="n"/>
      <c r="R5" s="1436" t="n"/>
      <c r="S5" s="2622">
        <f>SUM(S6:S13)</f>
        <v/>
      </c>
      <c r="T5" s="2622">
        <f>SUM(T6:T13)</f>
        <v/>
      </c>
      <c r="U5" s="2622">
        <f>SUM(U6:U13)</f>
        <v/>
      </c>
      <c r="V5" s="2622">
        <f>SUM(V6:V13)</f>
        <v/>
      </c>
      <c r="W5" s="2622">
        <f>SUM(W6:W13)</f>
        <v/>
      </c>
      <c r="X5" s="2622">
        <f>SUM(X6:X13)</f>
        <v/>
      </c>
      <c r="Y5" s="2622">
        <f>SUM(Y6:Y13)</f>
        <v/>
      </c>
      <c r="Z5" s="2622">
        <f>SUM(Z6:Z13)</f>
        <v/>
      </c>
      <c r="AA5" s="2622">
        <f>SUM(AA6:AA13)</f>
        <v/>
      </c>
      <c r="AB5" s="2622">
        <f>SUM(AB6:AB13)</f>
        <v/>
      </c>
      <c r="AC5" s="2622">
        <f>SUM(AC6:AC13)</f>
        <v/>
      </c>
      <c r="AD5" s="2622">
        <f>SUM(AD6:AD13)</f>
        <v/>
      </c>
      <c r="AE5" s="2623">
        <f>SUM(S5:AD5)</f>
        <v/>
      </c>
      <c r="AF5" s="1436" t="n"/>
      <c r="AG5" s="2622">
        <f>SUM(AG6:AG13)</f>
        <v/>
      </c>
      <c r="AH5" s="2622">
        <f>SUM(AH6:AH13)</f>
        <v/>
      </c>
      <c r="AI5" s="2622">
        <f>SUM(AI6:AI13)</f>
        <v/>
      </c>
      <c r="AJ5" s="2622">
        <f>SUM(AJ6:AJ13)</f>
        <v/>
      </c>
      <c r="AK5" s="2622">
        <f>SUM(AK6:AK13)</f>
        <v/>
      </c>
      <c r="AL5" s="2622">
        <f>SUM(AL6:AL13)</f>
        <v/>
      </c>
      <c r="AM5" s="2622">
        <f>SUM(AM6:AM13)</f>
        <v/>
      </c>
      <c r="AN5" s="2622">
        <f>SUM(AN6:AN13)</f>
        <v/>
      </c>
      <c r="AO5" s="2622">
        <f>SUM(AO6:AO13)</f>
        <v/>
      </c>
      <c r="AP5" s="2622">
        <f>SUM(AP6:AP13)</f>
        <v/>
      </c>
      <c r="AQ5" s="2622">
        <f>SUM(AQ6:AQ13)</f>
        <v/>
      </c>
      <c r="AR5" s="2622">
        <f>SUM(AR6:AR13)</f>
        <v/>
      </c>
      <c r="AS5" s="2623">
        <f>SUM(AG5:AR5)</f>
        <v/>
      </c>
      <c r="AU5" s="2622">
        <f>SUM(AU6:AU13)</f>
        <v/>
      </c>
      <c r="AV5" s="2622">
        <f>SUM(AV6:AV13)</f>
        <v/>
      </c>
      <c r="AW5" s="2622">
        <f>SUM(AW6:AW13)</f>
        <v/>
      </c>
      <c r="AX5" s="2622">
        <f>SUM(AX6:AX13)</f>
        <v/>
      </c>
      <c r="AY5" s="2622">
        <f>SUM(AY6:AY13)</f>
        <v/>
      </c>
      <c r="AZ5" s="2622">
        <f>SUM(AZ6:AZ13)</f>
        <v/>
      </c>
      <c r="BA5" s="2622">
        <f>SUM(BA6:BA13)</f>
        <v/>
      </c>
      <c r="BB5" s="2622">
        <f>SUM(BB6:BB13)</f>
        <v/>
      </c>
      <c r="BC5" s="2622">
        <f>SUM(BC6:BC13)</f>
        <v/>
      </c>
      <c r="BD5" s="2622">
        <f>SUM(BD6:BD13)</f>
        <v/>
      </c>
      <c r="BE5" s="2622">
        <f>SUM(BE6:BE13)</f>
        <v/>
      </c>
      <c r="BF5" s="2622">
        <f>SUM(BF6:BF13)</f>
        <v/>
      </c>
      <c r="BG5" s="2624">
        <f>SUM(AU5:BF5)</f>
        <v/>
      </c>
      <c r="BH5" s="2615" t="n"/>
      <c r="BI5" s="2622">
        <f>SUM(BI6:BI13)</f>
        <v/>
      </c>
      <c r="BJ5" s="2622">
        <f>SUM(BJ6:BJ13)</f>
        <v/>
      </c>
      <c r="BK5" s="2622">
        <f>SUM(BK6:BK13)</f>
        <v/>
      </c>
      <c r="BL5" s="2622">
        <f>SUM(BL6:BL13)</f>
        <v/>
      </c>
      <c r="BM5" s="2622">
        <f>SUM(BM6:BM13)</f>
        <v/>
      </c>
      <c r="BN5" s="2622">
        <f>SUM(BN6:BN13)</f>
        <v/>
      </c>
      <c r="BO5" s="2622">
        <f>SUM(BO6:BO13)</f>
        <v/>
      </c>
      <c r="BP5" s="2622">
        <f>SUM(BP6:BP13)</f>
        <v/>
      </c>
      <c r="BQ5" s="2622">
        <f>SUM(BQ6:BQ13)</f>
        <v/>
      </c>
      <c r="BR5" s="2622">
        <f>SUM(BR6:BR13)</f>
        <v/>
      </c>
      <c r="BS5" s="2622">
        <f>SUM(BS6:BS13)</f>
        <v/>
      </c>
      <c r="BT5" s="2622">
        <f>SUM(BT6:BT13)</f>
        <v/>
      </c>
      <c r="BU5" s="2624">
        <f>SUM(BI5:BT5)</f>
        <v/>
      </c>
    </row>
    <row r="6" hidden="1" outlineLevel="1">
      <c r="A6" s="1436" t="n"/>
      <c r="B6" s="1456" t="inlineStr">
        <is>
          <t>컨텐츠제공수익</t>
        </is>
      </c>
      <c r="C6" s="1456" t="n"/>
      <c r="D6" s="2625" t="n"/>
      <c r="E6" s="2625" t="n"/>
      <c r="F6" s="2625" t="n"/>
      <c r="G6" s="2625" t="n"/>
      <c r="H6" s="2625" t="n"/>
      <c r="I6" s="2625" t="n"/>
      <c r="J6" s="2625" t="n"/>
      <c r="K6" s="2625" t="n"/>
      <c r="L6" s="2625" t="n"/>
      <c r="M6" s="2625" t="n">
        <v>0</v>
      </c>
      <c r="N6" s="2625" t="n"/>
      <c r="O6" s="2625" t="n"/>
      <c r="P6" s="2626">
        <f>SUM(D6:O6)</f>
        <v/>
      </c>
      <c r="Q6" s="2627" t="n"/>
      <c r="R6" s="2627" t="n"/>
      <c r="S6" s="2625" t="n"/>
      <c r="T6" s="2625" t="n"/>
      <c r="U6" s="2625" t="n"/>
      <c r="V6" s="2625" t="n"/>
      <c r="W6" s="2625" t="n"/>
      <c r="X6" s="2625" t="n"/>
      <c r="Y6" s="2625" t="n"/>
      <c r="Z6" s="2625" t="n"/>
      <c r="AA6" s="2625" t="n"/>
      <c r="AB6" s="2625" t="n"/>
      <c r="AC6" s="2625" t="n"/>
      <c r="AD6" s="2625" t="n"/>
      <c r="AE6" s="2626">
        <f>SUM(S6:AD6)</f>
        <v/>
      </c>
      <c r="AF6" s="2627" t="n"/>
      <c r="AG6" s="2625" t="n"/>
      <c r="AH6" s="2625" t="n"/>
      <c r="AI6" s="2625" t="n"/>
      <c r="AJ6" s="2625" t="n"/>
      <c r="AK6" s="2625" t="n"/>
      <c r="AL6" s="2625" t="n"/>
      <c r="AM6" s="2625" t="n"/>
      <c r="AN6" s="2625" t="n"/>
      <c r="AO6" s="2625" t="n">
        <v>10000000</v>
      </c>
      <c r="AP6" s="2625" t="n">
        <v>2000000</v>
      </c>
      <c r="AQ6" s="2625" t="n"/>
      <c r="AR6" s="2625" t="n"/>
      <c r="AS6" s="2626">
        <f>SUM(AG6:AR6)</f>
        <v/>
      </c>
      <c r="AU6" s="2625" t="n"/>
      <c r="AV6" s="2625" t="n"/>
      <c r="AW6" s="2625" t="n"/>
      <c r="AX6" s="2625" t="n"/>
      <c r="AY6" s="2625" t="n"/>
      <c r="AZ6" s="2625" t="n"/>
      <c r="BA6" s="2625" t="n"/>
      <c r="BB6" s="2625" t="n"/>
      <c r="BC6" s="2625" t="n"/>
      <c r="BD6" s="2625" t="n"/>
      <c r="BE6" s="2625" t="n"/>
      <c r="BF6" s="2627" t="n"/>
      <c r="BG6" s="2628">
        <f>SUM(AU6:BF6)</f>
        <v/>
      </c>
      <c r="BI6" s="2627" t="n"/>
      <c r="BJ6" s="2627" t="n"/>
      <c r="BK6" s="2627" t="n"/>
      <c r="BL6" s="2627" t="n"/>
      <c r="BM6" s="2627" t="n"/>
      <c r="BN6" s="2627" t="n"/>
      <c r="BO6" s="2627" t="n"/>
      <c r="BP6" s="2627" t="n"/>
      <c r="BQ6" s="2627" t="n"/>
      <c r="BR6" s="2627" t="n"/>
      <c r="BS6" s="2627" t="n"/>
      <c r="BT6" s="2627" t="n"/>
      <c r="BU6" s="2628">
        <f>SUM(BI6:BT6)</f>
        <v/>
      </c>
    </row>
    <row r="7" hidden="1" outlineLevel="1">
      <c r="A7" s="1436" t="n"/>
      <c r="B7" s="1456" t="n"/>
      <c r="C7" s="1456" t="n"/>
      <c r="D7" s="2625" t="n"/>
      <c r="E7" s="2625" t="n"/>
      <c r="F7" s="2625" t="n"/>
      <c r="G7" s="2625" t="n"/>
      <c r="H7" s="2625" t="n"/>
      <c r="I7" s="2625" t="n"/>
      <c r="J7" s="2625" t="n"/>
      <c r="K7" s="2625" t="n"/>
      <c r="L7" s="2625" t="n"/>
      <c r="M7" s="2625" t="n">
        <v>0</v>
      </c>
      <c r="N7" s="2625" t="n"/>
      <c r="O7" s="2625" t="n"/>
      <c r="P7" s="2626">
        <f>SUM(D7:O7)</f>
        <v/>
      </c>
      <c r="Q7" s="2627" t="n"/>
      <c r="R7" s="2627" t="n"/>
      <c r="S7" s="2625" t="n"/>
      <c r="T7" s="2625" t="n"/>
      <c r="U7" s="2625" t="n"/>
      <c r="V7" s="2625" t="n"/>
      <c r="W7" s="2625" t="n"/>
      <c r="X7" s="2625" t="n"/>
      <c r="Y7" s="2625" t="n"/>
      <c r="Z7" s="2625" t="n"/>
      <c r="AA7" s="2625" t="n"/>
      <c r="AB7" s="2625" t="n"/>
      <c r="AC7" s="2625" t="n"/>
      <c r="AD7" s="2625" t="n"/>
      <c r="AE7" s="2626">
        <f>SUM(S7:AD7)</f>
        <v/>
      </c>
      <c r="AF7" s="2627" t="n"/>
      <c r="AG7" s="2625" t="n"/>
      <c r="AH7" s="2625" t="n"/>
      <c r="AI7" s="2625" t="n"/>
      <c r="AJ7" s="2625" t="n"/>
      <c r="AK7" s="2625" t="n"/>
      <c r="AL7" s="2625" t="n"/>
      <c r="AM7" s="2625" t="n"/>
      <c r="AN7" s="2625" t="n"/>
      <c r="AO7" s="2625" t="n"/>
      <c r="AP7" s="2625" t="n"/>
      <c r="AQ7" s="2625" t="n"/>
      <c r="AR7" s="2625" t="n"/>
      <c r="AS7" s="2626">
        <f>SUM(AG7:AR7)</f>
        <v/>
      </c>
      <c r="AU7" s="2625" t="n"/>
      <c r="AV7" s="2625" t="n"/>
      <c r="AW7" s="2625" t="n"/>
      <c r="AX7" s="2625" t="n"/>
      <c r="AY7" s="2625" t="n"/>
      <c r="AZ7" s="2625" t="n"/>
      <c r="BA7" s="2625" t="n"/>
      <c r="BB7" s="2625" t="n"/>
      <c r="BC7" s="2625" t="n"/>
      <c r="BD7" s="2625" t="n"/>
      <c r="BE7" s="2625" t="n"/>
      <c r="BF7" s="2627" t="n"/>
      <c r="BG7" s="2628">
        <f>SUM(AU7:BF7)</f>
        <v/>
      </c>
      <c r="BI7" s="2627" t="n"/>
      <c r="BJ7" s="2627" t="n"/>
      <c r="BK7" s="2627" t="n"/>
      <c r="BL7" s="2627" t="n"/>
      <c r="BM7" s="2627" t="n"/>
      <c r="BN7" s="2627" t="n"/>
      <c r="BO7" s="2627" t="n"/>
      <c r="BP7" s="2627" t="n"/>
      <c r="BQ7" s="2627" t="n"/>
      <c r="BR7" s="2627" t="n"/>
      <c r="BS7" s="2627" t="n"/>
      <c r="BT7" s="2627" t="n"/>
      <c r="BU7" s="2628">
        <f>SUM(BI7:BT7)</f>
        <v/>
      </c>
    </row>
    <row r="8" hidden="1" outlineLevel="1">
      <c r="A8" s="1436" t="n"/>
      <c r="B8" s="1456" t="n"/>
      <c r="C8" s="1456" t="n"/>
      <c r="D8" s="2625" t="n"/>
      <c r="E8" s="2625" t="n"/>
      <c r="F8" s="2625" t="n"/>
      <c r="G8" s="2625" t="n"/>
      <c r="H8" s="2625" t="n"/>
      <c r="I8" s="2625" t="n"/>
      <c r="J8" s="2625" t="n"/>
      <c r="K8" s="2625" t="n"/>
      <c r="L8" s="2625" t="n"/>
      <c r="M8" s="2625" t="n">
        <v>0</v>
      </c>
      <c r="N8" s="2625" t="n"/>
      <c r="O8" s="2625" t="n"/>
      <c r="P8" s="2626">
        <f>SUM(D8:O8)</f>
        <v/>
      </c>
      <c r="Q8" s="2627" t="n"/>
      <c r="R8" s="2627" t="n"/>
      <c r="S8" s="2625" t="n"/>
      <c r="T8" s="2625" t="n"/>
      <c r="U8" s="2625" t="n"/>
      <c r="V8" s="2625" t="n"/>
      <c r="W8" s="2625" t="n"/>
      <c r="X8" s="2625" t="n"/>
      <c r="Y8" s="2625" t="n"/>
      <c r="Z8" s="2625" t="n"/>
      <c r="AA8" s="2625" t="n"/>
      <c r="AB8" s="2625" t="n"/>
      <c r="AC8" s="2625" t="n"/>
      <c r="AD8" s="2625" t="n"/>
      <c r="AE8" s="2626">
        <f>SUM(S8:AD8)</f>
        <v/>
      </c>
      <c r="AF8" s="2627" t="n"/>
      <c r="AG8" s="2625" t="n"/>
      <c r="AH8" s="2625" t="n"/>
      <c r="AI8" s="2625" t="n"/>
      <c r="AJ8" s="2625" t="n"/>
      <c r="AK8" s="2625" t="n"/>
      <c r="AL8" s="2625" t="n"/>
      <c r="AM8" s="2625" t="n"/>
      <c r="AN8" s="2625" t="n"/>
      <c r="AO8" s="2625" t="n"/>
      <c r="AP8" s="2625" t="n"/>
      <c r="AQ8" s="2625" t="n"/>
      <c r="AR8" s="2625" t="n"/>
      <c r="AS8" s="2626">
        <f>SUM(AG8:AR8)</f>
        <v/>
      </c>
      <c r="AU8" s="2625" t="n"/>
      <c r="AV8" s="2625" t="n"/>
      <c r="AW8" s="2625" t="n"/>
      <c r="AX8" s="2625" t="n"/>
      <c r="AY8" s="2625" t="n"/>
      <c r="AZ8" s="2625" t="n"/>
      <c r="BA8" s="2625" t="n"/>
      <c r="BB8" s="2625" t="n"/>
      <c r="BC8" s="2625" t="n"/>
      <c r="BD8" s="2625" t="n"/>
      <c r="BE8" s="2625" t="n"/>
      <c r="BF8" s="2627" t="n"/>
      <c r="BG8" s="2628">
        <f>SUM(AU8:BF8)</f>
        <v/>
      </c>
      <c r="BI8" s="2627" t="n"/>
      <c r="BJ8" s="2627" t="n"/>
      <c r="BK8" s="2627" t="n"/>
      <c r="BL8" s="2627" t="n"/>
      <c r="BM8" s="2627" t="n"/>
      <c r="BN8" s="2627" t="n"/>
      <c r="BO8" s="2627" t="n"/>
      <c r="BP8" s="2627" t="n"/>
      <c r="BQ8" s="2627" t="n"/>
      <c r="BR8" s="2627" t="n"/>
      <c r="BS8" s="2627" t="n"/>
      <c r="BT8" s="2627" t="n"/>
      <c r="BU8" s="2628">
        <f>SUM(BI8:BT8)</f>
        <v/>
      </c>
    </row>
    <row r="9" hidden="1" outlineLevel="1">
      <c r="A9" s="1436" t="n"/>
      <c r="B9" s="1456" t="n"/>
      <c r="C9" s="1456" t="n"/>
      <c r="D9" s="2625" t="n"/>
      <c r="E9" s="2625" t="n"/>
      <c r="F9" s="2625" t="n"/>
      <c r="G9" s="2625" t="n"/>
      <c r="H9" s="2625" t="n"/>
      <c r="I9" s="2625" t="n"/>
      <c r="J9" s="2625" t="n"/>
      <c r="K9" s="2625" t="n"/>
      <c r="L9" s="2625" t="n"/>
      <c r="M9" s="2625" t="n">
        <v>0</v>
      </c>
      <c r="N9" s="2625" t="n"/>
      <c r="O9" s="2625" t="n"/>
      <c r="P9" s="2626">
        <f>SUM(D9:O9)</f>
        <v/>
      </c>
      <c r="Q9" s="2627" t="n"/>
      <c r="R9" s="2627" t="n"/>
      <c r="S9" s="2625" t="n"/>
      <c r="T9" s="2625" t="n"/>
      <c r="U9" s="2625" t="n"/>
      <c r="V9" s="2625" t="n"/>
      <c r="W9" s="2625" t="n"/>
      <c r="X9" s="2625" t="n"/>
      <c r="Y9" s="2625" t="n"/>
      <c r="Z9" s="2625" t="n"/>
      <c r="AA9" s="2625" t="n"/>
      <c r="AB9" s="2625" t="n"/>
      <c r="AC9" s="2625" t="n"/>
      <c r="AD9" s="2625" t="n"/>
      <c r="AE9" s="2626">
        <f>SUM(S9:AD9)</f>
        <v/>
      </c>
      <c r="AF9" s="2627" t="n"/>
      <c r="AG9" s="2625" t="n"/>
      <c r="AH9" s="2625" t="n"/>
      <c r="AI9" s="2625" t="n"/>
      <c r="AJ9" s="2625" t="n"/>
      <c r="AK9" s="2625" t="n"/>
      <c r="AL9" s="2625" t="n"/>
      <c r="AM9" s="2625" t="n"/>
      <c r="AN9" s="2625" t="n"/>
      <c r="AO9" s="2625" t="n"/>
      <c r="AP9" s="2625" t="n"/>
      <c r="AQ9" s="2625" t="n"/>
      <c r="AR9" s="2625" t="n"/>
      <c r="AS9" s="2626">
        <f>SUM(AG9:AR9)</f>
        <v/>
      </c>
      <c r="AU9" s="2625" t="n"/>
      <c r="AV9" s="2625" t="n"/>
      <c r="AW9" s="2625" t="n"/>
      <c r="AX9" s="2625" t="n"/>
      <c r="AY9" s="2625" t="n"/>
      <c r="AZ9" s="2625" t="n"/>
      <c r="BA9" s="2625" t="n"/>
      <c r="BB9" s="2625" t="n"/>
      <c r="BC9" s="2625" t="n"/>
      <c r="BD9" s="2625" t="n"/>
      <c r="BE9" s="2625" t="n"/>
      <c r="BF9" s="2627" t="n"/>
      <c r="BG9" s="2628">
        <f>SUM(AU9:BF9)</f>
        <v/>
      </c>
      <c r="BI9" s="2627" t="n"/>
      <c r="BJ9" s="2627" t="n"/>
      <c r="BK9" s="2627" t="n"/>
      <c r="BL9" s="2627" t="n"/>
      <c r="BM9" s="2627" t="n"/>
      <c r="BN9" s="2627" t="n"/>
      <c r="BO9" s="2627" t="n"/>
      <c r="BP9" s="2627" t="n"/>
      <c r="BQ9" s="2627" t="n"/>
      <c r="BR9" s="2627" t="n"/>
      <c r="BS9" s="2627" t="n"/>
      <c r="BT9" s="2627" t="n"/>
      <c r="BU9" s="2628">
        <f>SUM(BI9:BT9)</f>
        <v/>
      </c>
    </row>
    <row r="10" hidden="1" outlineLevel="1">
      <c r="A10" s="1436" t="n"/>
      <c r="B10" s="1456" t="n"/>
      <c r="C10" s="1456" t="n"/>
      <c r="D10" s="2625" t="n"/>
      <c r="E10" s="2625" t="n"/>
      <c r="F10" s="2625" t="n"/>
      <c r="G10" s="2625" t="n"/>
      <c r="H10" s="2625" t="n"/>
      <c r="I10" s="2625" t="n"/>
      <c r="J10" s="2625" t="n"/>
      <c r="K10" s="2625" t="n"/>
      <c r="L10" s="2625" t="n"/>
      <c r="M10" s="2625" t="n">
        <v>0</v>
      </c>
      <c r="N10" s="2625" t="n"/>
      <c r="O10" s="2625" t="n"/>
      <c r="P10" s="2626">
        <f>SUM(D10:O10)</f>
        <v/>
      </c>
      <c r="Q10" s="2627" t="n"/>
      <c r="R10" s="2627" t="n"/>
      <c r="S10" s="2625" t="n"/>
      <c r="T10" s="2625" t="n"/>
      <c r="U10" s="2625" t="n"/>
      <c r="V10" s="2625" t="n"/>
      <c r="W10" s="2625" t="n"/>
      <c r="X10" s="2625" t="n"/>
      <c r="Y10" s="2625" t="n"/>
      <c r="Z10" s="2625" t="n"/>
      <c r="AA10" s="2625" t="n"/>
      <c r="AB10" s="2625" t="n"/>
      <c r="AC10" s="2625" t="n"/>
      <c r="AD10" s="2625" t="n"/>
      <c r="AE10" s="2626">
        <f>SUM(S10:AD10)</f>
        <v/>
      </c>
      <c r="AF10" s="2627" t="n"/>
      <c r="AG10" s="2625" t="n"/>
      <c r="AH10" s="2625" t="n"/>
      <c r="AI10" s="2625" t="n"/>
      <c r="AJ10" s="2625" t="n"/>
      <c r="AK10" s="2625" t="n"/>
      <c r="AL10" s="2625" t="n"/>
      <c r="AM10" s="2625" t="n"/>
      <c r="AN10" s="2625" t="n"/>
      <c r="AO10" s="2625" t="n"/>
      <c r="AP10" s="2625" t="n"/>
      <c r="AQ10" s="2625" t="n"/>
      <c r="AR10" s="2625" t="n"/>
      <c r="AS10" s="2626">
        <f>SUM(AG10:AR10)</f>
        <v/>
      </c>
      <c r="AU10" s="2625" t="n"/>
      <c r="AV10" s="2625" t="n"/>
      <c r="AW10" s="2625" t="n"/>
      <c r="AX10" s="2625" t="n"/>
      <c r="AY10" s="2625" t="n"/>
      <c r="AZ10" s="2625" t="n"/>
      <c r="BA10" s="2625" t="n"/>
      <c r="BB10" s="2625" t="n"/>
      <c r="BC10" s="2625" t="n"/>
      <c r="BD10" s="2625" t="n"/>
      <c r="BE10" s="2625" t="n"/>
      <c r="BF10" s="2627" t="n"/>
      <c r="BG10" s="2628">
        <f>SUM(AU10:BF10)</f>
        <v/>
      </c>
      <c r="BI10" s="2627" t="n"/>
      <c r="BJ10" s="2627" t="n"/>
      <c r="BK10" s="2627" t="n"/>
      <c r="BL10" s="2627" t="n"/>
      <c r="BM10" s="2627" t="n"/>
      <c r="BN10" s="2627" t="n"/>
      <c r="BO10" s="2627" t="n"/>
      <c r="BP10" s="2627" t="n"/>
      <c r="BQ10" s="2627" t="n"/>
      <c r="BR10" s="2627" t="n"/>
      <c r="BS10" s="2627" t="n"/>
      <c r="BT10" s="2627" t="n"/>
      <c r="BU10" s="2628">
        <f>SUM(BI10:BT10)</f>
        <v/>
      </c>
    </row>
    <row r="11" hidden="1" outlineLevel="1">
      <c r="A11" s="1436" t="n"/>
      <c r="B11" s="1456" t="n"/>
      <c r="C11" s="1456" t="n"/>
      <c r="D11" s="2625" t="n"/>
      <c r="E11" s="2625" t="n"/>
      <c r="F11" s="2625" t="n"/>
      <c r="G11" s="2625" t="n"/>
      <c r="H11" s="2625" t="n"/>
      <c r="I11" s="2625" t="n"/>
      <c r="J11" s="2625" t="n"/>
      <c r="K11" s="2625" t="n"/>
      <c r="L11" s="2625" t="n"/>
      <c r="M11" s="2625" t="n">
        <v>0</v>
      </c>
      <c r="N11" s="2625" t="n"/>
      <c r="O11" s="2625" t="n"/>
      <c r="P11" s="2626">
        <f>SUM(D11:O11)</f>
        <v/>
      </c>
      <c r="Q11" s="2627" t="n"/>
      <c r="R11" s="2627" t="n"/>
      <c r="S11" s="2625" t="n"/>
      <c r="T11" s="2625" t="n"/>
      <c r="U11" s="2625" t="n"/>
      <c r="V11" s="2625" t="n"/>
      <c r="W11" s="2625" t="n"/>
      <c r="X11" s="2625" t="n"/>
      <c r="Y11" s="2625" t="n"/>
      <c r="Z11" s="2625" t="n"/>
      <c r="AA11" s="2625" t="n"/>
      <c r="AB11" s="2625" t="n"/>
      <c r="AC11" s="2625" t="n"/>
      <c r="AD11" s="2625" t="n"/>
      <c r="AE11" s="2626">
        <f>SUM(S11:AD11)</f>
        <v/>
      </c>
      <c r="AF11" s="2627" t="n"/>
      <c r="AG11" s="2625" t="n"/>
      <c r="AH11" s="2625" t="n"/>
      <c r="AI11" s="2625" t="n"/>
      <c r="AJ11" s="2625" t="n"/>
      <c r="AK11" s="2625" t="n"/>
      <c r="AL11" s="2625" t="n"/>
      <c r="AM11" s="2625" t="n"/>
      <c r="AN11" s="2625" t="n"/>
      <c r="AO11" s="2625" t="n"/>
      <c r="AP11" s="2625" t="n"/>
      <c r="AQ11" s="2625" t="n"/>
      <c r="AR11" s="2625" t="n"/>
      <c r="AS11" s="2626">
        <f>SUM(AG11:AR11)</f>
        <v/>
      </c>
      <c r="AU11" s="2625" t="n"/>
      <c r="AV11" s="2625" t="n"/>
      <c r="AW11" s="2625" t="n"/>
      <c r="AX11" s="2625" t="n"/>
      <c r="AY11" s="2625" t="n"/>
      <c r="AZ11" s="2625" t="n"/>
      <c r="BA11" s="2625" t="n"/>
      <c r="BB11" s="2625" t="n"/>
      <c r="BC11" s="2625" t="n"/>
      <c r="BD11" s="2625" t="n"/>
      <c r="BE11" s="2625" t="n"/>
      <c r="BF11" s="2627" t="n"/>
      <c r="BG11" s="2628">
        <f>SUM(AU11:BF11)</f>
        <v/>
      </c>
      <c r="BI11" s="2627" t="n"/>
      <c r="BJ11" s="2627" t="n"/>
      <c r="BK11" s="2627" t="n"/>
      <c r="BL11" s="2627" t="n"/>
      <c r="BM11" s="2627" t="n"/>
      <c r="BN11" s="2627" t="n"/>
      <c r="BO11" s="2627" t="n"/>
      <c r="BP11" s="2627" t="n"/>
      <c r="BQ11" s="2627" t="n"/>
      <c r="BR11" s="2627" t="n"/>
      <c r="BS11" s="2627" t="n"/>
      <c r="BT11" s="2627" t="n"/>
      <c r="BU11" s="2628">
        <f>SUM(BI11:BT11)</f>
        <v/>
      </c>
    </row>
    <row r="12" hidden="1" outlineLevel="1">
      <c r="A12" s="1436" t="n"/>
      <c r="B12" s="1456" t="inlineStr">
        <is>
          <t>용역수익</t>
        </is>
      </c>
      <c r="C12" s="1456" t="n"/>
      <c r="D12" s="2625" t="n"/>
      <c r="E12" s="2625" t="n"/>
      <c r="F12" s="2625" t="n"/>
      <c r="G12" s="2625" t="n"/>
      <c r="H12" s="2625" t="n"/>
      <c r="I12" s="2625" t="n"/>
      <c r="J12" s="2625" t="n"/>
      <c r="K12" s="2625" t="n"/>
      <c r="L12" s="2625" t="n"/>
      <c r="M12" s="2625" t="n">
        <v>0</v>
      </c>
      <c r="N12" s="2625" t="n"/>
      <c r="O12" s="2625" t="n">
        <v>176105556</v>
      </c>
      <c r="P12" s="2626">
        <f>SUM(D12:O12)</f>
        <v/>
      </c>
      <c r="Q12" s="2627" t="n"/>
      <c r="R12" s="2627" t="n"/>
      <c r="S12" s="2625" t="n">
        <v>35221112</v>
      </c>
      <c r="T12" s="2625" t="n">
        <v>35221112</v>
      </c>
      <c r="U12" s="2625" t="n">
        <v>35221112</v>
      </c>
      <c r="V12" s="2625" t="n">
        <v>35221112</v>
      </c>
      <c r="W12" s="2625" t="n">
        <v>35221112</v>
      </c>
      <c r="X12" s="2625" t="n">
        <v>37716962</v>
      </c>
      <c r="Y12" s="2625" t="n">
        <v>35221112</v>
      </c>
      <c r="Z12" s="2625" t="n">
        <v>36252107</v>
      </c>
      <c r="AA12" s="2629" t="n">
        <v>-278511148</v>
      </c>
      <c r="AB12" s="2625" t="n">
        <v>361972</v>
      </c>
      <c r="AC12" s="2625" t="n">
        <v>361972</v>
      </c>
      <c r="AD12" s="2625" t="n">
        <v>361972</v>
      </c>
      <c r="AE12" s="2626">
        <f>SUM(S12:AD12)</f>
        <v/>
      </c>
      <c r="AF12" s="2629" t="inlineStr">
        <is>
          <t>XPLA 매출(매출 인식 관련하여 카탈리스터는 아직 협의 미완료); 22년말 컴투스와 동일하게 인식하였기 때문에 매출 동일 발생으로 처리</t>
        </is>
      </c>
      <c r="AG12" s="2625" t="n">
        <v>361972</v>
      </c>
      <c r="AH12" s="2625" t="n">
        <v>361972</v>
      </c>
      <c r="AI12" s="2625">
        <f>$AB12</f>
        <v/>
      </c>
      <c r="AJ12" s="2625">
        <f>$AB12</f>
        <v/>
      </c>
      <c r="AK12" s="2625" t="n">
        <v>361972</v>
      </c>
      <c r="AL12" s="2625">
        <f>$AB12</f>
        <v/>
      </c>
      <c r="AM12" s="2625">
        <f>$AB12</f>
        <v/>
      </c>
      <c r="AN12" s="2625">
        <f>$AB12</f>
        <v/>
      </c>
      <c r="AO12" s="2625">
        <f>$AB12</f>
        <v/>
      </c>
      <c r="AP12" s="2625" t="n">
        <v>361972</v>
      </c>
      <c r="AQ12" s="2625">
        <f>$AB12</f>
        <v/>
      </c>
      <c r="AR12" s="2625" t="n">
        <v>9893201</v>
      </c>
      <c r="AS12" s="2626">
        <f>SUM(AG12:AR12)</f>
        <v/>
      </c>
      <c r="AU12" s="2625" t="n">
        <v>361972</v>
      </c>
      <c r="AV12" s="2625" t="n">
        <v>1315875</v>
      </c>
      <c r="AW12" s="2625" t="n">
        <v>1093665</v>
      </c>
      <c r="AX12" s="2625" t="n">
        <v>743770</v>
      </c>
      <c r="AY12" s="2625" t="n">
        <v>754704</v>
      </c>
      <c r="AZ12" s="2625" t="n">
        <v>684095</v>
      </c>
      <c r="BA12" s="1462" t="n">
        <v>701006</v>
      </c>
      <c r="BB12" s="1462" t="n">
        <v>361080</v>
      </c>
      <c r="BC12" s="1462" t="n">
        <v>359829</v>
      </c>
      <c r="BD12" s="1462" t="n">
        <v>351799</v>
      </c>
      <c r="BE12" s="1462">
        <f>7098148-SUM(AU12:BD12)</f>
        <v/>
      </c>
      <c r="BF12" s="2627">
        <f>361972+740705/2</f>
        <v/>
      </c>
      <c r="BG12" s="2628">
        <f>SUM(AU12:BF12)</f>
        <v/>
      </c>
      <c r="BI12" s="2629">
        <f>180986+361972+44000*1350/12</f>
        <v/>
      </c>
      <c r="BJ12" s="2629">
        <f>542958+44000*1350/12</f>
        <v/>
      </c>
      <c r="BK12" s="2629">
        <f>542958+44000*1350/12</f>
        <v/>
      </c>
      <c r="BL12" s="2629">
        <f>542958+44000*1350/12</f>
        <v/>
      </c>
      <c r="BM12" s="2629">
        <f>542958+44000*1350/12</f>
        <v/>
      </c>
      <c r="BN12" s="2629">
        <f>542958+44000*1350/12</f>
        <v/>
      </c>
      <c r="BO12" s="2629">
        <f>542958+44000*1350/12</f>
        <v/>
      </c>
      <c r="BP12" s="2629">
        <f>542958+44000*1350/12</f>
        <v/>
      </c>
      <c r="BQ12" s="2629">
        <f>542958+44000*1350/12</f>
        <v/>
      </c>
      <c r="BR12" s="2629">
        <f>542958+44000*1350/12</f>
        <v/>
      </c>
      <c r="BS12" s="2629">
        <f>542958+44000*1350/12</f>
        <v/>
      </c>
      <c r="BT12" s="2629">
        <f>542958+44000*1350/12</f>
        <v/>
      </c>
      <c r="BU12" s="2628">
        <f>SUM(BI12:BT12)</f>
        <v/>
      </c>
    </row>
    <row r="13" hidden="1" outlineLevel="1">
      <c r="A13" s="1436" t="n"/>
      <c r="B13" s="1456" t="inlineStr">
        <is>
          <t>임대료수익</t>
        </is>
      </c>
      <c r="C13" s="1456" t="n"/>
      <c r="D13" s="2625" t="n"/>
      <c r="E13" s="2625" t="n"/>
      <c r="F13" s="2625" t="n"/>
      <c r="G13" s="2625" t="n"/>
      <c r="H13" s="2625" t="n"/>
      <c r="I13" s="2625" t="n"/>
      <c r="J13" s="2625" t="n"/>
      <c r="K13" s="2625" t="n"/>
      <c r="L13" s="2625" t="n"/>
      <c r="M13" s="2625" t="n">
        <v>0</v>
      </c>
      <c r="N13" s="2625" t="n"/>
      <c r="O13" s="2625" t="n"/>
      <c r="P13" s="2626">
        <f>SUM(D13:O13)</f>
        <v/>
      </c>
      <c r="Q13" s="2627" t="n"/>
      <c r="R13" s="2627" t="n"/>
      <c r="S13" s="2625" t="n"/>
      <c r="T13" s="2625" t="n"/>
      <c r="U13" s="2625" t="n"/>
      <c r="V13" s="2625" t="n"/>
      <c r="W13" s="2625" t="n"/>
      <c r="X13" s="2625" t="n"/>
      <c r="Y13" s="2625" t="n"/>
      <c r="Z13" s="2625" t="n"/>
      <c r="AA13" s="2625" t="n"/>
      <c r="AB13" s="2625" t="n"/>
      <c r="AC13" s="2625" t="n"/>
      <c r="AD13" s="2625" t="n"/>
      <c r="AE13" s="2626">
        <f>SUM(S13:AD13)</f>
        <v/>
      </c>
      <c r="AF13" s="2627" t="n"/>
      <c r="AG13" s="2625" t="n"/>
      <c r="AH13" s="2625" t="n"/>
      <c r="AI13" s="2625" t="n"/>
      <c r="AJ13" s="2625" t="n"/>
      <c r="AK13" s="2625" t="n"/>
      <c r="AL13" s="2625" t="n"/>
      <c r="AM13" s="2625" t="n"/>
      <c r="AN13" s="2625" t="n"/>
      <c r="AO13" s="2625" t="n"/>
      <c r="AP13" s="2625" t="n"/>
      <c r="AQ13" s="2625" t="n"/>
      <c r="AR13" s="2625" t="n"/>
      <c r="AS13" s="2626">
        <f>SUM(AG13:AR13)</f>
        <v/>
      </c>
      <c r="AU13" s="2625" t="n"/>
      <c r="AV13" s="2625" t="n"/>
      <c r="AW13" s="2625" t="n"/>
      <c r="AX13" s="2625" t="n"/>
      <c r="AY13" s="2625" t="n"/>
      <c r="AZ13" s="2625" t="n"/>
      <c r="BA13" s="2625" t="n"/>
      <c r="BB13" s="2625" t="n"/>
      <c r="BC13" s="2625" t="n"/>
      <c r="BD13" s="2625" t="n"/>
      <c r="BE13" s="2625" t="n"/>
      <c r="BF13" s="2627" t="n"/>
      <c r="BG13" s="2628">
        <f>SUM(AU13:BF13)</f>
        <v/>
      </c>
      <c r="BI13" s="2627" t="n"/>
      <c r="BJ13" s="2627" t="n"/>
      <c r="BK13" s="2627" t="n"/>
      <c r="BL13" s="2627" t="n"/>
      <c r="BM13" s="2627" t="n"/>
      <c r="BN13" s="2627" t="n"/>
      <c r="BO13" s="2627" t="n"/>
      <c r="BP13" s="2627" t="n"/>
      <c r="BQ13" s="2627" t="n"/>
      <c r="BR13" s="2627" t="n"/>
      <c r="BS13" s="2627" t="n"/>
      <c r="BT13" s="2627" t="n"/>
      <c r="BU13" s="2628">
        <f>SUM(BI13:BT13)</f>
        <v/>
      </c>
    </row>
    <row r="14" collapsed="1">
      <c r="A14" s="1436" t="n"/>
      <c r="B14" s="1452" t="inlineStr">
        <is>
          <t>Ⅱ. 영업비용</t>
        </is>
      </c>
      <c r="C14" s="1452" t="n"/>
      <c r="D14" s="2622" t="n"/>
      <c r="E14" s="2622" t="n"/>
      <c r="F14" s="2622" t="n"/>
      <c r="G14" s="2622" t="n"/>
      <c r="H14" s="2622" t="n"/>
      <c r="I14" s="2622" t="n"/>
      <c r="J14" s="2622" t="n"/>
      <c r="K14" s="2622" t="n"/>
      <c r="L14" s="2622" t="n"/>
      <c r="M14" s="2622" t="n"/>
      <c r="N14" s="2622" t="n"/>
      <c r="O14" s="2622" t="n"/>
      <c r="P14" s="2623">
        <f>SUM(D14:O14)</f>
        <v/>
      </c>
      <c r="Q14" s="1436" t="n"/>
      <c r="R14" s="1436" t="n"/>
      <c r="S14" s="2622">
        <f>SUM(S15:S47)</f>
        <v/>
      </c>
      <c r="T14" s="2622">
        <f>SUM(T15:T47)</f>
        <v/>
      </c>
      <c r="U14" s="2622">
        <f>SUM(U15:U47)</f>
        <v/>
      </c>
      <c r="V14" s="2622">
        <f>SUM(V15:V47)</f>
        <v/>
      </c>
      <c r="W14" s="2622">
        <f>SUM(W15:W47)</f>
        <v/>
      </c>
      <c r="X14" s="2622">
        <f>SUM(X15:X47)</f>
        <v/>
      </c>
      <c r="Y14" s="2622">
        <f>SUM(Y15:Y47)</f>
        <v/>
      </c>
      <c r="Z14" s="2622">
        <f>SUM(Z15:Z47)</f>
        <v/>
      </c>
      <c r="AA14" s="2622">
        <f>SUM(AA15:AA47)</f>
        <v/>
      </c>
      <c r="AB14" s="2622">
        <f>SUM(AB15:AB47)</f>
        <v/>
      </c>
      <c r="AC14" s="2622">
        <f>SUM(AC15:AC47)</f>
        <v/>
      </c>
      <c r="AD14" s="2622">
        <f>SUM(AD15:AD47)</f>
        <v/>
      </c>
      <c r="AE14" s="2623">
        <f>SUM(S14:AD14)</f>
        <v/>
      </c>
      <c r="AF14" s="1436" t="n"/>
      <c r="AG14" s="2622">
        <f>SUM(AG15:AG47)</f>
        <v/>
      </c>
      <c r="AH14" s="2622">
        <f>SUM(AH15:AH47)</f>
        <v/>
      </c>
      <c r="AI14" s="2622">
        <f>SUM(AI15:AI47)</f>
        <v/>
      </c>
      <c r="AJ14" s="2622">
        <f>SUM(AJ15:AJ47)</f>
        <v/>
      </c>
      <c r="AK14" s="2622">
        <f>SUM(AK15:AK47)</f>
        <v/>
      </c>
      <c r="AL14" s="2622">
        <f>SUM(AL15:AL47)</f>
        <v/>
      </c>
      <c r="AM14" s="2622">
        <f>SUM(AM15:AM47)</f>
        <v/>
      </c>
      <c r="AN14" s="2622">
        <f>SUM(AN15:AN47)</f>
        <v/>
      </c>
      <c r="AO14" s="2622">
        <f>SUM(AO15:AO47)</f>
        <v/>
      </c>
      <c r="AP14" s="2622">
        <f>SUM(AP15:AP47)</f>
        <v/>
      </c>
      <c r="AQ14" s="2622">
        <f>SUM(AQ15:AQ47)</f>
        <v/>
      </c>
      <c r="AR14" s="2622">
        <f>SUM(AR15:AR47)</f>
        <v/>
      </c>
      <c r="AS14" s="2623">
        <f>SUM(AG14:AR14)</f>
        <v/>
      </c>
      <c r="AU14" s="2622">
        <f>SUM(AU15:AU47)</f>
        <v/>
      </c>
      <c r="AV14" s="2622">
        <f>SUM(AV15:AV47)</f>
        <v/>
      </c>
      <c r="AW14" s="2622">
        <f>SUM(AW15:AW47)</f>
        <v/>
      </c>
      <c r="AX14" s="2622">
        <f>SUM(AX15:AX47)</f>
        <v/>
      </c>
      <c r="AY14" s="2622">
        <f>SUM(AY15:AY47)</f>
        <v/>
      </c>
      <c r="AZ14" s="2622">
        <f>SUM(AZ15:AZ47)</f>
        <v/>
      </c>
      <c r="BA14" s="2622">
        <f>SUM(BA15:BA47)</f>
        <v/>
      </c>
      <c r="BB14" s="2622">
        <f>SUM(BB15:BB47)</f>
        <v/>
      </c>
      <c r="BC14" s="2622">
        <f>SUM(BC15:BC47)</f>
        <v/>
      </c>
      <c r="BD14" s="2622">
        <f>SUM(BD15:BD47)</f>
        <v/>
      </c>
      <c r="BE14" s="2622">
        <f>SUM(BE15:BE47)</f>
        <v/>
      </c>
      <c r="BF14" s="2622">
        <f>SUM(BF15:BF47)</f>
        <v/>
      </c>
      <c r="BG14" s="2624">
        <f>SUM(AU14:BF14)</f>
        <v/>
      </c>
      <c r="BH14" s="2630" t="n"/>
      <c r="BI14" s="2622">
        <f>SUM(BI15:BI47)</f>
        <v/>
      </c>
      <c r="BJ14" s="2622">
        <f>SUM(BJ15:BJ47)</f>
        <v/>
      </c>
      <c r="BK14" s="2622">
        <f>SUM(BK15:BK47)</f>
        <v/>
      </c>
      <c r="BL14" s="2622">
        <f>SUM(BL15:BL47)</f>
        <v/>
      </c>
      <c r="BM14" s="2622">
        <f>SUM(BM15:BM47)</f>
        <v/>
      </c>
      <c r="BN14" s="2622">
        <f>SUM(BN15:BN47)</f>
        <v/>
      </c>
      <c r="BO14" s="2622">
        <f>SUM(BO15:BO47)</f>
        <v/>
      </c>
      <c r="BP14" s="2622">
        <f>SUM(BP15:BP47)</f>
        <v/>
      </c>
      <c r="BQ14" s="2622">
        <f>SUM(BQ15:BQ47)</f>
        <v/>
      </c>
      <c r="BR14" s="2622">
        <f>SUM(BR15:BR47)</f>
        <v/>
      </c>
      <c r="BS14" s="2622">
        <f>SUM(BS15:BS47)</f>
        <v/>
      </c>
      <c r="BT14" s="2622">
        <f>SUM(BT15:BT47)</f>
        <v/>
      </c>
      <c r="BU14" s="2624">
        <f>SUM(BI14:BT14)</f>
        <v/>
      </c>
    </row>
    <row r="15" outlineLevel="1">
      <c r="A15" s="1436" t="n"/>
      <c r="B15" s="1456" t="inlineStr">
        <is>
          <t>급여</t>
        </is>
      </c>
      <c r="C15" s="1456" t="n"/>
      <c r="D15" s="2627" t="n"/>
      <c r="E15" s="2627" t="n"/>
      <c r="F15" s="2627" t="n"/>
      <c r="G15" s="2627" t="n"/>
      <c r="H15" s="2627" t="n"/>
      <c r="I15" s="2627" t="n"/>
      <c r="J15" s="2627" t="n"/>
      <c r="K15" s="2627" t="n"/>
      <c r="L15" s="2627" t="n"/>
      <c r="M15" s="2627" t="n"/>
      <c r="N15" s="2627" t="n"/>
      <c r="O15" s="2627" t="n"/>
      <c r="P15" s="2626">
        <f>SUM(D15:O15)</f>
        <v/>
      </c>
      <c r="Q15" s="1464" t="n"/>
      <c r="R15" s="1436" t="n"/>
      <c r="S15" s="2625">
        <f>SUM(S54,S88)</f>
        <v/>
      </c>
      <c r="T15" s="2625">
        <f>SUM(T54,T88)</f>
        <v/>
      </c>
      <c r="U15" s="2625">
        <f>SUM(U54,U88)</f>
        <v/>
      </c>
      <c r="V15" s="2625">
        <f>SUM(V54,V88)</f>
        <v/>
      </c>
      <c r="W15" s="2625">
        <f>SUM(W54,W88)</f>
        <v/>
      </c>
      <c r="X15" s="2625">
        <f>SUM(X54,X88)</f>
        <v/>
      </c>
      <c r="Y15" s="2625">
        <f>SUM(Y54,Y88)</f>
        <v/>
      </c>
      <c r="Z15" s="2625">
        <f>SUM(Z54,Z88)</f>
        <v/>
      </c>
      <c r="AA15" s="2625">
        <f>SUM(AA54,AA88)</f>
        <v/>
      </c>
      <c r="AB15" s="2625">
        <f>SUM(AB54,AB88)</f>
        <v/>
      </c>
      <c r="AC15" s="2625">
        <f>SUM(AC54,AC88)</f>
        <v/>
      </c>
      <c r="AD15" s="2625">
        <f>SUM(AD54,AD88)</f>
        <v/>
      </c>
      <c r="AE15" s="2626">
        <f>SUM(S15:AD15)</f>
        <v/>
      </c>
      <c r="AF15" s="1464" t="n"/>
      <c r="AG15" s="2625">
        <f>SUM(AG54,AG88)</f>
        <v/>
      </c>
      <c r="AH15" s="2625">
        <f>SUM(AH54,AH88)</f>
        <v/>
      </c>
      <c r="AI15" s="2625">
        <f>SUM(AI54,AI88)</f>
        <v/>
      </c>
      <c r="AJ15" s="2625">
        <f>SUM(AJ54,AJ88)</f>
        <v/>
      </c>
      <c r="AK15" s="2625">
        <f>SUM(AK54,AK88)</f>
        <v/>
      </c>
      <c r="AL15" s="2625">
        <f>SUM(AL54,AL88)</f>
        <v/>
      </c>
      <c r="AM15" s="2625">
        <f>SUM(AM54,AM88)</f>
        <v/>
      </c>
      <c r="AN15" s="2625">
        <f>SUM(AN54,AN88)</f>
        <v/>
      </c>
      <c r="AO15" s="2625">
        <f>SUM(AO54,AO88)</f>
        <v/>
      </c>
      <c r="AP15" s="2625">
        <f>SUM(AP54,AP88)</f>
        <v/>
      </c>
      <c r="AQ15" s="2625">
        <f>SUM(AQ54,AQ88)</f>
        <v/>
      </c>
      <c r="AR15" s="2625">
        <f>SUM(AR54,AR88)</f>
        <v/>
      </c>
      <c r="AS15" s="2626">
        <f>SUM(AG15:AR15)</f>
        <v/>
      </c>
      <c r="AT15" s="2627" t="n"/>
      <c r="AU15" s="2625">
        <f>SUM(AU54,AU88)</f>
        <v/>
      </c>
      <c r="AV15" s="2625">
        <f>SUM(AV54,AV88)</f>
        <v/>
      </c>
      <c r="AW15" s="2625">
        <f>SUM(AW54,AW88)</f>
        <v/>
      </c>
      <c r="AX15" s="2625">
        <f>SUM(AX54,AX88)</f>
        <v/>
      </c>
      <c r="AY15" s="2625">
        <f>SUM(AY54,AY88)</f>
        <v/>
      </c>
      <c r="AZ15" s="2625">
        <f>SUM(AZ54,AZ88)</f>
        <v/>
      </c>
      <c r="BA15" s="2625">
        <f>SUM(BA54,BA88)</f>
        <v/>
      </c>
      <c r="BB15" s="2625">
        <f>SUM(BB54,BB88)</f>
        <v/>
      </c>
      <c r="BC15" s="2625">
        <f>SUM(BC54,BC88)</f>
        <v/>
      </c>
      <c r="BD15" s="2625">
        <f>SUM(BD54,BD88)</f>
        <v/>
      </c>
      <c r="BE15" s="2625">
        <f>SUM(BE54,BE88)</f>
        <v/>
      </c>
      <c r="BF15" s="2627">
        <f>SUM(BF54,BF88)</f>
        <v/>
      </c>
      <c r="BG15" s="2628">
        <f>SUM(AU15:BF15)</f>
        <v/>
      </c>
      <c r="BH15" s="2631" t="n"/>
      <c r="BI15" s="2627">
        <f>SUM(BI54,BI88)</f>
        <v/>
      </c>
      <c r="BJ15" s="2627">
        <f>SUM(BJ54,BJ88)</f>
        <v/>
      </c>
      <c r="BK15" s="2627">
        <f>SUM(BK54,BK88)</f>
        <v/>
      </c>
      <c r="BL15" s="2627">
        <f>SUM(BL54,BL88)</f>
        <v/>
      </c>
      <c r="BM15" s="2627">
        <f>SUM(BM54,BM88)</f>
        <v/>
      </c>
      <c r="BN15" s="2627">
        <f>SUM(BN54,BN88)</f>
        <v/>
      </c>
      <c r="BO15" s="2627">
        <f>SUM(BO54,BO88)</f>
        <v/>
      </c>
      <c r="BP15" s="2627">
        <f>SUM(BP54,BP88)</f>
        <v/>
      </c>
      <c r="BQ15" s="2627">
        <f>SUM(BQ54,BQ88)</f>
        <v/>
      </c>
      <c r="BR15" s="2627">
        <f>SUM(BR54,BR88)</f>
        <v/>
      </c>
      <c r="BS15" s="2627">
        <f>SUM(BS54,BS88)</f>
        <v/>
      </c>
      <c r="BT15" s="2627">
        <f>SUM(BT54,BT88)</f>
        <v/>
      </c>
      <c r="BU15" s="2628">
        <f>SUM(BI15:BT15)</f>
        <v/>
      </c>
    </row>
    <row r="16" outlineLevel="1">
      <c r="A16" s="1436" t="n"/>
      <c r="B16" s="1456" t="inlineStr">
        <is>
          <t>상여</t>
        </is>
      </c>
      <c r="C16" s="1456" t="n"/>
      <c r="D16" s="2627" t="n"/>
      <c r="E16" s="2627" t="n"/>
      <c r="F16" s="2627" t="n"/>
      <c r="G16" s="2627" t="n"/>
      <c r="H16" s="2627" t="n"/>
      <c r="I16" s="2627" t="n"/>
      <c r="J16" s="2627" t="n"/>
      <c r="K16" s="2627" t="n"/>
      <c r="L16" s="2627" t="n"/>
      <c r="M16" s="2627" t="n"/>
      <c r="N16" s="2627" t="n"/>
      <c r="O16" s="2627" t="n"/>
      <c r="P16" s="2626">
        <f>SUM(D16:O16)</f>
        <v/>
      </c>
      <c r="Q16" s="1466" t="n"/>
      <c r="R16" s="1436" t="n"/>
      <c r="S16" s="2625">
        <f>SUM(S55,S89)</f>
        <v/>
      </c>
      <c r="T16" s="2625">
        <f>SUM(T55,T89)</f>
        <v/>
      </c>
      <c r="U16" s="2625">
        <f>SUM(U55,U89)</f>
        <v/>
      </c>
      <c r="V16" s="2625">
        <f>SUM(V55,V89)</f>
        <v/>
      </c>
      <c r="W16" s="2625">
        <f>SUM(W55,W89)</f>
        <v/>
      </c>
      <c r="X16" s="2625">
        <f>SUM(X55,X89)</f>
        <v/>
      </c>
      <c r="Y16" s="2625">
        <f>SUM(Y55,Y89)</f>
        <v/>
      </c>
      <c r="Z16" s="2625">
        <f>SUM(Z55,Z89)</f>
        <v/>
      </c>
      <c r="AA16" s="2625">
        <f>SUM(AA55,AA89)</f>
        <v/>
      </c>
      <c r="AB16" s="2625">
        <f>SUM(AB55,AB89)</f>
        <v/>
      </c>
      <c r="AC16" s="2625">
        <f>SUM(AC55,AC89)</f>
        <v/>
      </c>
      <c r="AD16" s="2625">
        <f>SUM(AD55,AD89)</f>
        <v/>
      </c>
      <c r="AE16" s="2626">
        <f>SUM(S16:AD16)</f>
        <v/>
      </c>
      <c r="AF16" s="1466" t="n"/>
      <c r="AG16" s="2625">
        <f>SUM(AG55,AG89)</f>
        <v/>
      </c>
      <c r="AH16" s="2625">
        <f>SUM(AH55,AH89)</f>
        <v/>
      </c>
      <c r="AI16" s="2625">
        <f>SUM(AI55,AI89)</f>
        <v/>
      </c>
      <c r="AJ16" s="2625">
        <f>SUM(AJ55,AJ89)</f>
        <v/>
      </c>
      <c r="AK16" s="2625">
        <f>SUM(AK55,AK89)</f>
        <v/>
      </c>
      <c r="AL16" s="2625">
        <f>SUM(AL55,AL89)</f>
        <v/>
      </c>
      <c r="AM16" s="2625">
        <f>SUM(AM55,AM89)</f>
        <v/>
      </c>
      <c r="AN16" s="2625">
        <f>SUM(AN55,AN89)</f>
        <v/>
      </c>
      <c r="AO16" s="2625">
        <f>SUM(AO55,AO89)</f>
        <v/>
      </c>
      <c r="AP16" s="2625">
        <f>SUM(AP55,AP89)</f>
        <v/>
      </c>
      <c r="AQ16" s="2625">
        <f>SUM(AQ55,AQ89)</f>
        <v/>
      </c>
      <c r="AR16" s="2625">
        <f>SUM(AR55,AR89)</f>
        <v/>
      </c>
      <c r="AS16" s="2626">
        <f>SUM(AG16:AR16)</f>
        <v/>
      </c>
      <c r="AU16" s="2625">
        <f>SUM(AU55,AU89)</f>
        <v/>
      </c>
      <c r="AV16" s="2625">
        <f>SUM(AV55,AV89)</f>
        <v/>
      </c>
      <c r="AW16" s="2625">
        <f>SUM(AW55,AW89)</f>
        <v/>
      </c>
      <c r="AX16" s="2625">
        <f>SUM(AX55,AX89)</f>
        <v/>
      </c>
      <c r="AY16" s="2625">
        <f>SUM(AY55,AY89)</f>
        <v/>
      </c>
      <c r="AZ16" s="2625">
        <f>SUM(AZ55,AZ89)</f>
        <v/>
      </c>
      <c r="BA16" s="2625">
        <f>SUM(BA55,BA89)</f>
        <v/>
      </c>
      <c r="BB16" s="2625">
        <f>SUM(BB55,BB89)</f>
        <v/>
      </c>
      <c r="BC16" s="2625">
        <f>SUM(BC55,BC89)</f>
        <v/>
      </c>
      <c r="BD16" s="2625">
        <f>SUM(BD55,BD89)</f>
        <v/>
      </c>
      <c r="BE16" s="2625">
        <f>SUM(BE55,BE89)</f>
        <v/>
      </c>
      <c r="BF16" s="2627">
        <f>SUM(BF55,BF89)</f>
        <v/>
      </c>
      <c r="BG16" s="2628">
        <f>SUM(AU16:BF16)</f>
        <v/>
      </c>
      <c r="BH16" s="2631" t="n"/>
      <c r="BI16" s="2627">
        <f>SUM(BI55,BI89)</f>
        <v/>
      </c>
      <c r="BJ16" s="2627">
        <f>SUM(BJ55,BJ89)</f>
        <v/>
      </c>
      <c r="BK16" s="2627">
        <f>SUM(BK55,BK89)</f>
        <v/>
      </c>
      <c r="BL16" s="2627">
        <f>SUM(BL55,BL89)</f>
        <v/>
      </c>
      <c r="BM16" s="2627">
        <f>SUM(BM55,BM89)</f>
        <v/>
      </c>
      <c r="BN16" s="2627">
        <f>SUM(BN55,BN89)</f>
        <v/>
      </c>
      <c r="BO16" s="2627">
        <f>SUM(BO55,BO89)</f>
        <v/>
      </c>
      <c r="BP16" s="2627">
        <f>SUM(BP55,BP89)</f>
        <v/>
      </c>
      <c r="BQ16" s="2627">
        <f>SUM(BQ55,BQ89)</f>
        <v/>
      </c>
      <c r="BR16" s="2627">
        <f>SUM(BR55,BR89)</f>
        <v/>
      </c>
      <c r="BS16" s="2627">
        <f>SUM(BS55,BS89)</f>
        <v/>
      </c>
      <c r="BT16" s="2627">
        <f>SUM(BT55,BT89)</f>
        <v/>
      </c>
      <c r="BU16" s="2628">
        <f>SUM(BI16:BT16)</f>
        <v/>
      </c>
    </row>
    <row r="17" outlineLevel="1">
      <c r="A17" s="1436" t="n"/>
      <c r="B17" s="1456" t="inlineStr">
        <is>
          <t>퇴직급여</t>
        </is>
      </c>
      <c r="C17" s="1456" t="n"/>
      <c r="D17" s="2627" t="n"/>
      <c r="E17" s="2627" t="n"/>
      <c r="F17" s="2627" t="n"/>
      <c r="G17" s="2627" t="n"/>
      <c r="H17" s="2627" t="n"/>
      <c r="I17" s="2627" t="n"/>
      <c r="J17" s="2627" t="n"/>
      <c r="K17" s="2627" t="n"/>
      <c r="L17" s="2627" t="n"/>
      <c r="M17" s="2627" t="n"/>
      <c r="N17" s="2627" t="n"/>
      <c r="O17" s="2627" t="n"/>
      <c r="P17" s="2626">
        <f>SUM(D17:O17)</f>
        <v/>
      </c>
      <c r="Q17" s="1464" t="n"/>
      <c r="R17" s="1436" t="n"/>
      <c r="S17" s="2625">
        <f>SUM(S56,S90)</f>
        <v/>
      </c>
      <c r="T17" s="2625">
        <f>SUM(T56,T90)</f>
        <v/>
      </c>
      <c r="U17" s="2625">
        <f>SUM(U56,U90)</f>
        <v/>
      </c>
      <c r="V17" s="2625">
        <f>SUM(V56,V90)</f>
        <v/>
      </c>
      <c r="W17" s="2625">
        <f>SUM(W56,W90)</f>
        <v/>
      </c>
      <c r="X17" s="2625">
        <f>SUM(X56,X90)</f>
        <v/>
      </c>
      <c r="Y17" s="2625">
        <f>SUM(Y56,Y90)</f>
        <v/>
      </c>
      <c r="Z17" s="2625">
        <f>SUM(Z56,Z90)</f>
        <v/>
      </c>
      <c r="AA17" s="2625">
        <f>SUM(AA56,AA90)</f>
        <v/>
      </c>
      <c r="AB17" s="2625">
        <f>SUM(AB56,AB90)</f>
        <v/>
      </c>
      <c r="AC17" s="2625">
        <f>SUM(AC56,AC90)</f>
        <v/>
      </c>
      <c r="AD17" s="2625">
        <f>SUM(AD56,AD90)</f>
        <v/>
      </c>
      <c r="AE17" s="2626">
        <f>SUM(S17:AD17)</f>
        <v/>
      </c>
      <c r="AF17" s="1464" t="n"/>
      <c r="AG17" s="2625">
        <f>SUM(AG56,AG90)</f>
        <v/>
      </c>
      <c r="AH17" s="2625">
        <f>SUM(AH56,AH90)</f>
        <v/>
      </c>
      <c r="AI17" s="2625">
        <f>SUM(AI56,AI90)</f>
        <v/>
      </c>
      <c r="AJ17" s="2625">
        <f>SUM(AJ56,AJ90)</f>
        <v/>
      </c>
      <c r="AK17" s="2625">
        <f>SUM(AK56,AK90)</f>
        <v/>
      </c>
      <c r="AL17" s="2625">
        <f>SUM(AL56,AL90)</f>
        <v/>
      </c>
      <c r="AM17" s="2625">
        <f>SUM(AM56,AM90)</f>
        <v/>
      </c>
      <c r="AN17" s="2625">
        <f>SUM(AN56,AN90)</f>
        <v/>
      </c>
      <c r="AO17" s="2625">
        <f>SUM(AO56,AO90)</f>
        <v/>
      </c>
      <c r="AP17" s="2625">
        <f>SUM(AP56,AP90)</f>
        <v/>
      </c>
      <c r="AQ17" s="2625">
        <f>SUM(AQ56,AQ90)</f>
        <v/>
      </c>
      <c r="AR17" s="2625">
        <f>SUM(AR56,AR90)</f>
        <v/>
      </c>
      <c r="AS17" s="2626">
        <f>SUM(AG17:AR17)</f>
        <v/>
      </c>
      <c r="AU17" s="2625">
        <f>SUM(AU56,AU90)</f>
        <v/>
      </c>
      <c r="AV17" s="2625">
        <f>SUM(AV56,AV90)</f>
        <v/>
      </c>
      <c r="AW17" s="2625">
        <f>SUM(AW56,AW90)</f>
        <v/>
      </c>
      <c r="AX17" s="2625">
        <f>SUM(AX56,AX90)</f>
        <v/>
      </c>
      <c r="AY17" s="2625">
        <f>SUM(AY56,AY90)</f>
        <v/>
      </c>
      <c r="AZ17" s="2625">
        <f>SUM(AZ56,AZ90)</f>
        <v/>
      </c>
      <c r="BA17" s="2625">
        <f>SUM(BA56,BA90)</f>
        <v/>
      </c>
      <c r="BB17" s="2625">
        <f>SUM(BB56,BB90)</f>
        <v/>
      </c>
      <c r="BC17" s="2625">
        <f>SUM(BC56,BC90)</f>
        <v/>
      </c>
      <c r="BD17" s="2625">
        <f>SUM(BD56,BD90)</f>
        <v/>
      </c>
      <c r="BE17" s="2625">
        <f>SUM(BE56,BE90)</f>
        <v/>
      </c>
      <c r="BF17" s="2627">
        <f>SUM(BF56,BF90)</f>
        <v/>
      </c>
      <c r="BG17" s="2628">
        <f>SUM(AU17:BF17)</f>
        <v/>
      </c>
      <c r="BH17" s="2631" t="n"/>
      <c r="BI17" s="2627">
        <f>SUM(BI56,BI90)</f>
        <v/>
      </c>
      <c r="BJ17" s="2627">
        <f>SUM(BJ56,BJ90)</f>
        <v/>
      </c>
      <c r="BK17" s="2627">
        <f>SUM(BK56,BK90)</f>
        <v/>
      </c>
      <c r="BL17" s="2627">
        <f>SUM(BL56,BL90)</f>
        <v/>
      </c>
      <c r="BM17" s="2627">
        <f>SUM(BM56,BM90)</f>
        <v/>
      </c>
      <c r="BN17" s="2627">
        <f>SUM(BN56,BN90)</f>
        <v/>
      </c>
      <c r="BO17" s="2627">
        <f>SUM(BO56,BO90)</f>
        <v/>
      </c>
      <c r="BP17" s="2627">
        <f>SUM(BP56,BP90)</f>
        <v/>
      </c>
      <c r="BQ17" s="2627">
        <f>SUM(BQ56,BQ90)</f>
        <v/>
      </c>
      <c r="BR17" s="2627">
        <f>SUM(BR56,BR90)</f>
        <v/>
      </c>
      <c r="BS17" s="2627">
        <f>SUM(BS56,BS90)</f>
        <v/>
      </c>
      <c r="BT17" s="2627">
        <f>SUM(BT56,BT90)</f>
        <v/>
      </c>
      <c r="BU17" s="2628">
        <f>SUM(BI17:BT17)</f>
        <v/>
      </c>
    </row>
    <row r="18" outlineLevel="1">
      <c r="A18" s="1436" t="n"/>
      <c r="B18" s="1456" t="inlineStr">
        <is>
          <t>복리후생비</t>
        </is>
      </c>
      <c r="C18" s="1456" t="n"/>
      <c r="D18" s="2627" t="n"/>
      <c r="E18" s="2627" t="n"/>
      <c r="F18" s="2627" t="n"/>
      <c r="G18" s="2627" t="n"/>
      <c r="H18" s="2627" t="n"/>
      <c r="I18" s="2627" t="n"/>
      <c r="J18" s="2627" t="n"/>
      <c r="K18" s="2627" t="n"/>
      <c r="L18" s="2627" t="n"/>
      <c r="M18" s="2627" t="n"/>
      <c r="N18" s="2627" t="n"/>
      <c r="O18" s="2627" t="n"/>
      <c r="P18" s="2626">
        <f>SUM(D18:O18)</f>
        <v/>
      </c>
      <c r="Q18" s="1464" t="n"/>
      <c r="R18" s="1436" t="n"/>
      <c r="S18" s="2625">
        <f>SUM(S57,S91)</f>
        <v/>
      </c>
      <c r="T18" s="2625">
        <f>SUM(T57,T91)</f>
        <v/>
      </c>
      <c r="U18" s="2625">
        <f>SUM(U57,U91)</f>
        <v/>
      </c>
      <c r="V18" s="2625">
        <f>SUM(V57,V91)</f>
        <v/>
      </c>
      <c r="W18" s="2625">
        <f>SUM(W57,W91)</f>
        <v/>
      </c>
      <c r="X18" s="2625">
        <f>SUM(X57,X91)</f>
        <v/>
      </c>
      <c r="Y18" s="2625">
        <f>SUM(Y57,Y91)</f>
        <v/>
      </c>
      <c r="Z18" s="2625">
        <f>SUM(Z57,Z91)</f>
        <v/>
      </c>
      <c r="AA18" s="2625">
        <f>SUM(AA57,AA91)</f>
        <v/>
      </c>
      <c r="AB18" s="2625">
        <f>SUM(AB57,AB91)</f>
        <v/>
      </c>
      <c r="AC18" s="2625">
        <f>SUM(AC57,AC91)</f>
        <v/>
      </c>
      <c r="AD18" s="2625">
        <f>SUM(AD57,AD91)</f>
        <v/>
      </c>
      <c r="AE18" s="2626">
        <f>SUM(S18:AD18)</f>
        <v/>
      </c>
      <c r="AF18" s="1464" t="n"/>
      <c r="AG18" s="2625">
        <f>SUM(AG57,AG91)</f>
        <v/>
      </c>
      <c r="AH18" s="2625">
        <f>SUM(AH57,AH91)</f>
        <v/>
      </c>
      <c r="AI18" s="2625">
        <f>SUM(AI57,AI91)</f>
        <v/>
      </c>
      <c r="AJ18" s="2625">
        <f>SUM(AJ57,AJ91)</f>
        <v/>
      </c>
      <c r="AK18" s="2625">
        <f>SUM(AK57,AK91)</f>
        <v/>
      </c>
      <c r="AL18" s="2625">
        <f>SUM(AL57,AL91)</f>
        <v/>
      </c>
      <c r="AM18" s="2625">
        <f>SUM(AM57,AM91)</f>
        <v/>
      </c>
      <c r="AN18" s="2625">
        <f>SUM(AN57,AN91)</f>
        <v/>
      </c>
      <c r="AO18" s="2625">
        <f>SUM(AO57,AO91)</f>
        <v/>
      </c>
      <c r="AP18" s="2625">
        <f>SUM(AP57,AP91)</f>
        <v/>
      </c>
      <c r="AQ18" s="2625">
        <f>SUM(AQ57,AQ91)</f>
        <v/>
      </c>
      <c r="AR18" s="2625">
        <f>SUM(AR57,AR91)</f>
        <v/>
      </c>
      <c r="AS18" s="2626">
        <f>SUM(AG18:AR18)</f>
        <v/>
      </c>
      <c r="AU18" s="2625">
        <f>SUM(AU57,AU91)</f>
        <v/>
      </c>
      <c r="AV18" s="2625">
        <f>SUM(AV57,AV91)</f>
        <v/>
      </c>
      <c r="AW18" s="2625">
        <f>SUM(AW57,AW91)</f>
        <v/>
      </c>
      <c r="AX18" s="2625">
        <f>SUM(AX57,AX91)</f>
        <v/>
      </c>
      <c r="AY18" s="2625">
        <f>SUM(AY57,AY91)</f>
        <v/>
      </c>
      <c r="AZ18" s="2625">
        <f>SUM(AZ57,AZ91)</f>
        <v/>
      </c>
      <c r="BA18" s="2625">
        <f>SUM(BA57,BA91)</f>
        <v/>
      </c>
      <c r="BB18" s="2625">
        <f>SUM(BB57,BB91)</f>
        <v/>
      </c>
      <c r="BC18" s="2625">
        <f>SUM(BC57,BC91)</f>
        <v/>
      </c>
      <c r="BD18" s="2625">
        <f>SUM(BD57,BD91)</f>
        <v/>
      </c>
      <c r="BE18" s="2625">
        <f>SUM(BE57,BE91)</f>
        <v/>
      </c>
      <c r="BF18" s="2627">
        <f>SUM(BF57,BF91)</f>
        <v/>
      </c>
      <c r="BG18" s="2628">
        <f>SUM(AU18:BF18)</f>
        <v/>
      </c>
      <c r="BH18" s="2631" t="n"/>
      <c r="BI18" s="2627">
        <f>SUM(BI57,BI91)</f>
        <v/>
      </c>
      <c r="BJ18" s="2627">
        <f>SUM(BJ57,BJ91)</f>
        <v/>
      </c>
      <c r="BK18" s="2627">
        <f>SUM(BK57,BK91)</f>
        <v/>
      </c>
      <c r="BL18" s="2627">
        <f>SUM(BL57,BL91)</f>
        <v/>
      </c>
      <c r="BM18" s="2627">
        <f>SUM(BM57,BM91)</f>
        <v/>
      </c>
      <c r="BN18" s="2627">
        <f>SUM(BN57,BN91)</f>
        <v/>
      </c>
      <c r="BO18" s="2627">
        <f>SUM(BO57,BO91)</f>
        <v/>
      </c>
      <c r="BP18" s="2627">
        <f>SUM(BP57,BP91)</f>
        <v/>
      </c>
      <c r="BQ18" s="2627">
        <f>SUM(BQ57,BQ91)</f>
        <v/>
      </c>
      <c r="BR18" s="2627">
        <f>SUM(BR57,BR91)</f>
        <v/>
      </c>
      <c r="BS18" s="2627">
        <f>SUM(BS57,BS91)</f>
        <v/>
      </c>
      <c r="BT18" s="2627">
        <f>SUM(BT57,BT91)</f>
        <v/>
      </c>
      <c r="BU18" s="2628">
        <f>SUM(BI18:BT18)</f>
        <v/>
      </c>
    </row>
    <row r="19" outlineLevel="1" customFormat="1" s="1498">
      <c r="A19" s="1494" t="n"/>
      <c r="B19" s="1495" t="inlineStr">
        <is>
          <t>감가상각비</t>
        </is>
      </c>
      <c r="C19" s="1495" t="n"/>
      <c r="D19" s="2641" t="n"/>
      <c r="E19" s="2641" t="n"/>
      <c r="F19" s="2641" t="n"/>
      <c r="G19" s="2641" t="n"/>
      <c r="H19" s="2641" t="n"/>
      <c r="I19" s="2641" t="n"/>
      <c r="J19" s="2641" t="n"/>
      <c r="K19" s="2641" t="n"/>
      <c r="L19" s="2641" t="n"/>
      <c r="M19" s="2641" t="n"/>
      <c r="N19" s="2641" t="n"/>
      <c r="O19" s="2641" t="n"/>
      <c r="P19" s="2641">
        <f>SUM(D19:O19)</f>
        <v/>
      </c>
      <c r="Q19" s="1497" t="n"/>
      <c r="R19" s="1494" t="n"/>
      <c r="S19" s="2641">
        <f>SUM(S58,S92)</f>
        <v/>
      </c>
      <c r="T19" s="2641">
        <f>SUM(T58,T92)</f>
        <v/>
      </c>
      <c r="U19" s="2641">
        <f>SUM(U58,U92)</f>
        <v/>
      </c>
      <c r="V19" s="2641">
        <f>SUM(V58,V92)</f>
        <v/>
      </c>
      <c r="W19" s="2641">
        <f>SUM(W58,W92)</f>
        <v/>
      </c>
      <c r="X19" s="2641">
        <f>SUM(X58,X92)</f>
        <v/>
      </c>
      <c r="Y19" s="2641">
        <f>SUM(Y58,Y92)</f>
        <v/>
      </c>
      <c r="Z19" s="2641">
        <f>SUM(Z58,Z92)</f>
        <v/>
      </c>
      <c r="AA19" s="2641">
        <f>SUM(AA58,AA92)</f>
        <v/>
      </c>
      <c r="AB19" s="2641">
        <f>SUM(AB58,AB92)</f>
        <v/>
      </c>
      <c r="AC19" s="2641">
        <f>SUM(AC58,AC92)</f>
        <v/>
      </c>
      <c r="AD19" s="2641">
        <f>SUM(AD58,AD92)</f>
        <v/>
      </c>
      <c r="AE19" s="2641">
        <f>SUM(S19:AD19)</f>
        <v/>
      </c>
      <c r="AF19" s="1497" t="n"/>
      <c r="AG19" s="2641">
        <f>SUM(AG58,AG92)</f>
        <v/>
      </c>
      <c r="AH19" s="2641">
        <f>SUM(AH58,AH92)</f>
        <v/>
      </c>
      <c r="AI19" s="2641">
        <f>SUM(AI58,AI92)</f>
        <v/>
      </c>
      <c r="AJ19" s="2641">
        <f>SUM(AJ58,AJ92)</f>
        <v/>
      </c>
      <c r="AK19" s="2641">
        <f>SUM(AK58,AK92)</f>
        <v/>
      </c>
      <c r="AL19" s="2641">
        <f>SUM(AL58,AL92)</f>
        <v/>
      </c>
      <c r="AM19" s="2641">
        <f>SUM(AM58,AM92)</f>
        <v/>
      </c>
      <c r="AN19" s="2641">
        <f>SUM(AN58,AN92)</f>
        <v/>
      </c>
      <c r="AO19" s="2641">
        <f>SUM(AO58,AO92)</f>
        <v/>
      </c>
      <c r="AP19" s="2641">
        <f>SUM(AP58,AP92)</f>
        <v/>
      </c>
      <c r="AQ19" s="2641">
        <f>SUM(AQ58,AQ92)</f>
        <v/>
      </c>
      <c r="AR19" s="2641">
        <f>SUM(AR58,AR92)</f>
        <v/>
      </c>
      <c r="AS19" s="2641">
        <f>SUM(AG19:AR19)</f>
        <v/>
      </c>
      <c r="AU19" s="2641">
        <f>SUM(AU58,AU92)</f>
        <v/>
      </c>
      <c r="AV19" s="2641">
        <f>SUM(AV58,AV92)</f>
        <v/>
      </c>
      <c r="AW19" s="2641">
        <f>SUM(AW58,AW92)</f>
        <v/>
      </c>
      <c r="AX19" s="2641">
        <f>SUM(AX58,AX92)</f>
        <v/>
      </c>
      <c r="AY19" s="2641">
        <f>SUM(AY58,AY92)</f>
        <v/>
      </c>
      <c r="AZ19" s="2641">
        <f>SUM(AZ58,AZ92)</f>
        <v/>
      </c>
      <c r="BA19" s="2641">
        <f>SUM(BA58,BA92)</f>
        <v/>
      </c>
      <c r="BB19" s="2641">
        <f>SUM(BB58,BB92)</f>
        <v/>
      </c>
      <c r="BC19" s="2641">
        <f>SUM(BC58,BC92)</f>
        <v/>
      </c>
      <c r="BD19" s="2641">
        <f>SUM(BD58,BD92)</f>
        <v/>
      </c>
      <c r="BE19" s="2641">
        <f>SUM(BE58,BE92)</f>
        <v/>
      </c>
      <c r="BF19" s="2641">
        <f>SUM(BF58,BF92)</f>
        <v/>
      </c>
      <c r="BG19" s="2641">
        <f>SUM(AU19:BF19)</f>
        <v/>
      </c>
      <c r="BH19" s="2642" t="n"/>
      <c r="BI19" s="2641">
        <f>SUM(BI58,BI92)</f>
        <v/>
      </c>
      <c r="BJ19" s="2641">
        <f>SUM(BJ58,BJ92)</f>
        <v/>
      </c>
      <c r="BK19" s="2641">
        <f>SUM(BK58,BK92)</f>
        <v/>
      </c>
      <c r="BL19" s="2641">
        <f>SUM(BL58,BL92)</f>
        <v/>
      </c>
      <c r="BM19" s="2641">
        <f>SUM(BM58,BM92)</f>
        <v/>
      </c>
      <c r="BN19" s="2641">
        <f>SUM(BN58,BN92)</f>
        <v/>
      </c>
      <c r="BO19" s="2641">
        <f>SUM(BO58,BO92)</f>
        <v/>
      </c>
      <c r="BP19" s="2641">
        <f>SUM(BP58,BP92)</f>
        <v/>
      </c>
      <c r="BQ19" s="2641">
        <f>SUM(BQ58,BQ92)</f>
        <v/>
      </c>
      <c r="BR19" s="2641">
        <f>SUM(BR58,BR92)</f>
        <v/>
      </c>
      <c r="BS19" s="2641">
        <f>SUM(BS58,BS92)</f>
        <v/>
      </c>
      <c r="BT19" s="2641">
        <f>SUM(BT58,BT92)</f>
        <v/>
      </c>
      <c r="BU19" s="2641">
        <f>SUM(BI19:BT19)</f>
        <v/>
      </c>
    </row>
    <row r="20" outlineLevel="1">
      <c r="A20" s="1436" t="n"/>
      <c r="B20" s="1456" t="inlineStr">
        <is>
          <t>여비교통비</t>
        </is>
      </c>
      <c r="C20" s="1456" t="n"/>
      <c r="D20" s="2627" t="n"/>
      <c r="E20" s="2627" t="n"/>
      <c r="F20" s="2627" t="n"/>
      <c r="G20" s="2627" t="n"/>
      <c r="H20" s="2627" t="n"/>
      <c r="I20" s="2627" t="n"/>
      <c r="J20" s="2627" t="n"/>
      <c r="K20" s="2627" t="n"/>
      <c r="L20" s="2627" t="n"/>
      <c r="M20" s="2627" t="n"/>
      <c r="N20" s="2627" t="n"/>
      <c r="O20" s="2627" t="n"/>
      <c r="P20" s="2626">
        <f>SUM(D20:O20)</f>
        <v/>
      </c>
      <c r="Q20" s="1464" t="n"/>
      <c r="R20" s="1436" t="n"/>
      <c r="S20" s="2625">
        <f>SUM(S59,S93)</f>
        <v/>
      </c>
      <c r="T20" s="2625">
        <f>SUM(T59,T93)</f>
        <v/>
      </c>
      <c r="U20" s="2625">
        <f>SUM(U59,U93)</f>
        <v/>
      </c>
      <c r="V20" s="2625">
        <f>SUM(V59,V93)</f>
        <v/>
      </c>
      <c r="W20" s="2625">
        <f>SUM(W59,W93)</f>
        <v/>
      </c>
      <c r="X20" s="2625">
        <f>SUM(X59,X93)</f>
        <v/>
      </c>
      <c r="Y20" s="2625">
        <f>SUM(Y59,Y93)</f>
        <v/>
      </c>
      <c r="Z20" s="2625">
        <f>SUM(Z59,Z93)</f>
        <v/>
      </c>
      <c r="AA20" s="2625">
        <f>SUM(AA59,AA93)</f>
        <v/>
      </c>
      <c r="AB20" s="2625">
        <f>SUM(AB59,AB93)</f>
        <v/>
      </c>
      <c r="AC20" s="2625">
        <f>SUM(AC59,AC93)</f>
        <v/>
      </c>
      <c r="AD20" s="2625">
        <f>SUM(AD59,AD93)</f>
        <v/>
      </c>
      <c r="AE20" s="2626">
        <f>SUM(S20:AD20)</f>
        <v/>
      </c>
      <c r="AF20" s="1464" t="n"/>
      <c r="AG20" s="2625">
        <f>SUM(AG59,AG93)</f>
        <v/>
      </c>
      <c r="AH20" s="2625">
        <f>SUM(AH59,AH93)</f>
        <v/>
      </c>
      <c r="AI20" s="2625">
        <f>SUM(AI59,AI93)</f>
        <v/>
      </c>
      <c r="AJ20" s="2625">
        <f>SUM(AJ59,AJ93)</f>
        <v/>
      </c>
      <c r="AK20" s="2625">
        <f>SUM(AK59,AK93)</f>
        <v/>
      </c>
      <c r="AL20" s="2625">
        <f>SUM(AL59,AL93)</f>
        <v/>
      </c>
      <c r="AM20" s="2625">
        <f>SUM(AM59,AM93)</f>
        <v/>
      </c>
      <c r="AN20" s="2625">
        <f>SUM(AN59,AN93)</f>
        <v/>
      </c>
      <c r="AO20" s="2625">
        <f>SUM(AO59,AO93)</f>
        <v/>
      </c>
      <c r="AP20" s="2625">
        <f>SUM(AP59,AP93)</f>
        <v/>
      </c>
      <c r="AQ20" s="2625">
        <f>SUM(AQ59,AQ93)</f>
        <v/>
      </c>
      <c r="AR20" s="2625">
        <f>SUM(AR59,AR93)</f>
        <v/>
      </c>
      <c r="AS20" s="2626">
        <f>SUM(AG20:AR20)</f>
        <v/>
      </c>
      <c r="AU20" s="2625">
        <f>SUM(AU59,AU93)</f>
        <v/>
      </c>
      <c r="AV20" s="2625">
        <f>SUM(AV59,AV93)</f>
        <v/>
      </c>
      <c r="AW20" s="2625">
        <f>SUM(AW59,AW93)</f>
        <v/>
      </c>
      <c r="AX20" s="2625">
        <f>SUM(AX59,AX93)</f>
        <v/>
      </c>
      <c r="AY20" s="2625">
        <f>SUM(AY59,AY93)</f>
        <v/>
      </c>
      <c r="AZ20" s="2625">
        <f>SUM(AZ59,AZ93)</f>
        <v/>
      </c>
      <c r="BA20" s="2625">
        <f>SUM(BA59,BA93)</f>
        <v/>
      </c>
      <c r="BB20" s="2625">
        <f>SUM(BB59,BB93)</f>
        <v/>
      </c>
      <c r="BC20" s="2625">
        <f>SUM(BC59,BC93)</f>
        <v/>
      </c>
      <c r="BD20" s="2625">
        <f>SUM(BD59,BD93)</f>
        <v/>
      </c>
      <c r="BE20" s="2625">
        <f>SUM(BE59,BE93)</f>
        <v/>
      </c>
      <c r="BF20" s="2627">
        <f>SUM(BF59,BF93)</f>
        <v/>
      </c>
      <c r="BG20" s="2628">
        <f>SUM(AU20:BF20)</f>
        <v/>
      </c>
      <c r="BH20" s="2631" t="n"/>
      <c r="BI20" s="2627">
        <f>SUM(BI59,BI93)</f>
        <v/>
      </c>
      <c r="BJ20" s="2627">
        <f>SUM(BJ59,BJ93)</f>
        <v/>
      </c>
      <c r="BK20" s="2627">
        <f>SUM(BK59,BK93)</f>
        <v/>
      </c>
      <c r="BL20" s="2627">
        <f>SUM(BL59,BL93)</f>
        <v/>
      </c>
      <c r="BM20" s="2627">
        <f>SUM(BM59,BM93)</f>
        <v/>
      </c>
      <c r="BN20" s="2627">
        <f>SUM(BN59,BN93)</f>
        <v/>
      </c>
      <c r="BO20" s="2627">
        <f>SUM(BO59,BO93)</f>
        <v/>
      </c>
      <c r="BP20" s="2627">
        <f>SUM(BP59,BP93)</f>
        <v/>
      </c>
      <c r="BQ20" s="2627">
        <f>SUM(BQ59,BQ93)</f>
        <v/>
      </c>
      <c r="BR20" s="2627">
        <f>SUM(BR59,BR93)</f>
        <v/>
      </c>
      <c r="BS20" s="2627">
        <f>SUM(BS59,BS93)</f>
        <v/>
      </c>
      <c r="BT20" s="2627">
        <f>SUM(BT59,BT93)</f>
        <v/>
      </c>
      <c r="BU20" s="2628">
        <f>SUM(BI20:BT20)</f>
        <v/>
      </c>
    </row>
    <row r="21" outlineLevel="1">
      <c r="A21" s="1436" t="n"/>
      <c r="B21" s="1456" t="inlineStr">
        <is>
          <t>접대비</t>
        </is>
      </c>
      <c r="C21" s="1456" t="n"/>
      <c r="D21" s="2627" t="n"/>
      <c r="E21" s="2627" t="n"/>
      <c r="F21" s="2627" t="n"/>
      <c r="G21" s="2627" t="n"/>
      <c r="H21" s="2627" t="n"/>
      <c r="I21" s="2627" t="n"/>
      <c r="J21" s="2627" t="n"/>
      <c r="K21" s="2627" t="n"/>
      <c r="L21" s="2627" t="n"/>
      <c r="M21" s="2627" t="n"/>
      <c r="N21" s="2627" t="n"/>
      <c r="O21" s="2627" t="n"/>
      <c r="P21" s="2626">
        <f>SUM(D21:O21)</f>
        <v/>
      </c>
      <c r="Q21" s="1466" t="n"/>
      <c r="R21" s="1436" t="n"/>
      <c r="S21" s="2625">
        <f>SUM(S60,S94)</f>
        <v/>
      </c>
      <c r="T21" s="2625">
        <f>SUM(T60,T94)</f>
        <v/>
      </c>
      <c r="U21" s="2625">
        <f>SUM(U60,U94)</f>
        <v/>
      </c>
      <c r="V21" s="2625">
        <f>SUM(V60,V94)</f>
        <v/>
      </c>
      <c r="W21" s="2625">
        <f>SUM(W60,W94)</f>
        <v/>
      </c>
      <c r="X21" s="2625">
        <f>SUM(X60,X94)</f>
        <v/>
      </c>
      <c r="Y21" s="2625">
        <f>SUM(Y60,Y94)</f>
        <v/>
      </c>
      <c r="Z21" s="2625">
        <f>SUM(Z60,Z94)</f>
        <v/>
      </c>
      <c r="AA21" s="2625">
        <f>SUM(AA60,AA94)</f>
        <v/>
      </c>
      <c r="AB21" s="2625">
        <f>SUM(AB60,AB94)</f>
        <v/>
      </c>
      <c r="AC21" s="2625">
        <f>SUM(AC60,AC94)</f>
        <v/>
      </c>
      <c r="AD21" s="2625">
        <f>SUM(AD60,AD94)</f>
        <v/>
      </c>
      <c r="AE21" s="2626">
        <f>SUM(S21:AD21)</f>
        <v/>
      </c>
      <c r="AF21" s="1466" t="n"/>
      <c r="AG21" s="2625">
        <f>SUM(AG60,AG94)</f>
        <v/>
      </c>
      <c r="AH21" s="2625">
        <f>SUM(AH60,AH94)</f>
        <v/>
      </c>
      <c r="AI21" s="2625">
        <f>SUM(AI60,AI94)</f>
        <v/>
      </c>
      <c r="AJ21" s="2625">
        <f>SUM(AJ60,AJ94)</f>
        <v/>
      </c>
      <c r="AK21" s="2625">
        <f>SUM(AK60,AK94)</f>
        <v/>
      </c>
      <c r="AL21" s="2625">
        <f>SUM(AL60,AL94)</f>
        <v/>
      </c>
      <c r="AM21" s="2625">
        <f>SUM(AM60,AM94)</f>
        <v/>
      </c>
      <c r="AN21" s="2625">
        <f>SUM(AN60,AN94)</f>
        <v/>
      </c>
      <c r="AO21" s="2625">
        <f>SUM(AO60,AO94)</f>
        <v/>
      </c>
      <c r="AP21" s="2625">
        <f>SUM(AP60,AP94)</f>
        <v/>
      </c>
      <c r="AQ21" s="2625">
        <f>SUM(AQ60,AQ94)</f>
        <v/>
      </c>
      <c r="AR21" s="2625">
        <f>SUM(AR60,AR94)</f>
        <v/>
      </c>
      <c r="AS21" s="2626">
        <f>SUM(AG21:AR21)</f>
        <v/>
      </c>
      <c r="AU21" s="2625">
        <f>SUM(AU60,AU94)</f>
        <v/>
      </c>
      <c r="AV21" s="2625">
        <f>SUM(AV60,AV94)</f>
        <v/>
      </c>
      <c r="AW21" s="2625">
        <f>SUM(AW60,AW94)</f>
        <v/>
      </c>
      <c r="AX21" s="2625">
        <f>SUM(AX60,AX94)</f>
        <v/>
      </c>
      <c r="AY21" s="2625">
        <f>SUM(AY60,AY94)</f>
        <v/>
      </c>
      <c r="AZ21" s="2625">
        <f>SUM(AZ60,AZ94)</f>
        <v/>
      </c>
      <c r="BA21" s="2625">
        <f>SUM(BA60,BA94)</f>
        <v/>
      </c>
      <c r="BB21" s="2625">
        <f>SUM(BB60,BB94)</f>
        <v/>
      </c>
      <c r="BC21" s="2625">
        <f>SUM(BC60,BC94)</f>
        <v/>
      </c>
      <c r="BD21" s="2625">
        <f>SUM(BD60,BD94)</f>
        <v/>
      </c>
      <c r="BE21" s="2625">
        <f>SUM(BE60,BE94)</f>
        <v/>
      </c>
      <c r="BF21" s="2627">
        <f>SUM(BF60,BF94)</f>
        <v/>
      </c>
      <c r="BG21" s="2628">
        <f>SUM(AU21:BF21)</f>
        <v/>
      </c>
      <c r="BH21" s="2631" t="n"/>
      <c r="BI21" s="2627">
        <f>SUM(BI60,BI94)</f>
        <v/>
      </c>
      <c r="BJ21" s="2627">
        <f>SUM(BJ60,BJ94)</f>
        <v/>
      </c>
      <c r="BK21" s="2627">
        <f>SUM(BK60,BK94)</f>
        <v/>
      </c>
      <c r="BL21" s="2627">
        <f>SUM(BL60,BL94)</f>
        <v/>
      </c>
      <c r="BM21" s="2627">
        <f>SUM(BM60,BM94)</f>
        <v/>
      </c>
      <c r="BN21" s="2627">
        <f>SUM(BN60,BN94)</f>
        <v/>
      </c>
      <c r="BO21" s="2627">
        <f>SUM(BO60,BO94)</f>
        <v/>
      </c>
      <c r="BP21" s="2627">
        <f>SUM(BP60,BP94)</f>
        <v/>
      </c>
      <c r="BQ21" s="2627">
        <f>SUM(BQ60,BQ94)</f>
        <v/>
      </c>
      <c r="BR21" s="2627">
        <f>SUM(BR60,BR94)</f>
        <v/>
      </c>
      <c r="BS21" s="2627">
        <f>SUM(BS60,BS94)</f>
        <v/>
      </c>
      <c r="BT21" s="2627">
        <f>SUM(BT60,BT94)</f>
        <v/>
      </c>
      <c r="BU21" s="2628">
        <f>SUM(BI21:BT21)</f>
        <v/>
      </c>
    </row>
    <row r="22" outlineLevel="1">
      <c r="A22" s="1436" t="n"/>
      <c r="B22" s="1456" t="inlineStr">
        <is>
          <t>통신비</t>
        </is>
      </c>
      <c r="C22" s="1456" t="n"/>
      <c r="D22" s="2627" t="n"/>
      <c r="E22" s="2627" t="n"/>
      <c r="F22" s="2627" t="n"/>
      <c r="G22" s="2627" t="n"/>
      <c r="H22" s="2627" t="n"/>
      <c r="I22" s="2627" t="n"/>
      <c r="J22" s="2627" t="n"/>
      <c r="K22" s="2627" t="n"/>
      <c r="L22" s="2627" t="n"/>
      <c r="M22" s="2627" t="n"/>
      <c r="N22" s="2627" t="n"/>
      <c r="O22" s="2627" t="n"/>
      <c r="P22" s="2626">
        <f>SUM(D22:O22)</f>
        <v/>
      </c>
      <c r="Q22" s="1467" t="n"/>
      <c r="R22" s="1436" t="n"/>
      <c r="S22" s="2625">
        <f>SUM(S61,S95)</f>
        <v/>
      </c>
      <c r="T22" s="2625">
        <f>SUM(T61,T95)</f>
        <v/>
      </c>
      <c r="U22" s="2625">
        <f>SUM(U61,U95)</f>
        <v/>
      </c>
      <c r="V22" s="2625">
        <f>SUM(V61,V95)</f>
        <v/>
      </c>
      <c r="W22" s="2625">
        <f>SUM(W61,W95)</f>
        <v/>
      </c>
      <c r="X22" s="2625">
        <f>SUM(X61,X95)</f>
        <v/>
      </c>
      <c r="Y22" s="2625">
        <f>SUM(Y61,Y95)</f>
        <v/>
      </c>
      <c r="Z22" s="2625">
        <f>SUM(Z61,Z95)</f>
        <v/>
      </c>
      <c r="AA22" s="2625">
        <f>SUM(AA61,AA95)</f>
        <v/>
      </c>
      <c r="AB22" s="2625">
        <f>SUM(AB61,AB95)</f>
        <v/>
      </c>
      <c r="AC22" s="2625">
        <f>SUM(AC61,AC95)</f>
        <v/>
      </c>
      <c r="AD22" s="2625">
        <f>SUM(AD61,AD95)</f>
        <v/>
      </c>
      <c r="AE22" s="2626">
        <f>SUM(S22:AD22)</f>
        <v/>
      </c>
      <c r="AF22" s="1467" t="n"/>
      <c r="AG22" s="2625">
        <f>SUM(AG61,AG95)</f>
        <v/>
      </c>
      <c r="AH22" s="2625">
        <f>SUM(AH61,AH95)</f>
        <v/>
      </c>
      <c r="AI22" s="2625">
        <f>SUM(AI61,AI95)</f>
        <v/>
      </c>
      <c r="AJ22" s="2625">
        <f>SUM(AJ61,AJ95)</f>
        <v/>
      </c>
      <c r="AK22" s="2625">
        <f>SUM(AK61,AK95)</f>
        <v/>
      </c>
      <c r="AL22" s="2625">
        <f>SUM(AL61,AL95)</f>
        <v/>
      </c>
      <c r="AM22" s="2625">
        <f>SUM(AM61,AM95)</f>
        <v/>
      </c>
      <c r="AN22" s="2625">
        <f>SUM(AN61,AN95)</f>
        <v/>
      </c>
      <c r="AO22" s="2625">
        <f>SUM(AO61,AO95)</f>
        <v/>
      </c>
      <c r="AP22" s="2625">
        <f>SUM(AP61,AP95)</f>
        <v/>
      </c>
      <c r="AQ22" s="2625">
        <f>SUM(AQ61,AQ95)</f>
        <v/>
      </c>
      <c r="AR22" s="2625">
        <f>SUM(AR61,AR95)</f>
        <v/>
      </c>
      <c r="AS22" s="2626">
        <f>SUM(AG22:AR22)</f>
        <v/>
      </c>
      <c r="AU22" s="2625">
        <f>SUM(AU61,AU95)</f>
        <v/>
      </c>
      <c r="AV22" s="2625">
        <f>SUM(AV61,AV95)</f>
        <v/>
      </c>
      <c r="AW22" s="2625">
        <f>SUM(AW61,AW95)</f>
        <v/>
      </c>
      <c r="AX22" s="2625">
        <f>SUM(AX61,AX95)</f>
        <v/>
      </c>
      <c r="AY22" s="2625">
        <f>SUM(AY61,AY95)</f>
        <v/>
      </c>
      <c r="AZ22" s="2625">
        <f>SUM(AZ61,AZ95)</f>
        <v/>
      </c>
      <c r="BA22" s="2625">
        <f>SUM(BA61,BA95)</f>
        <v/>
      </c>
      <c r="BB22" s="2625">
        <f>SUM(BB61,BB95)</f>
        <v/>
      </c>
      <c r="BC22" s="2625">
        <f>SUM(BC61,BC95)</f>
        <v/>
      </c>
      <c r="BD22" s="2625">
        <f>SUM(BD61,BD95)</f>
        <v/>
      </c>
      <c r="BE22" s="2625">
        <f>SUM(BE61,BE95)</f>
        <v/>
      </c>
      <c r="BF22" s="2627">
        <f>SUM(BF61,BF95)</f>
        <v/>
      </c>
      <c r="BG22" s="2628">
        <f>SUM(AU22:BF22)</f>
        <v/>
      </c>
      <c r="BH22" s="2631" t="n"/>
      <c r="BI22" s="2627">
        <f>SUM(BI61,BI95)</f>
        <v/>
      </c>
      <c r="BJ22" s="2627">
        <f>SUM(BJ61,BJ95)</f>
        <v/>
      </c>
      <c r="BK22" s="2627">
        <f>SUM(BK61,BK95)</f>
        <v/>
      </c>
      <c r="BL22" s="2627">
        <f>SUM(BL61,BL95)</f>
        <v/>
      </c>
      <c r="BM22" s="2627">
        <f>SUM(BM61,BM95)</f>
        <v/>
      </c>
      <c r="BN22" s="2627">
        <f>SUM(BN61,BN95)</f>
        <v/>
      </c>
      <c r="BO22" s="2627">
        <f>SUM(BO61,BO95)</f>
        <v/>
      </c>
      <c r="BP22" s="2627">
        <f>SUM(BP61,BP95)</f>
        <v/>
      </c>
      <c r="BQ22" s="2627">
        <f>SUM(BQ61,BQ95)</f>
        <v/>
      </c>
      <c r="BR22" s="2627">
        <f>SUM(BR61,BR95)</f>
        <v/>
      </c>
      <c r="BS22" s="2627">
        <f>SUM(BS61,BS95)</f>
        <v/>
      </c>
      <c r="BT22" s="2627">
        <f>SUM(BT61,BT95)</f>
        <v/>
      </c>
      <c r="BU22" s="2628">
        <f>SUM(BI22:BT22)</f>
        <v/>
      </c>
    </row>
    <row r="23" outlineLevel="1">
      <c r="A23" s="1436" t="n"/>
      <c r="B23" s="1456" t="inlineStr">
        <is>
          <t>수도광열비</t>
        </is>
      </c>
      <c r="C23" s="1456" t="n"/>
      <c r="D23" s="2627" t="n"/>
      <c r="E23" s="2627" t="n"/>
      <c r="F23" s="2627" t="n"/>
      <c r="G23" s="2627" t="n"/>
      <c r="H23" s="2627" t="n"/>
      <c r="I23" s="2627" t="n"/>
      <c r="J23" s="2627" t="n"/>
      <c r="K23" s="2627" t="n"/>
      <c r="L23" s="2627" t="n"/>
      <c r="M23" s="2627" t="n"/>
      <c r="N23" s="2627" t="n"/>
      <c r="O23" s="2627" t="n"/>
      <c r="P23" s="2626">
        <f>SUM(D23:O23)</f>
        <v/>
      </c>
      <c r="Q23" s="1466" t="n"/>
      <c r="R23" s="1436" t="n"/>
      <c r="S23" s="2625">
        <f>SUM(S62,S96)</f>
        <v/>
      </c>
      <c r="T23" s="2625">
        <f>SUM(T62,T96)</f>
        <v/>
      </c>
      <c r="U23" s="2625">
        <f>SUM(U62,U96)</f>
        <v/>
      </c>
      <c r="V23" s="2625">
        <f>SUM(V62,V96)</f>
        <v/>
      </c>
      <c r="W23" s="2625">
        <f>SUM(W62,W96)</f>
        <v/>
      </c>
      <c r="X23" s="2625">
        <f>SUM(X62,X96)</f>
        <v/>
      </c>
      <c r="Y23" s="2625">
        <f>SUM(Y62,Y96)</f>
        <v/>
      </c>
      <c r="Z23" s="2625">
        <f>SUM(Z62,Z96)</f>
        <v/>
      </c>
      <c r="AA23" s="2625">
        <f>SUM(AA62,AA96)</f>
        <v/>
      </c>
      <c r="AB23" s="2625">
        <f>SUM(AB62,AB96)</f>
        <v/>
      </c>
      <c r="AC23" s="2625">
        <f>SUM(AC62,AC96)</f>
        <v/>
      </c>
      <c r="AD23" s="2625">
        <f>SUM(AD62,AD96)</f>
        <v/>
      </c>
      <c r="AE23" s="2626">
        <f>SUM(S23:AD23)</f>
        <v/>
      </c>
      <c r="AF23" s="1466" t="n"/>
      <c r="AG23" s="2625">
        <f>SUM(AG62,AG96)</f>
        <v/>
      </c>
      <c r="AH23" s="2625">
        <f>SUM(AH62,AH96)</f>
        <v/>
      </c>
      <c r="AI23" s="2625">
        <f>SUM(AI62,AI96)</f>
        <v/>
      </c>
      <c r="AJ23" s="2625">
        <f>SUM(AJ62,AJ96)</f>
        <v/>
      </c>
      <c r="AK23" s="2625">
        <f>SUM(AK62,AK96)</f>
        <v/>
      </c>
      <c r="AL23" s="2625">
        <f>SUM(AL62,AL96)</f>
        <v/>
      </c>
      <c r="AM23" s="2625">
        <f>SUM(AM62,AM96)</f>
        <v/>
      </c>
      <c r="AN23" s="2625">
        <f>SUM(AN62,AN96)</f>
        <v/>
      </c>
      <c r="AO23" s="2625">
        <f>SUM(AO62,AO96)</f>
        <v/>
      </c>
      <c r="AP23" s="2625">
        <f>SUM(AP62,AP96)</f>
        <v/>
      </c>
      <c r="AQ23" s="2625">
        <f>SUM(AQ62,AQ96)</f>
        <v/>
      </c>
      <c r="AR23" s="2625">
        <f>SUM(AR62,AR96)</f>
        <v/>
      </c>
      <c r="AS23" s="2626">
        <f>SUM(AG23:AR23)</f>
        <v/>
      </c>
      <c r="AU23" s="2625">
        <f>SUM(AU62,AU96)</f>
        <v/>
      </c>
      <c r="AV23" s="2625">
        <f>SUM(AV62,AV96)</f>
        <v/>
      </c>
      <c r="AW23" s="2625">
        <f>SUM(AW62,AW96)</f>
        <v/>
      </c>
      <c r="AX23" s="2625">
        <f>SUM(AX62,AX96)</f>
        <v/>
      </c>
      <c r="AY23" s="2625">
        <f>SUM(AY62,AY96)</f>
        <v/>
      </c>
      <c r="AZ23" s="2625">
        <f>SUM(AZ62,AZ96)</f>
        <v/>
      </c>
      <c r="BA23" s="2625">
        <f>SUM(BA62,BA96)</f>
        <v/>
      </c>
      <c r="BB23" s="2625">
        <f>SUM(BB62,BB96)</f>
        <v/>
      </c>
      <c r="BC23" s="2625">
        <f>SUM(BC62,BC96)</f>
        <v/>
      </c>
      <c r="BD23" s="2625">
        <f>SUM(BD62,BD96)</f>
        <v/>
      </c>
      <c r="BE23" s="2625">
        <f>SUM(BE62,BE96)</f>
        <v/>
      </c>
      <c r="BF23" s="2627">
        <f>SUM(BF62,BF96)</f>
        <v/>
      </c>
      <c r="BG23" s="2628">
        <f>SUM(AU23:BF23)</f>
        <v/>
      </c>
      <c r="BH23" s="2631" t="n"/>
      <c r="BI23" s="2627">
        <f>SUM(BI62,BI96)</f>
        <v/>
      </c>
      <c r="BJ23" s="2627">
        <f>SUM(BJ62,BJ96)</f>
        <v/>
      </c>
      <c r="BK23" s="2627">
        <f>SUM(BK62,BK96)</f>
        <v/>
      </c>
      <c r="BL23" s="2627">
        <f>SUM(BL62,BL96)</f>
        <v/>
      </c>
      <c r="BM23" s="2627">
        <f>SUM(BM62,BM96)</f>
        <v/>
      </c>
      <c r="BN23" s="2627">
        <f>SUM(BN62,BN96)</f>
        <v/>
      </c>
      <c r="BO23" s="2627">
        <f>SUM(BO62,BO96)</f>
        <v/>
      </c>
      <c r="BP23" s="2627">
        <f>SUM(BP62,BP96)</f>
        <v/>
      </c>
      <c r="BQ23" s="2627">
        <f>SUM(BQ62,BQ96)</f>
        <v/>
      </c>
      <c r="BR23" s="2627">
        <f>SUM(BR62,BR96)</f>
        <v/>
      </c>
      <c r="BS23" s="2627">
        <f>SUM(BS62,BS96)</f>
        <v/>
      </c>
      <c r="BT23" s="2627">
        <f>SUM(BT62,BT96)</f>
        <v/>
      </c>
      <c r="BU23" s="2628">
        <f>SUM(BI23:BT23)</f>
        <v/>
      </c>
    </row>
    <row r="24" outlineLevel="1">
      <c r="A24" s="1436" t="n"/>
      <c r="B24" s="1456" t="inlineStr">
        <is>
          <t>세금과공과금</t>
        </is>
      </c>
      <c r="C24" s="1456" t="n"/>
      <c r="D24" s="2627" t="n"/>
      <c r="E24" s="2627" t="n"/>
      <c r="F24" s="2627" t="n"/>
      <c r="G24" s="2627" t="n"/>
      <c r="H24" s="2627" t="n"/>
      <c r="I24" s="2627" t="n"/>
      <c r="J24" s="2627" t="n"/>
      <c r="K24" s="2627" t="n"/>
      <c r="L24" s="2627" t="n"/>
      <c r="M24" s="2627" t="n"/>
      <c r="N24" s="2627" t="n"/>
      <c r="O24" s="2627" t="n"/>
      <c r="P24" s="2626">
        <f>SUM(D24:O24)</f>
        <v/>
      </c>
      <c r="Q24" s="1466" t="n"/>
      <c r="R24" s="1436" t="n"/>
      <c r="S24" s="2625">
        <f>SUM(S63,S97)</f>
        <v/>
      </c>
      <c r="T24" s="2625">
        <f>SUM(T63,T97)</f>
        <v/>
      </c>
      <c r="U24" s="2625">
        <f>SUM(U63,U97)</f>
        <v/>
      </c>
      <c r="V24" s="2625">
        <f>SUM(V63,V97)</f>
        <v/>
      </c>
      <c r="W24" s="2625">
        <f>SUM(W63,W97)</f>
        <v/>
      </c>
      <c r="X24" s="2625">
        <f>SUM(X63,X97)</f>
        <v/>
      </c>
      <c r="Y24" s="2625">
        <f>SUM(Y63,Y97)</f>
        <v/>
      </c>
      <c r="Z24" s="2625">
        <f>SUM(Z63,Z97)</f>
        <v/>
      </c>
      <c r="AA24" s="2625">
        <f>SUM(AA63,AA97)</f>
        <v/>
      </c>
      <c r="AB24" s="2625">
        <f>SUM(AB63,AB97)</f>
        <v/>
      </c>
      <c r="AC24" s="2625">
        <f>SUM(AC63,AC97)</f>
        <v/>
      </c>
      <c r="AD24" s="2625">
        <f>SUM(AD63,AD97)</f>
        <v/>
      </c>
      <c r="AE24" s="2626">
        <f>SUM(S24:AD24)</f>
        <v/>
      </c>
      <c r="AF24" s="1464" t="n"/>
      <c r="AG24" s="2625">
        <f>SUM(AG63,AG97)</f>
        <v/>
      </c>
      <c r="AH24" s="2625">
        <f>SUM(AH63,AH97)</f>
        <v/>
      </c>
      <c r="AI24" s="2625">
        <f>SUM(AI63,AI97)</f>
        <v/>
      </c>
      <c r="AJ24" s="2625">
        <f>SUM(AJ63,AJ97)</f>
        <v/>
      </c>
      <c r="AK24" s="2625">
        <f>SUM(AK63,AK97)</f>
        <v/>
      </c>
      <c r="AL24" s="2625">
        <f>SUM(AL63,AL97)</f>
        <v/>
      </c>
      <c r="AM24" s="2625">
        <f>SUM(AM63,AM97)</f>
        <v/>
      </c>
      <c r="AN24" s="2625">
        <f>SUM(AN63,AN97)</f>
        <v/>
      </c>
      <c r="AO24" s="2625">
        <f>SUM(AO63,AO97)</f>
        <v/>
      </c>
      <c r="AP24" s="2625">
        <f>SUM(AP63,AP97)</f>
        <v/>
      </c>
      <c r="AQ24" s="2625">
        <f>SUM(AQ63,AQ97)</f>
        <v/>
      </c>
      <c r="AR24" s="2625">
        <f>SUM(AR63,AR97)</f>
        <v/>
      </c>
      <c r="AS24" s="2626">
        <f>SUM(AG24:AR24)</f>
        <v/>
      </c>
      <c r="AU24" s="2625">
        <f>SUM(AU63,AU97)</f>
        <v/>
      </c>
      <c r="AV24" s="2625">
        <f>SUM(AV63,AV97)</f>
        <v/>
      </c>
      <c r="AW24" s="2625">
        <f>SUM(AW63,AW97)</f>
        <v/>
      </c>
      <c r="AX24" s="2625">
        <f>SUM(AX63,AX97)</f>
        <v/>
      </c>
      <c r="AY24" s="2625">
        <f>SUM(AY63,AY97)</f>
        <v/>
      </c>
      <c r="AZ24" s="2625">
        <f>SUM(AZ63,AZ97)</f>
        <v/>
      </c>
      <c r="BA24" s="2625">
        <f>SUM(BA63,BA97)</f>
        <v/>
      </c>
      <c r="BB24" s="2625">
        <f>SUM(BB63,BB97)</f>
        <v/>
      </c>
      <c r="BC24" s="2625">
        <f>SUM(BC63,BC97)</f>
        <v/>
      </c>
      <c r="BD24" s="2625">
        <f>SUM(BD63,BD97)</f>
        <v/>
      </c>
      <c r="BE24" s="2625">
        <f>SUM(BE63,BE97)</f>
        <v/>
      </c>
      <c r="BF24" s="2627">
        <f>SUM(BF63,BF97)</f>
        <v/>
      </c>
      <c r="BG24" s="2628">
        <f>SUM(AU24:BF24)</f>
        <v/>
      </c>
      <c r="BH24" s="2631" t="n"/>
      <c r="BI24" s="2627">
        <f>SUM(BI63,BI97)</f>
        <v/>
      </c>
      <c r="BJ24" s="2627">
        <f>SUM(BJ63,BJ97)</f>
        <v/>
      </c>
      <c r="BK24" s="2627">
        <f>SUM(BK63,BK97)</f>
        <v/>
      </c>
      <c r="BL24" s="2627">
        <f>SUM(BL63,BL97)</f>
        <v/>
      </c>
      <c r="BM24" s="2627">
        <f>SUM(BM63,BM97)</f>
        <v/>
      </c>
      <c r="BN24" s="2627">
        <f>SUM(BN63,BN97)</f>
        <v/>
      </c>
      <c r="BO24" s="2627">
        <f>SUM(BO63,BO97)</f>
        <v/>
      </c>
      <c r="BP24" s="2627">
        <f>SUM(BP63,BP97)</f>
        <v/>
      </c>
      <c r="BQ24" s="2627">
        <f>SUM(BQ63,BQ97)</f>
        <v/>
      </c>
      <c r="BR24" s="2627">
        <f>SUM(BR63,BR97)</f>
        <v/>
      </c>
      <c r="BS24" s="2627">
        <f>SUM(BS63,BS97)</f>
        <v/>
      </c>
      <c r="BT24" s="2627">
        <f>SUM(BT63,BT97)</f>
        <v/>
      </c>
      <c r="BU24" s="2628">
        <f>SUM(BI24:BT24)</f>
        <v/>
      </c>
    </row>
    <row r="25" outlineLevel="1">
      <c r="A25" s="1436" t="n"/>
      <c r="B25" s="1456" t="inlineStr">
        <is>
          <t>지급임차료</t>
        </is>
      </c>
      <c r="C25" s="1456" t="n"/>
      <c r="D25" s="2627" t="n"/>
      <c r="E25" s="2627" t="n"/>
      <c r="F25" s="2627" t="n"/>
      <c r="G25" s="2627" t="n"/>
      <c r="H25" s="2627" t="n"/>
      <c r="I25" s="2627" t="n"/>
      <c r="J25" s="2627" t="n"/>
      <c r="K25" s="2627" t="n"/>
      <c r="L25" s="2627" t="n"/>
      <c r="M25" s="2627" t="n"/>
      <c r="N25" s="2627" t="n"/>
      <c r="O25" s="2627" t="n"/>
      <c r="P25" s="2626">
        <f>SUM(D25:O25)</f>
        <v/>
      </c>
      <c r="Q25" s="1466" t="n"/>
      <c r="R25" s="1436" t="n"/>
      <c r="S25" s="2625">
        <f>SUM(S64,S98)</f>
        <v/>
      </c>
      <c r="T25" s="2625">
        <f>SUM(T64,T98)</f>
        <v/>
      </c>
      <c r="U25" s="2625">
        <f>SUM(U64,U98)</f>
        <v/>
      </c>
      <c r="V25" s="2625">
        <f>SUM(V64,V98)</f>
        <v/>
      </c>
      <c r="W25" s="2625">
        <f>SUM(W64,W98)</f>
        <v/>
      </c>
      <c r="X25" s="2625">
        <f>SUM(X64,X98)</f>
        <v/>
      </c>
      <c r="Y25" s="2625">
        <f>SUM(Y64,Y98)</f>
        <v/>
      </c>
      <c r="Z25" s="2625">
        <f>SUM(Z64,Z98)</f>
        <v/>
      </c>
      <c r="AA25" s="2625">
        <f>SUM(AA64,AA98)</f>
        <v/>
      </c>
      <c r="AB25" s="2625">
        <f>SUM(AB64,AB98)</f>
        <v/>
      </c>
      <c r="AC25" s="2625">
        <f>SUM(AC64,AC98)</f>
        <v/>
      </c>
      <c r="AD25" s="2625">
        <f>SUM(AD64,AD98)</f>
        <v/>
      </c>
      <c r="AE25" s="2626">
        <f>SUM(S25:AD25)</f>
        <v/>
      </c>
      <c r="AF25" s="1464" t="n"/>
      <c r="AG25" s="2625">
        <f>SUM(AG64,AG98)</f>
        <v/>
      </c>
      <c r="AH25" s="2625">
        <f>SUM(AH64,AH98)</f>
        <v/>
      </c>
      <c r="AI25" s="2625">
        <f>SUM(AI64,AI98)</f>
        <v/>
      </c>
      <c r="AJ25" s="2625">
        <f>SUM(AJ64,AJ98)</f>
        <v/>
      </c>
      <c r="AK25" s="2625">
        <f>SUM(AK64,AK98)</f>
        <v/>
      </c>
      <c r="AL25" s="2625">
        <f>SUM(AL64,AL98)</f>
        <v/>
      </c>
      <c r="AM25" s="2625">
        <f>SUM(AM64,AM98)</f>
        <v/>
      </c>
      <c r="AN25" s="2625">
        <f>SUM(AN64,AN98)</f>
        <v/>
      </c>
      <c r="AO25" s="2625">
        <f>SUM(AO64,AO98)</f>
        <v/>
      </c>
      <c r="AP25" s="2625">
        <f>SUM(AP64,AP98)</f>
        <v/>
      </c>
      <c r="AQ25" s="2625">
        <f>SUM(AQ64,AQ98)</f>
        <v/>
      </c>
      <c r="AR25" s="2625">
        <f>SUM(AR64,AR98)</f>
        <v/>
      </c>
      <c r="AS25" s="2626">
        <f>SUM(AG25:AR25)</f>
        <v/>
      </c>
      <c r="AU25" s="2625">
        <f>SUM(AU64,AU98)</f>
        <v/>
      </c>
      <c r="AV25" s="2625">
        <f>SUM(AV64,AV98)</f>
        <v/>
      </c>
      <c r="AW25" s="2625">
        <f>SUM(AW64,AW98)</f>
        <v/>
      </c>
      <c r="AX25" s="2625">
        <f>SUM(AX64,AX98)</f>
        <v/>
      </c>
      <c r="AY25" s="2625">
        <f>SUM(AY64,AY98)</f>
        <v/>
      </c>
      <c r="AZ25" s="2625">
        <f>SUM(AZ64,AZ98)</f>
        <v/>
      </c>
      <c r="BA25" s="2625">
        <f>SUM(BA64,BA98)</f>
        <v/>
      </c>
      <c r="BB25" s="2625">
        <f>SUM(BB64,BB98)</f>
        <v/>
      </c>
      <c r="BC25" s="2625">
        <f>SUM(BC64,BC98)</f>
        <v/>
      </c>
      <c r="BD25" s="2625">
        <f>SUM(BD64,BD98)</f>
        <v/>
      </c>
      <c r="BE25" s="2625">
        <f>SUM(BE64,BE98)</f>
        <v/>
      </c>
      <c r="BF25" s="2627">
        <f>SUM(BF64,BF98)</f>
        <v/>
      </c>
      <c r="BG25" s="2628">
        <f>SUM(AU25:BF25)</f>
        <v/>
      </c>
      <c r="BH25" s="2631" t="n"/>
      <c r="BI25" s="2627">
        <f>SUM(BI64,BI98)</f>
        <v/>
      </c>
      <c r="BJ25" s="2627">
        <f>SUM(BJ64,BJ98)</f>
        <v/>
      </c>
      <c r="BK25" s="2627">
        <f>SUM(BK64,BK98)</f>
        <v/>
      </c>
      <c r="BL25" s="2627">
        <f>SUM(BL64,BL98)</f>
        <v/>
      </c>
      <c r="BM25" s="2627">
        <f>SUM(BM64,BM98)</f>
        <v/>
      </c>
      <c r="BN25" s="2627">
        <f>SUM(BN64,BN98)</f>
        <v/>
      </c>
      <c r="BO25" s="2627">
        <f>SUM(BO64,BO98)</f>
        <v/>
      </c>
      <c r="BP25" s="2627">
        <f>SUM(BP64,BP98)</f>
        <v/>
      </c>
      <c r="BQ25" s="2627">
        <f>SUM(BQ64,BQ98)</f>
        <v/>
      </c>
      <c r="BR25" s="2627">
        <f>SUM(BR64,BR98)</f>
        <v/>
      </c>
      <c r="BS25" s="2627">
        <f>SUM(BS64,BS98)</f>
        <v/>
      </c>
      <c r="BT25" s="2627">
        <f>SUM(BT64,BT98)</f>
        <v/>
      </c>
      <c r="BU25" s="2628">
        <f>SUM(BI25:BT25)</f>
        <v/>
      </c>
    </row>
    <row r="26" outlineLevel="1">
      <c r="A26" s="1436" t="n"/>
      <c r="B26" s="1456" t="inlineStr">
        <is>
          <t>경상연구개발비</t>
        </is>
      </c>
      <c r="C26" s="1456" t="n"/>
      <c r="D26" s="2627" t="n"/>
      <c r="E26" s="2627" t="n"/>
      <c r="F26" s="2627" t="n"/>
      <c r="G26" s="2627" t="n"/>
      <c r="H26" s="2627" t="n"/>
      <c r="I26" s="2627" t="n"/>
      <c r="J26" s="2627" t="n"/>
      <c r="K26" s="2627" t="n"/>
      <c r="L26" s="2627" t="n"/>
      <c r="M26" s="2627" t="n"/>
      <c r="N26" s="2627" t="n"/>
      <c r="O26" s="2627" t="n"/>
      <c r="P26" s="2626">
        <f>SUM(D26:O26)</f>
        <v/>
      </c>
      <c r="Q26" s="1466" t="n"/>
      <c r="R26" s="1436" t="n"/>
      <c r="S26" s="2625">
        <f>SUM(S69,S99)</f>
        <v/>
      </c>
      <c r="T26" s="2625">
        <f>SUM(T69,T99)</f>
        <v/>
      </c>
      <c r="U26" s="2625">
        <f>SUM(U69,U99)</f>
        <v/>
      </c>
      <c r="V26" s="2625">
        <f>SUM(V69,V99)</f>
        <v/>
      </c>
      <c r="W26" s="2625">
        <f>SUM(W69,W99)</f>
        <v/>
      </c>
      <c r="X26" s="2625">
        <f>SUM(X69,X99)</f>
        <v/>
      </c>
      <c r="Y26" s="2625">
        <f>SUM(Y69,Y99)</f>
        <v/>
      </c>
      <c r="Z26" s="2625">
        <f>SUM(Z69,Z99)</f>
        <v/>
      </c>
      <c r="AA26" s="2625">
        <f>SUM(AA69,AA99)</f>
        <v/>
      </c>
      <c r="AB26" s="2625">
        <f>SUM(AB69,AB99)</f>
        <v/>
      </c>
      <c r="AC26" s="2625">
        <f>SUM(AC69,AC99)</f>
        <v/>
      </c>
      <c r="AD26" s="2625">
        <f>SUM(AD69,AD99)</f>
        <v/>
      </c>
      <c r="AE26" s="2626">
        <f>SUM(S26:AD26)</f>
        <v/>
      </c>
      <c r="AF26" s="1466" t="n"/>
      <c r="AG26" s="2625">
        <f>SUM(AG69,AG99)</f>
        <v/>
      </c>
      <c r="AH26" s="2625">
        <f>SUM(AH69,AH99)</f>
        <v/>
      </c>
      <c r="AI26" s="2625">
        <f>SUM(AI69,AI99)</f>
        <v/>
      </c>
      <c r="AJ26" s="2625">
        <f>SUM(AJ69,AJ99)</f>
        <v/>
      </c>
      <c r="AK26" s="2625">
        <f>SUM(AK69,AK99)</f>
        <v/>
      </c>
      <c r="AL26" s="2625">
        <f>SUM(AL69,AL99)</f>
        <v/>
      </c>
      <c r="AM26" s="2625">
        <f>SUM(AM69,AM99)</f>
        <v/>
      </c>
      <c r="AN26" s="2625">
        <f>SUM(AN69,AN99)</f>
        <v/>
      </c>
      <c r="AO26" s="2625">
        <f>SUM(AO69,AO99)</f>
        <v/>
      </c>
      <c r="AP26" s="2625">
        <f>SUM(AP69,AP99)</f>
        <v/>
      </c>
      <c r="AQ26" s="2625">
        <f>SUM(AQ69,AQ99)</f>
        <v/>
      </c>
      <c r="AR26" s="2625">
        <f>SUM(AR69,AR99)</f>
        <v/>
      </c>
      <c r="AS26" s="2626">
        <f>SUM(AG26:AR26)</f>
        <v/>
      </c>
      <c r="AU26" s="2625">
        <f>SUM(AU69,AU99)</f>
        <v/>
      </c>
      <c r="AV26" s="2625">
        <f>SUM(AV69,AV99)</f>
        <v/>
      </c>
      <c r="AW26" s="2625">
        <f>SUM(AW69,AW99)</f>
        <v/>
      </c>
      <c r="AX26" s="2625">
        <f>SUM(AX69,AX99)</f>
        <v/>
      </c>
      <c r="AY26" s="2625">
        <f>SUM(AY69,AY99)</f>
        <v/>
      </c>
      <c r="AZ26" s="2625">
        <f>SUM(AZ69,AZ99)</f>
        <v/>
      </c>
      <c r="BA26" s="2625">
        <f>SUM(BA69,BA99)</f>
        <v/>
      </c>
      <c r="BB26" s="2625">
        <f>SUM(BB69,BB99)</f>
        <v/>
      </c>
      <c r="BC26" s="2625">
        <f>SUM(BC69,BC99)</f>
        <v/>
      </c>
      <c r="BD26" s="2625">
        <f>SUM(BD69,BD99)</f>
        <v/>
      </c>
      <c r="BE26" s="2625">
        <f>SUM(BE69,BE99)</f>
        <v/>
      </c>
      <c r="BF26" s="2627">
        <f>SUM(BF69,BF99)</f>
        <v/>
      </c>
      <c r="BG26" s="2628">
        <f>SUM(AU26:BF26)</f>
        <v/>
      </c>
      <c r="BH26" s="2631" t="n"/>
      <c r="BI26" s="2627">
        <f>SUM(BI69,BI99)</f>
        <v/>
      </c>
      <c r="BJ26" s="2627">
        <f>SUM(BJ69,BJ99)</f>
        <v/>
      </c>
      <c r="BK26" s="2627">
        <f>SUM(BK69,BK99)</f>
        <v/>
      </c>
      <c r="BL26" s="2627">
        <f>SUM(BL69,BL99)</f>
        <v/>
      </c>
      <c r="BM26" s="2627">
        <f>SUM(BM69,BM99)</f>
        <v/>
      </c>
      <c r="BN26" s="2627">
        <f>SUM(BN69,BN99)</f>
        <v/>
      </c>
      <c r="BO26" s="2627">
        <f>SUM(BO69,BO99)</f>
        <v/>
      </c>
      <c r="BP26" s="2627">
        <f>SUM(BP69,BP99)</f>
        <v/>
      </c>
      <c r="BQ26" s="2627">
        <f>SUM(BQ69,BQ99)</f>
        <v/>
      </c>
      <c r="BR26" s="2627">
        <f>SUM(BR69,BR99)</f>
        <v/>
      </c>
      <c r="BS26" s="2627">
        <f>SUM(BS69,BS99)</f>
        <v/>
      </c>
      <c r="BT26" s="2627">
        <f>SUM(BT69,BT99)</f>
        <v/>
      </c>
      <c r="BU26" s="2628">
        <f>SUM(BI26:BT26)</f>
        <v/>
      </c>
    </row>
    <row r="27" outlineLevel="1">
      <c r="A27" s="1436" t="n"/>
      <c r="B27" s="1456" t="inlineStr">
        <is>
          <t>수선비</t>
        </is>
      </c>
      <c r="C27" s="1456" t="n"/>
      <c r="D27" s="2627" t="n"/>
      <c r="E27" s="2627" t="n"/>
      <c r="F27" s="2627" t="n"/>
      <c r="G27" s="2627" t="n"/>
      <c r="H27" s="2627" t="n"/>
      <c r="I27" s="2627" t="n"/>
      <c r="J27" s="2627" t="n"/>
      <c r="K27" s="2627" t="n"/>
      <c r="L27" s="2627" t="n"/>
      <c r="M27" s="2627" t="n"/>
      <c r="N27" s="2627" t="n"/>
      <c r="O27" s="2627" t="n"/>
      <c r="P27" s="2626">
        <f>SUM(D27:O27)</f>
        <v/>
      </c>
      <c r="Q27" s="1466" t="n"/>
      <c r="R27" s="1436" t="n"/>
      <c r="S27" s="2625">
        <f>SUM(S65,S100)</f>
        <v/>
      </c>
      <c r="T27" s="2625">
        <f>SUM(T65,T100)</f>
        <v/>
      </c>
      <c r="U27" s="2625">
        <f>SUM(U65,U100)</f>
        <v/>
      </c>
      <c r="V27" s="2625">
        <f>SUM(V65,V100)</f>
        <v/>
      </c>
      <c r="W27" s="2625">
        <f>SUM(W65,W100)</f>
        <v/>
      </c>
      <c r="X27" s="2625">
        <f>SUM(X65,X100)</f>
        <v/>
      </c>
      <c r="Y27" s="2625">
        <f>SUM(Y65,Y100)</f>
        <v/>
      </c>
      <c r="Z27" s="2625">
        <f>SUM(Z65,Z100)</f>
        <v/>
      </c>
      <c r="AA27" s="2625">
        <f>SUM(AA65,AA100)</f>
        <v/>
      </c>
      <c r="AB27" s="2625">
        <f>SUM(AB65,AB100)</f>
        <v/>
      </c>
      <c r="AC27" s="2625">
        <f>SUM(AC65,AC100)</f>
        <v/>
      </c>
      <c r="AD27" s="2625">
        <f>SUM(AD65,AD100)</f>
        <v/>
      </c>
      <c r="AE27" s="2626">
        <f>SUM(S27:AD27)</f>
        <v/>
      </c>
      <c r="AF27" s="1466" t="n"/>
      <c r="AG27" s="2625">
        <f>SUM(AG65,AG100)</f>
        <v/>
      </c>
      <c r="AH27" s="2625">
        <f>SUM(AH65,AH100)</f>
        <v/>
      </c>
      <c r="AI27" s="2625">
        <f>SUM(AI65,AI100)</f>
        <v/>
      </c>
      <c r="AJ27" s="2625">
        <f>SUM(AJ65,AJ100)</f>
        <v/>
      </c>
      <c r="AK27" s="2625">
        <f>SUM(AK65,AK100)</f>
        <v/>
      </c>
      <c r="AL27" s="2625">
        <f>SUM(AL65,AL100)</f>
        <v/>
      </c>
      <c r="AM27" s="2625">
        <f>SUM(AM65,AM100)</f>
        <v/>
      </c>
      <c r="AN27" s="2625">
        <f>SUM(AN65,AN100)</f>
        <v/>
      </c>
      <c r="AO27" s="2625">
        <f>SUM(AO65,AO100)</f>
        <v/>
      </c>
      <c r="AP27" s="2625">
        <f>SUM(AP65,AP100)</f>
        <v/>
      </c>
      <c r="AQ27" s="2625">
        <f>SUM(AQ65,AQ100)</f>
        <v/>
      </c>
      <c r="AR27" s="2625">
        <f>SUM(AR65,AR100)</f>
        <v/>
      </c>
      <c r="AS27" s="2626">
        <f>SUM(AG27:AR27)</f>
        <v/>
      </c>
      <c r="AU27" s="2625">
        <f>SUM(AU65,AU100)</f>
        <v/>
      </c>
      <c r="AV27" s="2625">
        <f>SUM(AV65,AV100)</f>
        <v/>
      </c>
      <c r="AW27" s="2625">
        <f>SUM(AW65,AW100)</f>
        <v/>
      </c>
      <c r="AX27" s="2625">
        <f>SUM(AX65,AX100)</f>
        <v/>
      </c>
      <c r="AY27" s="2625">
        <f>SUM(AY65,AY100)</f>
        <v/>
      </c>
      <c r="AZ27" s="2625">
        <f>SUM(AZ65,AZ100)</f>
        <v/>
      </c>
      <c r="BA27" s="2625">
        <f>SUM(BA65,BA100)</f>
        <v/>
      </c>
      <c r="BB27" s="2625">
        <f>SUM(BB65,BB100)</f>
        <v/>
      </c>
      <c r="BC27" s="2625">
        <f>SUM(BC65,BC100)</f>
        <v/>
      </c>
      <c r="BD27" s="2625">
        <f>SUM(BD65,BD100)</f>
        <v/>
      </c>
      <c r="BE27" s="2625">
        <f>SUM(BE65,BE100)</f>
        <v/>
      </c>
      <c r="BF27" s="2627">
        <f>SUM(BF65,BF100)</f>
        <v/>
      </c>
      <c r="BG27" s="2628">
        <f>SUM(AU27:BF27)</f>
        <v/>
      </c>
      <c r="BH27" s="2631" t="n"/>
      <c r="BI27" s="2627">
        <f>SUM(BI65,BI100)</f>
        <v/>
      </c>
      <c r="BJ27" s="2627">
        <f>SUM(BJ65,BJ100)</f>
        <v/>
      </c>
      <c r="BK27" s="2627">
        <f>SUM(BK65,BK100)</f>
        <v/>
      </c>
      <c r="BL27" s="2627">
        <f>SUM(BL65,BL100)</f>
        <v/>
      </c>
      <c r="BM27" s="2627">
        <f>SUM(BM65,BM100)</f>
        <v/>
      </c>
      <c r="BN27" s="2627">
        <f>SUM(BN65,BN100)</f>
        <v/>
      </c>
      <c r="BO27" s="2627">
        <f>SUM(BO65,BO100)</f>
        <v/>
      </c>
      <c r="BP27" s="2627">
        <f>SUM(BP65,BP100)</f>
        <v/>
      </c>
      <c r="BQ27" s="2627">
        <f>SUM(BQ65,BQ100)</f>
        <v/>
      </c>
      <c r="BR27" s="2627">
        <f>SUM(BR65,BR100)</f>
        <v/>
      </c>
      <c r="BS27" s="2627">
        <f>SUM(BS65,BS100)</f>
        <v/>
      </c>
      <c r="BT27" s="2627">
        <f>SUM(BT65,BT100)</f>
        <v/>
      </c>
      <c r="BU27" s="2628">
        <f>SUM(BI27:BT27)</f>
        <v/>
      </c>
    </row>
    <row r="28" outlineLevel="1">
      <c r="A28" s="1436" t="n"/>
      <c r="B28" s="1456" t="inlineStr">
        <is>
          <t>보험료</t>
        </is>
      </c>
      <c r="C28" s="1456" t="n"/>
      <c r="D28" s="2627" t="n"/>
      <c r="E28" s="2627" t="n"/>
      <c r="F28" s="2627" t="n"/>
      <c r="G28" s="2627" t="n"/>
      <c r="H28" s="2627" t="n"/>
      <c r="I28" s="2627" t="n"/>
      <c r="J28" s="2627" t="n"/>
      <c r="K28" s="2627" t="n"/>
      <c r="L28" s="2627" t="n"/>
      <c r="M28" s="2627" t="n"/>
      <c r="N28" s="2627" t="n"/>
      <c r="O28" s="2627" t="n"/>
      <c r="P28" s="2626">
        <f>SUM(D28:O28)</f>
        <v/>
      </c>
      <c r="Q28" s="1466" t="n"/>
      <c r="R28" s="1436" t="n"/>
      <c r="S28" s="2625">
        <f>SUM(S66,S101)</f>
        <v/>
      </c>
      <c r="T28" s="2625">
        <f>SUM(T66,T101)</f>
        <v/>
      </c>
      <c r="U28" s="2625">
        <f>SUM(U66,U101)</f>
        <v/>
      </c>
      <c r="V28" s="2625">
        <f>SUM(V66,V101)</f>
        <v/>
      </c>
      <c r="W28" s="2625">
        <f>SUM(W66,W101)</f>
        <v/>
      </c>
      <c r="X28" s="2625">
        <f>SUM(X66,X101)</f>
        <v/>
      </c>
      <c r="Y28" s="2625">
        <f>SUM(Y66,Y101)</f>
        <v/>
      </c>
      <c r="Z28" s="2625">
        <f>SUM(Z66,Z101)</f>
        <v/>
      </c>
      <c r="AA28" s="2625">
        <f>SUM(AA66,AA101)</f>
        <v/>
      </c>
      <c r="AB28" s="2625">
        <f>SUM(AB66,AB101)</f>
        <v/>
      </c>
      <c r="AC28" s="2625">
        <f>SUM(AC66,AC101)</f>
        <v/>
      </c>
      <c r="AD28" s="2625">
        <f>SUM(AD66,AD101)</f>
        <v/>
      </c>
      <c r="AE28" s="2626">
        <f>SUM(S28:AD28)</f>
        <v/>
      </c>
      <c r="AF28" s="1466" t="n"/>
      <c r="AG28" s="2625">
        <f>SUM(AG66,AG101)</f>
        <v/>
      </c>
      <c r="AH28" s="2625">
        <f>SUM(AH66,AH101)</f>
        <v/>
      </c>
      <c r="AI28" s="2625">
        <f>SUM(AI66,AI101)</f>
        <v/>
      </c>
      <c r="AJ28" s="2625">
        <f>SUM(AJ66,AJ101)</f>
        <v/>
      </c>
      <c r="AK28" s="2625">
        <f>SUM(AK66,AK101)</f>
        <v/>
      </c>
      <c r="AL28" s="2625">
        <f>SUM(AL66,AL101)</f>
        <v/>
      </c>
      <c r="AM28" s="2625">
        <f>SUM(AM66,AM101)</f>
        <v/>
      </c>
      <c r="AN28" s="2625">
        <f>SUM(AN66,AN101)</f>
        <v/>
      </c>
      <c r="AO28" s="2625">
        <f>SUM(AO66,AO101)</f>
        <v/>
      </c>
      <c r="AP28" s="2625">
        <f>SUM(AP66,AP101)</f>
        <v/>
      </c>
      <c r="AQ28" s="2625">
        <f>SUM(AQ66,AQ101)</f>
        <v/>
      </c>
      <c r="AR28" s="2625">
        <f>SUM(AR66,AR101)</f>
        <v/>
      </c>
      <c r="AS28" s="2626">
        <f>SUM(AG28:AR28)</f>
        <v/>
      </c>
      <c r="AU28" s="2625">
        <f>SUM(AU66,AU101)</f>
        <v/>
      </c>
      <c r="AV28" s="2625">
        <f>SUM(AV66,AV101)</f>
        <v/>
      </c>
      <c r="AW28" s="2625">
        <f>SUM(AW66,AW101)</f>
        <v/>
      </c>
      <c r="AX28" s="2625">
        <f>SUM(AX66,AX101)</f>
        <v/>
      </c>
      <c r="AY28" s="2625">
        <f>SUM(AY66,AY101)</f>
        <v/>
      </c>
      <c r="AZ28" s="2625">
        <f>SUM(AZ66,AZ101)</f>
        <v/>
      </c>
      <c r="BA28" s="2625">
        <f>SUM(BA66,BA101)</f>
        <v/>
      </c>
      <c r="BB28" s="2625">
        <f>SUM(BB66,BB101)</f>
        <v/>
      </c>
      <c r="BC28" s="2625">
        <f>SUM(BC66,BC101)</f>
        <v/>
      </c>
      <c r="BD28" s="2625">
        <f>SUM(BD66,BD101)</f>
        <v/>
      </c>
      <c r="BE28" s="2625">
        <f>SUM(BE66,BE101)</f>
        <v/>
      </c>
      <c r="BF28" s="2627">
        <f>SUM(BF66,BF101)</f>
        <v/>
      </c>
      <c r="BG28" s="2628">
        <f>SUM(AU28:BF28)</f>
        <v/>
      </c>
      <c r="BH28" s="2631" t="n"/>
      <c r="BI28" s="2627">
        <f>SUM(BI66,BI101)</f>
        <v/>
      </c>
      <c r="BJ28" s="2627">
        <f>SUM(BJ66,BJ101)</f>
        <v/>
      </c>
      <c r="BK28" s="2627">
        <f>SUM(BK66,BK101)</f>
        <v/>
      </c>
      <c r="BL28" s="2627">
        <f>SUM(BL66,BL101)</f>
        <v/>
      </c>
      <c r="BM28" s="2627">
        <f>SUM(BM66,BM101)</f>
        <v/>
      </c>
      <c r="BN28" s="2627">
        <f>SUM(BN66,BN101)</f>
        <v/>
      </c>
      <c r="BO28" s="2627">
        <f>SUM(BO66,BO101)</f>
        <v/>
      </c>
      <c r="BP28" s="2627">
        <f>SUM(BP66,BP101)</f>
        <v/>
      </c>
      <c r="BQ28" s="2627">
        <f>SUM(BQ66,BQ101)</f>
        <v/>
      </c>
      <c r="BR28" s="2627">
        <f>SUM(BR66,BR101)</f>
        <v/>
      </c>
      <c r="BS28" s="2627">
        <f>SUM(BS66,BS101)</f>
        <v/>
      </c>
      <c r="BT28" s="2627">
        <f>SUM(BT66,BT101)</f>
        <v/>
      </c>
      <c r="BU28" s="2628">
        <f>SUM(BI28:BT28)</f>
        <v/>
      </c>
    </row>
    <row r="29" outlineLevel="1">
      <c r="A29" s="1436" t="n"/>
      <c r="B29" s="1456" t="inlineStr">
        <is>
          <t>차량유지비</t>
        </is>
      </c>
      <c r="C29" s="1456" t="n"/>
      <c r="D29" s="2627" t="n"/>
      <c r="E29" s="2627" t="n"/>
      <c r="F29" s="2627" t="n"/>
      <c r="G29" s="2627" t="n"/>
      <c r="H29" s="2627" t="n"/>
      <c r="I29" s="2627" t="n"/>
      <c r="J29" s="2627" t="n"/>
      <c r="K29" s="2627" t="n"/>
      <c r="L29" s="2627" t="n"/>
      <c r="M29" s="2627" t="n"/>
      <c r="N29" s="2627" t="n"/>
      <c r="O29" s="2627" t="n"/>
      <c r="P29" s="2626">
        <f>SUM(D29:O29)</f>
        <v/>
      </c>
      <c r="Q29" s="1466" t="n"/>
      <c r="R29" s="1436" t="n"/>
      <c r="S29" s="2625">
        <f>SUM(S67,S102)</f>
        <v/>
      </c>
      <c r="T29" s="2625">
        <f>SUM(T67,T102)</f>
        <v/>
      </c>
      <c r="U29" s="2625">
        <f>SUM(U67,U102)</f>
        <v/>
      </c>
      <c r="V29" s="2625">
        <f>SUM(V67,V102)</f>
        <v/>
      </c>
      <c r="W29" s="2625">
        <f>SUM(W67,W102)</f>
        <v/>
      </c>
      <c r="X29" s="2625">
        <f>SUM(X67,X102)</f>
        <v/>
      </c>
      <c r="Y29" s="2625">
        <f>SUM(Y67,Y102)</f>
        <v/>
      </c>
      <c r="Z29" s="2625">
        <f>SUM(Z67,Z102)</f>
        <v/>
      </c>
      <c r="AA29" s="2625">
        <f>SUM(AA67,AA102)</f>
        <v/>
      </c>
      <c r="AB29" s="2625">
        <f>SUM(AB67,AB102)</f>
        <v/>
      </c>
      <c r="AC29" s="2625">
        <f>SUM(AC67,AC102)</f>
        <v/>
      </c>
      <c r="AD29" s="2625">
        <f>SUM(AD67,AD102)</f>
        <v/>
      </c>
      <c r="AE29" s="2626">
        <f>SUM(S29:AD29)</f>
        <v/>
      </c>
      <c r="AF29" s="1466" t="n"/>
      <c r="AG29" s="2625">
        <f>SUM(AG67,AG102)</f>
        <v/>
      </c>
      <c r="AH29" s="2625">
        <f>SUM(AH67,AH102)</f>
        <v/>
      </c>
      <c r="AI29" s="2625">
        <f>SUM(AI67,AI102)</f>
        <v/>
      </c>
      <c r="AJ29" s="2625">
        <f>SUM(AJ67,AJ102)</f>
        <v/>
      </c>
      <c r="AK29" s="2625">
        <f>SUM(AK67,AK102)</f>
        <v/>
      </c>
      <c r="AL29" s="2625">
        <f>SUM(AL67,AL102)</f>
        <v/>
      </c>
      <c r="AM29" s="2625">
        <f>SUM(AM67,AM102)</f>
        <v/>
      </c>
      <c r="AN29" s="2625">
        <f>SUM(AN67,AN102)</f>
        <v/>
      </c>
      <c r="AO29" s="2625">
        <f>SUM(AO67,AO102)</f>
        <v/>
      </c>
      <c r="AP29" s="2625">
        <f>SUM(AP67,AP102)</f>
        <v/>
      </c>
      <c r="AQ29" s="2625">
        <f>SUM(AQ67,AQ102)</f>
        <v/>
      </c>
      <c r="AR29" s="2625">
        <f>SUM(AR67,AR102)</f>
        <v/>
      </c>
      <c r="AS29" s="2626">
        <f>SUM(AG29:AR29)</f>
        <v/>
      </c>
      <c r="AU29" s="2625">
        <f>SUM(AU67,AU102)</f>
        <v/>
      </c>
      <c r="AV29" s="2625">
        <f>SUM(AV67,AV102)</f>
        <v/>
      </c>
      <c r="AW29" s="2625">
        <f>SUM(AW67,AW102)</f>
        <v/>
      </c>
      <c r="AX29" s="2625">
        <f>SUM(AX67,AX102)</f>
        <v/>
      </c>
      <c r="AY29" s="2625">
        <f>SUM(AY67,AY102)</f>
        <v/>
      </c>
      <c r="AZ29" s="2625">
        <f>SUM(AZ67,AZ102)</f>
        <v/>
      </c>
      <c r="BA29" s="2625">
        <f>SUM(BA67,BA102)</f>
        <v/>
      </c>
      <c r="BB29" s="2625">
        <f>SUM(BB67,BB102)</f>
        <v/>
      </c>
      <c r="BC29" s="2625">
        <f>SUM(BC67,BC102)</f>
        <v/>
      </c>
      <c r="BD29" s="2625">
        <f>SUM(BD67,BD102)</f>
        <v/>
      </c>
      <c r="BE29" s="2625">
        <f>SUM(BE67,BE102)</f>
        <v/>
      </c>
      <c r="BF29" s="2627">
        <f>SUM(BF67,BF102)</f>
        <v/>
      </c>
      <c r="BG29" s="2628">
        <f>SUM(AU29:BF29)</f>
        <v/>
      </c>
      <c r="BH29" s="2631" t="n"/>
      <c r="BI29" s="2627">
        <f>SUM(BI67,BI102)</f>
        <v/>
      </c>
      <c r="BJ29" s="2627">
        <f>SUM(BJ67,BJ102)</f>
        <v/>
      </c>
      <c r="BK29" s="2627">
        <f>SUM(BK67,BK102)</f>
        <v/>
      </c>
      <c r="BL29" s="2627">
        <f>SUM(BL67,BL102)</f>
        <v/>
      </c>
      <c r="BM29" s="2627">
        <f>SUM(BM67,BM102)</f>
        <v/>
      </c>
      <c r="BN29" s="2627">
        <f>SUM(BN67,BN102)</f>
        <v/>
      </c>
      <c r="BO29" s="2627">
        <f>SUM(BO67,BO102)</f>
        <v/>
      </c>
      <c r="BP29" s="2627">
        <f>SUM(BP67,BP102)</f>
        <v/>
      </c>
      <c r="BQ29" s="2627">
        <f>SUM(BQ67,BQ102)</f>
        <v/>
      </c>
      <c r="BR29" s="2627">
        <f>SUM(BR67,BR102)</f>
        <v/>
      </c>
      <c r="BS29" s="2627">
        <f>SUM(BS67,BS102)</f>
        <v/>
      </c>
      <c r="BT29" s="2627">
        <f>SUM(BT67,BT102)</f>
        <v/>
      </c>
      <c r="BU29" s="2628">
        <f>SUM(BI29:BT29)</f>
        <v/>
      </c>
    </row>
    <row r="30" outlineLevel="1">
      <c r="A30" s="1436" t="n"/>
      <c r="B30" s="1456" t="inlineStr">
        <is>
          <t>운반비</t>
        </is>
      </c>
      <c r="C30" s="1456" t="n"/>
      <c r="D30" s="2627" t="n"/>
      <c r="E30" s="2627" t="n"/>
      <c r="F30" s="2627" t="n"/>
      <c r="G30" s="2627" t="n"/>
      <c r="H30" s="2627" t="n"/>
      <c r="I30" s="2627" t="n"/>
      <c r="J30" s="2627" t="n"/>
      <c r="K30" s="2627" t="n"/>
      <c r="L30" s="2627" t="n"/>
      <c r="M30" s="2627" t="n"/>
      <c r="N30" s="2627" t="n"/>
      <c r="O30" s="2627" t="n"/>
      <c r="P30" s="2626">
        <f>SUM(D30:O30)</f>
        <v/>
      </c>
      <c r="Q30" s="1466" t="n"/>
      <c r="R30" s="1436" t="n"/>
      <c r="S30" s="2625">
        <f>SUM(S68,S103)</f>
        <v/>
      </c>
      <c r="T30" s="2625">
        <f>SUM(T68,T103)</f>
        <v/>
      </c>
      <c r="U30" s="2625">
        <f>SUM(U68,U103)</f>
        <v/>
      </c>
      <c r="V30" s="2625">
        <f>SUM(V68,V103)</f>
        <v/>
      </c>
      <c r="W30" s="2625">
        <f>SUM(W68,W103)</f>
        <v/>
      </c>
      <c r="X30" s="2625">
        <f>SUM(X68,X103)</f>
        <v/>
      </c>
      <c r="Y30" s="2625">
        <f>SUM(Y68,Y103)</f>
        <v/>
      </c>
      <c r="Z30" s="2625">
        <f>SUM(Z68,Z103)</f>
        <v/>
      </c>
      <c r="AA30" s="2625">
        <f>SUM(AA68,AA103)</f>
        <v/>
      </c>
      <c r="AB30" s="2625">
        <f>SUM(AB68,AB103)</f>
        <v/>
      </c>
      <c r="AC30" s="2625">
        <f>SUM(AC68,AC103)</f>
        <v/>
      </c>
      <c r="AD30" s="2625">
        <f>SUM(AD68,AD103)</f>
        <v/>
      </c>
      <c r="AE30" s="2626">
        <f>SUM(S30:AD30)</f>
        <v/>
      </c>
      <c r="AF30" s="1466" t="n"/>
      <c r="AG30" s="2625">
        <f>SUM(AG68,AG103)</f>
        <v/>
      </c>
      <c r="AH30" s="2625">
        <f>SUM(AH68,AH103)</f>
        <v/>
      </c>
      <c r="AI30" s="2625">
        <f>SUM(AI68,AI103)</f>
        <v/>
      </c>
      <c r="AJ30" s="2625">
        <f>SUM(AJ68,AJ103)</f>
        <v/>
      </c>
      <c r="AK30" s="2625">
        <f>SUM(AK68,AK103)</f>
        <v/>
      </c>
      <c r="AL30" s="2625">
        <f>SUM(AL68,AL103)</f>
        <v/>
      </c>
      <c r="AM30" s="2625">
        <f>SUM(AM68,AM103)</f>
        <v/>
      </c>
      <c r="AN30" s="2625">
        <f>SUM(AN68,AN103)</f>
        <v/>
      </c>
      <c r="AO30" s="2625">
        <f>SUM(AO68,AO103)</f>
        <v/>
      </c>
      <c r="AP30" s="2625">
        <f>SUM(AP68,AP103)</f>
        <v/>
      </c>
      <c r="AQ30" s="2625">
        <f>SUM(AQ68,AQ103)</f>
        <v/>
      </c>
      <c r="AR30" s="2625">
        <f>SUM(AR68,AR103)</f>
        <v/>
      </c>
      <c r="AS30" s="2626">
        <f>SUM(AG30:AR30)</f>
        <v/>
      </c>
      <c r="AU30" s="2625">
        <f>SUM(AU68,AU103)</f>
        <v/>
      </c>
      <c r="AV30" s="2625">
        <f>SUM(AV68,AV103)</f>
        <v/>
      </c>
      <c r="AW30" s="2625">
        <f>SUM(AW68,AW103)</f>
        <v/>
      </c>
      <c r="AX30" s="2625">
        <f>SUM(AX68,AX103)</f>
        <v/>
      </c>
      <c r="AY30" s="2625">
        <f>SUM(AY68,AY103)</f>
        <v/>
      </c>
      <c r="AZ30" s="2625">
        <f>SUM(AZ68,AZ103)</f>
        <v/>
      </c>
      <c r="BA30" s="2625">
        <f>SUM(BA68,BA103)</f>
        <v/>
      </c>
      <c r="BB30" s="2625">
        <f>SUM(BB68,BB103)</f>
        <v/>
      </c>
      <c r="BC30" s="2625">
        <f>SUM(BC68,BC103)</f>
        <v/>
      </c>
      <c r="BD30" s="2625">
        <f>SUM(BD68,BD103)</f>
        <v/>
      </c>
      <c r="BE30" s="2625">
        <f>SUM(BE68,BE103)</f>
        <v/>
      </c>
      <c r="BF30" s="2627">
        <f>SUM(BF68,BF103)</f>
        <v/>
      </c>
      <c r="BG30" s="2628">
        <f>SUM(AU30:BF30)</f>
        <v/>
      </c>
      <c r="BH30" s="2631" t="n"/>
      <c r="BI30" s="2627">
        <f>SUM(BI68,BI103)</f>
        <v/>
      </c>
      <c r="BJ30" s="2627">
        <f>SUM(BJ68,BJ103)</f>
        <v/>
      </c>
      <c r="BK30" s="2627">
        <f>SUM(BK68,BK103)</f>
        <v/>
      </c>
      <c r="BL30" s="2627">
        <f>SUM(BL68,BL103)</f>
        <v/>
      </c>
      <c r="BM30" s="2627">
        <f>SUM(BM68,BM103)</f>
        <v/>
      </c>
      <c r="BN30" s="2627">
        <f>SUM(BN68,BN103)</f>
        <v/>
      </c>
      <c r="BO30" s="2627">
        <f>SUM(BO68,BO103)</f>
        <v/>
      </c>
      <c r="BP30" s="2627">
        <f>SUM(BP68,BP103)</f>
        <v/>
      </c>
      <c r="BQ30" s="2627">
        <f>SUM(BQ68,BQ103)</f>
        <v/>
      </c>
      <c r="BR30" s="2627">
        <f>SUM(BR68,BR103)</f>
        <v/>
      </c>
      <c r="BS30" s="2627">
        <f>SUM(BS68,BS103)</f>
        <v/>
      </c>
      <c r="BT30" s="2627">
        <f>SUM(BT68,BT103)</f>
        <v/>
      </c>
      <c r="BU30" s="2628">
        <f>SUM(BI30:BT30)</f>
        <v/>
      </c>
    </row>
    <row r="31" outlineLevel="1">
      <c r="A31" s="1436" t="n"/>
      <c r="B31" s="1456" t="inlineStr">
        <is>
          <t>교육훈련비</t>
        </is>
      </c>
      <c r="C31" s="1456" t="n"/>
      <c r="D31" s="2627" t="n"/>
      <c r="E31" s="2627" t="n"/>
      <c r="F31" s="2627" t="n"/>
      <c r="G31" s="2627" t="n"/>
      <c r="H31" s="2627" t="n"/>
      <c r="I31" s="2627" t="n"/>
      <c r="J31" s="2627" t="n"/>
      <c r="K31" s="2627" t="n"/>
      <c r="L31" s="2627" t="n"/>
      <c r="M31" s="2627" t="n"/>
      <c r="N31" s="2627" t="n"/>
      <c r="O31" s="2627" t="n"/>
      <c r="P31" s="2626">
        <f>SUM(D31:O31)</f>
        <v/>
      </c>
      <c r="Q31" s="1466" t="n"/>
      <c r="R31" s="1436" t="n"/>
      <c r="S31" s="2625">
        <f>SUM(S70,S104)</f>
        <v/>
      </c>
      <c r="T31" s="2625">
        <f>SUM(T70,T104)</f>
        <v/>
      </c>
      <c r="U31" s="2625">
        <f>SUM(U70,U104)</f>
        <v/>
      </c>
      <c r="V31" s="2625">
        <f>SUM(V70,V104)</f>
        <v/>
      </c>
      <c r="W31" s="2625">
        <f>SUM(W70,W104)</f>
        <v/>
      </c>
      <c r="X31" s="2625">
        <f>SUM(X70,X104)</f>
        <v/>
      </c>
      <c r="Y31" s="2625">
        <f>SUM(Y70,Y104)</f>
        <v/>
      </c>
      <c r="Z31" s="2625">
        <f>SUM(Z70,Z104)</f>
        <v/>
      </c>
      <c r="AA31" s="2625">
        <f>SUM(AA70,AA104)</f>
        <v/>
      </c>
      <c r="AB31" s="2625">
        <f>SUM(AB70,AB104)</f>
        <v/>
      </c>
      <c r="AC31" s="2625">
        <f>SUM(AC70,AC104)</f>
        <v/>
      </c>
      <c r="AD31" s="2625">
        <f>SUM(AD70,AD104)</f>
        <v/>
      </c>
      <c r="AE31" s="2626">
        <f>SUM(S31:AD31)</f>
        <v/>
      </c>
      <c r="AF31" s="1466" t="n"/>
      <c r="AG31" s="2625">
        <f>SUM(AG70,AG104)</f>
        <v/>
      </c>
      <c r="AH31" s="2625">
        <f>SUM(AH70,AH104)</f>
        <v/>
      </c>
      <c r="AI31" s="2625">
        <f>SUM(AI70,AI104)</f>
        <v/>
      </c>
      <c r="AJ31" s="2625">
        <f>SUM(AJ70,AJ104)</f>
        <v/>
      </c>
      <c r="AK31" s="2625">
        <f>SUM(AK70,AK104)</f>
        <v/>
      </c>
      <c r="AL31" s="2625">
        <f>SUM(AL70,AL104)</f>
        <v/>
      </c>
      <c r="AM31" s="2625">
        <f>SUM(AM70,AM104)</f>
        <v/>
      </c>
      <c r="AN31" s="2625">
        <f>SUM(AN70,AN104)</f>
        <v/>
      </c>
      <c r="AO31" s="2625">
        <f>SUM(AO70,AO104)</f>
        <v/>
      </c>
      <c r="AP31" s="2625">
        <f>SUM(AP70,AP104)</f>
        <v/>
      </c>
      <c r="AQ31" s="2625">
        <f>SUM(AQ70,AQ104)</f>
        <v/>
      </c>
      <c r="AR31" s="2625">
        <f>SUM(AR70,AR104)</f>
        <v/>
      </c>
      <c r="AS31" s="2626">
        <f>SUM(AG31:AR31)</f>
        <v/>
      </c>
      <c r="AU31" s="2625">
        <f>SUM(AU70,AU104)</f>
        <v/>
      </c>
      <c r="AV31" s="2625">
        <f>SUM(AV70,AV104)</f>
        <v/>
      </c>
      <c r="AW31" s="2625">
        <f>SUM(AW70,AW104)</f>
        <v/>
      </c>
      <c r="AX31" s="2625">
        <f>SUM(AX70,AX104)</f>
        <v/>
      </c>
      <c r="AY31" s="2625">
        <f>SUM(AY70,AY104)</f>
        <v/>
      </c>
      <c r="AZ31" s="2625">
        <f>SUM(AZ70,AZ104)</f>
        <v/>
      </c>
      <c r="BA31" s="2625">
        <f>SUM(BA70,BA104)</f>
        <v/>
      </c>
      <c r="BB31" s="2625">
        <f>SUM(BB70,BB104)</f>
        <v/>
      </c>
      <c r="BC31" s="2625">
        <f>SUM(BC70,BC104)</f>
        <v/>
      </c>
      <c r="BD31" s="2625">
        <f>SUM(BD70,BD104)</f>
        <v/>
      </c>
      <c r="BE31" s="2625">
        <f>SUM(BE70,BE104)</f>
        <v/>
      </c>
      <c r="BF31" s="2627">
        <f>SUM(BF70,BF104)</f>
        <v/>
      </c>
      <c r="BG31" s="2628">
        <f>SUM(AU31:BF31)</f>
        <v/>
      </c>
      <c r="BH31" s="2631" t="n"/>
      <c r="BI31" s="2627">
        <f>SUM(BI70,BI104)</f>
        <v/>
      </c>
      <c r="BJ31" s="2627">
        <f>SUM(BJ70,BJ104)</f>
        <v/>
      </c>
      <c r="BK31" s="2627">
        <f>SUM(BK70,BK104)</f>
        <v/>
      </c>
      <c r="BL31" s="2627">
        <f>SUM(BL70,BL104)</f>
        <v/>
      </c>
      <c r="BM31" s="2627">
        <f>SUM(BM70,BM104)</f>
        <v/>
      </c>
      <c r="BN31" s="2627">
        <f>SUM(BN70,BN104)</f>
        <v/>
      </c>
      <c r="BO31" s="2627">
        <f>SUM(BO70,BO104)</f>
        <v/>
      </c>
      <c r="BP31" s="2627">
        <f>SUM(BP70,BP104)</f>
        <v/>
      </c>
      <c r="BQ31" s="2627">
        <f>SUM(BQ70,BQ104)</f>
        <v/>
      </c>
      <c r="BR31" s="2627">
        <f>SUM(BR70,BR104)</f>
        <v/>
      </c>
      <c r="BS31" s="2627">
        <f>SUM(BS70,BS104)</f>
        <v/>
      </c>
      <c r="BT31" s="2627">
        <f>SUM(BT70,BT104)</f>
        <v/>
      </c>
      <c r="BU31" s="2628">
        <f>SUM(BI31:BT31)</f>
        <v/>
      </c>
    </row>
    <row r="32" outlineLevel="1">
      <c r="A32" s="1436" t="n"/>
      <c r="B32" s="1456" t="inlineStr">
        <is>
          <t>도서인쇄비</t>
        </is>
      </c>
      <c r="C32" s="1456" t="n"/>
      <c r="D32" s="2627" t="n"/>
      <c r="E32" s="2627" t="n"/>
      <c r="F32" s="2627" t="n"/>
      <c r="G32" s="2627" t="n"/>
      <c r="H32" s="2627" t="n"/>
      <c r="I32" s="2627" t="n"/>
      <c r="J32" s="2627" t="n"/>
      <c r="K32" s="2627" t="n"/>
      <c r="L32" s="2627" t="n"/>
      <c r="M32" s="2627" t="n"/>
      <c r="N32" s="2627" t="n"/>
      <c r="O32" s="2627" t="n"/>
      <c r="P32" s="2626">
        <f>SUM(D32:O32)</f>
        <v/>
      </c>
      <c r="Q32" s="1464" t="n"/>
      <c r="R32" s="1436" t="n"/>
      <c r="S32" s="2625">
        <f>SUM(S71,S105)</f>
        <v/>
      </c>
      <c r="T32" s="2625">
        <f>SUM(T71,T105)</f>
        <v/>
      </c>
      <c r="U32" s="2625">
        <f>SUM(U71,U105)</f>
        <v/>
      </c>
      <c r="V32" s="2625">
        <f>SUM(V71,V105)</f>
        <v/>
      </c>
      <c r="W32" s="2625">
        <f>SUM(W71,W105)</f>
        <v/>
      </c>
      <c r="X32" s="2625">
        <f>SUM(X71,X105)</f>
        <v/>
      </c>
      <c r="Y32" s="2625">
        <f>SUM(Y71,Y105)</f>
        <v/>
      </c>
      <c r="Z32" s="2625">
        <f>SUM(Z71,Z105)</f>
        <v/>
      </c>
      <c r="AA32" s="2625">
        <f>SUM(AA71,AA105)</f>
        <v/>
      </c>
      <c r="AB32" s="2625">
        <f>SUM(AB71,AB105)</f>
        <v/>
      </c>
      <c r="AC32" s="2625">
        <f>SUM(AC71,AC105)</f>
        <v/>
      </c>
      <c r="AD32" s="2625">
        <f>SUM(AD71,AD105)</f>
        <v/>
      </c>
      <c r="AE32" s="2626">
        <f>SUM(S32:AD32)</f>
        <v/>
      </c>
      <c r="AF32" s="1464" t="n"/>
      <c r="AG32" s="2625">
        <f>SUM(AG71,AG105)</f>
        <v/>
      </c>
      <c r="AH32" s="2625">
        <f>SUM(AH71,AH105)</f>
        <v/>
      </c>
      <c r="AI32" s="2625">
        <f>SUM(AI71,AI105)</f>
        <v/>
      </c>
      <c r="AJ32" s="2625">
        <f>SUM(AJ71,AJ105)</f>
        <v/>
      </c>
      <c r="AK32" s="2625">
        <f>SUM(AK71,AK105)</f>
        <v/>
      </c>
      <c r="AL32" s="2625">
        <f>SUM(AL71,AL105)</f>
        <v/>
      </c>
      <c r="AM32" s="2625">
        <f>SUM(AM71,AM105)</f>
        <v/>
      </c>
      <c r="AN32" s="2625">
        <f>SUM(AN71,AN105)</f>
        <v/>
      </c>
      <c r="AO32" s="2625">
        <f>SUM(AO71,AO105)</f>
        <v/>
      </c>
      <c r="AP32" s="2625">
        <f>SUM(AP71,AP105)</f>
        <v/>
      </c>
      <c r="AQ32" s="2625">
        <f>SUM(AQ71,AQ105)</f>
        <v/>
      </c>
      <c r="AR32" s="2625">
        <f>SUM(AR71,AR105)</f>
        <v/>
      </c>
      <c r="AS32" s="2626">
        <f>SUM(AG32:AR32)</f>
        <v/>
      </c>
      <c r="AU32" s="2625">
        <f>SUM(AU71,AU105)</f>
        <v/>
      </c>
      <c r="AV32" s="2625">
        <f>SUM(AV71,AV105)</f>
        <v/>
      </c>
      <c r="AW32" s="2625">
        <f>SUM(AW71,AW105)</f>
        <v/>
      </c>
      <c r="AX32" s="2625">
        <f>SUM(AX71,AX105)</f>
        <v/>
      </c>
      <c r="AY32" s="2625">
        <f>SUM(AY71,AY105)</f>
        <v/>
      </c>
      <c r="AZ32" s="2625">
        <f>SUM(AZ71,AZ105)</f>
        <v/>
      </c>
      <c r="BA32" s="2625">
        <f>SUM(BA71,BA105)</f>
        <v/>
      </c>
      <c r="BB32" s="2625">
        <f>SUM(BB71,BB105)</f>
        <v/>
      </c>
      <c r="BC32" s="2625">
        <f>SUM(BC71,BC105)</f>
        <v/>
      </c>
      <c r="BD32" s="2625">
        <f>SUM(BD71,BD105)</f>
        <v/>
      </c>
      <c r="BE32" s="2625">
        <f>SUM(BE71,BE105)</f>
        <v/>
      </c>
      <c r="BF32" s="2627">
        <f>SUM(BF71,BF105)</f>
        <v/>
      </c>
      <c r="BG32" s="2628">
        <f>SUM(AU32:BF32)</f>
        <v/>
      </c>
      <c r="BH32" s="2631" t="n"/>
      <c r="BI32" s="2627">
        <f>SUM(BI71,BI105)</f>
        <v/>
      </c>
      <c r="BJ32" s="2627">
        <f>SUM(BJ71,BJ105)</f>
        <v/>
      </c>
      <c r="BK32" s="2627">
        <f>SUM(BK71,BK105)</f>
        <v/>
      </c>
      <c r="BL32" s="2627">
        <f>SUM(BL71,BL105)</f>
        <v/>
      </c>
      <c r="BM32" s="2627">
        <f>SUM(BM71,BM105)</f>
        <v/>
      </c>
      <c r="BN32" s="2627">
        <f>SUM(BN71,BN105)</f>
        <v/>
      </c>
      <c r="BO32" s="2627">
        <f>SUM(BO71,BO105)</f>
        <v/>
      </c>
      <c r="BP32" s="2627">
        <f>SUM(BP71,BP105)</f>
        <v/>
      </c>
      <c r="BQ32" s="2627">
        <f>SUM(BQ71,BQ105)</f>
        <v/>
      </c>
      <c r="BR32" s="2627">
        <f>SUM(BR71,BR105)</f>
        <v/>
      </c>
      <c r="BS32" s="2627">
        <f>SUM(BS71,BS105)</f>
        <v/>
      </c>
      <c r="BT32" s="2627">
        <f>SUM(BT71,BT105)</f>
        <v/>
      </c>
      <c r="BU32" s="2628">
        <f>SUM(BI32:BT32)</f>
        <v/>
      </c>
    </row>
    <row r="33" outlineLevel="1">
      <c r="A33" s="1436" t="n"/>
      <c r="B33" s="1456" t="inlineStr">
        <is>
          <t>사무용품비</t>
        </is>
      </c>
      <c r="C33" s="1456" t="n"/>
      <c r="D33" s="2627" t="n"/>
      <c r="E33" s="2627" t="n"/>
      <c r="F33" s="2627" t="n"/>
      <c r="G33" s="2627" t="n"/>
      <c r="H33" s="2627" t="n"/>
      <c r="I33" s="2627" t="n"/>
      <c r="J33" s="2627" t="n"/>
      <c r="K33" s="2627" t="n"/>
      <c r="L33" s="2627" t="n"/>
      <c r="M33" s="2627" t="n"/>
      <c r="N33" s="2627" t="n"/>
      <c r="O33" s="2627" t="n"/>
      <c r="P33" s="2626">
        <f>SUM(D33:O33)</f>
        <v/>
      </c>
      <c r="Q33" s="1466" t="n"/>
      <c r="R33" s="1436" t="n"/>
      <c r="S33" s="2625">
        <f>SUM(S72,S106)</f>
        <v/>
      </c>
      <c r="T33" s="2625">
        <f>SUM(T72,T106)</f>
        <v/>
      </c>
      <c r="U33" s="2625">
        <f>SUM(U72,U106)</f>
        <v/>
      </c>
      <c r="V33" s="2625">
        <f>SUM(V72,V106)</f>
        <v/>
      </c>
      <c r="W33" s="2625">
        <f>SUM(W72,W106)</f>
        <v/>
      </c>
      <c r="X33" s="2625">
        <f>SUM(X72,X106)</f>
        <v/>
      </c>
      <c r="Y33" s="2625">
        <f>SUM(Y72,Y106)</f>
        <v/>
      </c>
      <c r="Z33" s="2625">
        <f>SUM(Z72,Z106)</f>
        <v/>
      </c>
      <c r="AA33" s="2625">
        <f>SUM(AA72,AA106)</f>
        <v/>
      </c>
      <c r="AB33" s="2625">
        <f>SUM(AB72,AB106)</f>
        <v/>
      </c>
      <c r="AC33" s="2625">
        <f>SUM(AC72,AC106)</f>
        <v/>
      </c>
      <c r="AD33" s="2625">
        <f>SUM(AD72,AD106)</f>
        <v/>
      </c>
      <c r="AE33" s="2626">
        <f>SUM(S33:AD33)</f>
        <v/>
      </c>
      <c r="AF33" s="1464" t="n"/>
      <c r="AG33" s="2625">
        <f>SUM(AG72,AG106)</f>
        <v/>
      </c>
      <c r="AH33" s="2625">
        <f>SUM(AH72,AH106)</f>
        <v/>
      </c>
      <c r="AI33" s="2625">
        <f>SUM(AI72,AI106)</f>
        <v/>
      </c>
      <c r="AJ33" s="2625">
        <f>SUM(AJ72,AJ106)</f>
        <v/>
      </c>
      <c r="AK33" s="2625">
        <f>SUM(AK72,AK106)</f>
        <v/>
      </c>
      <c r="AL33" s="2625">
        <f>SUM(AL72,AL106)</f>
        <v/>
      </c>
      <c r="AM33" s="2625">
        <f>SUM(AM72,AM106)</f>
        <v/>
      </c>
      <c r="AN33" s="2625">
        <f>SUM(AN72,AN106)</f>
        <v/>
      </c>
      <c r="AO33" s="2625">
        <f>SUM(AO72,AO106)</f>
        <v/>
      </c>
      <c r="AP33" s="2625">
        <f>SUM(AP72,AP106)</f>
        <v/>
      </c>
      <c r="AQ33" s="2625">
        <f>SUM(AQ72,AQ106)</f>
        <v/>
      </c>
      <c r="AR33" s="2625">
        <f>SUM(AR72,AR106)</f>
        <v/>
      </c>
      <c r="AS33" s="2626">
        <f>SUM(AG33:AR33)</f>
        <v/>
      </c>
      <c r="AU33" s="2625">
        <f>SUM(AU72,AU106)</f>
        <v/>
      </c>
      <c r="AV33" s="2625">
        <f>SUM(AV72,AV106)</f>
        <v/>
      </c>
      <c r="AW33" s="2625">
        <f>SUM(AW72,AW106)</f>
        <v/>
      </c>
      <c r="AX33" s="2625">
        <f>SUM(AX72,AX106)</f>
        <v/>
      </c>
      <c r="AY33" s="2625">
        <f>SUM(AY72,AY106)</f>
        <v/>
      </c>
      <c r="AZ33" s="2625">
        <f>SUM(AZ72,AZ106)</f>
        <v/>
      </c>
      <c r="BA33" s="2625">
        <f>SUM(BA72,BA106)</f>
        <v/>
      </c>
      <c r="BB33" s="2625">
        <f>SUM(BB72,BB106)</f>
        <v/>
      </c>
      <c r="BC33" s="2625">
        <f>SUM(BC72,BC106)</f>
        <v/>
      </c>
      <c r="BD33" s="2625">
        <f>SUM(BD72,BD106)</f>
        <v/>
      </c>
      <c r="BE33" s="2625">
        <f>SUM(BE72,BE106)</f>
        <v/>
      </c>
      <c r="BF33" s="2627">
        <f>SUM(BF72,BF106)</f>
        <v/>
      </c>
      <c r="BG33" s="2628">
        <f>SUM(AU33:BF33)</f>
        <v/>
      </c>
      <c r="BH33" s="2631" t="n"/>
      <c r="BI33" s="2627">
        <f>SUM(BI72,BI106)</f>
        <v/>
      </c>
      <c r="BJ33" s="2627">
        <f>SUM(BJ72,BJ106)</f>
        <v/>
      </c>
      <c r="BK33" s="2627">
        <f>SUM(BK72,BK106)</f>
        <v/>
      </c>
      <c r="BL33" s="2627">
        <f>SUM(BL72,BL106)</f>
        <v/>
      </c>
      <c r="BM33" s="2627">
        <f>SUM(BM72,BM106)</f>
        <v/>
      </c>
      <c r="BN33" s="2627">
        <f>SUM(BN72,BN106)</f>
        <v/>
      </c>
      <c r="BO33" s="2627">
        <f>SUM(BO72,BO106)</f>
        <v/>
      </c>
      <c r="BP33" s="2627">
        <f>SUM(BP72,BP106)</f>
        <v/>
      </c>
      <c r="BQ33" s="2627">
        <f>SUM(BQ72,BQ106)</f>
        <v/>
      </c>
      <c r="BR33" s="2627">
        <f>SUM(BR72,BR106)</f>
        <v/>
      </c>
      <c r="BS33" s="2627">
        <f>SUM(BS72,BS106)</f>
        <v/>
      </c>
      <c r="BT33" s="2627">
        <f>SUM(BT72,BT106)</f>
        <v/>
      </c>
      <c r="BU33" s="2628">
        <f>SUM(BI33:BT33)</f>
        <v/>
      </c>
    </row>
    <row r="34" outlineLevel="1">
      <c r="A34" s="1436" t="n"/>
      <c r="B34" s="1456" t="inlineStr">
        <is>
          <t>소모품비</t>
        </is>
      </c>
      <c r="C34" s="1456" t="n"/>
      <c r="D34" s="2627" t="n"/>
      <c r="E34" s="2627" t="n"/>
      <c r="F34" s="2627" t="n"/>
      <c r="G34" s="2627" t="n"/>
      <c r="H34" s="2627" t="n"/>
      <c r="I34" s="2627" t="n"/>
      <c r="J34" s="2627" t="n"/>
      <c r="K34" s="2627" t="n"/>
      <c r="L34" s="2627" t="n"/>
      <c r="M34" s="2627" t="n"/>
      <c r="N34" s="2627" t="n"/>
      <c r="O34" s="2627" t="n"/>
      <c r="P34" s="2626">
        <f>SUM(D34:O34)</f>
        <v/>
      </c>
      <c r="Q34" s="1464" t="n"/>
      <c r="R34" s="1436" t="n"/>
      <c r="S34" s="2625">
        <f>SUM(S73,S107)</f>
        <v/>
      </c>
      <c r="T34" s="2625">
        <f>SUM(T73,T107)</f>
        <v/>
      </c>
      <c r="U34" s="2625">
        <f>SUM(U73,U107)</f>
        <v/>
      </c>
      <c r="V34" s="2625">
        <f>SUM(V73,V107)</f>
        <v/>
      </c>
      <c r="W34" s="2625">
        <f>SUM(W73,W107)</f>
        <v/>
      </c>
      <c r="X34" s="2625">
        <f>SUM(X73,X107)</f>
        <v/>
      </c>
      <c r="Y34" s="2625">
        <f>SUM(Y73,Y107)</f>
        <v/>
      </c>
      <c r="Z34" s="2625">
        <f>SUM(Z73,Z107)</f>
        <v/>
      </c>
      <c r="AA34" s="2625">
        <f>SUM(AA73,AA107)</f>
        <v/>
      </c>
      <c r="AB34" s="2625">
        <f>SUM(AB73,AB107)</f>
        <v/>
      </c>
      <c r="AC34" s="2625">
        <f>SUM(AC73,AC107)</f>
        <v/>
      </c>
      <c r="AD34" s="2625">
        <f>SUM(AD73,AD107)</f>
        <v/>
      </c>
      <c r="AE34" s="2626">
        <f>SUM(S34:AD34)</f>
        <v/>
      </c>
      <c r="AF34" s="1464" t="n"/>
      <c r="AG34" s="2625">
        <f>SUM(AG73,AG107)</f>
        <v/>
      </c>
      <c r="AH34" s="2625">
        <f>SUM(AH73,AH107)</f>
        <v/>
      </c>
      <c r="AI34" s="2625">
        <f>SUM(AI73,AI107)</f>
        <v/>
      </c>
      <c r="AJ34" s="2625">
        <f>SUM(AJ73,AJ107)</f>
        <v/>
      </c>
      <c r="AK34" s="2625">
        <f>SUM(AK73,AK107)</f>
        <v/>
      </c>
      <c r="AL34" s="2625">
        <f>SUM(AL73,AL107)</f>
        <v/>
      </c>
      <c r="AM34" s="2625">
        <f>SUM(AM73,AM107)</f>
        <v/>
      </c>
      <c r="AN34" s="2625">
        <f>SUM(AN73,AN107)</f>
        <v/>
      </c>
      <c r="AO34" s="2625">
        <f>SUM(AO73,AO107)</f>
        <v/>
      </c>
      <c r="AP34" s="2625">
        <f>SUM(AP73,AP107)</f>
        <v/>
      </c>
      <c r="AQ34" s="2625">
        <f>SUM(AQ73,AQ107)</f>
        <v/>
      </c>
      <c r="AR34" s="2625">
        <f>SUM(AR73,AR107)</f>
        <v/>
      </c>
      <c r="AS34" s="2626">
        <f>SUM(AG34:AR34)</f>
        <v/>
      </c>
      <c r="AU34" s="2625">
        <f>SUM(AU73,AU107)</f>
        <v/>
      </c>
      <c r="AV34" s="2625">
        <f>SUM(AV73,AV107)</f>
        <v/>
      </c>
      <c r="AW34" s="2625">
        <f>SUM(AW73,AW107)</f>
        <v/>
      </c>
      <c r="AX34" s="2625">
        <f>SUM(AX73,AX107)</f>
        <v/>
      </c>
      <c r="AY34" s="2625">
        <f>SUM(AY73,AY107)</f>
        <v/>
      </c>
      <c r="AZ34" s="2625">
        <f>SUM(AZ73,AZ107)</f>
        <v/>
      </c>
      <c r="BA34" s="2625">
        <f>SUM(BA73,BA107)</f>
        <v/>
      </c>
      <c r="BB34" s="2625">
        <f>SUM(BB73,BB107)</f>
        <v/>
      </c>
      <c r="BC34" s="2625">
        <f>SUM(BC73,BC107)</f>
        <v/>
      </c>
      <c r="BD34" s="2625">
        <f>SUM(BD73,BD107)</f>
        <v/>
      </c>
      <c r="BE34" s="2625">
        <f>SUM(BE73,BE107)</f>
        <v/>
      </c>
      <c r="BF34" s="2627">
        <f>SUM(BF73,BF107)</f>
        <v/>
      </c>
      <c r="BG34" s="2628">
        <f>SUM(AU34:BF34)</f>
        <v/>
      </c>
      <c r="BH34" s="2631" t="n"/>
      <c r="BI34" s="2627">
        <f>SUM(BI73,BI107)</f>
        <v/>
      </c>
      <c r="BJ34" s="2627">
        <f>SUM(BJ73,BJ107)</f>
        <v/>
      </c>
      <c r="BK34" s="2627">
        <f>SUM(BK73,BK107)</f>
        <v/>
      </c>
      <c r="BL34" s="2627">
        <f>SUM(BL73,BL107)</f>
        <v/>
      </c>
      <c r="BM34" s="2627">
        <f>SUM(BM73,BM107)</f>
        <v/>
      </c>
      <c r="BN34" s="2627">
        <f>SUM(BN73,BN107)</f>
        <v/>
      </c>
      <c r="BO34" s="2627">
        <f>SUM(BO73,BO107)</f>
        <v/>
      </c>
      <c r="BP34" s="2627">
        <f>SUM(BP73,BP107)</f>
        <v/>
      </c>
      <c r="BQ34" s="2627">
        <f>SUM(BQ73,BQ107)</f>
        <v/>
      </c>
      <c r="BR34" s="2627">
        <f>SUM(BR73,BR107)</f>
        <v/>
      </c>
      <c r="BS34" s="2627">
        <f>SUM(BS73,BS107)</f>
        <v/>
      </c>
      <c r="BT34" s="2627">
        <f>SUM(BT73,BT107)</f>
        <v/>
      </c>
      <c r="BU34" s="2628">
        <f>SUM(BI34:BT34)</f>
        <v/>
      </c>
    </row>
    <row r="35" outlineLevel="1">
      <c r="A35" s="1436" t="n"/>
      <c r="B35" s="1456" t="inlineStr">
        <is>
          <t>지급수수료</t>
        </is>
      </c>
      <c r="C35" s="1456" t="n"/>
      <c r="D35" s="2627" t="n"/>
      <c r="E35" s="2627" t="n"/>
      <c r="F35" s="2627" t="n"/>
      <c r="G35" s="2627" t="n"/>
      <c r="H35" s="2627" t="n"/>
      <c r="I35" s="2627" t="n"/>
      <c r="J35" s="2627" t="n"/>
      <c r="K35" s="2627" t="n"/>
      <c r="L35" s="2627" t="n"/>
      <c r="M35" s="2627" t="n"/>
      <c r="N35" s="2627" t="n"/>
      <c r="O35" s="2627" t="n"/>
      <c r="P35" s="2626">
        <f>SUM(D35:O35)</f>
        <v/>
      </c>
      <c r="Q35" s="1464" t="n"/>
      <c r="R35" s="1436" t="n"/>
      <c r="S35" s="2625">
        <f>SUM(S74,S108)</f>
        <v/>
      </c>
      <c r="T35" s="2625">
        <f>SUM(T74,T108)</f>
        <v/>
      </c>
      <c r="U35" s="2625">
        <f>SUM(U74,U108)</f>
        <v/>
      </c>
      <c r="V35" s="2625">
        <f>SUM(V74,V108)</f>
        <v/>
      </c>
      <c r="W35" s="2625">
        <f>SUM(W74,W108)</f>
        <v/>
      </c>
      <c r="X35" s="2625">
        <f>SUM(X74,X108)</f>
        <v/>
      </c>
      <c r="Y35" s="2625">
        <f>SUM(Y74,Y108)</f>
        <v/>
      </c>
      <c r="Z35" s="2625">
        <f>SUM(Z74,Z108)</f>
        <v/>
      </c>
      <c r="AA35" s="2625">
        <f>SUM(AA74,AA108)</f>
        <v/>
      </c>
      <c r="AB35" s="2625">
        <f>SUM(AB74,AB108)</f>
        <v/>
      </c>
      <c r="AC35" s="2625">
        <f>SUM(AC74,AC108)</f>
        <v/>
      </c>
      <c r="AD35" s="2625">
        <f>SUM(AD74,AD108)</f>
        <v/>
      </c>
      <c r="AE35" s="2626">
        <f>SUM(S35:AD35)</f>
        <v/>
      </c>
      <c r="AF35" s="1464" t="n"/>
      <c r="AG35" s="2625">
        <f>SUM(AG74,AG108)</f>
        <v/>
      </c>
      <c r="AH35" s="2625">
        <f>SUM(AH74,AH108)</f>
        <v/>
      </c>
      <c r="AI35" s="2625">
        <f>SUM(AI74,AI108)</f>
        <v/>
      </c>
      <c r="AJ35" s="2625">
        <f>SUM(AJ74,AJ108)</f>
        <v/>
      </c>
      <c r="AK35" s="2625">
        <f>SUM(AK74,AK108)</f>
        <v/>
      </c>
      <c r="AL35" s="2625">
        <f>SUM(AL74,AL108)</f>
        <v/>
      </c>
      <c r="AM35" s="2625">
        <f>SUM(AM74,AM108)</f>
        <v/>
      </c>
      <c r="AN35" s="2625">
        <f>SUM(AN74,AN108)</f>
        <v/>
      </c>
      <c r="AO35" s="2625">
        <f>SUM(AO74,AO108)</f>
        <v/>
      </c>
      <c r="AP35" s="2625">
        <f>SUM(AP74,AP108)</f>
        <v/>
      </c>
      <c r="AQ35" s="2625">
        <f>SUM(AQ74,AQ108)</f>
        <v/>
      </c>
      <c r="AR35" s="2625">
        <f>SUM(AR74,AR108)</f>
        <v/>
      </c>
      <c r="AS35" s="2626">
        <f>SUM(AG35:AR35)</f>
        <v/>
      </c>
      <c r="AU35" s="2625">
        <f>SUM(AU74,AU108)</f>
        <v/>
      </c>
      <c r="AV35" s="2625">
        <f>SUM(AV74,AV108)</f>
        <v/>
      </c>
      <c r="AW35" s="2625">
        <f>SUM(AW74,AW108)</f>
        <v/>
      </c>
      <c r="AX35" s="2625">
        <f>SUM(AX74,AX108)</f>
        <v/>
      </c>
      <c r="AY35" s="2625">
        <f>SUM(AY74,AY108)</f>
        <v/>
      </c>
      <c r="AZ35" s="2625">
        <f>SUM(AZ74,AZ108)</f>
        <v/>
      </c>
      <c r="BA35" s="2625">
        <f>SUM(BA74,BA108)</f>
        <v/>
      </c>
      <c r="BB35" s="2625">
        <f>SUM(BB74,BB108)</f>
        <v/>
      </c>
      <c r="BC35" s="2625">
        <f>SUM(BC74,BC108)</f>
        <v/>
      </c>
      <c r="BD35" s="2625">
        <f>SUM(BD74,BD108)</f>
        <v/>
      </c>
      <c r="BE35" s="2625">
        <f>SUM(BE74,BE108)</f>
        <v/>
      </c>
      <c r="BF35" s="2627">
        <f>SUM(BF74,BF108)</f>
        <v/>
      </c>
      <c r="BG35" s="2628">
        <f>SUM(AU35:BF35)</f>
        <v/>
      </c>
      <c r="BH35" s="2631" t="n"/>
      <c r="BI35" s="2627">
        <f>SUM(BI74,BI108)</f>
        <v/>
      </c>
      <c r="BJ35" s="2627">
        <f>SUM(BJ74,BJ108)</f>
        <v/>
      </c>
      <c r="BK35" s="2627">
        <f>SUM(BK74,BK108)</f>
        <v/>
      </c>
      <c r="BL35" s="2627">
        <f>SUM(BL74,BL108)</f>
        <v/>
      </c>
      <c r="BM35" s="2627">
        <f>SUM(BM74,BM108)</f>
        <v/>
      </c>
      <c r="BN35" s="2627">
        <f>SUM(BN74,BN108)</f>
        <v/>
      </c>
      <c r="BO35" s="2627">
        <f>SUM(BO74,BO108)</f>
        <v/>
      </c>
      <c r="BP35" s="2627">
        <f>SUM(BP74,BP108)</f>
        <v/>
      </c>
      <c r="BQ35" s="2627">
        <f>SUM(BQ74,BQ108)</f>
        <v/>
      </c>
      <c r="BR35" s="2627">
        <f>SUM(BR74,BR108)</f>
        <v/>
      </c>
      <c r="BS35" s="2627">
        <f>SUM(BS74,BS108)</f>
        <v/>
      </c>
      <c r="BT35" s="2627">
        <f>SUM(BT74,BT108)</f>
        <v/>
      </c>
      <c r="BU35" s="2628">
        <f>SUM(BI35:BT35)</f>
        <v/>
      </c>
    </row>
    <row r="36" outlineLevel="1">
      <c r="A36" s="1436" t="n"/>
      <c r="B36" s="1456" t="inlineStr">
        <is>
          <t>광고선전비</t>
        </is>
      </c>
      <c r="C36" s="1456" t="n"/>
      <c r="D36" s="2627" t="n"/>
      <c r="E36" s="2627" t="n"/>
      <c r="F36" s="2627" t="n"/>
      <c r="G36" s="2627" t="n"/>
      <c r="H36" s="2627" t="n"/>
      <c r="I36" s="2627" t="n"/>
      <c r="J36" s="2627" t="n"/>
      <c r="K36" s="2627" t="n"/>
      <c r="L36" s="2627" t="n"/>
      <c r="M36" s="2627" t="n"/>
      <c r="N36" s="2627" t="n"/>
      <c r="O36" s="2627" t="n"/>
      <c r="P36" s="2626">
        <f>SUM(D36:O36)</f>
        <v/>
      </c>
      <c r="Q36" s="1466" t="n"/>
      <c r="R36" s="1436" t="n"/>
      <c r="S36" s="2625">
        <f>SUM(S75,S110)</f>
        <v/>
      </c>
      <c r="T36" s="2625">
        <f>SUM(T75,T110)</f>
        <v/>
      </c>
      <c r="U36" s="2625">
        <f>SUM(U75,U110)</f>
        <v/>
      </c>
      <c r="V36" s="2625">
        <f>SUM(V75,V110)</f>
        <v/>
      </c>
      <c r="W36" s="2625">
        <f>SUM(W75,W110)</f>
        <v/>
      </c>
      <c r="X36" s="2625">
        <f>SUM(X75,X110)</f>
        <v/>
      </c>
      <c r="Y36" s="2625">
        <f>SUM(Y75,Y110)</f>
        <v/>
      </c>
      <c r="Z36" s="2625">
        <f>SUM(Z75,Z110)</f>
        <v/>
      </c>
      <c r="AA36" s="2625">
        <f>SUM(AA75,AA110)</f>
        <v/>
      </c>
      <c r="AB36" s="2625">
        <f>SUM(AB75,AB110)</f>
        <v/>
      </c>
      <c r="AC36" s="2625">
        <f>SUM(AC75,AC110)</f>
        <v/>
      </c>
      <c r="AD36" s="2625">
        <f>SUM(AD75,AD110)</f>
        <v/>
      </c>
      <c r="AE36" s="2626">
        <f>SUM(S36:AD36)</f>
        <v/>
      </c>
      <c r="AF36" s="1466" t="n"/>
      <c r="AG36" s="2625">
        <f>SUM(AG75,AG110)</f>
        <v/>
      </c>
      <c r="AH36" s="2625">
        <f>SUM(AH75,AH110)</f>
        <v/>
      </c>
      <c r="AI36" s="2625">
        <f>SUM(AI75,AI110)</f>
        <v/>
      </c>
      <c r="AJ36" s="2625">
        <f>SUM(AJ75,AJ110)</f>
        <v/>
      </c>
      <c r="AK36" s="2625">
        <f>SUM(AK75,AK110)</f>
        <v/>
      </c>
      <c r="AL36" s="2625">
        <f>SUM(AL75,AL110)</f>
        <v/>
      </c>
      <c r="AM36" s="2625">
        <f>SUM(AM75,AM110)</f>
        <v/>
      </c>
      <c r="AN36" s="2625">
        <f>SUM(AN75,AN110)</f>
        <v/>
      </c>
      <c r="AO36" s="2625">
        <f>SUM(AO75,AO110)</f>
        <v/>
      </c>
      <c r="AP36" s="2625">
        <f>SUM(AP75,AP110)</f>
        <v/>
      </c>
      <c r="AQ36" s="2625">
        <f>SUM(AQ75,AQ110)</f>
        <v/>
      </c>
      <c r="AR36" s="2625">
        <f>SUM(AR75,AR110)</f>
        <v/>
      </c>
      <c r="AS36" s="2626">
        <f>SUM(AG36:AR36)</f>
        <v/>
      </c>
      <c r="AU36" s="2625">
        <f>SUM(AU75,AU110)</f>
        <v/>
      </c>
      <c r="AV36" s="2625">
        <f>SUM(AV75,AV110)</f>
        <v/>
      </c>
      <c r="AW36" s="2625">
        <f>SUM(AW75,AW110)</f>
        <v/>
      </c>
      <c r="AX36" s="2625">
        <f>SUM(AX75,AX110)</f>
        <v/>
      </c>
      <c r="AY36" s="2625">
        <f>SUM(AY75,AY110)</f>
        <v/>
      </c>
      <c r="AZ36" s="2625">
        <f>SUM(AZ75,AZ110)</f>
        <v/>
      </c>
      <c r="BA36" s="2625">
        <f>SUM(BA75,BA110)</f>
        <v/>
      </c>
      <c r="BB36" s="2625">
        <f>SUM(BB75,BB110)</f>
        <v/>
      </c>
      <c r="BC36" s="2625">
        <f>SUM(BC75,BC110)</f>
        <v/>
      </c>
      <c r="BD36" s="2625">
        <f>SUM(BD75,BD110)</f>
        <v/>
      </c>
      <c r="BE36" s="2625">
        <f>SUM(BE75,BE110)</f>
        <v/>
      </c>
      <c r="BF36" s="2627">
        <f>SUM(BF75,BF110)</f>
        <v/>
      </c>
      <c r="BG36" s="2628">
        <f>SUM(AU36:BF36)</f>
        <v/>
      </c>
      <c r="BH36" s="2631" t="n"/>
      <c r="BI36" s="2627">
        <f>SUM(BI75,BI110)</f>
        <v/>
      </c>
      <c r="BJ36" s="2627">
        <f>SUM(BJ75,BJ110)</f>
        <v/>
      </c>
      <c r="BK36" s="2627">
        <f>SUM(BK75,BK110)</f>
        <v/>
      </c>
      <c r="BL36" s="2627">
        <f>SUM(BL75,BL110)</f>
        <v/>
      </c>
      <c r="BM36" s="2627">
        <f>SUM(BM75,BM110)</f>
        <v/>
      </c>
      <c r="BN36" s="2627">
        <f>SUM(BN75,BN110)</f>
        <v/>
      </c>
      <c r="BO36" s="2627">
        <f>SUM(BO75,BO110)</f>
        <v/>
      </c>
      <c r="BP36" s="2627">
        <f>SUM(BP75,BP110)</f>
        <v/>
      </c>
      <c r="BQ36" s="2627">
        <f>SUM(BQ75,BQ110)</f>
        <v/>
      </c>
      <c r="BR36" s="2627">
        <f>SUM(BR75,BR110)</f>
        <v/>
      </c>
      <c r="BS36" s="2627">
        <f>SUM(BS75,BS110)</f>
        <v/>
      </c>
      <c r="BT36" s="2627">
        <f>SUM(BT75,BT110)</f>
        <v/>
      </c>
      <c r="BU36" s="2628">
        <f>SUM(BI36:BT36)</f>
        <v/>
      </c>
    </row>
    <row r="37" outlineLevel="1">
      <c r="A37" s="1436" t="n"/>
      <c r="B37" s="1456" t="inlineStr">
        <is>
          <t>판매촉진비</t>
        </is>
      </c>
      <c r="C37" s="1456" t="n"/>
      <c r="D37" s="2627" t="n"/>
      <c r="E37" s="2627" t="n"/>
      <c r="F37" s="2627" t="n"/>
      <c r="G37" s="2627" t="n"/>
      <c r="H37" s="2627" t="n"/>
      <c r="I37" s="2627" t="n"/>
      <c r="J37" s="2627" t="n"/>
      <c r="K37" s="2627" t="n"/>
      <c r="L37" s="2627" t="n"/>
      <c r="M37" s="2627" t="n"/>
      <c r="N37" s="2627" t="n"/>
      <c r="O37" s="2627" t="n"/>
      <c r="P37" s="2626">
        <f>SUM(D37:O37)</f>
        <v/>
      </c>
      <c r="Q37" s="1466" t="n"/>
      <c r="R37" s="1436" t="n"/>
      <c r="S37" s="2625">
        <f>SUM(S76,S111)</f>
        <v/>
      </c>
      <c r="T37" s="2625">
        <f>SUM(T76,T111)</f>
        <v/>
      </c>
      <c r="U37" s="2625">
        <f>SUM(U76,U111)</f>
        <v/>
      </c>
      <c r="V37" s="2625">
        <f>SUM(V76,V111)</f>
        <v/>
      </c>
      <c r="W37" s="2625">
        <f>SUM(W76,W111)</f>
        <v/>
      </c>
      <c r="X37" s="2625">
        <f>SUM(X76,X111)</f>
        <v/>
      </c>
      <c r="Y37" s="2625">
        <f>SUM(Y76,Y111)</f>
        <v/>
      </c>
      <c r="Z37" s="2625">
        <f>SUM(Z76,Z111)</f>
        <v/>
      </c>
      <c r="AA37" s="2625">
        <f>SUM(AA76,AA111)</f>
        <v/>
      </c>
      <c r="AB37" s="2625">
        <f>SUM(AB76,AB111)</f>
        <v/>
      </c>
      <c r="AC37" s="2625">
        <f>SUM(AC76,AC111)</f>
        <v/>
      </c>
      <c r="AD37" s="2625">
        <f>SUM(AD76,AD111)</f>
        <v/>
      </c>
      <c r="AE37" s="2626">
        <f>SUM(S37:AD37)</f>
        <v/>
      </c>
      <c r="AF37" s="1466" t="n"/>
      <c r="AG37" s="2625">
        <f>SUM(AG76,AG111)</f>
        <v/>
      </c>
      <c r="AH37" s="2625">
        <f>SUM(AH76,AH111)</f>
        <v/>
      </c>
      <c r="AI37" s="2625">
        <f>SUM(AI76,AI111)</f>
        <v/>
      </c>
      <c r="AJ37" s="2625">
        <f>SUM(AJ76,AJ111)</f>
        <v/>
      </c>
      <c r="AK37" s="2625">
        <f>SUM(AK76,AK111)</f>
        <v/>
      </c>
      <c r="AL37" s="2625">
        <f>SUM(AL76,AL111)</f>
        <v/>
      </c>
      <c r="AM37" s="2625">
        <f>SUM(AM76,AM111)</f>
        <v/>
      </c>
      <c r="AN37" s="2625">
        <f>SUM(AN76,AN111)</f>
        <v/>
      </c>
      <c r="AO37" s="2625">
        <f>SUM(AO76,AO111)</f>
        <v/>
      </c>
      <c r="AP37" s="2625">
        <f>SUM(AP76,AP111)</f>
        <v/>
      </c>
      <c r="AQ37" s="2625">
        <f>SUM(AQ76,AQ111)</f>
        <v/>
      </c>
      <c r="AR37" s="2625">
        <f>SUM(AR76,AR111)</f>
        <v/>
      </c>
      <c r="AS37" s="2626">
        <f>SUM(AG37:AR37)</f>
        <v/>
      </c>
      <c r="AU37" s="2625">
        <f>SUM(AU76,AU111)</f>
        <v/>
      </c>
      <c r="AV37" s="2625">
        <f>SUM(AV76,AV111)</f>
        <v/>
      </c>
      <c r="AW37" s="2625">
        <f>SUM(AW76,AW111)</f>
        <v/>
      </c>
      <c r="AX37" s="2625">
        <f>SUM(AX76,AX111)</f>
        <v/>
      </c>
      <c r="AY37" s="2625">
        <f>SUM(AY76,AY111)</f>
        <v/>
      </c>
      <c r="AZ37" s="2625">
        <f>SUM(AZ76,AZ111)</f>
        <v/>
      </c>
      <c r="BA37" s="2625">
        <f>SUM(BA76,BA111)</f>
        <v/>
      </c>
      <c r="BB37" s="2625">
        <f>SUM(BB76,BB111)</f>
        <v/>
      </c>
      <c r="BC37" s="2625">
        <f>SUM(BC76,BC111)</f>
        <v/>
      </c>
      <c r="BD37" s="2625">
        <f>SUM(BD76,BD111)</f>
        <v/>
      </c>
      <c r="BE37" s="2625">
        <f>SUM(BE76,BE111)</f>
        <v/>
      </c>
      <c r="BF37" s="2627">
        <f>SUM(BF76,BF111)</f>
        <v/>
      </c>
      <c r="BG37" s="2628">
        <f>SUM(AU37:BF37)</f>
        <v/>
      </c>
      <c r="BH37" s="2631" t="n"/>
      <c r="BI37" s="2627">
        <f>SUM(BI76,BI111)</f>
        <v/>
      </c>
      <c r="BJ37" s="2627">
        <f>SUM(BJ76,BJ111)</f>
        <v/>
      </c>
      <c r="BK37" s="2627">
        <f>SUM(BK76,BK111)</f>
        <v/>
      </c>
      <c r="BL37" s="2627">
        <f>SUM(BL76,BL111)</f>
        <v/>
      </c>
      <c r="BM37" s="2627">
        <f>SUM(BM76,BM111)</f>
        <v/>
      </c>
      <c r="BN37" s="2627">
        <f>SUM(BN76,BN111)</f>
        <v/>
      </c>
      <c r="BO37" s="2627">
        <f>SUM(BO76,BO111)</f>
        <v/>
      </c>
      <c r="BP37" s="2627">
        <f>SUM(BP76,BP111)</f>
        <v/>
      </c>
      <c r="BQ37" s="2627">
        <f>SUM(BQ76,BQ111)</f>
        <v/>
      </c>
      <c r="BR37" s="2627">
        <f>SUM(BR76,BR111)</f>
        <v/>
      </c>
      <c r="BS37" s="2627">
        <f>SUM(BS76,BS111)</f>
        <v/>
      </c>
      <c r="BT37" s="2627">
        <f>SUM(BT76,BT111)</f>
        <v/>
      </c>
      <c r="BU37" s="2628">
        <f>SUM(BI37:BT37)</f>
        <v/>
      </c>
    </row>
    <row r="38" outlineLevel="1">
      <c r="A38" s="1436" t="n"/>
      <c r="B38" s="1456" t="inlineStr">
        <is>
          <t>건물관리비</t>
        </is>
      </c>
      <c r="C38" s="1456" t="n"/>
      <c r="D38" s="2627" t="n"/>
      <c r="E38" s="2627" t="n"/>
      <c r="F38" s="2627" t="n"/>
      <c r="G38" s="2627" t="n"/>
      <c r="H38" s="2627" t="n"/>
      <c r="I38" s="2627" t="n"/>
      <c r="J38" s="2627" t="n"/>
      <c r="K38" s="2627" t="n"/>
      <c r="L38" s="2627" t="n"/>
      <c r="M38" s="2627" t="n"/>
      <c r="N38" s="2627" t="n"/>
      <c r="O38" s="2627" t="n"/>
      <c r="P38" s="2626">
        <f>SUM(D38:O38)</f>
        <v/>
      </c>
      <c r="Q38" s="1466" t="n"/>
      <c r="R38" s="1436" t="n"/>
      <c r="S38" s="2625">
        <f>SUM(S77,S112)</f>
        <v/>
      </c>
      <c r="T38" s="2625">
        <f>SUM(T77,T112)</f>
        <v/>
      </c>
      <c r="U38" s="2625">
        <f>SUM(U77,U112)</f>
        <v/>
      </c>
      <c r="V38" s="2625">
        <f>SUM(V77,V112)</f>
        <v/>
      </c>
      <c r="W38" s="2625">
        <f>SUM(W77,W112)</f>
        <v/>
      </c>
      <c r="X38" s="2625">
        <f>SUM(X77,X112)</f>
        <v/>
      </c>
      <c r="Y38" s="2625">
        <f>SUM(Y77,Y112)</f>
        <v/>
      </c>
      <c r="Z38" s="2625">
        <f>SUM(Z77,Z112)</f>
        <v/>
      </c>
      <c r="AA38" s="2625">
        <f>SUM(AA77,AA112)</f>
        <v/>
      </c>
      <c r="AB38" s="2625">
        <f>SUM(AB77,AB112)</f>
        <v/>
      </c>
      <c r="AC38" s="2625">
        <f>SUM(AC77,AC112)</f>
        <v/>
      </c>
      <c r="AD38" s="2625">
        <f>SUM(AD77,AD112)</f>
        <v/>
      </c>
      <c r="AE38" s="2626">
        <f>SUM(S38:AD38)</f>
        <v/>
      </c>
      <c r="AF38" s="1466" t="n"/>
      <c r="AG38" s="2625">
        <f>SUM(AG77,AG112)</f>
        <v/>
      </c>
      <c r="AH38" s="2625">
        <f>SUM(AH77,AH112)</f>
        <v/>
      </c>
      <c r="AI38" s="2625">
        <f>SUM(AI77,AI112)</f>
        <v/>
      </c>
      <c r="AJ38" s="2625">
        <f>SUM(AJ77,AJ112)</f>
        <v/>
      </c>
      <c r="AK38" s="2625">
        <f>SUM(AK77,AK112)</f>
        <v/>
      </c>
      <c r="AL38" s="2625">
        <f>SUM(AL77,AL112)</f>
        <v/>
      </c>
      <c r="AM38" s="2625">
        <f>SUM(AM77,AM112)</f>
        <v/>
      </c>
      <c r="AN38" s="2625">
        <f>SUM(AN77,AN112)</f>
        <v/>
      </c>
      <c r="AO38" s="2625">
        <f>SUM(AO77,AO112)</f>
        <v/>
      </c>
      <c r="AP38" s="2625">
        <f>SUM(AP77,AP112)</f>
        <v/>
      </c>
      <c r="AQ38" s="2625">
        <f>SUM(AQ77,AQ112)</f>
        <v/>
      </c>
      <c r="AR38" s="2625">
        <f>SUM(AR77,AR112)</f>
        <v/>
      </c>
      <c r="AS38" s="2626">
        <f>SUM(AG38:AR38)</f>
        <v/>
      </c>
      <c r="AU38" s="2625">
        <f>SUM(AU77,AU112)</f>
        <v/>
      </c>
      <c r="AV38" s="2625">
        <f>SUM(AV77,AV112)</f>
        <v/>
      </c>
      <c r="AW38" s="2625">
        <f>SUM(AW77,AW112)</f>
        <v/>
      </c>
      <c r="AX38" s="2625">
        <f>SUM(AX77,AX112)</f>
        <v/>
      </c>
      <c r="AY38" s="2625">
        <f>SUM(AY77,AY112)</f>
        <v/>
      </c>
      <c r="AZ38" s="2625">
        <f>SUM(AZ77,AZ112)</f>
        <v/>
      </c>
      <c r="BA38" s="2625">
        <f>SUM(BA77,BA112)</f>
        <v/>
      </c>
      <c r="BB38" s="2625">
        <f>SUM(BB77,BB112)</f>
        <v/>
      </c>
      <c r="BC38" s="2625">
        <f>SUM(BC77,BC112)</f>
        <v/>
      </c>
      <c r="BD38" s="2625">
        <f>SUM(BD77,BD112)</f>
        <v/>
      </c>
      <c r="BE38" s="2625">
        <f>SUM(BE77,BE112)</f>
        <v/>
      </c>
      <c r="BF38" s="2627">
        <f>SUM(BF77,BF112)</f>
        <v/>
      </c>
      <c r="BG38" s="2628">
        <f>SUM(AU38:BF38)</f>
        <v/>
      </c>
      <c r="BH38" s="2631" t="n"/>
      <c r="BI38" s="2627">
        <f>SUM(BI77,BI112)</f>
        <v/>
      </c>
      <c r="BJ38" s="2627">
        <f>SUM(BJ77,BJ112)</f>
        <v/>
      </c>
      <c r="BK38" s="2627">
        <f>SUM(BK77,BK112)</f>
        <v/>
      </c>
      <c r="BL38" s="2627">
        <f>SUM(BL77,BL112)</f>
        <v/>
      </c>
      <c r="BM38" s="2627">
        <f>SUM(BM77,BM112)</f>
        <v/>
      </c>
      <c r="BN38" s="2627">
        <f>SUM(BN77,BN112)</f>
        <v/>
      </c>
      <c r="BO38" s="2627">
        <f>SUM(BO77,BO112)</f>
        <v/>
      </c>
      <c r="BP38" s="2627">
        <f>SUM(BP77,BP112)</f>
        <v/>
      </c>
      <c r="BQ38" s="2627">
        <f>SUM(BQ77,BQ112)</f>
        <v/>
      </c>
      <c r="BR38" s="2627">
        <f>SUM(BR77,BR112)</f>
        <v/>
      </c>
      <c r="BS38" s="2627">
        <f>SUM(BS77,BS112)</f>
        <v/>
      </c>
      <c r="BT38" s="2627">
        <f>SUM(BT77,BT112)</f>
        <v/>
      </c>
      <c r="BU38" s="2628">
        <f>SUM(BI38:BT38)</f>
        <v/>
      </c>
    </row>
    <row r="39" outlineLevel="1" customFormat="1" s="1498">
      <c r="A39" s="1494" t="n"/>
      <c r="B39" s="1495" t="inlineStr">
        <is>
          <t>무형자산상각비</t>
        </is>
      </c>
      <c r="C39" s="1495" t="n"/>
      <c r="D39" s="2641" t="n"/>
      <c r="E39" s="2641" t="n"/>
      <c r="F39" s="2641" t="n"/>
      <c r="G39" s="2641" t="n"/>
      <c r="H39" s="2641" t="n"/>
      <c r="I39" s="2641" t="n"/>
      <c r="J39" s="2641" t="n"/>
      <c r="K39" s="2641" t="n"/>
      <c r="L39" s="2641" t="n"/>
      <c r="M39" s="2641" t="n"/>
      <c r="N39" s="2641" t="n"/>
      <c r="O39" s="2641" t="n"/>
      <c r="P39" s="2641">
        <f>SUM(D39:O39)</f>
        <v/>
      </c>
      <c r="Q39" s="1497" t="n"/>
      <c r="R39" s="1494" t="n"/>
      <c r="S39" s="2641">
        <f>SUM(S78,S113)</f>
        <v/>
      </c>
      <c r="T39" s="2641">
        <f>SUM(T78,T113)</f>
        <v/>
      </c>
      <c r="U39" s="2641">
        <f>SUM(U78,U113)</f>
        <v/>
      </c>
      <c r="V39" s="2641">
        <f>SUM(V78,V113)</f>
        <v/>
      </c>
      <c r="W39" s="2641">
        <f>SUM(W78,W113)</f>
        <v/>
      </c>
      <c r="X39" s="2641">
        <f>SUM(X78,X113)</f>
        <v/>
      </c>
      <c r="Y39" s="2641">
        <f>SUM(Y78,Y113)</f>
        <v/>
      </c>
      <c r="Z39" s="2641">
        <f>SUM(Z78,Z113)</f>
        <v/>
      </c>
      <c r="AA39" s="2641">
        <f>SUM(AA78,AA113)</f>
        <v/>
      </c>
      <c r="AB39" s="2641">
        <f>SUM(AB78,AB113)</f>
        <v/>
      </c>
      <c r="AC39" s="2641">
        <f>SUM(AC78,AC113)</f>
        <v/>
      </c>
      <c r="AD39" s="2641">
        <f>SUM(AD78,AD113)</f>
        <v/>
      </c>
      <c r="AE39" s="2641">
        <f>SUM(S39:AD39)</f>
        <v/>
      </c>
      <c r="AF39" s="1497" t="n"/>
      <c r="AG39" s="2641">
        <f>SUM(AG78,AG113)</f>
        <v/>
      </c>
      <c r="AH39" s="2641">
        <f>SUM(AH78,AH113)</f>
        <v/>
      </c>
      <c r="AI39" s="2641">
        <f>SUM(AI78,AI113)</f>
        <v/>
      </c>
      <c r="AJ39" s="2641">
        <f>SUM(AJ78,AJ113)</f>
        <v/>
      </c>
      <c r="AK39" s="2641">
        <f>SUM(AK78,AK113)</f>
        <v/>
      </c>
      <c r="AL39" s="2641">
        <f>SUM(AL78,AL113)</f>
        <v/>
      </c>
      <c r="AM39" s="2641">
        <f>SUM(AM78,AM113)</f>
        <v/>
      </c>
      <c r="AN39" s="2641">
        <f>SUM(AN78,AN113)</f>
        <v/>
      </c>
      <c r="AO39" s="2641">
        <f>SUM(AO78,AO113)</f>
        <v/>
      </c>
      <c r="AP39" s="2641">
        <f>SUM(AP78,AP113)</f>
        <v/>
      </c>
      <c r="AQ39" s="2641">
        <f>SUM(AQ78,AQ113)</f>
        <v/>
      </c>
      <c r="AR39" s="2641">
        <f>SUM(AR78,AR113)</f>
        <v/>
      </c>
      <c r="AS39" s="2641">
        <f>SUM(AG39:AR39)</f>
        <v/>
      </c>
      <c r="AU39" s="2641">
        <f>SUM(AU78,AU113)</f>
        <v/>
      </c>
      <c r="AV39" s="2641">
        <f>SUM(AV78,AV113)</f>
        <v/>
      </c>
      <c r="AW39" s="2641">
        <f>SUM(AW78,AW113)</f>
        <v/>
      </c>
      <c r="AX39" s="2641">
        <f>SUM(AX78,AX113)</f>
        <v/>
      </c>
      <c r="AY39" s="2641">
        <f>SUM(AY78,AY113)</f>
        <v/>
      </c>
      <c r="AZ39" s="2641">
        <f>SUM(AZ78,AZ113)</f>
        <v/>
      </c>
      <c r="BA39" s="2641">
        <f>SUM(BA78,BA113)</f>
        <v/>
      </c>
      <c r="BB39" s="2641">
        <f>SUM(BB78,BB113)</f>
        <v/>
      </c>
      <c r="BC39" s="2641">
        <f>SUM(BC78,BC113)</f>
        <v/>
      </c>
      <c r="BD39" s="2641">
        <f>SUM(BD78,BD113)</f>
        <v/>
      </c>
      <c r="BE39" s="2641">
        <f>SUM(BE78,BE113)</f>
        <v/>
      </c>
      <c r="BF39" s="2641">
        <f>SUM(BF78,BF113)</f>
        <v/>
      </c>
      <c r="BG39" s="2641">
        <f>SUM(AU39:BF39)</f>
        <v/>
      </c>
      <c r="BH39" s="2642" t="n"/>
      <c r="BI39" s="2641">
        <f>SUM(BI78,BI113)</f>
        <v/>
      </c>
      <c r="BJ39" s="2641">
        <f>SUM(BJ78,BJ113)</f>
        <v/>
      </c>
      <c r="BK39" s="2641">
        <f>SUM(BK78,BK113)</f>
        <v/>
      </c>
      <c r="BL39" s="2641">
        <f>SUM(BL78,BL113)</f>
        <v/>
      </c>
      <c r="BM39" s="2641">
        <f>SUM(BM78,BM113)</f>
        <v/>
      </c>
      <c r="BN39" s="2641">
        <f>SUM(BN78,BN113)</f>
        <v/>
      </c>
      <c r="BO39" s="2641">
        <f>SUM(BO78,BO113)</f>
        <v/>
      </c>
      <c r="BP39" s="2641">
        <f>SUM(BP78,BP113)</f>
        <v/>
      </c>
      <c r="BQ39" s="2641">
        <f>SUM(BQ78,BQ113)</f>
        <v/>
      </c>
      <c r="BR39" s="2641">
        <f>SUM(BR78,BR113)</f>
        <v/>
      </c>
      <c r="BS39" s="2641">
        <f>SUM(BS78,BS113)</f>
        <v/>
      </c>
      <c r="BT39" s="2641">
        <f>SUM(BT78,BT113)</f>
        <v/>
      </c>
      <c r="BU39" s="2641">
        <f>SUM(BI39:BT39)</f>
        <v/>
      </c>
    </row>
    <row r="40" outlineLevel="1">
      <c r="A40" s="1436" t="n"/>
      <c r="B40" s="1456" t="inlineStr">
        <is>
          <t>잡비</t>
        </is>
      </c>
      <c r="C40" s="1456" t="n"/>
      <c r="D40" s="2627" t="n"/>
      <c r="E40" s="2627" t="n"/>
      <c r="F40" s="2627" t="n"/>
      <c r="G40" s="2627" t="n"/>
      <c r="H40" s="2627" t="n"/>
      <c r="I40" s="2627" t="n"/>
      <c r="J40" s="2627" t="n"/>
      <c r="K40" s="2627" t="n"/>
      <c r="L40" s="2627" t="n"/>
      <c r="M40" s="2627" t="n"/>
      <c r="N40" s="2627" t="n"/>
      <c r="O40" s="2627" t="n"/>
      <c r="P40" s="2626">
        <f>SUM(D40:O40)</f>
        <v/>
      </c>
      <c r="Q40" s="1466" t="n"/>
      <c r="R40" s="1436" t="n"/>
      <c r="S40" s="2625">
        <f>SUM(S79,S114)</f>
        <v/>
      </c>
      <c r="T40" s="2625">
        <f>SUM(T79,T114)</f>
        <v/>
      </c>
      <c r="U40" s="2625">
        <f>SUM(U79,U114)</f>
        <v/>
      </c>
      <c r="V40" s="2625">
        <f>SUM(V79,V114)</f>
        <v/>
      </c>
      <c r="W40" s="2625">
        <f>SUM(W79,W114)</f>
        <v/>
      </c>
      <c r="X40" s="2625">
        <f>SUM(X79,X114)</f>
        <v/>
      </c>
      <c r="Y40" s="2625">
        <f>SUM(Y79,Y114)</f>
        <v/>
      </c>
      <c r="Z40" s="2625">
        <f>SUM(Z79,Z114)</f>
        <v/>
      </c>
      <c r="AA40" s="2625">
        <f>SUM(AA79,AA114)</f>
        <v/>
      </c>
      <c r="AB40" s="2625">
        <f>SUM(AB79,AB114)</f>
        <v/>
      </c>
      <c r="AC40" s="2625">
        <f>SUM(AC79,AC114)</f>
        <v/>
      </c>
      <c r="AD40" s="2625">
        <f>SUM(AD79,AD114)</f>
        <v/>
      </c>
      <c r="AE40" s="2626">
        <f>SUM(S40:AD40)</f>
        <v/>
      </c>
      <c r="AF40" s="1466" t="n"/>
      <c r="AG40" s="2625">
        <f>SUM(AG79,AG114)</f>
        <v/>
      </c>
      <c r="AH40" s="2625">
        <f>SUM(AH79,AH114)</f>
        <v/>
      </c>
      <c r="AI40" s="2625">
        <f>SUM(AI79,AI114)</f>
        <v/>
      </c>
      <c r="AJ40" s="2625">
        <f>SUM(AJ79,AJ114)</f>
        <v/>
      </c>
      <c r="AK40" s="2625">
        <f>SUM(AK79,AK114)</f>
        <v/>
      </c>
      <c r="AL40" s="2625">
        <f>SUM(AL79,AL114)</f>
        <v/>
      </c>
      <c r="AM40" s="2625">
        <f>SUM(AM79,AM114)</f>
        <v/>
      </c>
      <c r="AN40" s="2625">
        <f>SUM(AN79,AN114)</f>
        <v/>
      </c>
      <c r="AO40" s="2625">
        <f>SUM(AO79,AO114)</f>
        <v/>
      </c>
      <c r="AP40" s="2625">
        <f>SUM(AP79,AP114)</f>
        <v/>
      </c>
      <c r="AQ40" s="2625">
        <f>SUM(AQ79,AQ114)</f>
        <v/>
      </c>
      <c r="AR40" s="2625">
        <f>SUM(AR79,AR114)</f>
        <v/>
      </c>
      <c r="AS40" s="2626">
        <f>SUM(AG40:AR40)</f>
        <v/>
      </c>
      <c r="AU40" s="2625">
        <f>SUM(AU79,AU114)</f>
        <v/>
      </c>
      <c r="AV40" s="2625">
        <f>SUM(AV79,AV114)</f>
        <v/>
      </c>
      <c r="AW40" s="2625">
        <f>SUM(AW79,AW114)</f>
        <v/>
      </c>
      <c r="AX40" s="2625">
        <f>SUM(AX79,AX114)</f>
        <v/>
      </c>
      <c r="AY40" s="2625">
        <f>SUM(AY79,AY114)</f>
        <v/>
      </c>
      <c r="AZ40" s="2625">
        <f>SUM(AZ79,AZ114)</f>
        <v/>
      </c>
      <c r="BA40" s="2625">
        <f>SUM(BA79,BA114)</f>
        <v/>
      </c>
      <c r="BB40" s="2625">
        <f>SUM(BB79,BB114)</f>
        <v/>
      </c>
      <c r="BC40" s="2625">
        <f>SUM(BC79,BC114)</f>
        <v/>
      </c>
      <c r="BD40" s="2625">
        <f>SUM(BD79,BD114)</f>
        <v/>
      </c>
      <c r="BE40" s="2625">
        <f>SUM(BE79,BE114)</f>
        <v/>
      </c>
      <c r="BF40" s="2627">
        <f>SUM(BF79,BF114)</f>
        <v/>
      </c>
      <c r="BG40" s="2628">
        <f>SUM(AU40:BF40)</f>
        <v/>
      </c>
      <c r="BH40" s="2631" t="n"/>
      <c r="BI40" s="2627">
        <f>SUM(BI79,BI114)</f>
        <v/>
      </c>
      <c r="BJ40" s="2627">
        <f>SUM(BJ79,BJ114)</f>
        <v/>
      </c>
      <c r="BK40" s="2627">
        <f>SUM(BK79,BK114)</f>
        <v/>
      </c>
      <c r="BL40" s="2627">
        <f>SUM(BL79,BL114)</f>
        <v/>
      </c>
      <c r="BM40" s="2627">
        <f>SUM(BM79,BM114)</f>
        <v/>
      </c>
      <c r="BN40" s="2627">
        <f>SUM(BN79,BN114)</f>
        <v/>
      </c>
      <c r="BO40" s="2627">
        <f>SUM(BO79,BO114)</f>
        <v/>
      </c>
      <c r="BP40" s="2627">
        <f>SUM(BP79,BP114)</f>
        <v/>
      </c>
      <c r="BQ40" s="2627">
        <f>SUM(BQ79,BQ114)</f>
        <v/>
      </c>
      <c r="BR40" s="2627">
        <f>SUM(BR79,BR114)</f>
        <v/>
      </c>
      <c r="BS40" s="2627">
        <f>SUM(BS79,BS114)</f>
        <v/>
      </c>
      <c r="BT40" s="2627">
        <f>SUM(BT79,BT114)</f>
        <v/>
      </c>
      <c r="BU40" s="2628">
        <f>SUM(BI40:BT40)</f>
        <v/>
      </c>
    </row>
    <row r="41" outlineLevel="1">
      <c r="A41" s="1436" t="n"/>
      <c r="B41" s="1456" t="inlineStr">
        <is>
          <t>협회비</t>
        </is>
      </c>
      <c r="C41" s="1456" t="n"/>
      <c r="D41" s="2627" t="n"/>
      <c r="E41" s="2627" t="n"/>
      <c r="F41" s="2627" t="n"/>
      <c r="G41" s="2627" t="n"/>
      <c r="H41" s="2627" t="n"/>
      <c r="I41" s="2627" t="n"/>
      <c r="J41" s="2627" t="n"/>
      <c r="K41" s="2627" t="n"/>
      <c r="L41" s="2627" t="n"/>
      <c r="M41" s="2627" t="n"/>
      <c r="N41" s="2627" t="n"/>
      <c r="O41" s="2627" t="n"/>
      <c r="P41" s="2626">
        <f>SUM(D41:O41)</f>
        <v/>
      </c>
      <c r="Q41" s="1466" t="n"/>
      <c r="R41" s="1436" t="n"/>
      <c r="S41" s="2625">
        <f>SUM(S80,S115)</f>
        <v/>
      </c>
      <c r="T41" s="2625">
        <f>SUM(T80,T115)</f>
        <v/>
      </c>
      <c r="U41" s="2625">
        <f>SUM(U80,U115)</f>
        <v/>
      </c>
      <c r="V41" s="2625">
        <f>SUM(V80,V115)</f>
        <v/>
      </c>
      <c r="W41" s="2625">
        <f>SUM(W80,W115)</f>
        <v/>
      </c>
      <c r="X41" s="2625">
        <f>SUM(X80,X115)</f>
        <v/>
      </c>
      <c r="Y41" s="2625">
        <f>SUM(Y80,Y115)</f>
        <v/>
      </c>
      <c r="Z41" s="2625">
        <f>SUM(Z80,Z115)</f>
        <v/>
      </c>
      <c r="AA41" s="2625">
        <f>SUM(AA80,AA115)</f>
        <v/>
      </c>
      <c r="AB41" s="2625">
        <f>SUM(AB80,AB115)</f>
        <v/>
      </c>
      <c r="AC41" s="2625">
        <f>SUM(AC80,AC115)</f>
        <v/>
      </c>
      <c r="AD41" s="2625">
        <f>SUM(AD80,AD115)</f>
        <v/>
      </c>
      <c r="AE41" s="2626">
        <f>SUM(S41:AD41)</f>
        <v/>
      </c>
      <c r="AF41" s="1466" t="n"/>
      <c r="AG41" s="2625">
        <f>SUM(AG80,AG115)</f>
        <v/>
      </c>
      <c r="AH41" s="2625">
        <f>SUM(AH80,AH115)</f>
        <v/>
      </c>
      <c r="AI41" s="2625">
        <f>SUM(AI80,AI115)</f>
        <v/>
      </c>
      <c r="AJ41" s="2625">
        <f>SUM(AJ80,AJ115)</f>
        <v/>
      </c>
      <c r="AK41" s="2625">
        <f>SUM(AK80,AK115)</f>
        <v/>
      </c>
      <c r="AL41" s="2625">
        <f>SUM(AL80,AL115)</f>
        <v/>
      </c>
      <c r="AM41" s="2625">
        <f>SUM(AM80,AM115)</f>
        <v/>
      </c>
      <c r="AN41" s="2625">
        <f>SUM(AN80,AN115)</f>
        <v/>
      </c>
      <c r="AO41" s="2625">
        <f>SUM(AO80,AO115)</f>
        <v/>
      </c>
      <c r="AP41" s="2625">
        <f>SUM(AP80,AP115)</f>
        <v/>
      </c>
      <c r="AQ41" s="2625">
        <f>SUM(AQ80,AQ115)</f>
        <v/>
      </c>
      <c r="AR41" s="2625">
        <f>SUM(AR80,AR115)</f>
        <v/>
      </c>
      <c r="AS41" s="2626">
        <f>SUM(AG41:AR41)</f>
        <v/>
      </c>
      <c r="AU41" s="2625">
        <f>SUM(AU80,AU115)</f>
        <v/>
      </c>
      <c r="AV41" s="2625">
        <f>SUM(AV80,AV115)</f>
        <v/>
      </c>
      <c r="AW41" s="2625">
        <f>SUM(AW80,AW115)</f>
        <v/>
      </c>
      <c r="AX41" s="2625">
        <f>SUM(AX80,AX115)</f>
        <v/>
      </c>
      <c r="AY41" s="2625">
        <f>SUM(AY80,AY115)</f>
        <v/>
      </c>
      <c r="AZ41" s="2625">
        <f>SUM(AZ80,AZ115)</f>
        <v/>
      </c>
      <c r="BA41" s="2625">
        <f>SUM(BA80,BA115)</f>
        <v/>
      </c>
      <c r="BB41" s="2625">
        <f>SUM(BB80,BB115)</f>
        <v/>
      </c>
      <c r="BC41" s="2625">
        <f>SUM(BC80,BC115)</f>
        <v/>
      </c>
      <c r="BD41" s="2625">
        <f>SUM(BD80,BD115)</f>
        <v/>
      </c>
      <c r="BE41" s="2625">
        <f>SUM(BE80,BE115)</f>
        <v/>
      </c>
      <c r="BF41" s="2627">
        <f>SUM(BF80,BF115)</f>
        <v/>
      </c>
      <c r="BG41" s="2628">
        <f>SUM(AU41:BF41)</f>
        <v/>
      </c>
      <c r="BH41" s="2631" t="n"/>
      <c r="BI41" s="2627">
        <f>SUM(BI80,BI115)</f>
        <v/>
      </c>
      <c r="BJ41" s="2627">
        <f>SUM(BJ80,BJ115)</f>
        <v/>
      </c>
      <c r="BK41" s="2627">
        <f>SUM(BK80,BK115)</f>
        <v/>
      </c>
      <c r="BL41" s="2627">
        <f>SUM(BL80,BL115)</f>
        <v/>
      </c>
      <c r="BM41" s="2627">
        <f>SUM(BM80,BM115)</f>
        <v/>
      </c>
      <c r="BN41" s="2627">
        <f>SUM(BN80,BN115)</f>
        <v/>
      </c>
      <c r="BO41" s="2627">
        <f>SUM(BO80,BO115)</f>
        <v/>
      </c>
      <c r="BP41" s="2627">
        <f>SUM(BP80,BP115)</f>
        <v/>
      </c>
      <c r="BQ41" s="2627">
        <f>SUM(BQ80,BQ115)</f>
        <v/>
      </c>
      <c r="BR41" s="2627">
        <f>SUM(BR80,BR115)</f>
        <v/>
      </c>
      <c r="BS41" s="2627">
        <f>SUM(BS80,BS115)</f>
        <v/>
      </c>
      <c r="BT41" s="2627">
        <f>SUM(BT80,BT115)</f>
        <v/>
      </c>
      <c r="BU41" s="2628">
        <f>SUM(BI41:BT41)</f>
        <v/>
      </c>
    </row>
    <row r="42" outlineLevel="1">
      <c r="A42" s="1436" t="n"/>
      <c r="B42" s="1456" t="inlineStr">
        <is>
          <t>외주용역비</t>
        </is>
      </c>
      <c r="C42" s="1456" t="n"/>
      <c r="D42" s="2627" t="n"/>
      <c r="E42" s="2627" t="n"/>
      <c r="F42" s="2627" t="n"/>
      <c r="G42" s="2627" t="n"/>
      <c r="H42" s="2627" t="n"/>
      <c r="I42" s="2627" t="n"/>
      <c r="J42" s="2627" t="n"/>
      <c r="K42" s="2627" t="n"/>
      <c r="L42" s="2627" t="n"/>
      <c r="M42" s="2627" t="n"/>
      <c r="N42" s="2627" t="n"/>
      <c r="O42" s="2627" t="n"/>
      <c r="P42" s="2626">
        <f>SUM(D42:O42)</f>
        <v/>
      </c>
      <c r="Q42" s="1464" t="n"/>
      <c r="R42" s="1436" t="n"/>
      <c r="S42" s="2625">
        <f>SUM(S81,S116)</f>
        <v/>
      </c>
      <c r="T42" s="2625">
        <f>SUM(T81,T116)</f>
        <v/>
      </c>
      <c r="U42" s="2625">
        <f>SUM(U81,U116)</f>
        <v/>
      </c>
      <c r="V42" s="2625">
        <f>SUM(V81,V116)</f>
        <v/>
      </c>
      <c r="W42" s="2625">
        <f>SUM(W81,W116)</f>
        <v/>
      </c>
      <c r="X42" s="2625">
        <f>SUM(X81,X116)</f>
        <v/>
      </c>
      <c r="Y42" s="2625">
        <f>SUM(Y81,Y116)</f>
        <v/>
      </c>
      <c r="Z42" s="2625">
        <f>SUM(Z81,Z116)</f>
        <v/>
      </c>
      <c r="AA42" s="2625">
        <f>SUM(AA81,AA116)</f>
        <v/>
      </c>
      <c r="AB42" s="2625">
        <f>SUM(AB81,AB116)</f>
        <v/>
      </c>
      <c r="AC42" s="2625">
        <f>SUM(AC81,AC116)</f>
        <v/>
      </c>
      <c r="AD42" s="2625">
        <f>SUM(AD81,AD116)</f>
        <v/>
      </c>
      <c r="AE42" s="2626">
        <f>SUM(S42:AD42)</f>
        <v/>
      </c>
      <c r="AF42" s="1464" t="n"/>
      <c r="AG42" s="2625">
        <f>SUM(AG81,AG116)</f>
        <v/>
      </c>
      <c r="AH42" s="2625">
        <f>SUM(AH81,AH116)</f>
        <v/>
      </c>
      <c r="AI42" s="2625">
        <f>SUM(AI81,AI116)</f>
        <v/>
      </c>
      <c r="AJ42" s="2625">
        <f>SUM(AJ81,AJ116)</f>
        <v/>
      </c>
      <c r="AK42" s="2625">
        <f>SUM(AK81,AK116)</f>
        <v/>
      </c>
      <c r="AL42" s="2625">
        <f>SUM(AL81,AL116)</f>
        <v/>
      </c>
      <c r="AM42" s="2625">
        <f>SUM(AM81,AM116)</f>
        <v/>
      </c>
      <c r="AN42" s="2625">
        <f>SUM(AN81,AN116)</f>
        <v/>
      </c>
      <c r="AO42" s="2625">
        <f>SUM(AO81,AO116)</f>
        <v/>
      </c>
      <c r="AP42" s="2625">
        <f>SUM(AP81,AP116)</f>
        <v/>
      </c>
      <c r="AQ42" s="2625">
        <f>SUM(AQ81,AQ116)</f>
        <v/>
      </c>
      <c r="AR42" s="2625">
        <f>SUM(AR81,AR116)</f>
        <v/>
      </c>
      <c r="AS42" s="2626">
        <f>SUM(AG42:AR42)</f>
        <v/>
      </c>
      <c r="AU42" s="2625">
        <f>SUM(AU81,AU116)</f>
        <v/>
      </c>
      <c r="AV42" s="2625">
        <f>SUM(AV81,AV116)</f>
        <v/>
      </c>
      <c r="AW42" s="2625">
        <f>SUM(AW81,AW116)</f>
        <v/>
      </c>
      <c r="AX42" s="2625">
        <f>SUM(AX81,AX116)</f>
        <v/>
      </c>
      <c r="AY42" s="2625">
        <f>SUM(AY81,AY116)</f>
        <v/>
      </c>
      <c r="AZ42" s="2625">
        <f>SUM(AZ81,AZ116)</f>
        <v/>
      </c>
      <c r="BA42" s="2625">
        <f>SUM(BA81,BA116)</f>
        <v/>
      </c>
      <c r="BB42" s="2625">
        <f>SUM(BB81,BB116)</f>
        <v/>
      </c>
      <c r="BC42" s="2625">
        <f>SUM(BC81,BC116)</f>
        <v/>
      </c>
      <c r="BD42" s="2625">
        <f>SUM(BD81,BD116)</f>
        <v/>
      </c>
      <c r="BE42" s="2625">
        <f>SUM(BE81,BE116)</f>
        <v/>
      </c>
      <c r="BF42" s="2627">
        <f>SUM(BF81,BF116)</f>
        <v/>
      </c>
      <c r="BG42" s="2628">
        <f>SUM(AU42:BF42)</f>
        <v/>
      </c>
      <c r="BH42" s="2631" t="n"/>
      <c r="BI42" s="2627">
        <f>SUM(BI81,BI116)</f>
        <v/>
      </c>
      <c r="BJ42" s="2627">
        <f>SUM(BJ81,BJ116)</f>
        <v/>
      </c>
      <c r="BK42" s="2627">
        <f>SUM(BK81,BK116)</f>
        <v/>
      </c>
      <c r="BL42" s="2627">
        <f>SUM(BL81,BL116)</f>
        <v/>
      </c>
      <c r="BM42" s="2627">
        <f>SUM(BM81,BM116)</f>
        <v/>
      </c>
      <c r="BN42" s="2627">
        <f>SUM(BN81,BN116)</f>
        <v/>
      </c>
      <c r="BO42" s="2627">
        <f>SUM(BO81,BO116)</f>
        <v/>
      </c>
      <c r="BP42" s="2627">
        <f>SUM(BP81,BP116)</f>
        <v/>
      </c>
      <c r="BQ42" s="2627">
        <f>SUM(BQ81,BQ116)</f>
        <v/>
      </c>
      <c r="BR42" s="2627">
        <f>SUM(BR81,BR116)</f>
        <v/>
      </c>
      <c r="BS42" s="2627">
        <f>SUM(BS81,BS116)</f>
        <v/>
      </c>
      <c r="BT42" s="2627">
        <f>SUM(BT81,BT116)</f>
        <v/>
      </c>
      <c r="BU42" s="2628">
        <f>SUM(BI42:BT42)</f>
        <v/>
      </c>
    </row>
    <row r="43" outlineLevel="1">
      <c r="A43" s="1436" t="n"/>
      <c r="B43" s="1456" t="inlineStr">
        <is>
          <t>매출채권 손상차손</t>
        </is>
      </c>
      <c r="C43" s="1456" t="n"/>
      <c r="D43" s="2627" t="n"/>
      <c r="E43" s="2627" t="n"/>
      <c r="F43" s="2627" t="n"/>
      <c r="G43" s="2627" t="n"/>
      <c r="H43" s="2627" t="n"/>
      <c r="I43" s="2627" t="n"/>
      <c r="J43" s="2627" t="n"/>
      <c r="K43" s="2627" t="n"/>
      <c r="L43" s="2627" t="n"/>
      <c r="M43" s="2627" t="n"/>
      <c r="N43" s="2627" t="n"/>
      <c r="O43" s="2627" t="n"/>
      <c r="P43" s="2626">
        <f>SUM(D43:O43)</f>
        <v/>
      </c>
      <c r="Q43" s="1466" t="n"/>
      <c r="R43" s="1436" t="n"/>
      <c r="S43" s="2625">
        <f>SUM(S117)</f>
        <v/>
      </c>
      <c r="T43" s="2625">
        <f>SUM(T117)</f>
        <v/>
      </c>
      <c r="U43" s="2625">
        <f>SUM(U117)</f>
        <v/>
      </c>
      <c r="V43" s="2625">
        <f>SUM(V117)</f>
        <v/>
      </c>
      <c r="W43" s="2625">
        <f>SUM(W117)</f>
        <v/>
      </c>
      <c r="X43" s="2625">
        <f>SUM(X117)</f>
        <v/>
      </c>
      <c r="Y43" s="2625">
        <f>SUM(Y117)</f>
        <v/>
      </c>
      <c r="Z43" s="2625">
        <f>SUM(Z117)</f>
        <v/>
      </c>
      <c r="AA43" s="2625">
        <f>SUM(AA117)</f>
        <v/>
      </c>
      <c r="AB43" s="2625">
        <f>SUM(AB117)</f>
        <v/>
      </c>
      <c r="AC43" s="2625">
        <f>SUM(AC117)</f>
        <v/>
      </c>
      <c r="AD43" s="2625">
        <f>SUM(AD117)</f>
        <v/>
      </c>
      <c r="AE43" s="2626">
        <f>SUM(S43:AD43)</f>
        <v/>
      </c>
      <c r="AF43" s="1466" t="n"/>
      <c r="AG43" s="2625">
        <f>SUM(AG117)</f>
        <v/>
      </c>
      <c r="AH43" s="2625">
        <f>SUM(AH117)</f>
        <v/>
      </c>
      <c r="AI43" s="2625">
        <f>SUM(AI117)</f>
        <v/>
      </c>
      <c r="AJ43" s="2625">
        <f>SUM(AJ117)</f>
        <v/>
      </c>
      <c r="AK43" s="2625">
        <f>SUM(AK117)</f>
        <v/>
      </c>
      <c r="AL43" s="2625">
        <f>SUM(AL117)</f>
        <v/>
      </c>
      <c r="AM43" s="2625">
        <f>SUM(AM117)</f>
        <v/>
      </c>
      <c r="AN43" s="2625">
        <f>SUM(AN117)</f>
        <v/>
      </c>
      <c r="AO43" s="2625">
        <f>SUM(AO117)</f>
        <v/>
      </c>
      <c r="AP43" s="2625">
        <f>SUM(AP117)</f>
        <v/>
      </c>
      <c r="AQ43" s="2625">
        <f>SUM(AQ117)</f>
        <v/>
      </c>
      <c r="AR43" s="2625">
        <f>SUM(AR117)</f>
        <v/>
      </c>
      <c r="AS43" s="2626">
        <f>SUM(AG43:AR43)</f>
        <v/>
      </c>
      <c r="AU43" s="2625">
        <f>SUM(AU117)</f>
        <v/>
      </c>
      <c r="AV43" s="2625">
        <f>SUM(AV117)</f>
        <v/>
      </c>
      <c r="AW43" s="2625">
        <f>SUM(AW117)</f>
        <v/>
      </c>
      <c r="AX43" s="2625">
        <f>SUM(AX117)</f>
        <v/>
      </c>
      <c r="AY43" s="2625">
        <f>SUM(AY117)</f>
        <v/>
      </c>
      <c r="AZ43" s="2625">
        <f>SUM(AZ117)</f>
        <v/>
      </c>
      <c r="BA43" s="2625">
        <f>SUM(BA117)</f>
        <v/>
      </c>
      <c r="BB43" s="2625">
        <f>SUM(BB117)</f>
        <v/>
      </c>
      <c r="BC43" s="2625">
        <f>SUM(BC117)</f>
        <v/>
      </c>
      <c r="BD43" s="2625">
        <f>SUM(BD117)</f>
        <v/>
      </c>
      <c r="BE43" s="2625">
        <f>SUM(BE117)</f>
        <v/>
      </c>
      <c r="BF43" s="2627">
        <f>SUM(BF117)</f>
        <v/>
      </c>
      <c r="BG43" s="2628">
        <f>SUM(AU43:BF43)</f>
        <v/>
      </c>
      <c r="BH43" s="2631" t="n"/>
      <c r="BI43" s="2627">
        <f>SUM(BI117)</f>
        <v/>
      </c>
      <c r="BJ43" s="2627">
        <f>SUM(BJ117)</f>
        <v/>
      </c>
      <c r="BK43" s="2627">
        <f>SUM(BK117)</f>
        <v/>
      </c>
      <c r="BL43" s="2627">
        <f>SUM(BL117)</f>
        <v/>
      </c>
      <c r="BM43" s="2627">
        <f>SUM(BM117)</f>
        <v/>
      </c>
      <c r="BN43" s="2627">
        <f>SUM(BN117)</f>
        <v/>
      </c>
      <c r="BO43" s="2627">
        <f>SUM(BO117)</f>
        <v/>
      </c>
      <c r="BP43" s="2627">
        <f>SUM(BP117)</f>
        <v/>
      </c>
      <c r="BQ43" s="2627">
        <f>SUM(BQ117)</f>
        <v/>
      </c>
      <c r="BR43" s="2627">
        <f>SUM(BR117)</f>
        <v/>
      </c>
      <c r="BS43" s="2627">
        <f>SUM(BS117)</f>
        <v/>
      </c>
      <c r="BT43" s="2627">
        <f>SUM(BT117)</f>
        <v/>
      </c>
      <c r="BU43" s="2628">
        <f>SUM(BI43:BT43)</f>
        <v/>
      </c>
    </row>
    <row r="44" outlineLevel="1">
      <c r="A44" s="1436" t="n"/>
      <c r="B44" s="1456" t="inlineStr">
        <is>
          <t>복구충당부채환입</t>
        </is>
      </c>
      <c r="C44" s="1456" t="n"/>
      <c r="D44" s="2627" t="n"/>
      <c r="E44" s="2627" t="n"/>
      <c r="F44" s="2627" t="n"/>
      <c r="G44" s="2627" t="n"/>
      <c r="H44" s="2627" t="n"/>
      <c r="I44" s="2627" t="n"/>
      <c r="J44" s="2627" t="n"/>
      <c r="K44" s="2627" t="n"/>
      <c r="L44" s="2627" t="n"/>
      <c r="M44" s="2627" t="n"/>
      <c r="N44" s="2627" t="n"/>
      <c r="O44" s="2627" t="n"/>
      <c r="P44" s="2626">
        <f>SUM(D44:O44)</f>
        <v/>
      </c>
      <c r="Q44" s="1466" t="n"/>
      <c r="R44" s="1436" t="n"/>
      <c r="S44" s="2625">
        <f>SUM(S118)</f>
        <v/>
      </c>
      <c r="T44" s="2625">
        <f>SUM(T118)</f>
        <v/>
      </c>
      <c r="U44" s="2625">
        <f>SUM(U118)</f>
        <v/>
      </c>
      <c r="V44" s="2625">
        <f>SUM(V118)</f>
        <v/>
      </c>
      <c r="W44" s="2625">
        <f>SUM(W118)</f>
        <v/>
      </c>
      <c r="X44" s="2625">
        <f>SUM(X118)</f>
        <v/>
      </c>
      <c r="Y44" s="2625">
        <f>SUM(Y118)</f>
        <v/>
      </c>
      <c r="Z44" s="2625">
        <f>SUM(Z118)</f>
        <v/>
      </c>
      <c r="AA44" s="2625">
        <f>SUM(AA118)</f>
        <v/>
      </c>
      <c r="AB44" s="2625">
        <f>SUM(AB118)</f>
        <v/>
      </c>
      <c r="AC44" s="2625">
        <f>SUM(AC118)</f>
        <v/>
      </c>
      <c r="AD44" s="2625">
        <f>SUM(AD118)</f>
        <v/>
      </c>
      <c r="AE44" s="2626">
        <f>SUM(S44:AD44)</f>
        <v/>
      </c>
      <c r="AF44" s="1466" t="n"/>
      <c r="AG44" s="2625">
        <f>SUM(AG118)</f>
        <v/>
      </c>
      <c r="AH44" s="2625">
        <f>SUM(AH118)</f>
        <v/>
      </c>
      <c r="AI44" s="2625">
        <f>SUM(AI118)</f>
        <v/>
      </c>
      <c r="AJ44" s="2625">
        <f>SUM(AJ118)</f>
        <v/>
      </c>
      <c r="AK44" s="2625">
        <f>SUM(AK118)</f>
        <v/>
      </c>
      <c r="AL44" s="2625">
        <f>SUM(AL118)</f>
        <v/>
      </c>
      <c r="AM44" s="2625">
        <f>SUM(AM118)</f>
        <v/>
      </c>
      <c r="AN44" s="2625">
        <f>SUM(AN118)</f>
        <v/>
      </c>
      <c r="AO44" s="2625">
        <f>SUM(AO118)</f>
        <v/>
      </c>
      <c r="AP44" s="2625">
        <f>SUM(AP118)</f>
        <v/>
      </c>
      <c r="AQ44" s="2625">
        <f>SUM(AQ118)</f>
        <v/>
      </c>
      <c r="AR44" s="2625">
        <f>SUM(AR118)</f>
        <v/>
      </c>
      <c r="AS44" s="2626">
        <f>SUM(AG44:AR44)</f>
        <v/>
      </c>
      <c r="AU44" s="2625">
        <f>SUM(AU118)</f>
        <v/>
      </c>
      <c r="AV44" s="2625">
        <f>SUM(AV118)</f>
        <v/>
      </c>
      <c r="AW44" s="2625">
        <f>SUM(AW118)</f>
        <v/>
      </c>
      <c r="AX44" s="2625">
        <f>SUM(AX118)</f>
        <v/>
      </c>
      <c r="AY44" s="2625">
        <f>SUM(AY118)</f>
        <v/>
      </c>
      <c r="AZ44" s="2625">
        <f>SUM(AZ118)</f>
        <v/>
      </c>
      <c r="BA44" s="2625">
        <f>SUM(BA118)</f>
        <v/>
      </c>
      <c r="BB44" s="2625">
        <f>SUM(BB118)</f>
        <v/>
      </c>
      <c r="BC44" s="2625">
        <f>SUM(BC118)</f>
        <v/>
      </c>
      <c r="BD44" s="2625">
        <f>SUM(BD118)</f>
        <v/>
      </c>
      <c r="BE44" s="2625">
        <f>SUM(BE118)</f>
        <v/>
      </c>
      <c r="BF44" s="2627">
        <f>SUM(BF118)</f>
        <v/>
      </c>
      <c r="BG44" s="2628">
        <f>SUM(AU44:BF44)</f>
        <v/>
      </c>
      <c r="BH44" s="2631" t="n"/>
      <c r="BI44" s="2627">
        <f>SUM(BI118)</f>
        <v/>
      </c>
      <c r="BJ44" s="2627">
        <f>SUM(BJ118)</f>
        <v/>
      </c>
      <c r="BK44" s="2627">
        <f>SUM(BK118)</f>
        <v/>
      </c>
      <c r="BL44" s="2627">
        <f>SUM(BL118)</f>
        <v/>
      </c>
      <c r="BM44" s="2627">
        <f>SUM(BM118)</f>
        <v/>
      </c>
      <c r="BN44" s="2627">
        <f>SUM(BN118)</f>
        <v/>
      </c>
      <c r="BO44" s="2627">
        <f>SUM(BO118)</f>
        <v/>
      </c>
      <c r="BP44" s="2627">
        <f>SUM(BP118)</f>
        <v/>
      </c>
      <c r="BQ44" s="2627">
        <f>SUM(BQ118)</f>
        <v/>
      </c>
      <c r="BR44" s="2627">
        <f>SUM(BR118)</f>
        <v/>
      </c>
      <c r="BS44" s="2627">
        <f>SUM(BS118)</f>
        <v/>
      </c>
      <c r="BT44" s="2627">
        <f>SUM(BT118)</f>
        <v/>
      </c>
      <c r="BU44" s="2628">
        <f>SUM(BI44:BT44)</f>
        <v/>
      </c>
    </row>
    <row r="45" outlineLevel="1">
      <c r="A45" s="1436" t="n"/>
      <c r="B45" s="1456" t="inlineStr">
        <is>
          <t>하자보수비</t>
        </is>
      </c>
      <c r="C45" s="1456" t="n"/>
      <c r="D45" s="2627" t="n"/>
      <c r="E45" s="2627" t="n"/>
      <c r="F45" s="2627" t="n"/>
      <c r="G45" s="2627" t="n"/>
      <c r="H45" s="2627" t="n"/>
      <c r="I45" s="2627" t="n"/>
      <c r="J45" s="2627" t="n"/>
      <c r="K45" s="2627" t="n"/>
      <c r="L45" s="2627" t="n"/>
      <c r="M45" s="2627" t="n"/>
      <c r="N45" s="2627" t="n"/>
      <c r="O45" s="2627" t="n"/>
      <c r="P45" s="2626">
        <f>SUM(D45:O45)</f>
        <v/>
      </c>
      <c r="Q45" s="1466" t="n"/>
      <c r="R45" s="1436" t="n"/>
      <c r="S45" s="2625">
        <f>SUM(S119)</f>
        <v/>
      </c>
      <c r="T45" s="2625">
        <f>SUM(T119)</f>
        <v/>
      </c>
      <c r="U45" s="2625">
        <f>SUM(U119)</f>
        <v/>
      </c>
      <c r="V45" s="2625">
        <f>SUM(V119)</f>
        <v/>
      </c>
      <c r="W45" s="2625">
        <f>SUM(W119)</f>
        <v/>
      </c>
      <c r="X45" s="2625">
        <f>SUM(X119)</f>
        <v/>
      </c>
      <c r="Y45" s="2625">
        <f>SUM(Y119)</f>
        <v/>
      </c>
      <c r="Z45" s="2625">
        <f>SUM(Z119)</f>
        <v/>
      </c>
      <c r="AA45" s="2625">
        <f>SUM(AA119)</f>
        <v/>
      </c>
      <c r="AB45" s="2625">
        <f>SUM(AB119)</f>
        <v/>
      </c>
      <c r="AC45" s="2625">
        <f>SUM(AC119)</f>
        <v/>
      </c>
      <c r="AD45" s="2625">
        <f>SUM(AD119)</f>
        <v/>
      </c>
      <c r="AE45" s="2626">
        <f>SUM(S45:AD45)</f>
        <v/>
      </c>
      <c r="AF45" s="1466" t="n"/>
      <c r="AG45" s="2625">
        <f>SUM(AG119)</f>
        <v/>
      </c>
      <c r="AH45" s="2625">
        <f>SUM(AH119)</f>
        <v/>
      </c>
      <c r="AI45" s="2625">
        <f>SUM(AI119)</f>
        <v/>
      </c>
      <c r="AJ45" s="2625">
        <f>SUM(AJ119)</f>
        <v/>
      </c>
      <c r="AK45" s="2625">
        <f>SUM(AK119)</f>
        <v/>
      </c>
      <c r="AL45" s="2625">
        <f>SUM(AL119)</f>
        <v/>
      </c>
      <c r="AM45" s="2625">
        <f>SUM(AM119)</f>
        <v/>
      </c>
      <c r="AN45" s="2625">
        <f>SUM(AN119)</f>
        <v/>
      </c>
      <c r="AO45" s="2625">
        <f>SUM(AO119)</f>
        <v/>
      </c>
      <c r="AP45" s="2625">
        <f>SUM(AP119)</f>
        <v/>
      </c>
      <c r="AQ45" s="2625">
        <f>SUM(AQ119)</f>
        <v/>
      </c>
      <c r="AR45" s="2625">
        <f>SUM(AR119)</f>
        <v/>
      </c>
      <c r="AS45" s="2626">
        <f>SUM(AG45:AR45)</f>
        <v/>
      </c>
      <c r="AU45" s="2625">
        <f>SUM(AU119)</f>
        <v/>
      </c>
      <c r="AV45" s="2625">
        <f>SUM(AV119)</f>
        <v/>
      </c>
      <c r="AW45" s="2625">
        <f>SUM(AW119)</f>
        <v/>
      </c>
      <c r="AX45" s="2625">
        <f>SUM(AX119)</f>
        <v/>
      </c>
      <c r="AY45" s="2625">
        <f>SUM(AY119)</f>
        <v/>
      </c>
      <c r="AZ45" s="2625">
        <f>SUM(AZ119)</f>
        <v/>
      </c>
      <c r="BA45" s="2625">
        <f>SUM(BA119)</f>
        <v/>
      </c>
      <c r="BB45" s="2625">
        <f>SUM(BB119)</f>
        <v/>
      </c>
      <c r="BC45" s="2625">
        <f>SUM(BC119)</f>
        <v/>
      </c>
      <c r="BD45" s="2625">
        <f>SUM(BD119)</f>
        <v/>
      </c>
      <c r="BE45" s="2625">
        <f>SUM(BE119)</f>
        <v/>
      </c>
      <c r="BF45" s="2627">
        <f>SUM(BF119)</f>
        <v/>
      </c>
      <c r="BG45" s="2628">
        <f>SUM(AU45:BF45)</f>
        <v/>
      </c>
      <c r="BH45" s="2631" t="n"/>
      <c r="BI45" s="2627">
        <f>SUM(BI119)</f>
        <v/>
      </c>
      <c r="BJ45" s="2627">
        <f>SUM(BJ119)</f>
        <v/>
      </c>
      <c r="BK45" s="2627">
        <f>SUM(BK119)</f>
        <v/>
      </c>
      <c r="BL45" s="2627">
        <f>SUM(BL119)</f>
        <v/>
      </c>
      <c r="BM45" s="2627">
        <f>SUM(BM119)</f>
        <v/>
      </c>
      <c r="BN45" s="2627">
        <f>SUM(BN119)</f>
        <v/>
      </c>
      <c r="BO45" s="2627">
        <f>SUM(BO119)</f>
        <v/>
      </c>
      <c r="BP45" s="2627">
        <f>SUM(BP119)</f>
        <v/>
      </c>
      <c r="BQ45" s="2627">
        <f>SUM(BQ119)</f>
        <v/>
      </c>
      <c r="BR45" s="2627">
        <f>SUM(BR119)</f>
        <v/>
      </c>
      <c r="BS45" s="2627">
        <f>SUM(BS119)</f>
        <v/>
      </c>
      <c r="BT45" s="2627">
        <f>SUM(BT119)</f>
        <v/>
      </c>
      <c r="BU45" s="2628">
        <f>SUM(BI45:BT45)</f>
        <v/>
      </c>
    </row>
    <row r="46" outlineLevel="1" customFormat="1" s="1498">
      <c r="A46" s="1494" t="n"/>
      <c r="B46" s="1495" t="inlineStr">
        <is>
          <t>주식보상비용</t>
        </is>
      </c>
      <c r="C46" s="1495" t="n"/>
      <c r="D46" s="2641" t="n"/>
      <c r="E46" s="2641" t="n"/>
      <c r="F46" s="2641" t="n"/>
      <c r="G46" s="2641" t="n"/>
      <c r="H46" s="2641" t="n"/>
      <c r="I46" s="2641" t="n"/>
      <c r="J46" s="2641" t="n"/>
      <c r="K46" s="2641" t="n"/>
      <c r="L46" s="2641" t="n"/>
      <c r="M46" s="2641" t="n"/>
      <c r="N46" s="2641" t="n"/>
      <c r="O46" s="2641" t="n"/>
      <c r="P46" s="2641">
        <f>SUM(D46:O46)</f>
        <v/>
      </c>
      <c r="Q46" s="1497" t="n"/>
      <c r="R46" s="1494" t="n"/>
      <c r="S46" s="2641">
        <f>SUM(S84,S120)</f>
        <v/>
      </c>
      <c r="T46" s="2641">
        <f>SUM(T84,T120)</f>
        <v/>
      </c>
      <c r="U46" s="2641">
        <f>SUM(U84,U120)</f>
        <v/>
      </c>
      <c r="V46" s="2641">
        <f>SUM(V84,V120)</f>
        <v/>
      </c>
      <c r="W46" s="2641">
        <f>SUM(W84,W120)</f>
        <v/>
      </c>
      <c r="X46" s="2641">
        <f>SUM(X84,X120)</f>
        <v/>
      </c>
      <c r="Y46" s="2641">
        <f>SUM(Y84,Y120)</f>
        <v/>
      </c>
      <c r="Z46" s="2641">
        <f>SUM(Z84,Z120)</f>
        <v/>
      </c>
      <c r="AA46" s="2641">
        <f>SUM(AA84,AA120)</f>
        <v/>
      </c>
      <c r="AB46" s="2641">
        <f>SUM(AB84,AB120)</f>
        <v/>
      </c>
      <c r="AC46" s="2641">
        <f>SUM(AC84,AC120)</f>
        <v/>
      </c>
      <c r="AD46" s="2641">
        <f>SUM(AD84,AD120)</f>
        <v/>
      </c>
      <c r="AE46" s="2641">
        <f>SUM(S46:AD46)</f>
        <v/>
      </c>
      <c r="AF46" s="1497" t="n"/>
      <c r="AG46" s="2641">
        <f>SUM(AG84,AG120)</f>
        <v/>
      </c>
      <c r="AH46" s="2641">
        <f>SUM(AH84,AH120)</f>
        <v/>
      </c>
      <c r="AI46" s="2641">
        <f>SUM(AI84,AI120)</f>
        <v/>
      </c>
      <c r="AJ46" s="2641">
        <f>SUM(AJ84,AJ120)</f>
        <v/>
      </c>
      <c r="AK46" s="2641">
        <f>SUM(AK84,AK120)</f>
        <v/>
      </c>
      <c r="AL46" s="2641">
        <f>SUM(AL84,AL120)</f>
        <v/>
      </c>
      <c r="AM46" s="2641">
        <f>SUM(AM84,AM120)</f>
        <v/>
      </c>
      <c r="AN46" s="2641">
        <f>SUM(AN84,AN120)</f>
        <v/>
      </c>
      <c r="AO46" s="2641">
        <f>SUM(AO84,AO120)</f>
        <v/>
      </c>
      <c r="AP46" s="2641">
        <f>SUM(AP84,AP120)</f>
        <v/>
      </c>
      <c r="AQ46" s="2641">
        <f>SUM(AQ84,AQ120)</f>
        <v/>
      </c>
      <c r="AR46" s="2641">
        <f>SUM(AR84,AR120)</f>
        <v/>
      </c>
      <c r="AS46" s="2641">
        <f>SUM(AG46:AR46)</f>
        <v/>
      </c>
      <c r="AU46" s="2641">
        <f>SUM(AU84,AU120)</f>
        <v/>
      </c>
      <c r="AV46" s="2641">
        <f>SUM(AV84,AV120)</f>
        <v/>
      </c>
      <c r="AW46" s="2641">
        <f>SUM(AW84,AW120)</f>
        <v/>
      </c>
      <c r="AX46" s="2641">
        <f>SUM(AX84,AX120)</f>
        <v/>
      </c>
      <c r="AY46" s="2641">
        <f>SUM(AY84,AY120)</f>
        <v/>
      </c>
      <c r="AZ46" s="2641">
        <f>SUM(AZ84,AZ120)</f>
        <v/>
      </c>
      <c r="BA46" s="2641">
        <f>SUM(BA84,BA120)</f>
        <v/>
      </c>
      <c r="BB46" s="2641">
        <f>SUM(BB84,BB120)</f>
        <v/>
      </c>
      <c r="BC46" s="2641">
        <f>SUM(BC84,BC120)</f>
        <v/>
      </c>
      <c r="BD46" s="2641">
        <f>SUM(BD84,BD120)</f>
        <v/>
      </c>
      <c r="BE46" s="2641">
        <f>SUM(BE84,BE120)</f>
        <v/>
      </c>
      <c r="BF46" s="2641">
        <f>SUM(BF84,BF120)</f>
        <v/>
      </c>
      <c r="BG46" s="2641">
        <f>SUM(AU46:BF46)</f>
        <v/>
      </c>
      <c r="BH46" s="2642" t="n"/>
      <c r="BI46" s="2641">
        <f>SUM(BI84,BI120)</f>
        <v/>
      </c>
      <c r="BJ46" s="2641">
        <f>SUM(BJ84,BJ120)</f>
        <v/>
      </c>
      <c r="BK46" s="2641">
        <f>SUM(BK84,BK120)</f>
        <v/>
      </c>
      <c r="BL46" s="2641">
        <f>SUM(BL84,BL120)</f>
        <v/>
      </c>
      <c r="BM46" s="2641">
        <f>SUM(BM84,BM120)</f>
        <v/>
      </c>
      <c r="BN46" s="2641">
        <f>SUM(BN84,BN120)</f>
        <v/>
      </c>
      <c r="BO46" s="2641">
        <f>SUM(BO84,BO120)</f>
        <v/>
      </c>
      <c r="BP46" s="2641">
        <f>SUM(BP84,BP120)</f>
        <v/>
      </c>
      <c r="BQ46" s="2641">
        <f>SUM(BQ84,BQ120)</f>
        <v/>
      </c>
      <c r="BR46" s="2641">
        <f>SUM(BR84,BR120)</f>
        <v/>
      </c>
      <c r="BS46" s="2641">
        <f>SUM(BS84,BS120)</f>
        <v/>
      </c>
      <c r="BT46" s="2641">
        <f>SUM(BT84,BT120)</f>
        <v/>
      </c>
      <c r="BU46" s="2641">
        <f>SUM(BI46:BT46)</f>
        <v/>
      </c>
    </row>
    <row r="47" outlineLevel="1">
      <c r="A47" s="1436" t="n"/>
      <c r="B47" s="1456" t="inlineStr">
        <is>
          <t>프로젝트손실충당부채전입액 &gt; 재고자산 평가 손실</t>
        </is>
      </c>
      <c r="C47" s="1456" t="n"/>
      <c r="D47" s="2627" t="n"/>
      <c r="E47" s="2627" t="n"/>
      <c r="F47" s="2627" t="n"/>
      <c r="G47" s="2627" t="n"/>
      <c r="H47" s="2627" t="n"/>
      <c r="I47" s="2627" t="n"/>
      <c r="J47" s="2627" t="n"/>
      <c r="K47" s="2627" t="n"/>
      <c r="L47" s="2627" t="n"/>
      <c r="M47" s="2627" t="n"/>
      <c r="N47" s="2627" t="n"/>
      <c r="O47" s="2627" t="n"/>
      <c r="P47" s="2626">
        <f>SUM(D47:O47)</f>
        <v/>
      </c>
      <c r="Q47" s="1466" t="n"/>
      <c r="R47" s="1436" t="n"/>
      <c r="S47" s="2625">
        <f>SUM(S85,S121)</f>
        <v/>
      </c>
      <c r="T47" s="2625">
        <f>SUM(T85,T121)</f>
        <v/>
      </c>
      <c r="U47" s="2625">
        <f>SUM(U85,U121)</f>
        <v/>
      </c>
      <c r="V47" s="2625">
        <f>SUM(V85,V121)</f>
        <v/>
      </c>
      <c r="W47" s="2625">
        <f>SUM(W85,W121)</f>
        <v/>
      </c>
      <c r="X47" s="2625">
        <f>SUM(X85,X121)</f>
        <v/>
      </c>
      <c r="Y47" s="2625">
        <f>SUM(Y85,Y121)</f>
        <v/>
      </c>
      <c r="Z47" s="2625">
        <f>SUM(Z85,Z121)</f>
        <v/>
      </c>
      <c r="AA47" s="2625">
        <f>SUM(AA85,AA121)</f>
        <v/>
      </c>
      <c r="AB47" s="2625">
        <f>SUM(AB85,AB121)</f>
        <v/>
      </c>
      <c r="AC47" s="2625">
        <f>SUM(AC85,AC121)</f>
        <v/>
      </c>
      <c r="AD47" s="2625">
        <f>SUM(AD85,AD121)</f>
        <v/>
      </c>
      <c r="AE47" s="2626">
        <f>SUM(S47:AD47)</f>
        <v/>
      </c>
      <c r="AF47" s="1466" t="n"/>
      <c r="AG47" s="2625">
        <f>SUM(AG85,AG121)</f>
        <v/>
      </c>
      <c r="AH47" s="2625">
        <f>SUM(AH85,AH121)</f>
        <v/>
      </c>
      <c r="AI47" s="2625">
        <f>SUM(AI85,AI121)</f>
        <v/>
      </c>
      <c r="AJ47" s="2625">
        <f>SUM(AJ85,AJ121)</f>
        <v/>
      </c>
      <c r="AK47" s="2625">
        <f>SUM(AK85,AK121)</f>
        <v/>
      </c>
      <c r="AL47" s="2625">
        <f>SUM(AL85,AL121)</f>
        <v/>
      </c>
      <c r="AM47" s="2625">
        <f>SUM(AM85,AM121)</f>
        <v/>
      </c>
      <c r="AN47" s="2625">
        <f>SUM(AN85,AN121)</f>
        <v/>
      </c>
      <c r="AO47" s="2625">
        <f>SUM(AO85,AO121)</f>
        <v/>
      </c>
      <c r="AP47" s="2625">
        <f>SUM(AP85,AP121)</f>
        <v/>
      </c>
      <c r="AQ47" s="2625">
        <f>SUM(AQ85,AQ121)</f>
        <v/>
      </c>
      <c r="AR47" s="2625">
        <f>SUM(AR85,AR121)</f>
        <v/>
      </c>
      <c r="AS47" s="2626">
        <f>SUM(AG47:AR47)</f>
        <v/>
      </c>
      <c r="AU47" s="2625">
        <f>SUM(AU85,AU121)</f>
        <v/>
      </c>
      <c r="AV47" s="2625">
        <f>SUM(AV85,AV121)</f>
        <v/>
      </c>
      <c r="AW47" s="2625">
        <f>SUM(AW85,AW121)</f>
        <v/>
      </c>
      <c r="AX47" s="2625">
        <f>SUM(AX85,AX121)</f>
        <v/>
      </c>
      <c r="AY47" s="2625">
        <f>SUM(AY85,AY121)</f>
        <v/>
      </c>
      <c r="AZ47" s="2625">
        <f>SUM(AZ85,AZ121)</f>
        <v/>
      </c>
      <c r="BA47" s="2625">
        <f>SUM(BA85,BA121)</f>
        <v/>
      </c>
      <c r="BB47" s="2625">
        <f>SUM(BB85,BB121)</f>
        <v/>
      </c>
      <c r="BC47" s="2625">
        <f>SUM(BC85,BC121)</f>
        <v/>
      </c>
      <c r="BD47" s="2625">
        <f>SUM(BD85,BD121)</f>
        <v/>
      </c>
      <c r="BE47" s="2625">
        <f>SUM(BE85,BE121)</f>
        <v/>
      </c>
      <c r="BF47" s="2627">
        <f>SUM(BF85,BF121)</f>
        <v/>
      </c>
      <c r="BG47" s="2628">
        <f>SUM(AU47:BF47)</f>
        <v/>
      </c>
      <c r="BH47" s="2631" t="n"/>
      <c r="BI47" s="2627">
        <f>SUM(BI85,BI121)</f>
        <v/>
      </c>
      <c r="BJ47" s="2627">
        <f>SUM(BJ85,BJ121)</f>
        <v/>
      </c>
      <c r="BK47" s="2627">
        <f>SUM(BK85,BK121)</f>
        <v/>
      </c>
      <c r="BL47" s="2627">
        <f>SUM(BL85,BL121)</f>
        <v/>
      </c>
      <c r="BM47" s="2627">
        <f>SUM(BM85,BM121)</f>
        <v/>
      </c>
      <c r="BN47" s="2627">
        <f>SUM(BN85,BN121)</f>
        <v/>
      </c>
      <c r="BO47" s="2627">
        <f>SUM(BO85,BO121)</f>
        <v/>
      </c>
      <c r="BP47" s="2627">
        <f>SUM(BP85,BP121)</f>
        <v/>
      </c>
      <c r="BQ47" s="2627">
        <f>SUM(BQ85,BQ121)</f>
        <v/>
      </c>
      <c r="BR47" s="2627">
        <f>SUM(BR85,BR121)</f>
        <v/>
      </c>
      <c r="BS47" s="2627">
        <f>SUM(BS85,BS121)</f>
        <v/>
      </c>
      <c r="BT47" s="2627">
        <f>SUM(BT85,BT121)</f>
        <v/>
      </c>
      <c r="BU47" s="2628">
        <f>SUM(BI47:BT47)</f>
        <v/>
      </c>
    </row>
    <row r="48">
      <c r="A48" s="1436" t="n"/>
      <c r="B48" s="1452" t="inlineStr">
        <is>
          <t>Ⅲ. 영업이익(손실)</t>
        </is>
      </c>
      <c r="C48" s="1452" t="n"/>
      <c r="D48" s="2622" t="n"/>
      <c r="E48" s="2622" t="n"/>
      <c r="F48" s="2622" t="n"/>
      <c r="G48" s="2622" t="n"/>
      <c r="H48" s="2622" t="n"/>
      <c r="I48" s="2622" t="n"/>
      <c r="J48" s="2622" t="n"/>
      <c r="K48" s="2622" t="n"/>
      <c r="L48" s="2622" t="n"/>
      <c r="M48" s="2622" t="n"/>
      <c r="N48" s="2622" t="n"/>
      <c r="O48" s="2622" t="n"/>
      <c r="P48" s="2623">
        <f>SUM(D48:O48)</f>
        <v/>
      </c>
      <c r="Q48" s="1436" t="n"/>
      <c r="R48" s="1436" t="n"/>
      <c r="S48" s="2622">
        <f>S5-S14</f>
        <v/>
      </c>
      <c r="T48" s="2622">
        <f>T5-T14</f>
        <v/>
      </c>
      <c r="U48" s="2622">
        <f>U5-U14</f>
        <v/>
      </c>
      <c r="V48" s="2622">
        <f>V5-V14</f>
        <v/>
      </c>
      <c r="W48" s="2622">
        <f>W5-W14</f>
        <v/>
      </c>
      <c r="X48" s="2622">
        <f>X5-X14</f>
        <v/>
      </c>
      <c r="Y48" s="2622">
        <f>Y5-Y14</f>
        <v/>
      </c>
      <c r="Z48" s="2622">
        <f>Z5-Z14</f>
        <v/>
      </c>
      <c r="AA48" s="2622">
        <f>AA5-AA14</f>
        <v/>
      </c>
      <c r="AB48" s="2622">
        <f>AB5-AB14</f>
        <v/>
      </c>
      <c r="AC48" s="2622">
        <f>AC5-AC14</f>
        <v/>
      </c>
      <c r="AD48" s="2622">
        <f>AD5-AD14</f>
        <v/>
      </c>
      <c r="AE48" s="2623">
        <f>SUM(S48:AD48)</f>
        <v/>
      </c>
      <c r="AF48" s="1436" t="n"/>
      <c r="AG48" s="2622">
        <f>AG5-AG14</f>
        <v/>
      </c>
      <c r="AH48" s="2622">
        <f>AH5-AH14</f>
        <v/>
      </c>
      <c r="AI48" s="2622">
        <f>AI5-AI14</f>
        <v/>
      </c>
      <c r="AJ48" s="2622">
        <f>AJ5-AJ14</f>
        <v/>
      </c>
      <c r="AK48" s="2622">
        <f>AK5-AK14</f>
        <v/>
      </c>
      <c r="AL48" s="2622">
        <f>AL5-AL14</f>
        <v/>
      </c>
      <c r="AM48" s="2622">
        <f>AM5-AM14</f>
        <v/>
      </c>
      <c r="AN48" s="2622">
        <f>AN5-AN14</f>
        <v/>
      </c>
      <c r="AO48" s="2622">
        <f>AO5-AO14</f>
        <v/>
      </c>
      <c r="AP48" s="2622">
        <f>AP5-AP14</f>
        <v/>
      </c>
      <c r="AQ48" s="2622">
        <f>AQ5-AQ14</f>
        <v/>
      </c>
      <c r="AR48" s="2622">
        <f>AR5-AR14</f>
        <v/>
      </c>
      <c r="AS48" s="2623">
        <f>SUM(AG48:AR48)</f>
        <v/>
      </c>
      <c r="AU48" s="2622">
        <f>AU5-AU14</f>
        <v/>
      </c>
      <c r="AV48" s="2622">
        <f>AV5-AV14</f>
        <v/>
      </c>
      <c r="AW48" s="2622">
        <f>AW5-AW14</f>
        <v/>
      </c>
      <c r="AX48" s="2622">
        <f>AX5-AX14</f>
        <v/>
      </c>
      <c r="AY48" s="2622">
        <f>AY5-AY14</f>
        <v/>
      </c>
      <c r="AZ48" s="2622">
        <f>AZ5-AZ14</f>
        <v/>
      </c>
      <c r="BA48" s="2622">
        <f>BA5-BA14</f>
        <v/>
      </c>
      <c r="BB48" s="2622">
        <f>BB5-BB14</f>
        <v/>
      </c>
      <c r="BC48" s="2622">
        <f>BC5-BC14</f>
        <v/>
      </c>
      <c r="BD48" s="2622">
        <f>BD5-BD14</f>
        <v/>
      </c>
      <c r="BE48" s="2622">
        <f>BE5-BE14</f>
        <v/>
      </c>
      <c r="BF48" s="2622">
        <f>BF5-BF14</f>
        <v/>
      </c>
      <c r="BG48" s="2624">
        <f>SUM(AU48:BF48)</f>
        <v/>
      </c>
      <c r="BH48" s="2615" t="n"/>
      <c r="BI48" s="2622">
        <f>BI5-BI14</f>
        <v/>
      </c>
      <c r="BJ48" s="2622">
        <f>BJ5-BJ14</f>
        <v/>
      </c>
      <c r="BK48" s="2622">
        <f>BK5-BK14</f>
        <v/>
      </c>
      <c r="BL48" s="2622">
        <f>BL5-BL14</f>
        <v/>
      </c>
      <c r="BM48" s="2622">
        <f>BM5-BM14</f>
        <v/>
      </c>
      <c r="BN48" s="2622">
        <f>BN5-BN14</f>
        <v/>
      </c>
      <c r="BO48" s="2622">
        <f>BO5-BO14</f>
        <v/>
      </c>
      <c r="BP48" s="2622">
        <f>BP5-BP14</f>
        <v/>
      </c>
      <c r="BQ48" s="2622">
        <f>BQ5-BQ14</f>
        <v/>
      </c>
      <c r="BR48" s="2622">
        <f>BR5-BR14</f>
        <v/>
      </c>
      <c r="BS48" s="2622">
        <f>BS5-BS14</f>
        <v/>
      </c>
      <c r="BT48" s="2622">
        <f>BT5-BT14</f>
        <v/>
      </c>
      <c r="BU48" s="2624">
        <f>SUM(BI48:BT48)</f>
        <v/>
      </c>
    </row>
    <row r="49">
      <c r="A49" s="1436" t="n"/>
      <c r="B49" s="1456" t="n"/>
      <c r="C49" s="1456" t="n"/>
      <c r="D49" s="2627" t="n"/>
      <c r="E49" s="2627" t="n"/>
      <c r="F49" s="2627" t="n"/>
      <c r="G49" s="2627" t="n"/>
      <c r="H49" s="2627" t="n"/>
      <c r="I49" s="2627" t="n"/>
      <c r="J49" s="2627" t="n"/>
      <c r="K49" s="2627" t="n"/>
      <c r="L49" s="2627" t="n"/>
      <c r="M49" s="2627" t="n"/>
      <c r="N49" s="2627" t="n"/>
      <c r="O49" s="2627" t="n"/>
      <c r="P49" s="2627" t="n"/>
      <c r="Q49" s="1464" t="n"/>
      <c r="R49" s="1436" t="n"/>
      <c r="S49" s="2627" t="n"/>
      <c r="T49" s="2627" t="n"/>
      <c r="U49" s="2627" t="n"/>
      <c r="V49" s="2627" t="n"/>
      <c r="W49" s="2627" t="n"/>
      <c r="X49" s="2627" t="n"/>
      <c r="Y49" s="2627" t="n"/>
      <c r="Z49" s="2627" t="n"/>
      <c r="AA49" s="2627" t="n"/>
      <c r="AB49" s="2627" t="n"/>
      <c r="AC49" s="2627" t="n"/>
      <c r="AD49" s="2627" t="n"/>
      <c r="AE49" s="2627" t="n"/>
      <c r="AF49" s="1464" t="n"/>
      <c r="AG49" s="2627">
        <f>SUM(AG48:AI48)</f>
        <v/>
      </c>
      <c r="AH49" s="2627" t="n"/>
      <c r="AI49" s="2627" t="n"/>
      <c r="AJ49" s="2627" t="n"/>
      <c r="AK49" s="2627" t="n"/>
      <c r="AL49" s="2627" t="n"/>
      <c r="AM49" s="2627" t="n"/>
      <c r="AN49" s="2627" t="n"/>
      <c r="AO49" s="2627" t="n"/>
      <c r="AP49" s="2627" t="n"/>
      <c r="AQ49" s="2627" t="n"/>
      <c r="AR49" s="2627" t="n"/>
      <c r="AS49" s="2627">
        <f>-2921700973-AS48</f>
        <v/>
      </c>
      <c r="AU49" s="2627" t="n"/>
      <c r="AV49" s="2627" t="n"/>
      <c r="AW49" s="2627" t="n"/>
      <c r="AX49" s="2627" t="n"/>
      <c r="AY49" s="2627" t="n"/>
      <c r="AZ49" s="2627" t="n"/>
      <c r="BA49" s="2627" t="n"/>
      <c r="BB49" s="2627" t="n"/>
      <c r="BC49" s="2627" t="n"/>
      <c r="BD49" s="2627" t="n"/>
      <c r="BE49" s="2627" t="n"/>
      <c r="BF49" s="2627" t="n"/>
      <c r="BG49" s="2627" t="n"/>
      <c r="BI49" s="2627" t="n"/>
      <c r="BJ49" s="2627" t="n"/>
      <c r="BK49" s="2627" t="n"/>
      <c r="BL49" s="2627" t="n"/>
      <c r="BM49" s="2627" t="n"/>
      <c r="BN49" s="2627" t="n"/>
      <c r="BO49" s="2627" t="n"/>
      <c r="BP49" s="2627" t="n"/>
      <c r="BQ49" s="2627" t="n"/>
      <c r="BR49" s="2627" t="n"/>
      <c r="BS49" s="2627" t="n"/>
      <c r="BT49" s="2627" t="n"/>
      <c r="BU49" s="2627" t="n"/>
    </row>
    <row r="50">
      <c r="A50" s="1436" t="n"/>
      <c r="B50" s="1468" t="inlineStr">
        <is>
          <t>검증</t>
        </is>
      </c>
      <c r="C50" s="1468" t="n"/>
      <c r="D50" s="2627" t="n"/>
      <c r="E50" s="2627" t="n"/>
      <c r="F50" s="2627" t="n"/>
      <c r="G50" s="2627" t="n"/>
      <c r="H50" s="2627" t="n"/>
      <c r="I50" s="2627" t="n"/>
      <c r="J50" s="2627" t="n"/>
      <c r="K50" s="2627" t="n"/>
      <c r="L50" s="2627" t="n"/>
      <c r="M50" s="2627" t="n"/>
      <c r="N50" s="2627" t="n"/>
      <c r="O50" s="2627" t="n"/>
      <c r="P50" s="2627" t="n"/>
      <c r="Q50" s="1466" t="n"/>
      <c r="R50" s="1436" t="n"/>
      <c r="S50" s="2632">
        <f>SUM(S15:S47)-SUM(S54:S85,S88:S121)</f>
        <v/>
      </c>
      <c r="T50" s="2632">
        <f>SUM(T15:T47)-SUM(T54:T85,T88:T121)</f>
        <v/>
      </c>
      <c r="U50" s="2632">
        <f>SUM(U15:U47)-SUM(U54:U85,U88:U121)</f>
        <v/>
      </c>
      <c r="V50" s="2632">
        <f>SUM(V15:V47)-SUM(V54:V85,V88:V121)</f>
        <v/>
      </c>
      <c r="W50" s="2632">
        <f>SUM(W15:W47)-SUM(W54:W85,W88:W121)</f>
        <v/>
      </c>
      <c r="X50" s="2632">
        <f>SUM(X15:X47)-SUM(X54:X85,X88:X121)</f>
        <v/>
      </c>
      <c r="Y50" s="2632">
        <f>SUM(Y15:Y47)-SUM(Y54:Y85,Y88:Y121)</f>
        <v/>
      </c>
      <c r="Z50" s="2632">
        <f>SUM(Z15:Z47)-SUM(Z54:Z85,Z88:Z121)</f>
        <v/>
      </c>
      <c r="AA50" s="2632">
        <f>SUM(AA15:AA47)-SUM(AA54:AA85,AA88:AA121)</f>
        <v/>
      </c>
      <c r="AB50" s="2632">
        <f>SUM(AB15:AB47)-SUM(AB54:AB85,AB88:AB121)</f>
        <v/>
      </c>
      <c r="AC50" s="2632">
        <f>SUM(AC15:AC47)-SUM(AC54:AC85,AC88:AC121)</f>
        <v/>
      </c>
      <c r="AD50" s="2632">
        <f>SUM(AD15:AD47)-SUM(AD54:AD85,AD88:AD121)</f>
        <v/>
      </c>
      <c r="AE50" s="2627" t="n"/>
      <c r="AF50" s="1466" t="n"/>
      <c r="AG50" s="2632">
        <f>SUM(AG15:AG47)-SUM(AG54:AG85,AG88:AG121)</f>
        <v/>
      </c>
      <c r="AH50" s="2632">
        <f>SUM(AH15:AH47)-SUM(AH54:AH85,AH88:AH121)</f>
        <v/>
      </c>
      <c r="AI50" s="2632">
        <f>SUM(AI15:AI47)-SUM(AI54:AI85,AI88:AI121)</f>
        <v/>
      </c>
      <c r="AJ50" s="2632">
        <f>SUM(AJ15:AJ47)-SUM(AJ54:AJ85,AJ88:AJ121)</f>
        <v/>
      </c>
      <c r="AK50" s="2632">
        <f>SUM(AK15:AK47)-SUM(AK54:AK85,AK88:AK121)</f>
        <v/>
      </c>
      <c r="AL50" s="2632">
        <f>SUM(AL15:AL47)-SUM(AL54:AL85,AL88:AL121)</f>
        <v/>
      </c>
      <c r="AM50" s="2632">
        <f>SUM(AM15:AM47)-SUM(AM54:AM85,AM88:AM121)</f>
        <v/>
      </c>
      <c r="AN50" s="2632">
        <f>SUM(AN15:AN47)-SUM(AN54:AN85,AN88:AN121)</f>
        <v/>
      </c>
      <c r="AO50" s="2632">
        <f>SUM(AO15:AO47)-SUM(AO54:AO85,AO88:AO121)</f>
        <v/>
      </c>
      <c r="AP50" s="2632">
        <f>SUM(AP15:AP47)-SUM(AP54:AP85,AP88:AP121)</f>
        <v/>
      </c>
      <c r="AQ50" s="2632">
        <f>SUM(AQ15:AQ47)-SUM(AQ54:AQ85,AQ88:AQ121)</f>
        <v/>
      </c>
      <c r="AR50" s="2632">
        <f>SUM(AR15:AR47)-SUM(AR54:AR85,AR88:AR121)</f>
        <v/>
      </c>
      <c r="AS50" s="2627" t="n"/>
      <c r="AU50" s="2632">
        <f>SUM(AU15:AU47)-SUM(AU54:AU85,AU88:AU121)</f>
        <v/>
      </c>
      <c r="AV50" s="2632">
        <f>SUM(AV15:AV47)-SUM(AV54:AV85,AV88:AV121)</f>
        <v/>
      </c>
      <c r="AW50" s="2632">
        <f>SUM(AW15:AW47)-SUM(AW54:AW85,AW88:AW121)</f>
        <v/>
      </c>
      <c r="AX50" s="2632">
        <f>SUM(AX15:AX47)-SUM(AX54:AX85,AX88:AX121)</f>
        <v/>
      </c>
      <c r="AY50" s="2632">
        <f>SUM(AY15:AY47)-SUM(AY54:AY85,AY88:AY121)</f>
        <v/>
      </c>
      <c r="AZ50" s="2632">
        <f>SUM(AZ15:AZ47)-SUM(AZ54:AZ85,AZ88:AZ121)</f>
        <v/>
      </c>
      <c r="BA50" s="2632">
        <f>SUM(BA15:BA47)-SUM(BA54:BA85,BA88:BA121)</f>
        <v/>
      </c>
      <c r="BB50" s="2632">
        <f>SUM(BB15:BB47)-SUM(BB54:BB85,BB88:BB121)</f>
        <v/>
      </c>
      <c r="BC50" s="2632">
        <f>SUM(BC15:BC47)-SUM(BC54:BC85,BC88:BC121)</f>
        <v/>
      </c>
      <c r="BD50" s="2632">
        <f>SUM(BD15:BD47)-SUM(BD54:BD85,BD88:BD121)</f>
        <v/>
      </c>
      <c r="BE50" s="2632">
        <f>SUM(BE15:BE47)-SUM(BE54:BE85,BE88:BE121)</f>
        <v/>
      </c>
      <c r="BF50" s="2632">
        <f>SUM(BF15:BF47)-SUM(BF54:BF85,BF88:BF121)</f>
        <v/>
      </c>
      <c r="BG50" s="2627" t="n"/>
      <c r="BI50" s="2632">
        <f>SUM(BI15:BI47)-SUM(BI54:BI85,BI88:BI121)</f>
        <v/>
      </c>
      <c r="BJ50" s="2632">
        <f>SUM(BJ15:BJ47)-SUM(BJ54:BJ85,BJ88:BJ121)</f>
        <v/>
      </c>
      <c r="BK50" s="2632">
        <f>SUM(BK15:BK47)-SUM(BK54:BK85,BK88:BK121)</f>
        <v/>
      </c>
      <c r="BL50" s="2632">
        <f>SUM(BL15:BL47)-SUM(BL54:BL85,BL88:BL121)</f>
        <v/>
      </c>
      <c r="BM50" s="2632">
        <f>SUM(BM15:BM47)-SUM(BM54:BM85,BM88:BM121)</f>
        <v/>
      </c>
      <c r="BN50" s="2632">
        <f>SUM(BN15:BN47)-SUM(BN54:BN85,BN88:BN121)</f>
        <v/>
      </c>
      <c r="BO50" s="2632">
        <f>SUM(BO15:BO47)-SUM(BO54:BO85,BO88:BO121)</f>
        <v/>
      </c>
      <c r="BP50" s="2632">
        <f>SUM(BP15:BP47)-SUM(BP54:BP85,BP88:BP121)</f>
        <v/>
      </c>
      <c r="BQ50" s="2632">
        <f>SUM(BQ15:BQ47)-SUM(BQ54:BQ85,BQ88:BQ121)</f>
        <v/>
      </c>
      <c r="BR50" s="2632">
        <f>SUM(BR15:BR47)-SUM(BR54:BR85,BR88:BR121)</f>
        <v/>
      </c>
      <c r="BS50" s="2632">
        <f>SUM(BS15:BS47)-SUM(BS54:BS85,BS88:BS121)</f>
        <v/>
      </c>
      <c r="BT50" s="2632">
        <f>SUM(BT15:BT47)-SUM(BT54:BT85,BT88:BT121)</f>
        <v/>
      </c>
      <c r="BU50" s="2627" t="n"/>
    </row>
    <row r="51">
      <c r="A51" s="1436" t="n"/>
      <c r="B51" s="1468" t="inlineStr">
        <is>
          <t>검증</t>
        </is>
      </c>
      <c r="C51" s="1468" t="n"/>
      <c r="D51" s="2627" t="n"/>
      <c r="E51" s="2627" t="n"/>
      <c r="F51" s="2627" t="n"/>
      <c r="G51" s="2627" t="n"/>
      <c r="H51" s="2627" t="n"/>
      <c r="I51" s="2627" t="n"/>
      <c r="J51" s="2627" t="n"/>
      <c r="K51" s="2627" t="n"/>
      <c r="L51" s="2627" t="n"/>
      <c r="M51" s="2627" t="n"/>
      <c r="N51" s="2627" t="n"/>
      <c r="O51" s="2627" t="n"/>
      <c r="P51" s="2627" t="n"/>
      <c r="Q51" s="1466" t="n"/>
      <c r="R51" s="1436" t="n"/>
      <c r="S51" s="2632">
        <f>ROUND(S48-S122,0)</f>
        <v/>
      </c>
      <c r="T51" s="2632">
        <f>ROUND(T48-T122,0)</f>
        <v/>
      </c>
      <c r="U51" s="2632">
        <f>ROUND(U48-U122,0)</f>
        <v/>
      </c>
      <c r="V51" s="2632">
        <f>ROUND(V48-V122,0)</f>
        <v/>
      </c>
      <c r="W51" s="2632">
        <f>ROUND(W48-W122,0)</f>
        <v/>
      </c>
      <c r="X51" s="2632">
        <f>ROUND(X48-X122,0)</f>
        <v/>
      </c>
      <c r="Y51" s="2632">
        <f>ROUND(Y48-Y122,0)</f>
        <v/>
      </c>
      <c r="Z51" s="2632">
        <f>ROUND(Z48-Z122,0)</f>
        <v/>
      </c>
      <c r="AA51" s="2632">
        <f>ROUND(AA48-AA122,0)</f>
        <v/>
      </c>
      <c r="AB51" s="2632">
        <f>ROUND(AB48-AB122,0)</f>
        <v/>
      </c>
      <c r="AC51" s="2632">
        <f>ROUND(AC48-AC122,0)</f>
        <v/>
      </c>
      <c r="AD51" s="2632">
        <f>ROUND(AD48-AD122,0)</f>
        <v/>
      </c>
      <c r="AE51" s="2627" t="n"/>
      <c r="AF51" s="1466" t="n"/>
      <c r="AG51" s="2632">
        <f>ROUND(AG48-AG122,0)</f>
        <v/>
      </c>
      <c r="AH51" s="2632">
        <f>ROUND(AH48-AH122,0)</f>
        <v/>
      </c>
      <c r="AI51" s="2632">
        <f>ROUND(AI48-AI122,0)</f>
        <v/>
      </c>
      <c r="AJ51" s="2632">
        <f>ROUND(AJ48-AJ122,0)</f>
        <v/>
      </c>
      <c r="AK51" s="2632">
        <f>ROUND(AK48-AK122,0)</f>
        <v/>
      </c>
      <c r="AL51" s="2632">
        <f>ROUND(AL48-AL122,0)</f>
        <v/>
      </c>
      <c r="AM51" s="2632">
        <f>ROUND(AM48-AM122,0)</f>
        <v/>
      </c>
      <c r="AN51" s="2632">
        <f>ROUND(AN48-AN122,0)</f>
        <v/>
      </c>
      <c r="AO51" s="2632">
        <f>ROUND(AO48-AO122,0)</f>
        <v/>
      </c>
      <c r="AP51" s="2632">
        <f>ROUND(AP48-AP122,0)</f>
        <v/>
      </c>
      <c r="AQ51" s="2632">
        <f>ROUND(AQ48-AQ122,0)</f>
        <v/>
      </c>
      <c r="AR51" s="2632">
        <f>ROUND(AR48-AR122,0)</f>
        <v/>
      </c>
      <c r="AS51" s="2627" t="n"/>
      <c r="AU51" s="2632">
        <f>ROUND(AU48-AU122,0)</f>
        <v/>
      </c>
      <c r="AV51" s="2632">
        <f>ROUND(AV48-AV122,0)</f>
        <v/>
      </c>
      <c r="AW51" s="2632">
        <f>ROUND(AW48-AW122,0)</f>
        <v/>
      </c>
      <c r="AX51" s="2632">
        <f>ROUND(AX48-AX122,0)</f>
        <v/>
      </c>
      <c r="AY51" s="2632">
        <f>ROUND(AY48-AY122,0)</f>
        <v/>
      </c>
      <c r="AZ51" s="2632">
        <f>ROUND(AZ48-AZ122,0)</f>
        <v/>
      </c>
      <c r="BA51" s="2632">
        <f>ROUND(BA48-BA122,0)</f>
        <v/>
      </c>
      <c r="BB51" s="2632">
        <f>ROUND(BB48-BB122,0)</f>
        <v/>
      </c>
      <c r="BC51" s="2632">
        <f>ROUND(BC48-BC122,0)</f>
        <v/>
      </c>
      <c r="BD51" s="2632">
        <f>ROUND(BD48-BD122,0)</f>
        <v/>
      </c>
      <c r="BE51" s="2632">
        <f>ROUND(BE48-BE122,0)</f>
        <v/>
      </c>
      <c r="BF51" s="2632">
        <f>ROUND(BF48-BF122,0)</f>
        <v/>
      </c>
      <c r="BG51" s="2627" t="n"/>
      <c r="BI51" s="2632">
        <f>ROUND(BI48-BI122,0)</f>
        <v/>
      </c>
      <c r="BJ51" s="2632">
        <f>ROUND(BJ48-BJ122,0)</f>
        <v/>
      </c>
      <c r="BK51" s="2632">
        <f>ROUND(BK48-BK122,0)</f>
        <v/>
      </c>
      <c r="BL51" s="2632">
        <f>ROUND(BL48-BL122,0)</f>
        <v/>
      </c>
      <c r="BM51" s="2632">
        <f>ROUND(BM48-BM122,0)</f>
        <v/>
      </c>
      <c r="BN51" s="2632">
        <f>ROUND(BN48-BN122,0)</f>
        <v/>
      </c>
      <c r="BO51" s="2632">
        <f>ROUND(BO48-BO122,0)</f>
        <v/>
      </c>
      <c r="BP51" s="2632">
        <f>ROUND(BP48-BP122,0)</f>
        <v/>
      </c>
      <c r="BQ51" s="2632">
        <f>ROUND(BQ48-BQ122,0)</f>
        <v/>
      </c>
      <c r="BR51" s="2632">
        <f>ROUND(BR48-BR122,0)</f>
        <v/>
      </c>
      <c r="BS51" s="2632">
        <f>ROUND(BS48-BS122,0)</f>
        <v/>
      </c>
      <c r="BT51" s="2632">
        <f>ROUND(BT48-BT122,0)</f>
        <v/>
      </c>
      <c r="BU51" s="2627" t="n"/>
    </row>
    <row r="52">
      <c r="A52" s="1436" t="n"/>
      <c r="B52" s="1456" t="n"/>
      <c r="C52" s="1456" t="n"/>
      <c r="D52" s="2627" t="n"/>
      <c r="E52" s="2627" t="n"/>
      <c r="F52" s="2627" t="n"/>
      <c r="G52" s="2627" t="n"/>
      <c r="H52" s="2627" t="n"/>
      <c r="I52" s="2627" t="n"/>
      <c r="J52" s="2627" t="n"/>
      <c r="K52" s="2627" t="n"/>
      <c r="L52" s="2627" t="n"/>
      <c r="M52" s="2627" t="n"/>
      <c r="N52" s="2627" t="n"/>
      <c r="O52" s="2627" t="n"/>
      <c r="P52" s="2627" t="n"/>
      <c r="Q52" s="1464" t="n"/>
      <c r="R52" s="1436" t="n"/>
      <c r="S52" s="2627" t="n"/>
      <c r="T52" s="2627" t="n"/>
      <c r="U52" s="2627" t="n"/>
      <c r="V52" s="2627" t="n"/>
      <c r="W52" s="2627" t="n"/>
      <c r="X52" s="2627" t="n"/>
      <c r="Y52" s="2627" t="n"/>
      <c r="Z52" s="2627" t="n"/>
      <c r="AA52" s="2627" t="n"/>
      <c r="AB52" s="2627" t="n"/>
      <c r="AC52" s="2627" t="n"/>
      <c r="AD52" s="2627" t="n"/>
      <c r="AE52" s="2627" t="n"/>
      <c r="AF52" s="1464" t="n"/>
      <c r="AG52" s="2627" t="n"/>
      <c r="AH52" s="2627" t="n"/>
      <c r="AI52" s="2627" t="n"/>
      <c r="AJ52" s="2627" t="n"/>
      <c r="AK52" s="2627" t="n"/>
      <c r="AL52" s="2627" t="n"/>
      <c r="AM52" s="2627" t="n"/>
      <c r="AN52" s="2627" t="n"/>
      <c r="AO52" s="2627" t="n"/>
      <c r="AP52" s="2627" t="n"/>
      <c r="AQ52" s="2627" t="n"/>
      <c r="AR52" s="2627" t="n"/>
      <c r="AS52" s="2627" t="n"/>
      <c r="AU52" s="2627" t="n"/>
      <c r="AV52" s="2627" t="n"/>
      <c r="AW52" s="2627" t="n"/>
      <c r="AX52" s="2627" t="n"/>
      <c r="AY52" s="2627" t="n"/>
      <c r="AZ52" s="2627" t="n"/>
      <c r="BA52" s="2627" t="n"/>
      <c r="BB52" s="2627" t="n"/>
      <c r="BC52" s="2627" t="n"/>
      <c r="BD52" s="2627" t="n"/>
      <c r="BE52" s="2627" t="n"/>
      <c r="BF52" s="2627" t="n"/>
      <c r="BG52" s="2627" t="n"/>
      <c r="BI52" s="2627" t="n"/>
      <c r="BJ52" s="2627" t="n"/>
      <c r="BK52" s="2627" t="n"/>
      <c r="BL52" s="2627" t="n"/>
      <c r="BM52" s="2627" t="n"/>
      <c r="BN52" s="2627" t="n"/>
      <c r="BO52" s="2627" t="n"/>
      <c r="BP52" s="2627" t="n"/>
      <c r="BQ52" s="2627" t="n"/>
      <c r="BR52" s="2627" t="n"/>
      <c r="BS52" s="2627" t="n"/>
      <c r="BT52" s="2627" t="n"/>
      <c r="BU52" s="2627" t="n"/>
    </row>
    <row r="53">
      <c r="A53" s="1470" t="n"/>
      <c r="B53" s="1471" t="inlineStr">
        <is>
          <t>Ⅱ.매출원가</t>
        </is>
      </c>
      <c r="C53" s="1471" t="n"/>
      <c r="D53" s="2622">
        <f>SUM(D54:D84)</f>
        <v/>
      </c>
      <c r="E53" s="2622">
        <f>SUM(E54:E84)</f>
        <v/>
      </c>
      <c r="F53" s="2622">
        <f>SUM(F54:F84)</f>
        <v/>
      </c>
      <c r="G53" s="2622">
        <f>SUM(G54:G84)</f>
        <v/>
      </c>
      <c r="H53" s="2622">
        <f>SUM(H54:H84)</f>
        <v/>
      </c>
      <c r="I53" s="2622">
        <f>SUM(I54:I84)</f>
        <v/>
      </c>
      <c r="J53" s="2622">
        <f>SUM(J54:J84)</f>
        <v/>
      </c>
      <c r="K53" s="2622">
        <f>SUM(K54:K84)</f>
        <v/>
      </c>
      <c r="L53" s="2622">
        <f>SUM(L54:L84)</f>
        <v/>
      </c>
      <c r="M53" s="2622">
        <f>SUM(M54:M84)</f>
        <v/>
      </c>
      <c r="N53" s="2622">
        <f>SUM(N54:N84)</f>
        <v/>
      </c>
      <c r="O53" s="2622">
        <f>SUM(O54:O84)</f>
        <v/>
      </c>
      <c r="P53" s="2623">
        <f>SUM(D53:O53)</f>
        <v/>
      </c>
      <c r="Q53" s="1436" t="n"/>
      <c r="R53" s="1436" t="n"/>
      <c r="S53" s="2622">
        <f>SUM(S54:S85)</f>
        <v/>
      </c>
      <c r="T53" s="2622">
        <f>SUM(T54:T85)</f>
        <v/>
      </c>
      <c r="U53" s="2622">
        <f>SUM(U54:U85)</f>
        <v/>
      </c>
      <c r="V53" s="2622">
        <f>SUM(V54:V85)</f>
        <v/>
      </c>
      <c r="W53" s="2622">
        <f>SUM(W54:W85)</f>
        <v/>
      </c>
      <c r="X53" s="2622">
        <f>SUM(X54:X85)</f>
        <v/>
      </c>
      <c r="Y53" s="2622">
        <f>SUM(Y54:Y85)</f>
        <v/>
      </c>
      <c r="Z53" s="2622">
        <f>SUM(Z54:Z85)</f>
        <v/>
      </c>
      <c r="AA53" s="2622">
        <f>SUM(AA54:AA85)</f>
        <v/>
      </c>
      <c r="AB53" s="2622">
        <f>SUM(AB54:AB85)</f>
        <v/>
      </c>
      <c r="AC53" s="2622">
        <f>SUM(AC54:AC85)</f>
        <v/>
      </c>
      <c r="AD53" s="2622">
        <f>SUM(AD54:AD85)</f>
        <v/>
      </c>
      <c r="AE53" s="2623">
        <f>SUM(S53:AD53)</f>
        <v/>
      </c>
      <c r="AF53" s="1436" t="n"/>
      <c r="AG53" s="2622">
        <f>SUM(AG54:AG85)</f>
        <v/>
      </c>
      <c r="AH53" s="2622">
        <f>SUM(AH54:AH85)</f>
        <v/>
      </c>
      <c r="AI53" s="2622">
        <f>SUM(AI54:AI85)</f>
        <v/>
      </c>
      <c r="AJ53" s="2622">
        <f>SUM(AJ54:AJ85)</f>
        <v/>
      </c>
      <c r="AK53" s="2622">
        <f>SUM(AK54:AK85)</f>
        <v/>
      </c>
      <c r="AL53" s="2622">
        <f>SUM(AL54:AL85)</f>
        <v/>
      </c>
      <c r="AM53" s="2622">
        <f>SUM(AM54:AM85)</f>
        <v/>
      </c>
      <c r="AN53" s="2622">
        <f>SUM(AN54:AN85)</f>
        <v/>
      </c>
      <c r="AO53" s="2622">
        <f>SUM(AO54:AO85)</f>
        <v/>
      </c>
      <c r="AP53" s="2622">
        <f>SUM(AP54:AP85)</f>
        <v/>
      </c>
      <c r="AQ53" s="2622">
        <f>SUM(AQ54:AQ85)</f>
        <v/>
      </c>
      <c r="AR53" s="2622">
        <f>SUM(AR54:AR85)</f>
        <v/>
      </c>
      <c r="AS53" s="2623">
        <f>SUM(AG53:AR53)</f>
        <v/>
      </c>
      <c r="AU53" s="2622">
        <f>SUM(AU54:AU85)</f>
        <v/>
      </c>
      <c r="AV53" s="2622">
        <f>SUM(AV54:AV85)</f>
        <v/>
      </c>
      <c r="AW53" s="2622">
        <f>SUM(AW54:AW85)</f>
        <v/>
      </c>
      <c r="AX53" s="2622">
        <f>SUM(AX54:AX85)</f>
        <v/>
      </c>
      <c r="AY53" s="2622">
        <f>SUM(AY54:AY85)</f>
        <v/>
      </c>
      <c r="AZ53" s="2622">
        <f>SUM(AZ54:AZ85)</f>
        <v/>
      </c>
      <c r="BA53" s="2622">
        <f>SUM(BA54:BA85)</f>
        <v/>
      </c>
      <c r="BB53" s="2622">
        <f>SUM(BB54:BB85)</f>
        <v/>
      </c>
      <c r="BC53" s="2622">
        <f>SUM(BC54:BC85)</f>
        <v/>
      </c>
      <c r="BD53" s="2622">
        <f>SUM(BD54:BD85)</f>
        <v/>
      </c>
      <c r="BE53" s="2622">
        <f>SUM(BE54:BE85)</f>
        <v/>
      </c>
      <c r="BF53" s="2622">
        <f>SUM(BF54:BF85)</f>
        <v/>
      </c>
      <c r="BG53" s="2624">
        <f>SUM(AU53:BF53)</f>
        <v/>
      </c>
      <c r="BI53" s="2622">
        <f>SUM(BI54:BI85)</f>
        <v/>
      </c>
      <c r="BJ53" s="2622">
        <f>SUM(BJ54:BJ85)</f>
        <v/>
      </c>
      <c r="BK53" s="2622">
        <f>SUM(BK54:BK85)</f>
        <v/>
      </c>
      <c r="BL53" s="2622">
        <f>SUM(BL54:BL85)</f>
        <v/>
      </c>
      <c r="BM53" s="2622">
        <f>SUM(BM54:BM85)</f>
        <v/>
      </c>
      <c r="BN53" s="2622">
        <f>SUM(BN54:BN85)</f>
        <v/>
      </c>
      <c r="BO53" s="2622">
        <f>SUM(BO54:BO85)</f>
        <v/>
      </c>
      <c r="BP53" s="2622">
        <f>SUM(BP54:BP85)</f>
        <v/>
      </c>
      <c r="BQ53" s="2622">
        <f>SUM(BQ54:BQ85)</f>
        <v/>
      </c>
      <c r="BR53" s="2622">
        <f>SUM(BR54:BR85)</f>
        <v/>
      </c>
      <c r="BS53" s="2622">
        <f>SUM(BS54:BS85)</f>
        <v/>
      </c>
      <c r="BT53" s="2622">
        <f>SUM(BT54:BT85)</f>
        <v/>
      </c>
      <c r="BU53" s="2624">
        <f>SUM(BI53:BT53)</f>
        <v/>
      </c>
    </row>
    <row r="54" outlineLevel="1">
      <c r="A54" s="1470" t="n"/>
      <c r="B54" s="1456" t="inlineStr">
        <is>
          <t>급여</t>
        </is>
      </c>
      <c r="C54" s="1456" t="inlineStr">
        <is>
          <t>인건비 등</t>
        </is>
      </c>
      <c r="D54" s="2625" t="n"/>
      <c r="E54" s="2625" t="n"/>
      <c r="F54" s="2625" t="n"/>
      <c r="G54" s="2625" t="n">
        <v>214586220</v>
      </c>
      <c r="H54" s="2625" t="n">
        <v>302204590</v>
      </c>
      <c r="I54" s="2625" t="n">
        <v>323786520</v>
      </c>
      <c r="J54" s="2625" t="n">
        <v>367899980</v>
      </c>
      <c r="K54" s="2625" t="n">
        <v>423904370</v>
      </c>
      <c r="L54" s="2625" t="n">
        <v>505177050</v>
      </c>
      <c r="M54" s="2625" t="n">
        <v>512849850</v>
      </c>
      <c r="N54" s="2625" t="n">
        <v>638135820</v>
      </c>
      <c r="O54" s="2625" t="n">
        <v>865093415</v>
      </c>
      <c r="P54" s="2626">
        <f>SUM(D54:O54)</f>
        <v/>
      </c>
      <c r="Q54" s="1464" t="inlineStr">
        <is>
          <t>인원계획 조정(11월까지 매월 10명 증가 가정)</t>
        </is>
      </c>
      <c r="R54" s="1436" t="n"/>
      <c r="S54" s="2625" t="n">
        <v>713344221</v>
      </c>
      <c r="T54" s="2625" t="n">
        <v>741941091</v>
      </c>
      <c r="U54" s="2625" t="n">
        <v>761886764</v>
      </c>
      <c r="V54" s="2625" t="n">
        <v>782590991</v>
      </c>
      <c r="W54" s="2633" t="n"/>
      <c r="X54" s="2633" t="n"/>
      <c r="Y54" s="2633" t="n"/>
      <c r="Z54" s="2633" t="n"/>
      <c r="AA54" s="2633" t="n"/>
      <c r="AB54" s="2633" t="n"/>
      <c r="AC54" s="2633" t="n"/>
      <c r="AD54" s="2633" t="n"/>
      <c r="AE54" s="2626">
        <f>SUM(S54:AD54)</f>
        <v/>
      </c>
      <c r="AF54" s="1464" t="inlineStr">
        <is>
          <t>3명 퇴사 반영</t>
        </is>
      </c>
      <c r="AG54" s="2633" t="n"/>
      <c r="AH54" s="2633" t="n"/>
      <c r="AI54" s="2633" t="n">
        <v>0</v>
      </c>
      <c r="AJ54" s="2633" t="n">
        <v>0</v>
      </c>
      <c r="AK54" s="2633" t="n">
        <v>0</v>
      </c>
      <c r="AL54" s="2633" t="n">
        <v>0</v>
      </c>
      <c r="AM54" s="2633" t="n"/>
      <c r="AN54" s="2633" t="n"/>
      <c r="AO54" s="2633" t="n"/>
      <c r="AP54" s="2633" t="n"/>
      <c r="AQ54" s="2633" t="n"/>
      <c r="AR54" s="2633" t="n"/>
      <c r="AS54" s="2626">
        <f>SUM(AG54:AR54)</f>
        <v/>
      </c>
      <c r="AU54" s="2633" t="n"/>
      <c r="AV54" s="2633" t="n"/>
      <c r="AW54" s="2633" t="n"/>
      <c r="AX54" s="2633" t="n"/>
      <c r="AY54" s="2633" t="n"/>
      <c r="AZ54" s="2633" t="n"/>
      <c r="BA54" s="2633" t="n"/>
      <c r="BB54" s="2633" t="n"/>
      <c r="BC54" s="2633" t="n"/>
      <c r="BD54" s="2633" t="n"/>
      <c r="BE54" s="2633" t="n"/>
      <c r="BF54" s="2627" t="n"/>
      <c r="BG54" s="2628">
        <f>SUM(AU54:BF54)</f>
        <v/>
      </c>
      <c r="BI54" s="2627" t="n"/>
      <c r="BJ54" s="2627" t="n"/>
      <c r="BK54" s="2627" t="n"/>
      <c r="BL54" s="2627" t="n"/>
      <c r="BM54" s="2627" t="n"/>
      <c r="BN54" s="2627" t="n"/>
      <c r="BO54" s="2627" t="n"/>
      <c r="BP54" s="2627" t="n"/>
      <c r="BQ54" s="2627" t="n"/>
      <c r="BR54" s="2627" t="n"/>
      <c r="BS54" s="2627" t="n"/>
      <c r="BT54" s="2627" t="n"/>
      <c r="BU54" s="2628">
        <f>SUM(BI54:BT54)</f>
        <v/>
      </c>
    </row>
    <row r="55" outlineLevel="1">
      <c r="A55" s="1470" t="n"/>
      <c r="B55" s="1456" t="inlineStr">
        <is>
          <t>상여</t>
        </is>
      </c>
      <c r="C55" s="1456" t="inlineStr">
        <is>
          <t>인건비 등</t>
        </is>
      </c>
      <c r="D55" s="2625" t="n"/>
      <c r="E55" s="2625" t="n"/>
      <c r="F55" s="2625" t="n"/>
      <c r="G55" s="2625" t="n"/>
      <c r="H55" s="2625" t="n">
        <v>0</v>
      </c>
      <c r="I55" s="2625" t="n">
        <v>0</v>
      </c>
      <c r="J55" s="2625" t="n">
        <v>0</v>
      </c>
      <c r="K55" s="2625" t="n">
        <v>0</v>
      </c>
      <c r="L55" s="2625" t="n">
        <v>0</v>
      </c>
      <c r="M55" s="2625" t="n">
        <v>0</v>
      </c>
      <c r="N55" s="2625" t="n">
        <v>0</v>
      </c>
      <c r="O55" s="2625" t="n">
        <v>0</v>
      </c>
      <c r="P55" s="2626">
        <f>SUM(D55:O55)</f>
        <v/>
      </c>
      <c r="Q55" s="1466" t="n"/>
      <c r="R55" s="1436" t="n"/>
      <c r="S55" s="2625" t="n">
        <v>0</v>
      </c>
      <c r="T55" s="2625" t="n">
        <v>0</v>
      </c>
      <c r="U55" s="2625" t="n">
        <v>0</v>
      </c>
      <c r="V55" s="2625" t="n">
        <v>0</v>
      </c>
      <c r="W55" s="2633" t="n"/>
      <c r="X55" s="2633" t="n"/>
      <c r="Y55" s="2633" t="n"/>
      <c r="Z55" s="2633" t="n"/>
      <c r="AA55" s="2633" t="n"/>
      <c r="AB55" s="2633" t="n"/>
      <c r="AC55" s="2633" t="n"/>
      <c r="AD55" s="2633" t="n"/>
      <c r="AE55" s="2626">
        <f>SUM(S55:AD55)</f>
        <v/>
      </c>
      <c r="AF55" s="1466" t="n"/>
      <c r="AG55" s="2633" t="n"/>
      <c r="AH55" s="2633" t="n"/>
      <c r="AI55" s="2633" t="n">
        <v>0</v>
      </c>
      <c r="AJ55" s="2633" t="n">
        <v>0</v>
      </c>
      <c r="AK55" s="2633" t="n">
        <v>0</v>
      </c>
      <c r="AL55" s="2633" t="n">
        <v>0</v>
      </c>
      <c r="AM55" s="2633" t="n"/>
      <c r="AN55" s="2633" t="n"/>
      <c r="AO55" s="2633" t="n"/>
      <c r="AP55" s="2633" t="n"/>
      <c r="AQ55" s="2633" t="n"/>
      <c r="AR55" s="2633" t="n"/>
      <c r="AS55" s="2626">
        <f>SUM(AG55:AR55)</f>
        <v/>
      </c>
      <c r="AU55" s="2633" t="n"/>
      <c r="AV55" s="2633" t="n"/>
      <c r="AW55" s="2633" t="n"/>
      <c r="AX55" s="2633" t="n"/>
      <c r="AY55" s="2633" t="n"/>
      <c r="AZ55" s="2633" t="n"/>
      <c r="BA55" s="2633" t="n"/>
      <c r="BB55" s="2633" t="n"/>
      <c r="BC55" s="2633" t="n"/>
      <c r="BD55" s="2633" t="n"/>
      <c r="BE55" s="2633" t="n"/>
      <c r="BF55" s="2627" t="n"/>
      <c r="BG55" s="2628">
        <f>SUM(AU55:BF55)</f>
        <v/>
      </c>
      <c r="BI55" s="2627" t="n"/>
      <c r="BJ55" s="2627" t="n"/>
      <c r="BK55" s="2627" t="n"/>
      <c r="BL55" s="2627" t="n"/>
      <c r="BM55" s="2627" t="n"/>
      <c r="BN55" s="2627" t="n"/>
      <c r="BO55" s="2627" t="n"/>
      <c r="BP55" s="2627" t="n"/>
      <c r="BQ55" s="2627" t="n"/>
      <c r="BR55" s="2627" t="n"/>
      <c r="BS55" s="2627" t="n"/>
      <c r="BT55" s="2627" t="n"/>
      <c r="BU55" s="2628">
        <f>SUM(BI55:BT55)</f>
        <v/>
      </c>
    </row>
    <row r="56" outlineLevel="1">
      <c r="A56" s="1470" t="n"/>
      <c r="B56" s="1456" t="inlineStr">
        <is>
          <t>퇴직급여</t>
        </is>
      </c>
      <c r="C56" s="1456" t="inlineStr">
        <is>
          <t>인건비 등</t>
        </is>
      </c>
      <c r="D56" s="2625" t="n"/>
      <c r="E56" s="2625" t="n"/>
      <c r="F56" s="2625" t="n"/>
      <c r="G56" s="2625" t="n">
        <v>9339680</v>
      </c>
      <c r="H56" s="2625" t="n">
        <v>17493400</v>
      </c>
      <c r="I56" s="2625" t="n">
        <v>17726530</v>
      </c>
      <c r="J56" s="2625" t="n">
        <v>11434728</v>
      </c>
      <c r="K56" s="2625" t="n">
        <v>26112050</v>
      </c>
      <c r="L56" s="2625" t="n">
        <v>17146350</v>
      </c>
      <c r="M56" s="2625" t="n">
        <v>25354180</v>
      </c>
      <c r="N56" s="2625" t="n">
        <v>22584420</v>
      </c>
      <c r="O56" s="2625" t="n">
        <v>41329390</v>
      </c>
      <c r="P56" s="2626">
        <f>SUM(D56:O56)</f>
        <v/>
      </c>
      <c r="Q56" s="1464" t="inlineStr">
        <is>
          <t>실적평균</t>
        </is>
      </c>
      <c r="R56" s="1436" t="n"/>
      <c r="S56" s="2625" t="n">
        <v>32707880</v>
      </c>
      <c r="T56" s="2625" t="n">
        <v>25184740</v>
      </c>
      <c r="U56" s="2625" t="n">
        <v>53542530</v>
      </c>
      <c r="V56" s="2625" t="n">
        <v>45781770</v>
      </c>
      <c r="W56" s="2633" t="n"/>
      <c r="X56" s="2633" t="n"/>
      <c r="Y56" s="2633" t="n"/>
      <c r="Z56" s="2633" t="n"/>
      <c r="AA56" s="2633" t="n"/>
      <c r="AB56" s="2633" t="n"/>
      <c r="AC56" s="2633" t="n"/>
      <c r="AD56" s="2633" t="n"/>
      <c r="AE56" s="2626">
        <f>SUM(S56:AD56)</f>
        <v/>
      </c>
      <c r="AF56" s="1464" t="inlineStr">
        <is>
          <t>약 3천만원 가정(전표 5천만원으로 이상하여 3천만원 가정)</t>
        </is>
      </c>
      <c r="AG56" s="2633" t="n"/>
      <c r="AH56" s="2633" t="n"/>
      <c r="AI56" s="2633" t="n">
        <v>0</v>
      </c>
      <c r="AJ56" s="2633" t="n">
        <v>0</v>
      </c>
      <c r="AK56" s="2633" t="n">
        <v>0</v>
      </c>
      <c r="AL56" s="2633" t="n">
        <v>0</v>
      </c>
      <c r="AM56" s="2633" t="n"/>
      <c r="AN56" s="2633" t="n"/>
      <c r="AO56" s="2633" t="n"/>
      <c r="AP56" s="2633" t="n"/>
      <c r="AQ56" s="2633" t="n"/>
      <c r="AR56" s="2633" t="n"/>
      <c r="AS56" s="2626">
        <f>SUM(AG56:AR56)</f>
        <v/>
      </c>
      <c r="AU56" s="2633" t="n"/>
      <c r="AV56" s="2633" t="n"/>
      <c r="AW56" s="2633" t="n"/>
      <c r="AX56" s="2633" t="n"/>
      <c r="AY56" s="2633" t="n"/>
      <c r="AZ56" s="2633" t="n"/>
      <c r="BA56" s="2633" t="n"/>
      <c r="BB56" s="2633" t="n"/>
      <c r="BC56" s="2633" t="n"/>
      <c r="BD56" s="2633" t="n"/>
      <c r="BE56" s="2633" t="n"/>
      <c r="BF56" s="2627" t="n"/>
      <c r="BG56" s="2628">
        <f>SUM(AU56:BF56)</f>
        <v/>
      </c>
      <c r="BI56" s="2627" t="n"/>
      <c r="BJ56" s="2627" t="n"/>
      <c r="BK56" s="2627" t="n"/>
      <c r="BL56" s="2627" t="n"/>
      <c r="BM56" s="2627" t="n"/>
      <c r="BN56" s="2627" t="n"/>
      <c r="BO56" s="2627" t="n"/>
      <c r="BP56" s="2627" t="n"/>
      <c r="BQ56" s="2627" t="n"/>
      <c r="BR56" s="2627" t="n"/>
      <c r="BS56" s="2627" t="n"/>
      <c r="BT56" s="2627" t="n"/>
      <c r="BU56" s="2628">
        <f>SUM(BI56:BT56)</f>
        <v/>
      </c>
    </row>
    <row r="57" outlineLevel="1">
      <c r="A57" s="1470" t="n"/>
      <c r="B57" s="1456" t="inlineStr">
        <is>
          <t>복리후생비</t>
        </is>
      </c>
      <c r="C57" s="1456" t="inlineStr">
        <is>
          <t>인건비 등</t>
        </is>
      </c>
      <c r="D57" s="2625" t="n"/>
      <c r="E57" s="2625" t="n"/>
      <c r="F57" s="2625" t="n"/>
      <c r="G57" s="2625" t="n">
        <v>28925444</v>
      </c>
      <c r="H57" s="2625" t="n">
        <v>51555305</v>
      </c>
      <c r="I57" s="2625" t="n">
        <v>23163199</v>
      </c>
      <c r="J57" s="2625" t="n">
        <v>52240047</v>
      </c>
      <c r="K57" s="2625" t="n">
        <v>49483708</v>
      </c>
      <c r="L57" s="2625" t="n">
        <v>56660626</v>
      </c>
      <c r="M57" s="2625" t="n">
        <v>64689068</v>
      </c>
      <c r="N57" s="2625" t="n">
        <v>77545784</v>
      </c>
      <c r="O57" s="2625" t="n">
        <v>86419442</v>
      </c>
      <c r="P57" s="2626">
        <f>SUM(D57:O57)</f>
        <v/>
      </c>
      <c r="Q57" s="1464" t="inlineStr">
        <is>
          <t>인원계획에 따라 +5% 반영</t>
        </is>
      </c>
      <c r="R57" s="1436" t="n"/>
      <c r="S57" s="2625" t="n">
        <v>82480608</v>
      </c>
      <c r="T57" s="2625" t="n">
        <v>126557687</v>
      </c>
      <c r="U57" s="2625" t="n">
        <v>115896775</v>
      </c>
      <c r="V57" s="2625" t="n">
        <v>150814836</v>
      </c>
      <c r="W57" s="2633" t="n"/>
      <c r="X57" s="2633" t="n"/>
      <c r="Y57" s="2633" t="n"/>
      <c r="Z57" s="2633" t="n"/>
      <c r="AA57" s="2633" t="n"/>
      <c r="AB57" s="2633" t="n"/>
      <c r="AC57" s="2633" t="n"/>
      <c r="AD57" s="2633" t="n"/>
      <c r="AE57" s="2626">
        <f>SUM(S57:AD57)</f>
        <v/>
      </c>
      <c r="AF57" s="1464" t="inlineStr">
        <is>
          <t>약 1억 가정(3월 실적 약 1억)</t>
        </is>
      </c>
      <c r="AG57" s="2633" t="n"/>
      <c r="AH57" s="2633" t="n"/>
      <c r="AI57" s="2633" t="n">
        <v>0</v>
      </c>
      <c r="AJ57" s="2633" t="n">
        <v>0</v>
      </c>
      <c r="AK57" s="2633" t="n">
        <v>0</v>
      </c>
      <c r="AL57" s="2633" t="n">
        <v>0</v>
      </c>
      <c r="AM57" s="2633" t="n"/>
      <c r="AN57" s="2633" t="n"/>
      <c r="AO57" s="2633" t="n"/>
      <c r="AP57" s="2633" t="n"/>
      <c r="AQ57" s="2633" t="n"/>
      <c r="AR57" s="2633" t="n"/>
      <c r="AS57" s="2626">
        <f>SUM(AG57:AR57)</f>
        <v/>
      </c>
      <c r="AU57" s="2633" t="n"/>
      <c r="AV57" s="2633" t="n"/>
      <c r="AW57" s="2633" t="n"/>
      <c r="AX57" s="2633" t="n"/>
      <c r="AY57" s="2633" t="n"/>
      <c r="AZ57" s="2633" t="n"/>
      <c r="BA57" s="2633" t="n"/>
      <c r="BB57" s="2633" t="n"/>
      <c r="BC57" s="2633" t="n"/>
      <c r="BD57" s="2633" t="n"/>
      <c r="BE57" s="2633" t="n"/>
      <c r="BF57" s="2627" t="n"/>
      <c r="BG57" s="2628">
        <f>SUM(AU57:BF57)</f>
        <v/>
      </c>
      <c r="BI57" s="2627" t="n"/>
      <c r="BJ57" s="2627" t="n"/>
      <c r="BK57" s="2627" t="n"/>
      <c r="BL57" s="2627" t="n"/>
      <c r="BM57" s="2627" t="n"/>
      <c r="BN57" s="2627" t="n"/>
      <c r="BO57" s="2627" t="n"/>
      <c r="BP57" s="2627" t="n"/>
      <c r="BQ57" s="2627" t="n"/>
      <c r="BR57" s="2627" t="n"/>
      <c r="BS57" s="2627" t="n"/>
      <c r="BT57" s="2627" t="n"/>
      <c r="BU57" s="2628">
        <f>SUM(BI57:BT57)</f>
        <v/>
      </c>
    </row>
    <row r="58" outlineLevel="1" customFormat="1" s="1498">
      <c r="A58" s="1494" t="n"/>
      <c r="B58" s="1495" t="inlineStr">
        <is>
          <t>감가상각비</t>
        </is>
      </c>
      <c r="C58" s="1495" t="inlineStr">
        <is>
          <t>기타</t>
        </is>
      </c>
      <c r="D58" s="2641" t="n"/>
      <c r="E58" s="2641" t="n"/>
      <c r="F58" s="2641" t="n"/>
      <c r="G58" s="2641" t="n"/>
      <c r="H58" s="2641" t="n">
        <v>7359114</v>
      </c>
      <c r="I58" s="2641" t="n">
        <v>22830345</v>
      </c>
      <c r="J58" s="2641" t="n">
        <v>17287302</v>
      </c>
      <c r="K58" s="2641" t="n">
        <v>5670801</v>
      </c>
      <c r="L58" s="2641" t="n">
        <v>5914284</v>
      </c>
      <c r="M58" s="2641" t="n">
        <v>4739400</v>
      </c>
      <c r="N58" s="2641" t="n">
        <v>4739400</v>
      </c>
      <c r="O58" s="2641" t="n">
        <v>4740057</v>
      </c>
      <c r="P58" s="2641">
        <f>SUM(D58:O58)</f>
        <v/>
      </c>
      <c r="Q58" s="1497" t="n"/>
      <c r="R58" s="1494" t="n"/>
      <c r="S58" s="2641" t="n">
        <v>4739400</v>
      </c>
      <c r="T58" s="2641" t="n">
        <v>4739400</v>
      </c>
      <c r="U58" s="2641" t="n">
        <v>4739400</v>
      </c>
      <c r="V58" s="2641" t="n">
        <v>4739400</v>
      </c>
      <c r="W58" s="2641" t="n"/>
      <c r="X58" s="2641" t="n"/>
      <c r="Y58" s="2641" t="n"/>
      <c r="Z58" s="2641" t="n"/>
      <c r="AA58" s="2641" t="n"/>
      <c r="AB58" s="2641" t="n"/>
      <c r="AC58" s="2641" t="n"/>
      <c r="AD58" s="2641" t="n"/>
      <c r="AE58" s="2641">
        <f>SUM(S58:AD58)</f>
        <v/>
      </c>
      <c r="AF58" s="1497" t="n"/>
      <c r="AG58" s="2641" t="n"/>
      <c r="AH58" s="2641" t="n"/>
      <c r="AI58" s="2641" t="n">
        <v>0</v>
      </c>
      <c r="AJ58" s="2641" t="n">
        <v>0</v>
      </c>
      <c r="AK58" s="2641" t="n">
        <v>0</v>
      </c>
      <c r="AL58" s="2641" t="n">
        <v>0</v>
      </c>
      <c r="AM58" s="2641" t="n"/>
      <c r="AN58" s="2641" t="n"/>
      <c r="AO58" s="2641" t="n"/>
      <c r="AP58" s="2641" t="n"/>
      <c r="AQ58" s="2641" t="n"/>
      <c r="AR58" s="2641" t="n"/>
      <c r="AS58" s="2641">
        <f>SUM(AG58:AR58)</f>
        <v/>
      </c>
      <c r="AU58" s="2641" t="n"/>
      <c r="AV58" s="2641" t="n"/>
      <c r="AW58" s="2641" t="n"/>
      <c r="AX58" s="2641" t="n"/>
      <c r="AY58" s="2641" t="n"/>
      <c r="AZ58" s="2641" t="n"/>
      <c r="BA58" s="2641" t="n"/>
      <c r="BB58" s="2641" t="n"/>
      <c r="BC58" s="2641" t="n"/>
      <c r="BD58" s="2641" t="n"/>
      <c r="BE58" s="2641" t="n"/>
      <c r="BF58" s="2641" t="n"/>
      <c r="BG58" s="2641">
        <f>SUM(AU58:BF58)</f>
        <v/>
      </c>
      <c r="BI58" s="2641" t="n"/>
      <c r="BJ58" s="2641" t="n"/>
      <c r="BK58" s="2641" t="n"/>
      <c r="BL58" s="2641" t="n"/>
      <c r="BM58" s="2641" t="n"/>
      <c r="BN58" s="2641" t="n"/>
      <c r="BO58" s="2641" t="n"/>
      <c r="BP58" s="2641" t="n"/>
      <c r="BQ58" s="2641" t="n"/>
      <c r="BR58" s="2641" t="n"/>
      <c r="BS58" s="2641" t="n"/>
      <c r="BT58" s="2641" t="n"/>
      <c r="BU58" s="2641">
        <f>SUM(BI58:BT58)</f>
        <v/>
      </c>
    </row>
    <row r="59" outlineLevel="1">
      <c r="A59" s="1470" t="n"/>
      <c r="B59" s="1456" t="inlineStr">
        <is>
          <t>여비교통비</t>
        </is>
      </c>
      <c r="C59" s="1456" t="inlineStr">
        <is>
          <t>인건비 등</t>
        </is>
      </c>
      <c r="D59" s="2625" t="n"/>
      <c r="E59" s="2625" t="n"/>
      <c r="F59" s="2625" t="n"/>
      <c r="G59" s="2625" t="n"/>
      <c r="H59" s="2625" t="n">
        <v>1309021</v>
      </c>
      <c r="I59" s="2625" t="n">
        <v>2591149</v>
      </c>
      <c r="J59" s="2625" t="n">
        <v>1685530</v>
      </c>
      <c r="K59" s="2625" t="n">
        <v>1072800</v>
      </c>
      <c r="L59" s="2625" t="n">
        <v>2799130</v>
      </c>
      <c r="M59" s="2625" t="n">
        <v>796500</v>
      </c>
      <c r="N59" s="2625" t="n">
        <v>1318060</v>
      </c>
      <c r="O59" s="2625" t="n">
        <v>1552060</v>
      </c>
      <c r="P59" s="2626">
        <f>SUM(D59:O59)</f>
        <v/>
      </c>
      <c r="Q59" s="1464" t="inlineStr">
        <is>
          <t>실적평균</t>
        </is>
      </c>
      <c r="R59" s="1436" t="n"/>
      <c r="S59" s="2625" t="n">
        <v>499900</v>
      </c>
      <c r="T59" s="2625" t="n">
        <v>988520</v>
      </c>
      <c r="U59" s="2625" t="n">
        <v>1287300</v>
      </c>
      <c r="V59" s="2625" t="n">
        <v>1091840</v>
      </c>
      <c r="W59" s="2633" t="n"/>
      <c r="X59" s="2633" t="n"/>
      <c r="Y59" s="2633" t="n"/>
      <c r="Z59" s="2633" t="n"/>
      <c r="AA59" s="2633" t="n"/>
      <c r="AB59" s="2633" t="n"/>
      <c r="AC59" s="2633" t="n"/>
      <c r="AD59" s="2633" t="n"/>
      <c r="AE59" s="2626">
        <f>SUM(S59:AD59)</f>
        <v/>
      </c>
      <c r="AF59" s="1464" t="n"/>
      <c r="AG59" s="2633" t="n"/>
      <c r="AH59" s="2633" t="n"/>
      <c r="AI59" s="2633" t="n">
        <v>0</v>
      </c>
      <c r="AJ59" s="2633" t="n">
        <v>0</v>
      </c>
      <c r="AK59" s="2633" t="n">
        <v>0</v>
      </c>
      <c r="AL59" s="2633" t="n">
        <v>0</v>
      </c>
      <c r="AM59" s="2633" t="n"/>
      <c r="AN59" s="2633" t="n"/>
      <c r="AO59" s="2633" t="n"/>
      <c r="AP59" s="2633" t="n"/>
      <c r="AQ59" s="2633" t="n"/>
      <c r="AR59" s="2633" t="n"/>
      <c r="AS59" s="2626">
        <f>SUM(AG59:AR59)</f>
        <v/>
      </c>
      <c r="AU59" s="2633" t="n"/>
      <c r="AV59" s="2633" t="n"/>
      <c r="AW59" s="2633" t="n"/>
      <c r="AX59" s="2633" t="n"/>
      <c r="AY59" s="2633" t="n"/>
      <c r="AZ59" s="2633" t="n"/>
      <c r="BA59" s="2633" t="n"/>
      <c r="BB59" s="2633" t="n"/>
      <c r="BC59" s="2633" t="n"/>
      <c r="BD59" s="2633" t="n"/>
      <c r="BE59" s="2633" t="n"/>
      <c r="BF59" s="2627" t="n"/>
      <c r="BG59" s="2628">
        <f>SUM(AU59:BF59)</f>
        <v/>
      </c>
      <c r="BI59" s="2627" t="n"/>
      <c r="BJ59" s="2627" t="n"/>
      <c r="BK59" s="2627" t="n"/>
      <c r="BL59" s="2627" t="n"/>
      <c r="BM59" s="2627" t="n"/>
      <c r="BN59" s="2627" t="n"/>
      <c r="BO59" s="2627" t="n"/>
      <c r="BP59" s="2627" t="n"/>
      <c r="BQ59" s="2627" t="n"/>
      <c r="BR59" s="2627" t="n"/>
      <c r="BS59" s="2627" t="n"/>
      <c r="BT59" s="2627" t="n"/>
      <c r="BU59" s="2628">
        <f>SUM(BI59:BT59)</f>
        <v/>
      </c>
    </row>
    <row r="60" outlineLevel="1">
      <c r="A60" s="1470" t="n"/>
      <c r="B60" s="1456" t="inlineStr">
        <is>
          <t>접대비</t>
        </is>
      </c>
      <c r="C60" s="1456" t="inlineStr">
        <is>
          <t>기타</t>
        </is>
      </c>
      <c r="D60" s="2625" t="n"/>
      <c r="E60" s="2625" t="n"/>
      <c r="F60" s="2625" t="n"/>
      <c r="G60" s="2625" t="n"/>
      <c r="H60" s="2625" t="n">
        <v>0</v>
      </c>
      <c r="I60" s="2625" t="n">
        <v>0</v>
      </c>
      <c r="J60" s="2625" t="n">
        <v>0</v>
      </c>
      <c r="K60" s="2625" t="n">
        <v>0</v>
      </c>
      <c r="L60" s="2625" t="n">
        <v>0</v>
      </c>
      <c r="M60" s="2625" t="n">
        <v>0</v>
      </c>
      <c r="N60" s="2625" t="n">
        <v>0</v>
      </c>
      <c r="O60" s="2625" t="n">
        <v>0</v>
      </c>
      <c r="P60" s="2626">
        <f>SUM(D60:O60)</f>
        <v/>
      </c>
      <c r="Q60" s="1466" t="n"/>
      <c r="R60" s="1436" t="n"/>
      <c r="S60" s="2625" t="n">
        <v>0</v>
      </c>
      <c r="T60" s="2625" t="n">
        <v>0</v>
      </c>
      <c r="U60" s="2625" t="n">
        <v>0</v>
      </c>
      <c r="V60" s="2625" t="n">
        <v>0</v>
      </c>
      <c r="W60" s="2633" t="n"/>
      <c r="X60" s="2633" t="n"/>
      <c r="Y60" s="2633" t="n"/>
      <c r="Z60" s="2633" t="n"/>
      <c r="AA60" s="2633" t="n"/>
      <c r="AB60" s="2633" t="n"/>
      <c r="AC60" s="2633" t="n"/>
      <c r="AD60" s="2633" t="n"/>
      <c r="AE60" s="2626">
        <f>SUM(S60:AD60)</f>
        <v/>
      </c>
      <c r="AF60" s="1466" t="n"/>
      <c r="AG60" s="2633" t="n"/>
      <c r="AH60" s="2633" t="n"/>
      <c r="AI60" s="2633" t="n">
        <v>0</v>
      </c>
      <c r="AJ60" s="2633" t="n">
        <v>0</v>
      </c>
      <c r="AK60" s="2633" t="n">
        <v>0</v>
      </c>
      <c r="AL60" s="2633" t="n">
        <v>0</v>
      </c>
      <c r="AM60" s="2633" t="n"/>
      <c r="AN60" s="2633" t="n"/>
      <c r="AO60" s="2633" t="n"/>
      <c r="AP60" s="2633" t="n"/>
      <c r="AQ60" s="2633" t="n"/>
      <c r="AR60" s="2633" t="n"/>
      <c r="AS60" s="2626">
        <f>SUM(AG60:AR60)</f>
        <v/>
      </c>
      <c r="AU60" s="2633" t="n"/>
      <c r="AV60" s="2633" t="n"/>
      <c r="AW60" s="2633" t="n"/>
      <c r="AX60" s="2633" t="n"/>
      <c r="AY60" s="2633" t="n"/>
      <c r="AZ60" s="2633" t="n"/>
      <c r="BA60" s="2633" t="n"/>
      <c r="BB60" s="2633" t="n"/>
      <c r="BC60" s="2633" t="n"/>
      <c r="BD60" s="2633" t="n"/>
      <c r="BE60" s="2633" t="n"/>
      <c r="BF60" s="2627" t="n"/>
      <c r="BG60" s="2628">
        <f>SUM(AU60:BF60)</f>
        <v/>
      </c>
      <c r="BI60" s="2627" t="n"/>
      <c r="BJ60" s="2627" t="n"/>
      <c r="BK60" s="2627" t="n"/>
      <c r="BL60" s="2627" t="n"/>
      <c r="BM60" s="2627" t="n"/>
      <c r="BN60" s="2627" t="n"/>
      <c r="BO60" s="2627" t="n"/>
      <c r="BP60" s="2627" t="n"/>
      <c r="BQ60" s="2627" t="n"/>
      <c r="BR60" s="2627" t="n"/>
      <c r="BS60" s="2627" t="n"/>
      <c r="BT60" s="2627" t="n"/>
      <c r="BU60" s="2628">
        <f>SUM(BI60:BT60)</f>
        <v/>
      </c>
    </row>
    <row r="61" outlineLevel="1">
      <c r="A61" s="1470" t="n"/>
      <c r="B61" s="1456" t="inlineStr">
        <is>
          <t>통신비</t>
        </is>
      </c>
      <c r="C61" s="1456" t="inlineStr">
        <is>
          <t>기타</t>
        </is>
      </c>
      <c r="D61" s="2625" t="n"/>
      <c r="E61" s="2625" t="n"/>
      <c r="F61" s="2625" t="n"/>
      <c r="G61" s="2625" t="n"/>
      <c r="H61" s="2625" t="n">
        <v>100000</v>
      </c>
      <c r="I61" s="2625" t="n">
        <v>100000</v>
      </c>
      <c r="J61" s="2625" t="n">
        <v>100000</v>
      </c>
      <c r="K61" s="2625" t="n">
        <v>100000</v>
      </c>
      <c r="L61" s="2625" t="n">
        <v>135000</v>
      </c>
      <c r="M61" s="2625" t="n">
        <v>0</v>
      </c>
      <c r="N61" s="2625" t="n">
        <v>0</v>
      </c>
      <c r="O61" s="2625" t="n">
        <v>66800</v>
      </c>
      <c r="P61" s="2626">
        <f>SUM(D61:O61)</f>
        <v/>
      </c>
      <c r="Q61" s="1467" t="n"/>
      <c r="R61" s="1436" t="n"/>
      <c r="S61" s="2625" t="n">
        <v>0</v>
      </c>
      <c r="T61" s="2625" t="n">
        <v>0</v>
      </c>
      <c r="U61" s="2625" t="n">
        <v>0</v>
      </c>
      <c r="V61" s="2625" t="n">
        <v>0</v>
      </c>
      <c r="W61" s="2633" t="n"/>
      <c r="X61" s="2633" t="n"/>
      <c r="Y61" s="2633" t="n"/>
      <c r="Z61" s="2633" t="n"/>
      <c r="AA61" s="2633" t="n"/>
      <c r="AB61" s="2633" t="n"/>
      <c r="AC61" s="2633" t="n"/>
      <c r="AD61" s="2633" t="n"/>
      <c r="AE61" s="2626">
        <f>SUM(S61:AD61)</f>
        <v/>
      </c>
      <c r="AF61" s="1467" t="n"/>
      <c r="AG61" s="2633" t="n"/>
      <c r="AH61" s="2633" t="n"/>
      <c r="AI61" s="2633" t="n">
        <v>0</v>
      </c>
      <c r="AJ61" s="2633" t="n">
        <v>0</v>
      </c>
      <c r="AK61" s="2633" t="n">
        <v>0</v>
      </c>
      <c r="AL61" s="2633" t="n">
        <v>0</v>
      </c>
      <c r="AM61" s="2633" t="n"/>
      <c r="AN61" s="2633" t="n"/>
      <c r="AO61" s="2633" t="n"/>
      <c r="AP61" s="2633" t="n"/>
      <c r="AQ61" s="2633" t="n"/>
      <c r="AR61" s="2633" t="n"/>
      <c r="AS61" s="2626">
        <f>SUM(AG61:AR61)</f>
        <v/>
      </c>
      <c r="AU61" s="2633" t="n"/>
      <c r="AV61" s="2633" t="n"/>
      <c r="AW61" s="2633" t="n"/>
      <c r="AX61" s="2633" t="n"/>
      <c r="AY61" s="2633" t="n"/>
      <c r="AZ61" s="2633" t="n"/>
      <c r="BA61" s="2633" t="n"/>
      <c r="BB61" s="2633" t="n"/>
      <c r="BC61" s="2633" t="n"/>
      <c r="BD61" s="2633" t="n"/>
      <c r="BE61" s="2633" t="n"/>
      <c r="BF61" s="2627" t="n"/>
      <c r="BG61" s="2628">
        <f>SUM(AU61:BF61)</f>
        <v/>
      </c>
      <c r="BI61" s="2627" t="n"/>
      <c r="BJ61" s="2627" t="n"/>
      <c r="BK61" s="2627" t="n"/>
      <c r="BL61" s="2627" t="n"/>
      <c r="BM61" s="2627" t="n"/>
      <c r="BN61" s="2627" t="n"/>
      <c r="BO61" s="2627" t="n"/>
      <c r="BP61" s="2627" t="n"/>
      <c r="BQ61" s="2627" t="n"/>
      <c r="BR61" s="2627" t="n"/>
      <c r="BS61" s="2627" t="n"/>
      <c r="BT61" s="2627" t="n"/>
      <c r="BU61" s="2628">
        <f>SUM(BI61:BT61)</f>
        <v/>
      </c>
    </row>
    <row r="62" outlineLevel="1">
      <c r="A62" s="1470" t="n"/>
      <c r="B62" s="1456" t="inlineStr">
        <is>
          <t>수도광열비</t>
        </is>
      </c>
      <c r="C62" s="1456" t="inlineStr">
        <is>
          <t>기타</t>
        </is>
      </c>
      <c r="D62" s="2625" t="n"/>
      <c r="E62" s="2625" t="n"/>
      <c r="F62" s="2625" t="n"/>
      <c r="G62" s="2625" t="n"/>
      <c r="H62" s="2625" t="n">
        <v>0</v>
      </c>
      <c r="I62" s="2625" t="n">
        <v>0</v>
      </c>
      <c r="J62" s="2625" t="n">
        <v>0</v>
      </c>
      <c r="K62" s="2625" t="n">
        <v>0</v>
      </c>
      <c r="L62" s="2625" t="n">
        <v>0</v>
      </c>
      <c r="M62" s="2625" t="n">
        <v>0</v>
      </c>
      <c r="N62" s="2625" t="n">
        <v>0</v>
      </c>
      <c r="O62" s="2625" t="n">
        <v>0</v>
      </c>
      <c r="P62" s="2626">
        <f>SUM(D62:O62)</f>
        <v/>
      </c>
      <c r="Q62" s="1466" t="n"/>
      <c r="R62" s="1436" t="n"/>
      <c r="S62" s="2625" t="n">
        <v>0</v>
      </c>
      <c r="T62" s="2625" t="n">
        <v>0</v>
      </c>
      <c r="U62" s="2625" t="n">
        <v>0</v>
      </c>
      <c r="V62" s="2625" t="n">
        <v>0</v>
      </c>
      <c r="W62" s="2633" t="n"/>
      <c r="X62" s="2633" t="n"/>
      <c r="Y62" s="2633" t="n"/>
      <c r="Z62" s="2633" t="n"/>
      <c r="AA62" s="2633" t="n"/>
      <c r="AB62" s="2633" t="n"/>
      <c r="AC62" s="2633" t="n"/>
      <c r="AD62" s="2633" t="n"/>
      <c r="AE62" s="2626">
        <f>SUM(S62:AD62)</f>
        <v/>
      </c>
      <c r="AF62" s="1466" t="n"/>
      <c r="AG62" s="2633" t="n"/>
      <c r="AH62" s="2633" t="n"/>
      <c r="AI62" s="2633" t="n">
        <v>0</v>
      </c>
      <c r="AJ62" s="2633" t="n">
        <v>0</v>
      </c>
      <c r="AK62" s="2633" t="n">
        <v>0</v>
      </c>
      <c r="AL62" s="2633" t="n">
        <v>0</v>
      </c>
      <c r="AM62" s="2633" t="n"/>
      <c r="AN62" s="2633" t="n"/>
      <c r="AO62" s="2633" t="n"/>
      <c r="AP62" s="2633" t="n"/>
      <c r="AQ62" s="2633" t="n"/>
      <c r="AR62" s="2633" t="n"/>
      <c r="AS62" s="2626">
        <f>SUM(AG62:AR62)</f>
        <v/>
      </c>
      <c r="AU62" s="2633" t="n"/>
      <c r="AV62" s="2633" t="n"/>
      <c r="AW62" s="2633" t="n"/>
      <c r="AX62" s="2633" t="n"/>
      <c r="AY62" s="2633" t="n"/>
      <c r="AZ62" s="2633" t="n"/>
      <c r="BA62" s="2633" t="n"/>
      <c r="BB62" s="2633" t="n"/>
      <c r="BC62" s="2633" t="n"/>
      <c r="BD62" s="2633" t="n"/>
      <c r="BE62" s="2633" t="n"/>
      <c r="BF62" s="2627" t="n"/>
      <c r="BG62" s="2628">
        <f>SUM(AU62:BF62)</f>
        <v/>
      </c>
      <c r="BI62" s="2627" t="n"/>
      <c r="BJ62" s="2627" t="n"/>
      <c r="BK62" s="2627" t="n"/>
      <c r="BL62" s="2627" t="n"/>
      <c r="BM62" s="2627" t="n"/>
      <c r="BN62" s="2627" t="n"/>
      <c r="BO62" s="2627" t="n"/>
      <c r="BP62" s="2627" t="n"/>
      <c r="BQ62" s="2627" t="n"/>
      <c r="BR62" s="2627" t="n"/>
      <c r="BS62" s="2627" t="n"/>
      <c r="BT62" s="2627" t="n"/>
      <c r="BU62" s="2628">
        <f>SUM(BI62:BT62)</f>
        <v/>
      </c>
    </row>
    <row r="63" outlineLevel="1">
      <c r="A63" s="1470" t="n"/>
      <c r="B63" s="1456" t="inlineStr">
        <is>
          <t>세금과공과금</t>
        </is>
      </c>
      <c r="C63" s="1456" t="inlineStr">
        <is>
          <t>기타</t>
        </is>
      </c>
      <c r="D63" s="2625" t="n"/>
      <c r="E63" s="2625" t="n"/>
      <c r="F63" s="2625" t="n"/>
      <c r="G63" s="2625" t="n">
        <v>1429130</v>
      </c>
      <c r="H63" s="2625" t="n">
        <v>1893180</v>
      </c>
      <c r="I63" s="2625" t="n">
        <v>1963170</v>
      </c>
      <c r="J63" s="2625" t="n">
        <v>2308070</v>
      </c>
      <c r="K63" s="2625" t="n">
        <v>2627130</v>
      </c>
      <c r="L63" s="2625" t="n">
        <v>3086260</v>
      </c>
      <c r="M63" s="2625" t="n">
        <v>3197360</v>
      </c>
      <c r="N63" s="2625" t="n">
        <v>3908880</v>
      </c>
      <c r="O63" s="2625" t="n">
        <v>3927770</v>
      </c>
      <c r="P63" s="2626">
        <f>SUM(D63:O63)</f>
        <v/>
      </c>
      <c r="Q63" s="1466" t="inlineStr">
        <is>
          <t>전월기준</t>
        </is>
      </c>
      <c r="R63" s="1436" t="n"/>
      <c r="S63" s="2625" t="n">
        <v>3996940</v>
      </c>
      <c r="T63" s="2625" t="n">
        <v>4163220</v>
      </c>
      <c r="U63" s="2625" t="n">
        <v>4354840</v>
      </c>
      <c r="V63" s="2625" t="n">
        <v>4509790</v>
      </c>
      <c r="W63" s="2633" t="n"/>
      <c r="X63" s="2633" t="n"/>
      <c r="Y63" s="2633" t="n"/>
      <c r="Z63" s="2633" t="n"/>
      <c r="AA63" s="2633" t="n"/>
      <c r="AB63" s="2633" t="n"/>
      <c r="AC63" s="2633" t="n"/>
      <c r="AD63" s="2633" t="n"/>
      <c r="AE63" s="2626">
        <f>SUM(S63:AD63)</f>
        <v/>
      </c>
      <c r="AF63" s="1464" t="inlineStr">
        <is>
          <t>23년 2개월 평균</t>
        </is>
      </c>
      <c r="AG63" s="2633" t="n"/>
      <c r="AH63" s="2633" t="n"/>
      <c r="AI63" s="2633" t="n">
        <v>0</v>
      </c>
      <c r="AJ63" s="2633" t="n">
        <v>0</v>
      </c>
      <c r="AK63" s="2633" t="n">
        <v>0</v>
      </c>
      <c r="AL63" s="2633" t="n">
        <v>0</v>
      </c>
      <c r="AM63" s="2633" t="n"/>
      <c r="AN63" s="2633" t="n"/>
      <c r="AO63" s="2633" t="n"/>
      <c r="AP63" s="2633" t="n"/>
      <c r="AQ63" s="2633" t="n"/>
      <c r="AR63" s="2633" t="n"/>
      <c r="AS63" s="2626">
        <f>SUM(AG63:AR63)</f>
        <v/>
      </c>
      <c r="AU63" s="2633" t="n"/>
      <c r="AV63" s="2633" t="n"/>
      <c r="AW63" s="2633" t="n"/>
      <c r="AX63" s="2633" t="n"/>
      <c r="AY63" s="2633" t="n"/>
      <c r="AZ63" s="2633" t="n"/>
      <c r="BA63" s="2633" t="n"/>
      <c r="BB63" s="2633" t="n"/>
      <c r="BC63" s="2633" t="n"/>
      <c r="BD63" s="2633" t="n"/>
      <c r="BE63" s="2633" t="n"/>
      <c r="BF63" s="2627" t="n"/>
      <c r="BG63" s="2628">
        <f>SUM(AU63:BF63)</f>
        <v/>
      </c>
      <c r="BI63" s="2627" t="n"/>
      <c r="BJ63" s="2627" t="n"/>
      <c r="BK63" s="2627" t="n"/>
      <c r="BL63" s="2627" t="n"/>
      <c r="BM63" s="2627" t="n"/>
      <c r="BN63" s="2627" t="n"/>
      <c r="BO63" s="2627" t="n"/>
      <c r="BP63" s="2627" t="n"/>
      <c r="BQ63" s="2627" t="n"/>
      <c r="BR63" s="2627" t="n"/>
      <c r="BS63" s="2627" t="n"/>
      <c r="BT63" s="2627" t="n"/>
      <c r="BU63" s="2628">
        <f>SUM(BI63:BT63)</f>
        <v/>
      </c>
    </row>
    <row r="64" outlineLevel="1">
      <c r="A64" s="1470" t="n"/>
      <c r="B64" s="1456" t="inlineStr">
        <is>
          <t>지급임차료</t>
        </is>
      </c>
      <c r="C64" s="1456" t="inlineStr">
        <is>
          <t>기타</t>
        </is>
      </c>
      <c r="D64" s="2625" t="n"/>
      <c r="E64" s="2625" t="n"/>
      <c r="F64" s="2625" t="n"/>
      <c r="G64" s="2625" t="n"/>
      <c r="H64" s="2625" t="n">
        <v>2419094</v>
      </c>
      <c r="I64" s="2625" t="n">
        <v>2907717</v>
      </c>
      <c r="J64" s="2625" t="n">
        <v>3356127</v>
      </c>
      <c r="K64" s="2625" t="n">
        <v>9908613</v>
      </c>
      <c r="L64" s="2625" t="n">
        <v>17260346</v>
      </c>
      <c r="M64" s="2625" t="n">
        <v>26994171</v>
      </c>
      <c r="N64" s="2625" t="n">
        <v>30853200</v>
      </c>
      <c r="O64" s="2625" t="n">
        <v>30978790</v>
      </c>
      <c r="P64" s="2626">
        <f>SUM(D64:O64)</f>
        <v/>
      </c>
      <c r="Q64" s="1466" t="inlineStr">
        <is>
          <t>전월기준</t>
        </is>
      </c>
      <c r="R64" s="1436" t="n"/>
      <c r="S64" s="2625" t="n">
        <v>28911096</v>
      </c>
      <c r="T64" s="2625" t="n">
        <v>17710851</v>
      </c>
      <c r="U64" s="2625" t="n">
        <v>17023346</v>
      </c>
      <c r="V64" s="2625" t="n">
        <v>17258118</v>
      </c>
      <c r="W64" s="2633" t="n"/>
      <c r="X64" s="2633" t="n"/>
      <c r="Y64" s="2633" t="n"/>
      <c r="Z64" s="2633" t="n"/>
      <c r="AA64" s="2633" t="n"/>
      <c r="AB64" s="2633" t="n"/>
      <c r="AC64" s="2633" t="n"/>
      <c r="AD64" s="2633" t="n"/>
      <c r="AE64" s="2626">
        <f>SUM(S64:AD64)</f>
        <v/>
      </c>
      <c r="AF64" s="1464" t="inlineStr">
        <is>
          <t>23년 2개월 평균</t>
        </is>
      </c>
      <c r="AG64" s="2633" t="n"/>
      <c r="AH64" s="2633" t="n"/>
      <c r="AI64" s="2633" t="n">
        <v>0</v>
      </c>
      <c r="AJ64" s="2633" t="n">
        <v>0</v>
      </c>
      <c r="AK64" s="2633" t="n">
        <v>0</v>
      </c>
      <c r="AL64" s="2633" t="n">
        <v>0</v>
      </c>
      <c r="AM64" s="2633" t="n"/>
      <c r="AN64" s="2633" t="n"/>
      <c r="AO64" s="2633" t="n"/>
      <c r="AP64" s="2633" t="n"/>
      <c r="AQ64" s="2633" t="n"/>
      <c r="AR64" s="2633" t="n"/>
      <c r="AS64" s="2626">
        <f>SUM(AG64:AR64)</f>
        <v/>
      </c>
      <c r="AU64" s="2633" t="n"/>
      <c r="AV64" s="2633" t="n"/>
      <c r="AW64" s="2633" t="n"/>
      <c r="AX64" s="2633" t="n"/>
      <c r="AY64" s="2633" t="n"/>
      <c r="AZ64" s="2633" t="n"/>
      <c r="BA64" s="2633" t="n"/>
      <c r="BB64" s="2633" t="n"/>
      <c r="BC64" s="2633" t="n"/>
      <c r="BD64" s="2633" t="n"/>
      <c r="BE64" s="2633" t="n"/>
      <c r="BF64" s="2627" t="n"/>
      <c r="BG64" s="2628">
        <f>SUM(AU64:BF64)</f>
        <v/>
      </c>
      <c r="BI64" s="2627" t="n"/>
      <c r="BJ64" s="2627" t="n"/>
      <c r="BK64" s="2627" t="n"/>
      <c r="BL64" s="2627" t="n"/>
      <c r="BM64" s="2627" t="n"/>
      <c r="BN64" s="2627" t="n"/>
      <c r="BO64" s="2627" t="n"/>
      <c r="BP64" s="2627" t="n"/>
      <c r="BQ64" s="2627" t="n"/>
      <c r="BR64" s="2627" t="n"/>
      <c r="BS64" s="2627" t="n"/>
      <c r="BT64" s="2627" t="n"/>
      <c r="BU64" s="2628">
        <f>SUM(BI64:BT64)</f>
        <v/>
      </c>
    </row>
    <row r="65" outlineLevel="1">
      <c r="A65" s="1470" t="n"/>
      <c r="B65" s="1456" t="inlineStr">
        <is>
          <t>수선비</t>
        </is>
      </c>
      <c r="C65" s="1456" t="inlineStr">
        <is>
          <t>기타</t>
        </is>
      </c>
      <c r="D65" s="2625" t="n"/>
      <c r="E65" s="2625" t="n"/>
      <c r="F65" s="2625" t="n"/>
      <c r="G65" s="2625" t="n"/>
      <c r="H65" s="2625" t="n">
        <v>0</v>
      </c>
      <c r="I65" s="2625" t="n">
        <v>0</v>
      </c>
      <c r="J65" s="2625" t="n">
        <v>0</v>
      </c>
      <c r="K65" s="2625" t="n">
        <v>0</v>
      </c>
      <c r="L65" s="2625" t="n">
        <v>0</v>
      </c>
      <c r="M65" s="2625" t="n">
        <v>0</v>
      </c>
      <c r="N65" s="2625" t="n">
        <v>0</v>
      </c>
      <c r="O65" s="2625" t="n">
        <v>0</v>
      </c>
      <c r="P65" s="2626">
        <f>SUM(D65:O65)</f>
        <v/>
      </c>
      <c r="Q65" s="1466" t="n"/>
      <c r="R65" s="1436" t="n"/>
      <c r="S65" s="2625" t="n">
        <v>0</v>
      </c>
      <c r="T65" s="2625" t="n">
        <v>0</v>
      </c>
      <c r="U65" s="2625" t="n">
        <v>0</v>
      </c>
      <c r="V65" s="2625" t="n">
        <v>0</v>
      </c>
      <c r="W65" s="2633" t="n"/>
      <c r="X65" s="2633" t="n"/>
      <c r="Y65" s="2633" t="n"/>
      <c r="Z65" s="2633" t="n"/>
      <c r="AA65" s="2633" t="n"/>
      <c r="AB65" s="2633" t="n"/>
      <c r="AC65" s="2633" t="n"/>
      <c r="AD65" s="2633" t="n"/>
      <c r="AE65" s="2626">
        <f>SUM(S65:AD65)</f>
        <v/>
      </c>
      <c r="AF65" s="1466" t="n"/>
      <c r="AG65" s="2633" t="n"/>
      <c r="AH65" s="2633" t="n"/>
      <c r="AI65" s="2633" t="n">
        <v>0</v>
      </c>
      <c r="AJ65" s="2633" t="n">
        <v>0</v>
      </c>
      <c r="AK65" s="2633" t="n">
        <v>0</v>
      </c>
      <c r="AL65" s="2633" t="n">
        <v>0</v>
      </c>
      <c r="AM65" s="2633" t="n"/>
      <c r="AN65" s="2633" t="n"/>
      <c r="AO65" s="2633" t="n"/>
      <c r="AP65" s="2633" t="n"/>
      <c r="AQ65" s="2633" t="n"/>
      <c r="AR65" s="2633" t="n"/>
      <c r="AS65" s="2626">
        <f>SUM(AG65:AR65)</f>
        <v/>
      </c>
      <c r="AU65" s="2633" t="n"/>
      <c r="AV65" s="2633" t="n"/>
      <c r="AW65" s="2633" t="n"/>
      <c r="AX65" s="2633" t="n"/>
      <c r="AY65" s="2633" t="n"/>
      <c r="AZ65" s="2633" t="n"/>
      <c r="BA65" s="2633" t="n"/>
      <c r="BB65" s="2633" t="n"/>
      <c r="BC65" s="2633" t="n"/>
      <c r="BD65" s="2633" t="n"/>
      <c r="BE65" s="2633" t="n"/>
      <c r="BF65" s="2627" t="n"/>
      <c r="BG65" s="2628">
        <f>SUM(AU65:BF65)</f>
        <v/>
      </c>
      <c r="BI65" s="2627" t="n"/>
      <c r="BJ65" s="2627" t="n"/>
      <c r="BK65" s="2627" t="n"/>
      <c r="BL65" s="2627" t="n"/>
      <c r="BM65" s="2627" t="n"/>
      <c r="BN65" s="2627" t="n"/>
      <c r="BO65" s="2627" t="n"/>
      <c r="BP65" s="2627" t="n"/>
      <c r="BQ65" s="2627" t="n"/>
      <c r="BR65" s="2627" t="n"/>
      <c r="BS65" s="2627" t="n"/>
      <c r="BT65" s="2627" t="n"/>
      <c r="BU65" s="2628">
        <f>SUM(BI65:BT65)</f>
        <v/>
      </c>
    </row>
    <row r="66" outlineLevel="1">
      <c r="A66" s="1470" t="n"/>
      <c r="B66" s="1456" t="inlineStr">
        <is>
          <t>보험료</t>
        </is>
      </c>
      <c r="C66" s="1456" t="inlineStr">
        <is>
          <t>기타</t>
        </is>
      </c>
      <c r="D66" s="2625" t="n"/>
      <c r="E66" s="2625" t="n"/>
      <c r="F66" s="2625" t="n"/>
      <c r="G66" s="2625" t="n"/>
      <c r="H66" s="2625" t="n">
        <v>1228440</v>
      </c>
      <c r="I66" s="2625" t="n">
        <v>0</v>
      </c>
      <c r="J66" s="2625" t="n">
        <v>0</v>
      </c>
      <c r="K66" s="2625" t="n">
        <v>0</v>
      </c>
      <c r="L66" s="2625" t="n">
        <v>0</v>
      </c>
      <c r="M66" s="2625" t="n">
        <v>0</v>
      </c>
      <c r="N66" s="2625" t="n">
        <v>0</v>
      </c>
      <c r="O66" s="2625" t="n">
        <v>0</v>
      </c>
      <c r="P66" s="2626">
        <f>SUM(D66:O66)</f>
        <v/>
      </c>
      <c r="Q66" s="1466" t="n"/>
      <c r="R66" s="1436" t="n"/>
      <c r="S66" s="2625" t="n">
        <v>0</v>
      </c>
      <c r="T66" s="2625" t="n">
        <v>0</v>
      </c>
      <c r="U66" s="2625" t="n">
        <v>0</v>
      </c>
      <c r="V66" s="2625" t="n">
        <v>0</v>
      </c>
      <c r="W66" s="2633" t="n"/>
      <c r="X66" s="2633" t="n"/>
      <c r="Y66" s="2633" t="n"/>
      <c r="Z66" s="2633" t="n"/>
      <c r="AA66" s="2633" t="n"/>
      <c r="AB66" s="2633" t="n"/>
      <c r="AC66" s="2633" t="n"/>
      <c r="AD66" s="2633" t="n"/>
      <c r="AE66" s="2626">
        <f>SUM(S66:AD66)</f>
        <v/>
      </c>
      <c r="AF66" s="1466" t="n"/>
      <c r="AG66" s="2633" t="n"/>
      <c r="AH66" s="2633" t="n"/>
      <c r="AI66" s="2633" t="n">
        <v>0</v>
      </c>
      <c r="AJ66" s="2633" t="n">
        <v>0</v>
      </c>
      <c r="AK66" s="2633" t="n">
        <v>0</v>
      </c>
      <c r="AL66" s="2633" t="n">
        <v>0</v>
      </c>
      <c r="AM66" s="2633" t="n"/>
      <c r="AN66" s="2633" t="n"/>
      <c r="AO66" s="2633" t="n"/>
      <c r="AP66" s="2633" t="n"/>
      <c r="AQ66" s="2633" t="n"/>
      <c r="AR66" s="2633" t="n"/>
      <c r="AS66" s="2626">
        <f>SUM(AG66:AR66)</f>
        <v/>
      </c>
      <c r="AU66" s="2633" t="n"/>
      <c r="AV66" s="2633" t="n"/>
      <c r="AW66" s="2633" t="n"/>
      <c r="AX66" s="2633" t="n"/>
      <c r="AY66" s="2633" t="n"/>
      <c r="AZ66" s="2633" t="n"/>
      <c r="BA66" s="2633" t="n"/>
      <c r="BB66" s="2633" t="n"/>
      <c r="BC66" s="2633" t="n"/>
      <c r="BD66" s="2633" t="n"/>
      <c r="BE66" s="2633" t="n"/>
      <c r="BF66" s="2627" t="n"/>
      <c r="BG66" s="2628">
        <f>SUM(AU66:BF66)</f>
        <v/>
      </c>
      <c r="BI66" s="2627" t="n"/>
      <c r="BJ66" s="2627" t="n"/>
      <c r="BK66" s="2627" t="n"/>
      <c r="BL66" s="2627" t="n"/>
      <c r="BM66" s="2627" t="n"/>
      <c r="BN66" s="2627" t="n"/>
      <c r="BO66" s="2627" t="n"/>
      <c r="BP66" s="2627" t="n"/>
      <c r="BQ66" s="2627" t="n"/>
      <c r="BR66" s="2627" t="n"/>
      <c r="BS66" s="2627" t="n"/>
      <c r="BT66" s="2627" t="n"/>
      <c r="BU66" s="2628">
        <f>SUM(BI66:BT66)</f>
        <v/>
      </c>
    </row>
    <row r="67" outlineLevel="1">
      <c r="A67" s="1470" t="n"/>
      <c r="B67" s="1456" t="inlineStr">
        <is>
          <t>차량유지비</t>
        </is>
      </c>
      <c r="C67" s="1456" t="inlineStr">
        <is>
          <t>기타</t>
        </is>
      </c>
      <c r="D67" s="2625" t="n"/>
      <c r="E67" s="2625" t="n"/>
      <c r="F67" s="2625" t="n"/>
      <c r="G67" s="2625" t="n"/>
      <c r="H67" s="2625" t="n">
        <v>0</v>
      </c>
      <c r="I67" s="2625" t="n">
        <v>0</v>
      </c>
      <c r="J67" s="2625" t="n">
        <v>0</v>
      </c>
      <c r="K67" s="2625" t="n">
        <v>0</v>
      </c>
      <c r="L67" s="2625" t="n">
        <v>0</v>
      </c>
      <c r="M67" s="2625" t="n">
        <v>0</v>
      </c>
      <c r="N67" s="2625" t="n">
        <v>0</v>
      </c>
      <c r="O67" s="2625" t="n">
        <v>0</v>
      </c>
      <c r="P67" s="2626">
        <f>SUM(D67:O67)</f>
        <v/>
      </c>
      <c r="Q67" s="1466" t="n"/>
      <c r="R67" s="1436" t="n"/>
      <c r="S67" s="2625" t="n">
        <v>0</v>
      </c>
      <c r="T67" s="2625" t="n">
        <v>0</v>
      </c>
      <c r="U67" s="2625" t="n">
        <v>0</v>
      </c>
      <c r="V67" s="2625" t="n">
        <v>0</v>
      </c>
      <c r="W67" s="2633" t="n"/>
      <c r="X67" s="2633" t="n"/>
      <c r="Y67" s="2633" t="n"/>
      <c r="Z67" s="2633" t="n"/>
      <c r="AA67" s="2633" t="n"/>
      <c r="AB67" s="2633" t="n"/>
      <c r="AC67" s="2633" t="n"/>
      <c r="AD67" s="2633" t="n"/>
      <c r="AE67" s="2626">
        <f>SUM(S67:AD67)</f>
        <v/>
      </c>
      <c r="AF67" s="1466" t="n"/>
      <c r="AG67" s="2633" t="n"/>
      <c r="AH67" s="2633" t="n"/>
      <c r="AI67" s="2633" t="n">
        <v>0</v>
      </c>
      <c r="AJ67" s="2633" t="n">
        <v>0</v>
      </c>
      <c r="AK67" s="2633" t="n">
        <v>0</v>
      </c>
      <c r="AL67" s="2633" t="n">
        <v>0</v>
      </c>
      <c r="AM67" s="2633" t="n"/>
      <c r="AN67" s="2633" t="n"/>
      <c r="AO67" s="2633" t="n"/>
      <c r="AP67" s="2633" t="n"/>
      <c r="AQ67" s="2633" t="n"/>
      <c r="AR67" s="2633" t="n"/>
      <c r="AS67" s="2626">
        <f>SUM(AG67:AR67)</f>
        <v/>
      </c>
      <c r="AU67" s="2633" t="n"/>
      <c r="AV67" s="2633" t="n"/>
      <c r="AW67" s="2633" t="n"/>
      <c r="AX67" s="2633" t="n"/>
      <c r="AY67" s="2633" t="n"/>
      <c r="AZ67" s="2633" t="n"/>
      <c r="BA67" s="2633" t="n"/>
      <c r="BB67" s="2633" t="n"/>
      <c r="BC67" s="2633" t="n"/>
      <c r="BD67" s="2633" t="n"/>
      <c r="BE67" s="2633" t="n"/>
      <c r="BF67" s="2627" t="n"/>
      <c r="BG67" s="2628">
        <f>SUM(AU67:BF67)</f>
        <v/>
      </c>
      <c r="BI67" s="2627" t="n"/>
      <c r="BJ67" s="2627" t="n"/>
      <c r="BK67" s="2627" t="n"/>
      <c r="BL67" s="2627" t="n"/>
      <c r="BM67" s="2627" t="n"/>
      <c r="BN67" s="2627" t="n"/>
      <c r="BO67" s="2627" t="n"/>
      <c r="BP67" s="2627" t="n"/>
      <c r="BQ67" s="2627" t="n"/>
      <c r="BR67" s="2627" t="n"/>
      <c r="BS67" s="2627" t="n"/>
      <c r="BT67" s="2627" t="n"/>
      <c r="BU67" s="2628">
        <f>SUM(BI67:BT67)</f>
        <v/>
      </c>
    </row>
    <row r="68" outlineLevel="1">
      <c r="A68" s="1470" t="n"/>
      <c r="B68" s="1456" t="inlineStr">
        <is>
          <t>운반비</t>
        </is>
      </c>
      <c r="C68" s="1456" t="inlineStr">
        <is>
          <t>기타</t>
        </is>
      </c>
      <c r="D68" s="2625" t="n"/>
      <c r="E68" s="2625" t="n"/>
      <c r="F68" s="2625" t="n"/>
      <c r="G68" s="2625" t="n"/>
      <c r="H68" s="2625" t="n">
        <v>0</v>
      </c>
      <c r="I68" s="2625" t="n">
        <v>0</v>
      </c>
      <c r="J68" s="2625" t="n">
        <v>0</v>
      </c>
      <c r="K68" s="2625" t="n">
        <v>0</v>
      </c>
      <c r="L68" s="2625" t="n">
        <v>0</v>
      </c>
      <c r="M68" s="2625" t="n">
        <v>0</v>
      </c>
      <c r="N68" s="2625" t="n">
        <v>0</v>
      </c>
      <c r="O68" s="2625" t="n">
        <v>0</v>
      </c>
      <c r="P68" s="2626">
        <f>SUM(D68:O68)</f>
        <v/>
      </c>
      <c r="Q68" s="1466" t="n"/>
      <c r="R68" s="1436" t="n"/>
      <c r="S68" s="2625" t="n">
        <v>0</v>
      </c>
      <c r="T68" s="2625" t="n">
        <v>0</v>
      </c>
      <c r="U68" s="2625" t="n">
        <v>0</v>
      </c>
      <c r="V68" s="2625" t="n">
        <v>0</v>
      </c>
      <c r="W68" s="2633" t="n"/>
      <c r="X68" s="2633" t="n"/>
      <c r="Y68" s="2633" t="n"/>
      <c r="Z68" s="2633" t="n"/>
      <c r="AA68" s="2633" t="n"/>
      <c r="AB68" s="2633" t="n"/>
      <c r="AC68" s="2633" t="n"/>
      <c r="AD68" s="2633" t="n"/>
      <c r="AE68" s="2626">
        <f>SUM(S68:AD68)</f>
        <v/>
      </c>
      <c r="AF68" s="1466" t="n"/>
      <c r="AG68" s="2633" t="n"/>
      <c r="AH68" s="2633" t="n"/>
      <c r="AI68" s="2633" t="n">
        <v>0</v>
      </c>
      <c r="AJ68" s="2633" t="n">
        <v>0</v>
      </c>
      <c r="AK68" s="2633" t="n">
        <v>0</v>
      </c>
      <c r="AL68" s="2633" t="n">
        <v>0</v>
      </c>
      <c r="AM68" s="2633" t="n"/>
      <c r="AN68" s="2633" t="n"/>
      <c r="AO68" s="2633" t="n"/>
      <c r="AP68" s="2633" t="n"/>
      <c r="AQ68" s="2633" t="n"/>
      <c r="AR68" s="2633" t="n"/>
      <c r="AS68" s="2626">
        <f>SUM(AG68:AR68)</f>
        <v/>
      </c>
      <c r="AU68" s="2633" t="n"/>
      <c r="AV68" s="2633" t="n"/>
      <c r="AW68" s="2633" t="n"/>
      <c r="AX68" s="2633" t="n"/>
      <c r="AY68" s="2633" t="n"/>
      <c r="AZ68" s="2633" t="n"/>
      <c r="BA68" s="2633" t="n"/>
      <c r="BB68" s="2633" t="n"/>
      <c r="BC68" s="2633" t="n"/>
      <c r="BD68" s="2633" t="n"/>
      <c r="BE68" s="2633" t="n"/>
      <c r="BF68" s="2627" t="n"/>
      <c r="BG68" s="2628">
        <f>SUM(AU68:BF68)</f>
        <v/>
      </c>
      <c r="BI68" s="2627" t="n"/>
      <c r="BJ68" s="2627" t="n"/>
      <c r="BK68" s="2627" t="n"/>
      <c r="BL68" s="2627" t="n"/>
      <c r="BM68" s="2627" t="n"/>
      <c r="BN68" s="2627" t="n"/>
      <c r="BO68" s="2627" t="n"/>
      <c r="BP68" s="2627" t="n"/>
      <c r="BQ68" s="2627" t="n"/>
      <c r="BR68" s="2627" t="n"/>
      <c r="BS68" s="2627" t="n"/>
      <c r="BT68" s="2627" t="n"/>
      <c r="BU68" s="2628">
        <f>SUM(BI68:BT68)</f>
        <v/>
      </c>
    </row>
    <row r="69" outlineLevel="1">
      <c r="A69" s="1470" t="n"/>
      <c r="B69" s="1456" t="inlineStr">
        <is>
          <t>경상연구개발비</t>
        </is>
      </c>
      <c r="C69" s="1456" t="inlineStr">
        <is>
          <t>인건비 등</t>
        </is>
      </c>
      <c r="D69" s="2625" t="n"/>
      <c r="E69" s="2625" t="n"/>
      <c r="F69" s="2625" t="n"/>
      <c r="G69" s="2625" t="n"/>
      <c r="H69" s="2625" t="n">
        <v>0</v>
      </c>
      <c r="I69" s="2625" t="n">
        <v>0</v>
      </c>
      <c r="J69" s="2625" t="n">
        <v>0</v>
      </c>
      <c r="K69" s="2625" t="n">
        <v>0</v>
      </c>
      <c r="L69" s="2625" t="n">
        <v>0</v>
      </c>
      <c r="M69" s="2625" t="n">
        <v>0</v>
      </c>
      <c r="N69" s="2625" t="n">
        <v>0</v>
      </c>
      <c r="O69" s="2625" t="n">
        <v>0</v>
      </c>
      <c r="P69" s="2626">
        <f>SUM(D69:O69)</f>
        <v/>
      </c>
      <c r="Q69" s="1466" t="n"/>
      <c r="R69" s="1436" t="n"/>
      <c r="S69" s="2625" t="n">
        <v>0</v>
      </c>
      <c r="T69" s="2625" t="n">
        <v>0</v>
      </c>
      <c r="U69" s="2625" t="n">
        <v>0</v>
      </c>
      <c r="V69" s="2625" t="n">
        <v>0</v>
      </c>
      <c r="W69" s="2633" t="n"/>
      <c r="X69" s="2633" t="n"/>
      <c r="Y69" s="2633" t="n"/>
      <c r="Z69" s="2633" t="n"/>
      <c r="AA69" s="2633" t="n"/>
      <c r="AB69" s="2633" t="n"/>
      <c r="AC69" s="2633" t="n"/>
      <c r="AD69" s="2633" t="n"/>
      <c r="AE69" s="2626">
        <f>SUM(S69:AD69)</f>
        <v/>
      </c>
      <c r="AF69" s="1466" t="n"/>
      <c r="AG69" s="2633" t="n"/>
      <c r="AH69" s="2633" t="n"/>
      <c r="AI69" s="2633" t="n">
        <v>0</v>
      </c>
      <c r="AJ69" s="2633" t="n">
        <v>0</v>
      </c>
      <c r="AK69" s="2633" t="n">
        <v>0</v>
      </c>
      <c r="AL69" s="2633" t="n">
        <v>0</v>
      </c>
      <c r="AM69" s="2633" t="n"/>
      <c r="AN69" s="2633" t="n"/>
      <c r="AO69" s="2633" t="n"/>
      <c r="AP69" s="2633" t="n"/>
      <c r="AQ69" s="2633" t="n"/>
      <c r="AR69" s="2633" t="n"/>
      <c r="AS69" s="2626">
        <f>SUM(AG69:AR69)</f>
        <v/>
      </c>
      <c r="AU69" s="2633" t="n"/>
      <c r="AV69" s="2633" t="n"/>
      <c r="AW69" s="2633" t="n"/>
      <c r="AX69" s="2633" t="n"/>
      <c r="AY69" s="2633" t="n"/>
      <c r="AZ69" s="2633" t="n"/>
      <c r="BA69" s="2633" t="n"/>
      <c r="BB69" s="2633" t="n"/>
      <c r="BC69" s="2633" t="n"/>
      <c r="BD69" s="2633" t="n"/>
      <c r="BE69" s="2633" t="n"/>
      <c r="BF69" s="2627" t="n"/>
      <c r="BG69" s="2628">
        <f>SUM(AU69:BF69)</f>
        <v/>
      </c>
      <c r="BI69" s="2627" t="n"/>
      <c r="BJ69" s="2627" t="n"/>
      <c r="BK69" s="2627" t="n"/>
      <c r="BL69" s="2627" t="n"/>
      <c r="BM69" s="2627" t="n"/>
      <c r="BN69" s="2627" t="n"/>
      <c r="BO69" s="2627" t="n"/>
      <c r="BP69" s="2627" t="n"/>
      <c r="BQ69" s="2627" t="n"/>
      <c r="BR69" s="2627" t="n"/>
      <c r="BS69" s="2627" t="n"/>
      <c r="BT69" s="2627" t="n"/>
      <c r="BU69" s="2628">
        <f>SUM(BI69:BT69)</f>
        <v/>
      </c>
    </row>
    <row r="70" outlineLevel="1">
      <c r="A70" s="1470" t="n"/>
      <c r="B70" s="1456" t="inlineStr">
        <is>
          <t>교육훈련비</t>
        </is>
      </c>
      <c r="C70" s="1456" t="inlineStr">
        <is>
          <t>인건비 등</t>
        </is>
      </c>
      <c r="D70" s="2625" t="n"/>
      <c r="E70" s="2625" t="n"/>
      <c r="F70" s="2625" t="n"/>
      <c r="G70" s="2625" t="n"/>
      <c r="H70" s="2625" t="n">
        <v>400400</v>
      </c>
      <c r="I70" s="2625" t="n">
        <v>0</v>
      </c>
      <c r="J70" s="2625" t="n">
        <v>66000</v>
      </c>
      <c r="K70" s="2625" t="n">
        <v>0</v>
      </c>
      <c r="L70" s="2625" t="n">
        <v>500000</v>
      </c>
      <c r="M70" s="2625" t="n">
        <v>6011030</v>
      </c>
      <c r="N70" s="2625" t="n">
        <v>3988270</v>
      </c>
      <c r="O70" s="2625" t="n">
        <v>120000</v>
      </c>
      <c r="P70" s="2626">
        <f>SUM(D70:O70)</f>
        <v/>
      </c>
      <c r="Q70" s="1466" t="n"/>
      <c r="R70" s="1436" t="n"/>
      <c r="S70" s="2625" t="n">
        <v>0</v>
      </c>
      <c r="T70" s="2625" t="n">
        <v>1803010</v>
      </c>
      <c r="U70" s="2625" t="n">
        <v>1204000</v>
      </c>
      <c r="V70" s="2625" t="n">
        <v>7608342</v>
      </c>
      <c r="W70" s="2633" t="n"/>
      <c r="X70" s="2633" t="n"/>
      <c r="Y70" s="2633" t="n"/>
      <c r="Z70" s="2633" t="n"/>
      <c r="AA70" s="2633" t="n"/>
      <c r="AB70" s="2633" t="n"/>
      <c r="AC70" s="2633" t="n"/>
      <c r="AD70" s="2633" t="n"/>
      <c r="AE70" s="2626">
        <f>SUM(S70:AD70)</f>
        <v/>
      </c>
      <c r="AF70" s="1466" t="inlineStr">
        <is>
          <t>버퍼 : 월 3백만원</t>
        </is>
      </c>
      <c r="AG70" s="2633" t="n"/>
      <c r="AH70" s="2633" t="n"/>
      <c r="AI70" s="2633" t="n">
        <v>0</v>
      </c>
      <c r="AJ70" s="2633" t="n">
        <v>0</v>
      </c>
      <c r="AK70" s="2633" t="n">
        <v>0</v>
      </c>
      <c r="AL70" s="2633" t="n">
        <v>0</v>
      </c>
      <c r="AM70" s="2633" t="n"/>
      <c r="AN70" s="2633" t="n"/>
      <c r="AO70" s="2633" t="n"/>
      <c r="AP70" s="2633" t="n"/>
      <c r="AQ70" s="2633" t="n"/>
      <c r="AR70" s="2633" t="n"/>
      <c r="AS70" s="2626">
        <f>SUM(AG70:AR70)</f>
        <v/>
      </c>
      <c r="AU70" s="2633" t="n"/>
      <c r="AV70" s="2633" t="n"/>
      <c r="AW70" s="2633" t="n"/>
      <c r="AX70" s="2633" t="n"/>
      <c r="AY70" s="2633" t="n"/>
      <c r="AZ70" s="2633" t="n"/>
      <c r="BA70" s="2633" t="n"/>
      <c r="BB70" s="2633" t="n"/>
      <c r="BC70" s="2633" t="n"/>
      <c r="BD70" s="2633" t="n"/>
      <c r="BE70" s="2633" t="n"/>
      <c r="BF70" s="2627" t="n"/>
      <c r="BG70" s="2628">
        <f>SUM(AU70:BF70)</f>
        <v/>
      </c>
      <c r="BI70" s="2627" t="n"/>
      <c r="BJ70" s="2627" t="n"/>
      <c r="BK70" s="2627" t="n"/>
      <c r="BL70" s="2627" t="n"/>
      <c r="BM70" s="2627" t="n"/>
      <c r="BN70" s="2627" t="n"/>
      <c r="BO70" s="2627" t="n"/>
      <c r="BP70" s="2627" t="n"/>
      <c r="BQ70" s="2627" t="n"/>
      <c r="BR70" s="2627" t="n"/>
      <c r="BS70" s="2627" t="n"/>
      <c r="BT70" s="2627" t="n"/>
      <c r="BU70" s="2628">
        <f>SUM(BI70:BT70)</f>
        <v/>
      </c>
    </row>
    <row r="71" outlineLevel="1">
      <c r="A71" s="1470" t="n"/>
      <c r="B71" s="1456" t="inlineStr">
        <is>
          <t>도서인쇄비</t>
        </is>
      </c>
      <c r="C71" s="1456" t="inlineStr">
        <is>
          <t>기타</t>
        </is>
      </c>
      <c r="D71" s="2625" t="n"/>
      <c r="E71" s="2625" t="n"/>
      <c r="F71" s="2625" t="n"/>
      <c r="G71" s="2625" t="n"/>
      <c r="H71" s="2625" t="n">
        <v>151200</v>
      </c>
      <c r="I71" s="2625" t="n">
        <v>1030050</v>
      </c>
      <c r="J71" s="2625" t="n">
        <v>209600</v>
      </c>
      <c r="K71" s="2625" t="n">
        <v>77850</v>
      </c>
      <c r="L71" s="2625" t="n">
        <v>300020</v>
      </c>
      <c r="M71" s="2625" t="n">
        <v>58500</v>
      </c>
      <c r="N71" s="2625" t="n">
        <v>459500</v>
      </c>
      <c r="O71" s="2625" t="n">
        <v>45900</v>
      </c>
      <c r="P71" s="2626">
        <f>SUM(D71:O71)</f>
        <v/>
      </c>
      <c r="Q71" s="1464" t="inlineStr">
        <is>
          <t>실적평균</t>
        </is>
      </c>
      <c r="R71" s="1436" t="n"/>
      <c r="S71" s="2625" t="n">
        <v>22500</v>
      </c>
      <c r="T71" s="2625" t="n">
        <v>496800</v>
      </c>
      <c r="U71" s="2625" t="n">
        <v>78300</v>
      </c>
      <c r="V71" s="2625" t="n">
        <v>63000</v>
      </c>
      <c r="W71" s="2633" t="n"/>
      <c r="X71" s="2633" t="n"/>
      <c r="Y71" s="2633" t="n"/>
      <c r="Z71" s="2633" t="n"/>
      <c r="AA71" s="2633" t="n"/>
      <c r="AB71" s="2633" t="n"/>
      <c r="AC71" s="2633" t="n"/>
      <c r="AD71" s="2633" t="n"/>
      <c r="AE71" s="2626">
        <f>SUM(S71:AD71)</f>
        <v/>
      </c>
      <c r="AF71" s="1464" t="inlineStr">
        <is>
          <t>전월</t>
        </is>
      </c>
      <c r="AG71" s="2633" t="n"/>
      <c r="AH71" s="2633" t="n"/>
      <c r="AI71" s="2633" t="n">
        <v>0</v>
      </c>
      <c r="AJ71" s="2633" t="n">
        <v>0</v>
      </c>
      <c r="AK71" s="2633" t="n">
        <v>0</v>
      </c>
      <c r="AL71" s="2633" t="n">
        <v>0</v>
      </c>
      <c r="AM71" s="2633" t="n"/>
      <c r="AN71" s="2633" t="n"/>
      <c r="AO71" s="2633" t="n"/>
      <c r="AP71" s="2633" t="n"/>
      <c r="AQ71" s="2633" t="n"/>
      <c r="AR71" s="2633" t="n"/>
      <c r="AS71" s="2626">
        <f>SUM(AG71:AR71)</f>
        <v/>
      </c>
      <c r="AU71" s="2633" t="n"/>
      <c r="AV71" s="2633" t="n"/>
      <c r="AW71" s="2633" t="n"/>
      <c r="AX71" s="2633" t="n"/>
      <c r="AY71" s="2633" t="n"/>
      <c r="AZ71" s="2633" t="n"/>
      <c r="BA71" s="2633" t="n"/>
      <c r="BB71" s="2633" t="n"/>
      <c r="BC71" s="2633" t="n"/>
      <c r="BD71" s="2633" t="n"/>
      <c r="BE71" s="2633" t="n"/>
      <c r="BF71" s="2627" t="n"/>
      <c r="BG71" s="2628">
        <f>SUM(AU71:BF71)</f>
        <v/>
      </c>
      <c r="BI71" s="2627" t="n"/>
      <c r="BJ71" s="2627" t="n"/>
      <c r="BK71" s="2627" t="n"/>
      <c r="BL71" s="2627" t="n"/>
      <c r="BM71" s="2627" t="n"/>
      <c r="BN71" s="2627" t="n"/>
      <c r="BO71" s="2627" t="n"/>
      <c r="BP71" s="2627" t="n"/>
      <c r="BQ71" s="2627" t="n"/>
      <c r="BR71" s="2627" t="n"/>
      <c r="BS71" s="2627" t="n"/>
      <c r="BT71" s="2627" t="n"/>
      <c r="BU71" s="2628">
        <f>SUM(BI71:BT71)</f>
        <v/>
      </c>
    </row>
    <row r="72" outlineLevel="1">
      <c r="A72" s="1470" t="n"/>
      <c r="B72" s="1456" t="inlineStr">
        <is>
          <t>사무용품비</t>
        </is>
      </c>
      <c r="C72" s="1456" t="inlineStr">
        <is>
          <t>기타</t>
        </is>
      </c>
      <c r="D72" s="2625" t="n"/>
      <c r="E72" s="2625" t="n"/>
      <c r="F72" s="2625" t="n"/>
      <c r="G72" s="2625" t="n"/>
      <c r="H72" s="2625" t="n">
        <v>0</v>
      </c>
      <c r="I72" s="2625" t="n">
        <v>0</v>
      </c>
      <c r="J72" s="2625" t="n">
        <v>0</v>
      </c>
      <c r="K72" s="2625" t="n">
        <v>0</v>
      </c>
      <c r="L72" s="2625" t="n">
        <v>0</v>
      </c>
      <c r="M72" s="2625" t="n">
        <v>0</v>
      </c>
      <c r="N72" s="2625" t="n">
        <v>0</v>
      </c>
      <c r="O72" s="2625" t="n">
        <v>0</v>
      </c>
      <c r="P72" s="2626">
        <f>SUM(D72:O72)</f>
        <v/>
      </c>
      <c r="Q72" s="1466" t="n"/>
      <c r="R72" s="1436" t="n"/>
      <c r="S72" s="2625" t="n">
        <v>0</v>
      </c>
      <c r="T72" s="2625" t="n">
        <v>0</v>
      </c>
      <c r="U72" s="2625" t="n">
        <v>0</v>
      </c>
      <c r="V72" s="2625" t="n">
        <v>0</v>
      </c>
      <c r="W72" s="2633" t="n"/>
      <c r="X72" s="2633" t="n"/>
      <c r="Y72" s="2633" t="n"/>
      <c r="Z72" s="2633" t="n"/>
      <c r="AA72" s="2633" t="n"/>
      <c r="AB72" s="2633" t="n"/>
      <c r="AC72" s="2633" t="n"/>
      <c r="AD72" s="2633" t="n"/>
      <c r="AE72" s="2626">
        <f>SUM(S72:AD72)</f>
        <v/>
      </c>
      <c r="AF72" s="1464" t="n"/>
      <c r="AG72" s="2633" t="n"/>
      <c r="AH72" s="2633" t="n"/>
      <c r="AI72" s="2633" t="n">
        <v>0</v>
      </c>
      <c r="AJ72" s="2633" t="n">
        <v>0</v>
      </c>
      <c r="AK72" s="2633" t="n">
        <v>0</v>
      </c>
      <c r="AL72" s="2633" t="n">
        <v>0</v>
      </c>
      <c r="AM72" s="2633" t="n"/>
      <c r="AN72" s="2633" t="n"/>
      <c r="AO72" s="2633" t="n"/>
      <c r="AP72" s="2633" t="n"/>
      <c r="AQ72" s="2633" t="n"/>
      <c r="AR72" s="2633" t="n"/>
      <c r="AS72" s="2626">
        <f>SUM(AG72:AR72)</f>
        <v/>
      </c>
      <c r="AU72" s="2633" t="n"/>
      <c r="AV72" s="2633" t="n"/>
      <c r="AW72" s="2633" t="n"/>
      <c r="AX72" s="2633" t="n"/>
      <c r="AY72" s="2633" t="n"/>
      <c r="AZ72" s="2633" t="n"/>
      <c r="BA72" s="2633" t="n"/>
      <c r="BB72" s="2633" t="n"/>
      <c r="BC72" s="2633" t="n"/>
      <c r="BD72" s="2633" t="n"/>
      <c r="BE72" s="2633" t="n"/>
      <c r="BF72" s="2627" t="n"/>
      <c r="BG72" s="2628">
        <f>SUM(AU72:BF72)</f>
        <v/>
      </c>
      <c r="BI72" s="2627" t="n"/>
      <c r="BJ72" s="2627" t="n"/>
      <c r="BK72" s="2627" t="n"/>
      <c r="BL72" s="2627" t="n"/>
      <c r="BM72" s="2627" t="n"/>
      <c r="BN72" s="2627" t="n"/>
      <c r="BO72" s="2627" t="n"/>
      <c r="BP72" s="2627" t="n"/>
      <c r="BQ72" s="2627" t="n"/>
      <c r="BR72" s="2627" t="n"/>
      <c r="BS72" s="2627" t="n"/>
      <c r="BT72" s="2627" t="n"/>
      <c r="BU72" s="2628">
        <f>SUM(BI72:BT72)</f>
        <v/>
      </c>
    </row>
    <row r="73" outlineLevel="1">
      <c r="A73" s="1470" t="n"/>
      <c r="B73" s="1456" t="inlineStr">
        <is>
          <t>소모품비</t>
        </is>
      </c>
      <c r="C73" s="1456" t="inlineStr">
        <is>
          <t>기타</t>
        </is>
      </c>
      <c r="D73" s="2625" t="n"/>
      <c r="E73" s="2625" t="n"/>
      <c r="F73" s="2625" t="n"/>
      <c r="G73" s="2625" t="n">
        <v>33343</v>
      </c>
      <c r="H73" s="2625" t="n">
        <v>26433600</v>
      </c>
      <c r="I73" s="2625" t="n">
        <v>-14070763</v>
      </c>
      <c r="J73" s="2625" t="n">
        <v>4903190</v>
      </c>
      <c r="K73" s="2625" t="n">
        <v>3655861</v>
      </c>
      <c r="L73" s="2625" t="n">
        <v>1695013</v>
      </c>
      <c r="M73" s="2625" t="n">
        <v>1290499</v>
      </c>
      <c r="N73" s="2625" t="n">
        <v>4201003</v>
      </c>
      <c r="O73" s="2625" t="n">
        <v>1180567</v>
      </c>
      <c r="P73" s="2626">
        <f>SUM(D73:O73)</f>
        <v/>
      </c>
      <c r="Q73" s="1464" t="inlineStr">
        <is>
          <t>실적평균</t>
        </is>
      </c>
      <c r="R73" s="1436" t="n"/>
      <c r="S73" s="2625" t="n">
        <v>1741962</v>
      </c>
      <c r="T73" s="2625" t="n">
        <v>1122636</v>
      </c>
      <c r="U73" s="2625" t="n">
        <v>1649559</v>
      </c>
      <c r="V73" s="2625" t="n">
        <v>521578</v>
      </c>
      <c r="W73" s="2633" t="n"/>
      <c r="X73" s="2633" t="n"/>
      <c r="Y73" s="2633" t="n"/>
      <c r="Z73" s="2633" t="n"/>
      <c r="AA73" s="2633" t="n"/>
      <c r="AB73" s="2633" t="n"/>
      <c r="AC73" s="2633" t="n"/>
      <c r="AD73" s="2633" t="n"/>
      <c r="AE73" s="2626">
        <f>SUM(S73:AD73)</f>
        <v/>
      </c>
      <c r="AF73" s="1464" t="inlineStr">
        <is>
          <t>전월</t>
        </is>
      </c>
      <c r="AG73" s="2633" t="n"/>
      <c r="AH73" s="2633" t="n"/>
      <c r="AI73" s="2633" t="n">
        <v>0</v>
      </c>
      <c r="AJ73" s="2633" t="n">
        <v>0</v>
      </c>
      <c r="AK73" s="2633" t="n">
        <v>0</v>
      </c>
      <c r="AL73" s="2633" t="n">
        <v>0</v>
      </c>
      <c r="AM73" s="2633" t="n"/>
      <c r="AN73" s="2633" t="n"/>
      <c r="AO73" s="2633" t="n"/>
      <c r="AP73" s="2633" t="n"/>
      <c r="AQ73" s="2633" t="n"/>
      <c r="AR73" s="2633" t="n"/>
      <c r="AS73" s="2626">
        <f>SUM(AG73:AR73)</f>
        <v/>
      </c>
      <c r="AU73" s="2633" t="n"/>
      <c r="AV73" s="2633" t="n"/>
      <c r="AW73" s="2633" t="n"/>
      <c r="AX73" s="2633" t="n"/>
      <c r="AY73" s="2633" t="n"/>
      <c r="AZ73" s="2633" t="n"/>
      <c r="BA73" s="2633" t="n"/>
      <c r="BB73" s="2633" t="n"/>
      <c r="BC73" s="2633" t="n"/>
      <c r="BD73" s="2633" t="n"/>
      <c r="BE73" s="2633" t="n"/>
      <c r="BF73" s="2627" t="n"/>
      <c r="BG73" s="2628">
        <f>SUM(AU73:BF73)</f>
        <v/>
      </c>
      <c r="BI73" s="2627" t="n"/>
      <c r="BJ73" s="2627" t="n"/>
      <c r="BK73" s="2627" t="n"/>
      <c r="BL73" s="2627" t="n"/>
      <c r="BM73" s="2627" t="n"/>
      <c r="BN73" s="2627" t="n"/>
      <c r="BO73" s="2627" t="n"/>
      <c r="BP73" s="2627" t="n"/>
      <c r="BQ73" s="2627" t="n"/>
      <c r="BR73" s="2627" t="n"/>
      <c r="BS73" s="2627" t="n"/>
      <c r="BT73" s="2627" t="n"/>
      <c r="BU73" s="2628">
        <f>SUM(BI73:BT73)</f>
        <v/>
      </c>
    </row>
    <row r="74" outlineLevel="1">
      <c r="A74" s="1470" t="n"/>
      <c r="B74" s="1456" t="inlineStr">
        <is>
          <t>지급수수료</t>
        </is>
      </c>
      <c r="C74" s="1456" t="inlineStr">
        <is>
          <t>로열티&amp;기타</t>
        </is>
      </c>
      <c r="D74" s="2625" t="n"/>
      <c r="E74" s="2625" t="n"/>
      <c r="F74" s="2625" t="n"/>
      <c r="G74" s="2625" t="n">
        <v>4450000</v>
      </c>
      <c r="H74" s="2625" t="n">
        <v>13866832</v>
      </c>
      <c r="I74" s="2625" t="n">
        <v>16878463</v>
      </c>
      <c r="J74" s="2625" t="n">
        <v>4687439</v>
      </c>
      <c r="K74" s="2625" t="n">
        <v>7038702</v>
      </c>
      <c r="L74" s="2625" t="n">
        <v>22199311</v>
      </c>
      <c r="M74" s="2625" t="n">
        <v>56027418</v>
      </c>
      <c r="N74" s="2625" t="n">
        <v>20859066</v>
      </c>
      <c r="O74" s="2625" t="n">
        <v>15109150</v>
      </c>
      <c r="P74" s="2626">
        <f>SUM(D74:O74)</f>
        <v/>
      </c>
      <c r="Q74" s="1464" t="inlineStr">
        <is>
          <t>실적평균</t>
        </is>
      </c>
      <c r="R74" s="1436" t="n"/>
      <c r="S74" s="2625" t="n">
        <v>21020635</v>
      </c>
      <c r="T74" s="2625" t="n">
        <v>19303454</v>
      </c>
      <c r="U74" s="2625" t="n">
        <v>23954307</v>
      </c>
      <c r="V74" s="2625" t="n">
        <v>23322437</v>
      </c>
      <c r="W74" s="2634" t="n">
        <v>25602884</v>
      </c>
      <c r="X74" s="2634" t="n">
        <v>23537713</v>
      </c>
      <c r="Y74" s="2634" t="n">
        <v>25516706</v>
      </c>
      <c r="Z74" s="2634" t="n">
        <v>25411538</v>
      </c>
      <c r="AA74" s="2634" t="n">
        <v>25152124</v>
      </c>
      <c r="AB74" s="2634" t="n">
        <v>57972412</v>
      </c>
      <c r="AC74" s="2634" t="n">
        <v>56600092</v>
      </c>
      <c r="AD74" s="2634" t="n">
        <v>300784452</v>
      </c>
      <c r="AE74" s="2626">
        <f>SUM(S74:AD74)</f>
        <v/>
      </c>
      <c r="AF74" s="1464" t="inlineStr">
        <is>
          <t>23년 6개월 평균</t>
        </is>
      </c>
      <c r="AG74" s="2634" t="n">
        <v>54054509</v>
      </c>
      <c r="AH74" s="2634" t="n">
        <v>43133489</v>
      </c>
      <c r="AI74" s="2634" t="n">
        <v>15176317</v>
      </c>
      <c r="AJ74" s="2634" t="n">
        <v>13032430</v>
      </c>
      <c r="AK74" s="2634">
        <f>136837343-SUM(AG74:AJ74)</f>
        <v/>
      </c>
      <c r="AL74" s="2634">
        <f>165063751-SUM(AG74:AK74)</f>
        <v/>
      </c>
      <c r="AM74" s="2634">
        <f>177383754-SUM(AG74:AL74)</f>
        <v/>
      </c>
      <c r="AN74" s="2634">
        <f>189080276-SUM(AG74:AM74)</f>
        <v/>
      </c>
      <c r="AO74" s="2634" t="n">
        <v>5190830</v>
      </c>
      <c r="AP74" s="2634">
        <f>209240934-SUM(AG74:AO74)</f>
        <v/>
      </c>
      <c r="AQ74" s="2634" t="n">
        <v>9996953</v>
      </c>
      <c r="AR74" s="2634">
        <f>229845566-SUM(AG74:AQ74)</f>
        <v/>
      </c>
      <c r="AS74" s="2626">
        <f>SUM(AG74:AR74)</f>
        <v/>
      </c>
      <c r="AT74" s="1440" t="inlineStr">
        <is>
          <t>7월 천만원</t>
        </is>
      </c>
      <c r="AU74" s="2634" t="n">
        <v>4527645</v>
      </c>
      <c r="AV74" s="2634">
        <f>8152011-AU74</f>
        <v/>
      </c>
      <c r="AW74" s="2634" t="n">
        <v>4012692</v>
      </c>
      <c r="AX74" s="2634" t="n">
        <v>3859005</v>
      </c>
      <c r="AY74" s="2634" t="n">
        <v>3762136</v>
      </c>
      <c r="AZ74" s="2634">
        <f>23426620-SUM(AU74:AY74)</f>
        <v/>
      </c>
      <c r="BA74" s="2634" t="n">
        <v>3012473</v>
      </c>
      <c r="BB74" s="2634" t="n">
        <v>1822851</v>
      </c>
      <c r="BC74" s="2634" t="n">
        <v>1436121</v>
      </c>
      <c r="BD74" s="2634">
        <f>30671797-SUM(AU74:BC74)</f>
        <v/>
      </c>
      <c r="BE74" s="2634">
        <f>31446719-SUM(AU74:BD74)</f>
        <v/>
      </c>
      <c r="BF74" s="2627" t="n">
        <v>1436121</v>
      </c>
      <c r="BG74" s="2628">
        <f>SUM(AU74:BF74)</f>
        <v/>
      </c>
      <c r="BI74" s="2629">
        <f>1686884+669784+842746+973732</f>
        <v/>
      </c>
      <c r="BJ74" s="2629">
        <f>300750+669784+842746+973732</f>
        <v/>
      </c>
      <c r="BK74" s="2629">
        <f>750+842746+973732</f>
        <v/>
      </c>
      <c r="BL74" s="2629">
        <f>690750+842746+973732</f>
        <v/>
      </c>
      <c r="BM74" s="2629">
        <f>491750+842746+973732</f>
        <v/>
      </c>
      <c r="BN74" s="2629">
        <f>750+842746+973732</f>
        <v/>
      </c>
      <c r="BO74" s="2629">
        <f>750+842746+973732</f>
        <v/>
      </c>
      <c r="BP74" s="2629">
        <f>750+842746+973732</f>
        <v/>
      </c>
      <c r="BQ74" s="2629">
        <f>110750+842746+973732</f>
        <v/>
      </c>
      <c r="BR74" s="2629">
        <f>750+842746+973732</f>
        <v/>
      </c>
      <c r="BS74" s="2629">
        <f>750+842746+973732</f>
        <v/>
      </c>
      <c r="BT74" s="2629">
        <f>65750+842746+973732</f>
        <v/>
      </c>
      <c r="BU74" s="2628">
        <f>SUM(BI74:BT74)</f>
        <v/>
      </c>
    </row>
    <row r="75" outlineLevel="1">
      <c r="A75" s="1470" t="n"/>
      <c r="B75" s="1456" t="inlineStr">
        <is>
          <t>광고선전비</t>
        </is>
      </c>
      <c r="C75" s="1456" t="inlineStr">
        <is>
          <t>마케팅</t>
        </is>
      </c>
      <c r="D75" s="2625" t="n"/>
      <c r="E75" s="2625" t="n"/>
      <c r="F75" s="2625" t="n"/>
      <c r="G75" s="2625" t="n"/>
      <c r="H75" s="2625" t="n">
        <v>0</v>
      </c>
      <c r="I75" s="2625" t="n">
        <v>0</v>
      </c>
      <c r="J75" s="2625" t="n">
        <v>0</v>
      </c>
      <c r="K75" s="2625" t="n">
        <v>0</v>
      </c>
      <c r="L75" s="2625" t="n">
        <v>0</v>
      </c>
      <c r="M75" s="2625" t="n">
        <v>0</v>
      </c>
      <c r="N75" s="2625" t="n">
        <v>0</v>
      </c>
      <c r="O75" s="2625" t="n">
        <v>0</v>
      </c>
      <c r="P75" s="2626">
        <f>SUM(D75:O75)</f>
        <v/>
      </c>
      <c r="Q75" s="1466" t="n"/>
      <c r="R75" s="1436" t="n"/>
      <c r="S75" s="2625" t="n">
        <v>0</v>
      </c>
      <c r="T75" s="2625" t="n">
        <v>0</v>
      </c>
      <c r="U75" s="2625" t="n">
        <v>0</v>
      </c>
      <c r="V75" s="2625" t="n">
        <v>0</v>
      </c>
      <c r="W75" s="2633" t="n"/>
      <c r="X75" s="2633" t="n"/>
      <c r="Y75" s="2633" t="n"/>
      <c r="Z75" s="2633" t="n"/>
      <c r="AA75" s="2633" t="n"/>
      <c r="AB75" s="2633" t="n"/>
      <c r="AC75" s="2633" t="n"/>
      <c r="AD75" s="2633" t="n"/>
      <c r="AE75" s="2626">
        <f>SUM(S75:AD75)</f>
        <v/>
      </c>
      <c r="AF75" s="1466" t="n"/>
      <c r="AG75" s="2633" t="n"/>
      <c r="AH75" s="2633" t="n"/>
      <c r="AI75" s="2633" t="n">
        <v>0</v>
      </c>
      <c r="AJ75" s="2633" t="n">
        <v>0</v>
      </c>
      <c r="AK75" s="2633" t="n">
        <v>0</v>
      </c>
      <c r="AL75" s="2633" t="n">
        <v>0</v>
      </c>
      <c r="AM75" s="2633" t="n"/>
      <c r="AN75" s="2633" t="n"/>
      <c r="AO75" s="2633" t="n"/>
      <c r="AP75" s="2633" t="n"/>
      <c r="AQ75" s="2633" t="n"/>
      <c r="AR75" s="2633" t="n"/>
      <c r="AS75" s="2626">
        <f>SUM(AG75:AR75)</f>
        <v/>
      </c>
      <c r="AU75" s="2633" t="n"/>
      <c r="AV75" s="2633" t="n"/>
      <c r="AW75" s="2633" t="n"/>
      <c r="AX75" s="2633" t="n"/>
      <c r="AY75" s="2633" t="n"/>
      <c r="AZ75" s="2633" t="n"/>
      <c r="BA75" s="2633" t="n"/>
      <c r="BB75" s="2633" t="n"/>
      <c r="BC75" s="2633" t="n"/>
      <c r="BD75" s="2633" t="n"/>
      <c r="BE75" s="2633" t="n"/>
      <c r="BF75" s="2627" t="n"/>
      <c r="BG75" s="2628">
        <f>SUM(AU75:BF75)</f>
        <v/>
      </c>
      <c r="BI75" s="2627" t="n"/>
      <c r="BJ75" s="2627" t="n"/>
      <c r="BK75" s="2627" t="n"/>
      <c r="BL75" s="2627" t="n"/>
      <c r="BM75" s="2627" t="n"/>
      <c r="BN75" s="2627" t="n"/>
      <c r="BO75" s="2627" t="n"/>
      <c r="BP75" s="2627" t="n"/>
      <c r="BQ75" s="2627" t="n"/>
      <c r="BR75" s="2627" t="n"/>
      <c r="BS75" s="2627" t="n"/>
      <c r="BT75" s="2627" t="n"/>
      <c r="BU75" s="2628">
        <f>SUM(BI75:BT75)</f>
        <v/>
      </c>
    </row>
    <row r="76" outlineLevel="1">
      <c r="A76" s="1470" t="n"/>
      <c r="B76" s="1456" t="inlineStr">
        <is>
          <t>판매촉진비</t>
        </is>
      </c>
      <c r="C76" s="1456" t="inlineStr">
        <is>
          <t>마케팅</t>
        </is>
      </c>
      <c r="D76" s="2625" t="n"/>
      <c r="E76" s="2625" t="n"/>
      <c r="F76" s="2625" t="n"/>
      <c r="G76" s="2625" t="n"/>
      <c r="H76" s="2625" t="n">
        <v>0</v>
      </c>
      <c r="I76" s="2625" t="n">
        <v>0</v>
      </c>
      <c r="J76" s="2625" t="n">
        <v>0</v>
      </c>
      <c r="K76" s="2625" t="n">
        <v>0</v>
      </c>
      <c r="L76" s="2625" t="n">
        <v>0</v>
      </c>
      <c r="M76" s="2625" t="n">
        <v>0</v>
      </c>
      <c r="N76" s="2625" t="n">
        <v>0</v>
      </c>
      <c r="O76" s="2625" t="n">
        <v>0</v>
      </c>
      <c r="P76" s="2626">
        <f>SUM(D76:O76)</f>
        <v/>
      </c>
      <c r="Q76" s="1466" t="n"/>
      <c r="R76" s="1436" t="n"/>
      <c r="S76" s="2625" t="n">
        <v>0</v>
      </c>
      <c r="T76" s="2625" t="n">
        <v>0</v>
      </c>
      <c r="U76" s="2625" t="n">
        <v>0</v>
      </c>
      <c r="V76" s="2625" t="n">
        <v>0</v>
      </c>
      <c r="W76" s="2633" t="n"/>
      <c r="X76" s="2633" t="n"/>
      <c r="Y76" s="2633" t="n"/>
      <c r="Z76" s="2633" t="n"/>
      <c r="AA76" s="2633" t="n"/>
      <c r="AB76" s="2633" t="n"/>
      <c r="AC76" s="2633" t="n"/>
      <c r="AD76" s="2633" t="n"/>
      <c r="AE76" s="2626">
        <f>SUM(S76:AD76)</f>
        <v/>
      </c>
      <c r="AF76" s="1466" t="n"/>
      <c r="AG76" s="2633" t="n"/>
      <c r="AH76" s="2633" t="n"/>
      <c r="AI76" s="2633" t="n">
        <v>0</v>
      </c>
      <c r="AJ76" s="2633" t="n">
        <v>0</v>
      </c>
      <c r="AK76" s="2633" t="n">
        <v>0</v>
      </c>
      <c r="AL76" s="2633" t="n">
        <v>0</v>
      </c>
      <c r="AM76" s="2633" t="n"/>
      <c r="AN76" s="2633" t="n"/>
      <c r="AO76" s="2633" t="n"/>
      <c r="AP76" s="2633" t="n"/>
      <c r="AQ76" s="2633" t="n"/>
      <c r="AR76" s="2633" t="n"/>
      <c r="AS76" s="2626">
        <f>SUM(AG76:AR76)</f>
        <v/>
      </c>
      <c r="AU76" s="2633" t="n"/>
      <c r="AV76" s="2633" t="n"/>
      <c r="AW76" s="2633" t="n"/>
      <c r="AX76" s="2633" t="n"/>
      <c r="AY76" s="2633" t="n"/>
      <c r="AZ76" s="2633" t="n"/>
      <c r="BA76" s="2633" t="n"/>
      <c r="BB76" s="2633" t="n"/>
      <c r="BC76" s="2633" t="n"/>
      <c r="BD76" s="2633" t="n"/>
      <c r="BE76" s="2633" t="n"/>
      <c r="BF76" s="2627" t="n"/>
      <c r="BG76" s="2628">
        <f>SUM(AU76:BF76)</f>
        <v/>
      </c>
      <c r="BI76" s="2627" t="n"/>
      <c r="BJ76" s="2627" t="n"/>
      <c r="BK76" s="2627" t="n"/>
      <c r="BL76" s="2627" t="n"/>
      <c r="BM76" s="2627" t="n"/>
      <c r="BN76" s="2627" t="n"/>
      <c r="BO76" s="2627" t="n"/>
      <c r="BP76" s="2627" t="n"/>
      <c r="BQ76" s="2627" t="n"/>
      <c r="BR76" s="2627" t="n"/>
      <c r="BS76" s="2627" t="n"/>
      <c r="BT76" s="2627" t="n"/>
      <c r="BU76" s="2628">
        <f>SUM(BI76:BT76)</f>
        <v/>
      </c>
    </row>
    <row r="77" outlineLevel="1">
      <c r="A77" s="1470" t="n"/>
      <c r="B77" s="1456" t="inlineStr">
        <is>
          <t>건물관리비</t>
        </is>
      </c>
      <c r="C77" s="1456" t="inlineStr">
        <is>
          <t>기타</t>
        </is>
      </c>
      <c r="D77" s="2625" t="n"/>
      <c r="E77" s="2625" t="n"/>
      <c r="F77" s="2625" t="n"/>
      <c r="G77" s="2625" t="n"/>
      <c r="H77" s="2625" t="n">
        <v>0</v>
      </c>
      <c r="I77" s="2625" t="n">
        <v>0</v>
      </c>
      <c r="J77" s="2625" t="n">
        <v>0</v>
      </c>
      <c r="K77" s="2625" t="n">
        <v>0</v>
      </c>
      <c r="L77" s="2625" t="n">
        <v>0</v>
      </c>
      <c r="M77" s="2625" t="n">
        <v>0</v>
      </c>
      <c r="N77" s="2625" t="n">
        <v>0</v>
      </c>
      <c r="O77" s="2625" t="n">
        <v>0</v>
      </c>
      <c r="P77" s="2626">
        <f>SUM(D77:O77)</f>
        <v/>
      </c>
      <c r="Q77" s="1466" t="n"/>
      <c r="R77" s="1436" t="n"/>
      <c r="S77" s="2625" t="n">
        <v>0</v>
      </c>
      <c r="T77" s="2625" t="n">
        <v>0</v>
      </c>
      <c r="U77" s="2625" t="n">
        <v>0</v>
      </c>
      <c r="V77" s="2625" t="n">
        <v>0</v>
      </c>
      <c r="W77" s="2633" t="n"/>
      <c r="X77" s="2633" t="n"/>
      <c r="Y77" s="2633" t="n"/>
      <c r="Z77" s="2633" t="n"/>
      <c r="AA77" s="2633" t="n"/>
      <c r="AB77" s="2633" t="n"/>
      <c r="AC77" s="2633" t="n"/>
      <c r="AD77" s="2633" t="n"/>
      <c r="AE77" s="2626">
        <f>SUM(S77:AD77)</f>
        <v/>
      </c>
      <c r="AF77" s="1466" t="n"/>
      <c r="AG77" s="2633" t="n"/>
      <c r="AH77" s="2633" t="n"/>
      <c r="AI77" s="2633" t="n">
        <v>0</v>
      </c>
      <c r="AJ77" s="2633" t="n">
        <v>0</v>
      </c>
      <c r="AK77" s="2633" t="n">
        <v>0</v>
      </c>
      <c r="AL77" s="2633" t="n">
        <v>0</v>
      </c>
      <c r="AM77" s="2633" t="n"/>
      <c r="AN77" s="2633" t="n"/>
      <c r="AO77" s="2633" t="n"/>
      <c r="AP77" s="2633" t="n"/>
      <c r="AQ77" s="2633" t="n"/>
      <c r="AR77" s="2633" t="n"/>
      <c r="AS77" s="2626">
        <f>SUM(AG77:AR77)</f>
        <v/>
      </c>
      <c r="AU77" s="2633" t="n"/>
      <c r="AV77" s="2633" t="n"/>
      <c r="AW77" s="2633" t="n"/>
      <c r="AX77" s="2633" t="n"/>
      <c r="AY77" s="2633" t="n"/>
      <c r="AZ77" s="2633" t="n"/>
      <c r="BA77" s="2633" t="n"/>
      <c r="BB77" s="2633" t="n"/>
      <c r="BC77" s="2633" t="n"/>
      <c r="BD77" s="2633" t="n"/>
      <c r="BE77" s="2633" t="n"/>
      <c r="BF77" s="2627" t="n"/>
      <c r="BG77" s="2628">
        <f>SUM(AU77:BF77)</f>
        <v/>
      </c>
      <c r="BI77" s="2627" t="n"/>
      <c r="BJ77" s="2627" t="n"/>
      <c r="BK77" s="2627" t="n"/>
      <c r="BL77" s="2627" t="n"/>
      <c r="BM77" s="2627" t="n"/>
      <c r="BN77" s="2627" t="n"/>
      <c r="BO77" s="2627" t="n"/>
      <c r="BP77" s="2627" t="n"/>
      <c r="BQ77" s="2627" t="n"/>
      <c r="BR77" s="2627" t="n"/>
      <c r="BS77" s="2627" t="n"/>
      <c r="BT77" s="2627" t="n"/>
      <c r="BU77" s="2628">
        <f>SUM(BI77:BT77)</f>
        <v/>
      </c>
    </row>
    <row r="78" outlineLevel="1">
      <c r="A78" s="1470" t="n"/>
      <c r="B78" s="1456" t="inlineStr">
        <is>
          <t>무형자산상각비</t>
        </is>
      </c>
      <c r="C78" s="1456" t="inlineStr">
        <is>
          <t>기타</t>
        </is>
      </c>
      <c r="D78" s="2625" t="n"/>
      <c r="E78" s="2625" t="n"/>
      <c r="F78" s="2625" t="n"/>
      <c r="G78" s="2625" t="n">
        <v>34040</v>
      </c>
      <c r="H78" s="2625" t="n">
        <v>53622</v>
      </c>
      <c r="I78" s="2625" t="n">
        <v>789359</v>
      </c>
      <c r="J78" s="2625" t="n">
        <v>847098</v>
      </c>
      <c r="K78" s="2625" t="n">
        <v>1024905</v>
      </c>
      <c r="L78" s="2625" t="n">
        <v>1090530</v>
      </c>
      <c r="M78" s="2625" t="n">
        <v>1090530</v>
      </c>
      <c r="N78" s="2625" t="n">
        <v>1112405</v>
      </c>
      <c r="O78" s="2625" t="n">
        <v>1216767</v>
      </c>
      <c r="P78" s="2626">
        <f>SUM(D78:O78)</f>
        <v/>
      </c>
      <c r="Q78" s="1466" t="n"/>
      <c r="R78" s="1436" t="n"/>
      <c r="S78" s="2625" t="n">
        <v>1216570</v>
      </c>
      <c r="T78" s="2625" t="n">
        <v>1237533</v>
      </c>
      <c r="U78" s="2625" t="n">
        <v>1237533</v>
      </c>
      <c r="V78" s="2625" t="n">
        <v>1237533</v>
      </c>
      <c r="W78" s="2633" t="n"/>
      <c r="X78" s="2633" t="n"/>
      <c r="Y78" s="2633" t="n"/>
      <c r="Z78" s="2633" t="n"/>
      <c r="AA78" s="2633" t="n"/>
      <c r="AB78" s="2633" t="n"/>
      <c r="AC78" s="2633" t="n"/>
      <c r="AD78" s="2633" t="n"/>
      <c r="AE78" s="2626">
        <f>SUM(S78:AD78)</f>
        <v/>
      </c>
      <c r="AF78" s="1466" t="inlineStr">
        <is>
          <t>전월</t>
        </is>
      </c>
      <c r="AG78" s="2633" t="n"/>
      <c r="AH78" s="2633" t="n"/>
      <c r="AI78" s="2633" t="n">
        <v>0</v>
      </c>
      <c r="AJ78" s="2633" t="n">
        <v>0</v>
      </c>
      <c r="AK78" s="2633" t="n">
        <v>0</v>
      </c>
      <c r="AL78" s="2633" t="n">
        <v>0</v>
      </c>
      <c r="AM78" s="2633" t="n"/>
      <c r="AN78" s="2633" t="n"/>
      <c r="AO78" s="2633" t="n"/>
      <c r="AP78" s="2633" t="n"/>
      <c r="AQ78" s="2633" t="n"/>
      <c r="AR78" s="2633" t="n"/>
      <c r="AS78" s="2626">
        <f>SUM(AG78:AR78)</f>
        <v/>
      </c>
      <c r="AU78" s="2633" t="n"/>
      <c r="AV78" s="2633" t="n"/>
      <c r="AW78" s="2633" t="n"/>
      <c r="AX78" s="2633" t="n"/>
      <c r="AY78" s="2633" t="n"/>
      <c r="AZ78" s="2633" t="n"/>
      <c r="BA78" s="2633" t="n"/>
      <c r="BB78" s="2633" t="n"/>
      <c r="BC78" s="2633" t="n"/>
      <c r="BD78" s="2633" t="n"/>
      <c r="BE78" s="2633" t="n"/>
      <c r="BF78" s="2627" t="n"/>
      <c r="BG78" s="2628">
        <f>SUM(AU78:BF78)</f>
        <v/>
      </c>
      <c r="BI78" s="2627" t="n"/>
      <c r="BJ78" s="2627" t="n"/>
      <c r="BK78" s="2627" t="n"/>
      <c r="BL78" s="2627" t="n"/>
      <c r="BM78" s="2627" t="n"/>
      <c r="BN78" s="2627" t="n"/>
      <c r="BO78" s="2627" t="n"/>
      <c r="BP78" s="2627" t="n"/>
      <c r="BQ78" s="2627" t="n"/>
      <c r="BR78" s="2627" t="n"/>
      <c r="BS78" s="2627" t="n"/>
      <c r="BT78" s="2627" t="n"/>
      <c r="BU78" s="2628">
        <f>SUM(BI78:BT78)</f>
        <v/>
      </c>
    </row>
    <row r="79" outlineLevel="1">
      <c r="A79" s="1470" t="n"/>
      <c r="B79" s="1456" t="inlineStr">
        <is>
          <t>잡비</t>
        </is>
      </c>
      <c r="C79" s="1456" t="inlineStr">
        <is>
          <t>기타</t>
        </is>
      </c>
      <c r="D79" s="2625" t="n"/>
      <c r="E79" s="2625" t="n"/>
      <c r="F79" s="2625" t="n"/>
      <c r="G79" s="2625" t="n"/>
      <c r="H79" s="2625" t="n">
        <v>0</v>
      </c>
      <c r="I79" s="2625" t="n">
        <v>0</v>
      </c>
      <c r="J79" s="2625" t="n">
        <v>0</v>
      </c>
      <c r="K79" s="2625" t="n">
        <v>0</v>
      </c>
      <c r="L79" s="2625" t="n">
        <v>0</v>
      </c>
      <c r="M79" s="2625" t="n">
        <v>0</v>
      </c>
      <c r="N79" s="2625" t="n">
        <v>0</v>
      </c>
      <c r="O79" s="2625" t="n">
        <v>0</v>
      </c>
      <c r="P79" s="2626">
        <f>SUM(D79:O79)</f>
        <v/>
      </c>
      <c r="Q79" s="1466" t="n"/>
      <c r="R79" s="1436" t="n"/>
      <c r="S79" s="2625" t="n">
        <v>0</v>
      </c>
      <c r="T79" s="2625" t="n">
        <v>0</v>
      </c>
      <c r="U79" s="2625" t="n">
        <v>0</v>
      </c>
      <c r="V79" s="2625" t="n">
        <v>0</v>
      </c>
      <c r="W79" s="2633" t="n"/>
      <c r="X79" s="2633" t="n"/>
      <c r="Y79" s="2633" t="n"/>
      <c r="Z79" s="2633" t="n"/>
      <c r="AA79" s="2633" t="n"/>
      <c r="AB79" s="2633" t="n"/>
      <c r="AC79" s="2633" t="n"/>
      <c r="AD79" s="2633" t="n"/>
      <c r="AE79" s="2626">
        <f>SUM(S79:AD79)</f>
        <v/>
      </c>
      <c r="AF79" s="1466" t="n"/>
      <c r="AG79" s="2633" t="n"/>
      <c r="AH79" s="2633" t="n"/>
      <c r="AI79" s="2633" t="n">
        <v>0</v>
      </c>
      <c r="AJ79" s="2633" t="n">
        <v>0</v>
      </c>
      <c r="AK79" s="2633" t="n">
        <v>0</v>
      </c>
      <c r="AL79" s="2633" t="n">
        <v>0</v>
      </c>
      <c r="AM79" s="2633" t="n"/>
      <c r="AN79" s="2633" t="n"/>
      <c r="AO79" s="2633" t="n"/>
      <c r="AP79" s="2633" t="n"/>
      <c r="AQ79" s="2633" t="n"/>
      <c r="AR79" s="2633" t="n"/>
      <c r="AS79" s="2626">
        <f>SUM(AG79:AR79)</f>
        <v/>
      </c>
      <c r="AU79" s="2633" t="n"/>
      <c r="AV79" s="2633" t="n"/>
      <c r="AW79" s="2633" t="n"/>
      <c r="AX79" s="2633" t="n"/>
      <c r="AY79" s="2633" t="n"/>
      <c r="AZ79" s="2633" t="n"/>
      <c r="BA79" s="2633" t="n"/>
      <c r="BB79" s="2633" t="n"/>
      <c r="BC79" s="2633" t="n"/>
      <c r="BD79" s="2633" t="n"/>
      <c r="BE79" s="2633" t="n"/>
      <c r="BF79" s="2627" t="n"/>
      <c r="BG79" s="2628">
        <f>SUM(AU79:BF79)</f>
        <v/>
      </c>
      <c r="BI79" s="2627" t="n"/>
      <c r="BJ79" s="2627" t="n"/>
      <c r="BK79" s="2627" t="n"/>
      <c r="BL79" s="2627" t="n"/>
      <c r="BM79" s="2627" t="n"/>
      <c r="BN79" s="2627" t="n"/>
      <c r="BO79" s="2627" t="n"/>
      <c r="BP79" s="2627" t="n"/>
      <c r="BQ79" s="2627" t="n"/>
      <c r="BR79" s="2627" t="n"/>
      <c r="BS79" s="2627" t="n"/>
      <c r="BT79" s="2627" t="n"/>
      <c r="BU79" s="2628">
        <f>SUM(BI79:BT79)</f>
        <v/>
      </c>
    </row>
    <row r="80" outlineLevel="1">
      <c r="A80" s="1470" t="n"/>
      <c r="B80" s="1456" t="inlineStr">
        <is>
          <t>협회비</t>
        </is>
      </c>
      <c r="C80" s="1456" t="inlineStr">
        <is>
          <t>기타</t>
        </is>
      </c>
      <c r="D80" s="2625" t="n"/>
      <c r="E80" s="2625" t="n"/>
      <c r="F80" s="2625" t="n"/>
      <c r="G80" s="2625" t="n"/>
      <c r="H80" s="2625" t="n">
        <v>0</v>
      </c>
      <c r="I80" s="2625" t="n">
        <v>0</v>
      </c>
      <c r="J80" s="2625" t="n">
        <v>0</v>
      </c>
      <c r="K80" s="2625" t="n">
        <v>0</v>
      </c>
      <c r="L80" s="2625" t="n">
        <v>0</v>
      </c>
      <c r="M80" s="2625" t="n">
        <v>0</v>
      </c>
      <c r="N80" s="2625" t="n">
        <v>0</v>
      </c>
      <c r="O80" s="2625" t="n">
        <v>0</v>
      </c>
      <c r="P80" s="2626">
        <f>SUM(D80:O80)</f>
        <v/>
      </c>
      <c r="Q80" s="1466" t="n"/>
      <c r="R80" s="1436" t="n"/>
      <c r="S80" s="2625" t="n">
        <v>0</v>
      </c>
      <c r="T80" s="2625" t="n">
        <v>0</v>
      </c>
      <c r="U80" s="2625" t="n">
        <v>0</v>
      </c>
      <c r="V80" s="2625" t="n">
        <v>0</v>
      </c>
      <c r="W80" s="2633" t="n"/>
      <c r="X80" s="2633" t="n"/>
      <c r="Y80" s="2633" t="n"/>
      <c r="Z80" s="2633" t="n"/>
      <c r="AA80" s="2633" t="n"/>
      <c r="AB80" s="2633" t="n"/>
      <c r="AC80" s="2633" t="n"/>
      <c r="AD80" s="2633" t="n"/>
      <c r="AE80" s="2626">
        <f>SUM(S80:AD80)</f>
        <v/>
      </c>
      <c r="AF80" s="1466" t="n"/>
      <c r="AG80" s="2633" t="n"/>
      <c r="AH80" s="2633" t="n"/>
      <c r="AI80" s="2633" t="n">
        <v>0</v>
      </c>
      <c r="AJ80" s="2633" t="n">
        <v>0</v>
      </c>
      <c r="AK80" s="2633" t="n">
        <v>0</v>
      </c>
      <c r="AL80" s="2633" t="n">
        <v>0</v>
      </c>
      <c r="AM80" s="2633" t="n"/>
      <c r="AN80" s="2633" t="n"/>
      <c r="AO80" s="2633" t="n"/>
      <c r="AP80" s="2633" t="n"/>
      <c r="AQ80" s="2633" t="n"/>
      <c r="AR80" s="2633" t="n"/>
      <c r="AS80" s="2626">
        <f>SUM(AG80:AR80)</f>
        <v/>
      </c>
      <c r="AU80" s="2633" t="n"/>
      <c r="AV80" s="2633" t="n"/>
      <c r="AW80" s="2633" t="n"/>
      <c r="AX80" s="2633" t="n"/>
      <c r="AY80" s="2633" t="n"/>
      <c r="AZ80" s="2633" t="n"/>
      <c r="BA80" s="2633" t="n"/>
      <c r="BB80" s="2633" t="n"/>
      <c r="BC80" s="2633" t="n"/>
      <c r="BD80" s="2633" t="n"/>
      <c r="BE80" s="2633" t="n"/>
      <c r="BF80" s="2627" t="n"/>
      <c r="BG80" s="2628">
        <f>SUM(AU80:BF80)</f>
        <v/>
      </c>
      <c r="BI80" s="2627" t="n"/>
      <c r="BJ80" s="2627" t="n"/>
      <c r="BK80" s="2627" t="n"/>
      <c r="BL80" s="2627" t="n"/>
      <c r="BM80" s="2627" t="n"/>
      <c r="BN80" s="2627" t="n"/>
      <c r="BO80" s="2627" t="n"/>
      <c r="BP80" s="2627" t="n"/>
      <c r="BQ80" s="2627" t="n"/>
      <c r="BR80" s="2627" t="n"/>
      <c r="BS80" s="2627" t="n"/>
      <c r="BT80" s="2627" t="n"/>
      <c r="BU80" s="2628">
        <f>SUM(BI80:BT80)</f>
        <v/>
      </c>
    </row>
    <row r="81" outlineLevel="1">
      <c r="A81" s="1470" t="n"/>
      <c r="B81" s="1456" t="inlineStr">
        <is>
          <t>외주용역비</t>
        </is>
      </c>
      <c r="C81" s="1456" t="inlineStr">
        <is>
          <t>기타</t>
        </is>
      </c>
      <c r="D81" s="2625" t="n"/>
      <c r="E81" s="2625" t="n"/>
      <c r="F81" s="2625" t="n"/>
      <c r="G81" s="2625" t="n"/>
      <c r="H81" s="2625" t="n">
        <v>0</v>
      </c>
      <c r="I81" s="2625" t="n">
        <v>0</v>
      </c>
      <c r="J81" s="2625" t="n">
        <v>41245785</v>
      </c>
      <c r="K81" s="2625" t="n">
        <v>48064380</v>
      </c>
      <c r="L81" s="2625" t="n">
        <v>14553000</v>
      </c>
      <c r="M81" s="2625" t="n">
        <v>4939820</v>
      </c>
      <c r="N81" s="2625" t="n">
        <v>5214400</v>
      </c>
      <c r="O81" s="2625" t="n">
        <v>184296600</v>
      </c>
      <c r="P81" s="2626">
        <f>SUM(D81:O81)</f>
        <v/>
      </c>
      <c r="Q81" s="1464" t="inlineStr">
        <is>
          <t>실적평균</t>
        </is>
      </c>
      <c r="R81" s="1436" t="n"/>
      <c r="S81" s="2625" t="n">
        <v>20114400</v>
      </c>
      <c r="T81" s="2625" t="n">
        <v>10606575</v>
      </c>
      <c r="U81" s="2625" t="n">
        <v>41965350</v>
      </c>
      <c r="V81" s="2625" t="n">
        <v>97289430</v>
      </c>
      <c r="W81" s="2633" t="n"/>
      <c r="X81" s="2633" t="n"/>
      <c r="Y81" s="2633" t="n"/>
      <c r="Z81" s="2633" t="n"/>
      <c r="AA81" s="2633" t="n"/>
      <c r="AB81" s="2633" t="n"/>
      <c r="AC81" s="2633" t="n"/>
      <c r="AD81" s="2633" t="n"/>
      <c r="AE81" s="2626">
        <f>SUM(S81:AD81)</f>
        <v/>
      </c>
      <c r="AF81" s="1464" t="inlineStr">
        <is>
          <t>사업계획 (컴투스 개발 외주 포함비용) ~ 약 1억</t>
        </is>
      </c>
      <c r="AG81" s="2633" t="n"/>
      <c r="AH81" s="2633" t="n"/>
      <c r="AI81" s="2633" t="n">
        <v>0</v>
      </c>
      <c r="AJ81" s="2633" t="n">
        <v>0</v>
      </c>
      <c r="AK81" s="2633" t="n">
        <v>0</v>
      </c>
      <c r="AL81" s="2633" t="n">
        <v>0</v>
      </c>
      <c r="AM81" s="2633" t="n"/>
      <c r="AN81" s="2633" t="n"/>
      <c r="AO81" s="2633" t="n"/>
      <c r="AP81" s="2633" t="n"/>
      <c r="AQ81" s="2633" t="n"/>
      <c r="AR81" s="2633" t="n"/>
      <c r="AS81" s="2626">
        <f>SUM(AG81:AR81)</f>
        <v/>
      </c>
      <c r="AU81" s="2633" t="n"/>
      <c r="AV81" s="2633" t="n"/>
      <c r="AW81" s="2633" t="n"/>
      <c r="AX81" s="2633" t="n"/>
      <c r="AY81" s="2633" t="n"/>
      <c r="AZ81" s="2633" t="n"/>
      <c r="BA81" s="2633" t="n"/>
      <c r="BB81" s="2633" t="n"/>
      <c r="BC81" s="2633" t="n"/>
      <c r="BD81" s="2633" t="n"/>
      <c r="BE81" s="2633" t="n"/>
      <c r="BF81" s="2627" t="n"/>
      <c r="BG81" s="2628">
        <f>SUM(AU81:BF81)</f>
        <v/>
      </c>
      <c r="BI81" s="2627" t="n"/>
      <c r="BJ81" s="2627" t="n"/>
      <c r="BK81" s="2627" t="n"/>
      <c r="BL81" s="2627" t="n"/>
      <c r="BM81" s="2627" t="n"/>
      <c r="BN81" s="2627" t="n"/>
      <c r="BO81" s="2627" t="n"/>
      <c r="BP81" s="2627" t="n"/>
      <c r="BQ81" s="2627" t="n"/>
      <c r="BR81" s="2627" t="n"/>
      <c r="BS81" s="2627" t="n"/>
      <c r="BT81" s="2627" t="n"/>
      <c r="BU81" s="2628">
        <f>SUM(BI81:BT81)</f>
        <v/>
      </c>
    </row>
    <row r="82" outlineLevel="1">
      <c r="A82" s="1470" t="n"/>
      <c r="B82" s="1456" t="inlineStr">
        <is>
          <t>매출채권및기타채권손상차손</t>
        </is>
      </c>
      <c r="C82" s="1456" t="inlineStr">
        <is>
          <t>기타</t>
        </is>
      </c>
      <c r="D82" s="2625" t="n"/>
      <c r="E82" s="2625" t="n"/>
      <c r="F82" s="2625" t="n"/>
      <c r="G82" s="2625" t="n"/>
      <c r="H82" s="2625" t="n">
        <v>0</v>
      </c>
      <c r="I82" s="2625" t="n">
        <v>0</v>
      </c>
      <c r="J82" s="2625" t="n">
        <v>0</v>
      </c>
      <c r="K82" s="2625" t="n">
        <v>0</v>
      </c>
      <c r="L82" s="2625" t="n">
        <v>0</v>
      </c>
      <c r="M82" s="2625" t="n">
        <v>0</v>
      </c>
      <c r="N82" s="2625" t="n">
        <v>0</v>
      </c>
      <c r="O82" s="2625" t="n">
        <v>0</v>
      </c>
      <c r="P82" s="2626">
        <f>SUM(D82:O82)</f>
        <v/>
      </c>
      <c r="Q82" s="1466" t="n"/>
      <c r="R82" s="1436" t="n"/>
      <c r="S82" s="2625" t="n">
        <v>0</v>
      </c>
      <c r="T82" s="2625" t="n">
        <v>0</v>
      </c>
      <c r="U82" s="2625" t="n">
        <v>0</v>
      </c>
      <c r="V82" s="2625" t="n">
        <v>0</v>
      </c>
      <c r="W82" s="2633" t="n"/>
      <c r="X82" s="2633" t="n"/>
      <c r="Y82" s="2633" t="n"/>
      <c r="Z82" s="2633" t="n"/>
      <c r="AA82" s="2633" t="n"/>
      <c r="AB82" s="2633" t="n"/>
      <c r="AC82" s="2633" t="n"/>
      <c r="AD82" s="2633" t="n"/>
      <c r="AE82" s="2626">
        <f>SUM(S82:AD82)</f>
        <v/>
      </c>
      <c r="AF82" s="1466" t="n"/>
      <c r="AG82" s="2633" t="n"/>
      <c r="AH82" s="2633" t="n"/>
      <c r="AI82" s="2633" t="n">
        <v>0</v>
      </c>
      <c r="AJ82" s="2633" t="n">
        <v>0</v>
      </c>
      <c r="AK82" s="2633" t="n">
        <v>0</v>
      </c>
      <c r="AL82" s="2633" t="n">
        <v>0</v>
      </c>
      <c r="AM82" s="2633" t="n"/>
      <c r="AN82" s="2633" t="n"/>
      <c r="AO82" s="2633" t="n"/>
      <c r="AP82" s="2633" t="n"/>
      <c r="AQ82" s="2633" t="n"/>
      <c r="AR82" s="2633" t="n"/>
      <c r="AS82" s="2626">
        <f>SUM(AG82:AR82)</f>
        <v/>
      </c>
      <c r="AU82" s="2633" t="n"/>
      <c r="AV82" s="2633" t="n"/>
      <c r="AW82" s="2633" t="n"/>
      <c r="AX82" s="2633" t="n"/>
      <c r="AY82" s="2633" t="n"/>
      <c r="AZ82" s="2633" t="n"/>
      <c r="BA82" s="2633" t="n"/>
      <c r="BB82" s="2633" t="n"/>
      <c r="BC82" s="2633" t="n"/>
      <c r="BD82" s="2633" t="n"/>
      <c r="BE82" s="2633" t="n"/>
      <c r="BF82" s="2627" t="n"/>
      <c r="BG82" s="2628">
        <f>SUM(AU82:BF82)</f>
        <v/>
      </c>
      <c r="BI82" s="2627" t="n"/>
      <c r="BJ82" s="2627" t="n"/>
      <c r="BK82" s="2627" t="n"/>
      <c r="BL82" s="2627" t="n"/>
      <c r="BM82" s="2627" t="n"/>
      <c r="BN82" s="2627" t="n"/>
      <c r="BO82" s="2627" t="n"/>
      <c r="BP82" s="2627" t="n"/>
      <c r="BQ82" s="2627" t="n"/>
      <c r="BR82" s="2627" t="n"/>
      <c r="BS82" s="2627" t="n"/>
      <c r="BT82" s="2627" t="n"/>
      <c r="BU82" s="2628">
        <f>SUM(BI82:BT82)</f>
        <v/>
      </c>
    </row>
    <row r="83" outlineLevel="1">
      <c r="A83" s="1470" t="n"/>
      <c r="B83" s="1456" t="inlineStr">
        <is>
          <t>운용리스료</t>
        </is>
      </c>
      <c r="C83" s="1456" t="inlineStr">
        <is>
          <t>기타</t>
        </is>
      </c>
      <c r="D83" s="2625" t="n"/>
      <c r="E83" s="2625" t="n"/>
      <c r="F83" s="2625" t="n"/>
      <c r="G83" s="2625" t="n"/>
      <c r="H83" s="2625" t="n">
        <v>0</v>
      </c>
      <c r="I83" s="2625" t="n">
        <v>0</v>
      </c>
      <c r="J83" s="2625" t="n">
        <v>0</v>
      </c>
      <c r="K83" s="2625" t="n">
        <v>0</v>
      </c>
      <c r="L83" s="2625" t="n">
        <v>0</v>
      </c>
      <c r="M83" s="2625" t="n">
        <v>0</v>
      </c>
      <c r="N83" s="2625" t="n">
        <v>0</v>
      </c>
      <c r="O83" s="2625" t="n">
        <v>0</v>
      </c>
      <c r="P83" s="2626">
        <f>SUM(D83:O83)</f>
        <v/>
      </c>
      <c r="Q83" s="1466" t="n"/>
      <c r="R83" s="1436" t="n"/>
      <c r="S83" s="2625" t="n">
        <v>0</v>
      </c>
      <c r="T83" s="2625" t="n">
        <v>0</v>
      </c>
      <c r="U83" s="2625" t="n">
        <v>0</v>
      </c>
      <c r="V83" s="2625" t="n">
        <v>0</v>
      </c>
      <c r="W83" s="2633" t="n"/>
      <c r="X83" s="2633" t="n"/>
      <c r="Y83" s="2633" t="n"/>
      <c r="Z83" s="2633" t="n"/>
      <c r="AA83" s="2633" t="n"/>
      <c r="AB83" s="2633" t="n"/>
      <c r="AC83" s="2633" t="n"/>
      <c r="AD83" s="2633" t="n"/>
      <c r="AE83" s="2626">
        <f>SUM(S83:AD83)</f>
        <v/>
      </c>
      <c r="AF83" s="1466" t="n"/>
      <c r="AG83" s="2633" t="n"/>
      <c r="AH83" s="2633" t="n"/>
      <c r="AI83" s="2633" t="n">
        <v>0</v>
      </c>
      <c r="AJ83" s="2633" t="n">
        <v>0</v>
      </c>
      <c r="AK83" s="2633" t="n">
        <v>0</v>
      </c>
      <c r="AL83" s="2633" t="n">
        <v>0</v>
      </c>
      <c r="AM83" s="2633" t="n"/>
      <c r="AN83" s="2633" t="n"/>
      <c r="AO83" s="2633" t="n"/>
      <c r="AP83" s="2633" t="n"/>
      <c r="AQ83" s="2633" t="n"/>
      <c r="AR83" s="2633" t="n"/>
      <c r="AS83" s="2626">
        <f>SUM(AG83:AR83)</f>
        <v/>
      </c>
      <c r="AU83" s="2633" t="n"/>
      <c r="AV83" s="2633" t="n"/>
      <c r="AW83" s="2633" t="n"/>
      <c r="AX83" s="2633" t="n"/>
      <c r="AY83" s="2633" t="n"/>
      <c r="AZ83" s="2633" t="n"/>
      <c r="BA83" s="2633" t="n"/>
      <c r="BB83" s="2633" t="n"/>
      <c r="BC83" s="2633" t="n"/>
      <c r="BD83" s="2633" t="n"/>
      <c r="BE83" s="2633" t="n"/>
      <c r="BF83" s="2627" t="n"/>
      <c r="BG83" s="2628">
        <f>SUM(AU83:BF83)</f>
        <v/>
      </c>
      <c r="BI83" s="2627" t="n"/>
      <c r="BJ83" s="2627" t="n"/>
      <c r="BK83" s="2627" t="n"/>
      <c r="BL83" s="2627" t="n"/>
      <c r="BM83" s="2627" t="n"/>
      <c r="BN83" s="2627" t="n"/>
      <c r="BO83" s="2627" t="n"/>
      <c r="BP83" s="2627" t="n"/>
      <c r="BQ83" s="2627" t="n"/>
      <c r="BR83" s="2627" t="n"/>
      <c r="BS83" s="2627" t="n"/>
      <c r="BT83" s="2627" t="n"/>
      <c r="BU83" s="2628">
        <f>SUM(BI83:BT83)</f>
        <v/>
      </c>
    </row>
    <row r="84" outlineLevel="1">
      <c r="A84" s="1470" t="n"/>
      <c r="B84" s="1456" t="inlineStr">
        <is>
          <t>주식보상비용</t>
        </is>
      </c>
      <c r="C84" s="1456" t="inlineStr">
        <is>
          <t>기타</t>
        </is>
      </c>
      <c r="D84" s="2625" t="n"/>
      <c r="E84" s="2625" t="n"/>
      <c r="F84" s="2625" t="n"/>
      <c r="G84" s="2625" t="n"/>
      <c r="H84" s="2625" t="n">
        <v>0</v>
      </c>
      <c r="I84" s="2625" t="n">
        <v>0</v>
      </c>
      <c r="J84" s="2625" t="n">
        <v>0</v>
      </c>
      <c r="K84" s="2625" t="n">
        <v>0</v>
      </c>
      <c r="L84" s="2625" t="n">
        <v>0</v>
      </c>
      <c r="M84" s="2625" t="n">
        <v>0</v>
      </c>
      <c r="N84" s="2625" t="n">
        <v>0</v>
      </c>
      <c r="O84" s="2625" t="n">
        <v>0</v>
      </c>
      <c r="P84" s="2626">
        <f>SUM(D84:O84)</f>
        <v/>
      </c>
      <c r="Q84" s="1466" t="n"/>
      <c r="R84" s="1436" t="n"/>
      <c r="S84" s="2625" t="n">
        <v>0</v>
      </c>
      <c r="T84" s="2625" t="n">
        <v>0</v>
      </c>
      <c r="U84" s="2625" t="n">
        <v>0</v>
      </c>
      <c r="V84" s="2625" t="n">
        <v>0</v>
      </c>
      <c r="W84" s="2633" t="n"/>
      <c r="X84" s="2633" t="n"/>
      <c r="Y84" s="2633" t="n"/>
      <c r="Z84" s="2633" t="n"/>
      <c r="AA84" s="2633" t="n"/>
      <c r="AB84" s="2633" t="n"/>
      <c r="AC84" s="2633" t="n"/>
      <c r="AD84" s="2633" t="n"/>
      <c r="AE84" s="2626">
        <f>SUM(S84:AD84)</f>
        <v/>
      </c>
      <c r="AF84" s="1466" t="n"/>
      <c r="AG84" s="2633" t="n"/>
      <c r="AH84" s="2633" t="n"/>
      <c r="AI84" s="2633" t="n">
        <v>0</v>
      </c>
      <c r="AJ84" s="2633" t="n">
        <v>0</v>
      </c>
      <c r="AK84" s="2633" t="n">
        <v>0</v>
      </c>
      <c r="AL84" s="2633" t="n">
        <v>0</v>
      </c>
      <c r="AM84" s="2633" t="n"/>
      <c r="AN84" s="2633" t="n"/>
      <c r="AO84" s="2633" t="n"/>
      <c r="AP84" s="2633" t="n"/>
      <c r="AQ84" s="2633" t="n"/>
      <c r="AR84" s="2633" t="n"/>
      <c r="AS84" s="2626">
        <f>SUM(AG84:AR84)</f>
        <v/>
      </c>
      <c r="AU84" s="2633" t="n"/>
      <c r="AV84" s="2633" t="n"/>
      <c r="AW84" s="2633" t="n"/>
      <c r="AX84" s="2633" t="n"/>
      <c r="AY84" s="2633" t="n"/>
      <c r="AZ84" s="2633" t="n"/>
      <c r="BA84" s="2633" t="n"/>
      <c r="BB84" s="2633" t="n"/>
      <c r="BC84" s="2633" t="n"/>
      <c r="BD84" s="2633" t="n"/>
      <c r="BE84" s="2633" t="n"/>
      <c r="BF84" s="2627" t="n"/>
      <c r="BG84" s="2628">
        <f>SUM(AU84:BF84)</f>
        <v/>
      </c>
      <c r="BI84" s="2627" t="n"/>
      <c r="BJ84" s="2627" t="n"/>
      <c r="BK84" s="2627" t="n"/>
      <c r="BL84" s="2627" t="n"/>
      <c r="BM84" s="2627" t="n"/>
      <c r="BN84" s="2627" t="n"/>
      <c r="BO84" s="2627" t="n"/>
      <c r="BP84" s="2627" t="n"/>
      <c r="BQ84" s="2627" t="n"/>
      <c r="BR84" s="2627" t="n"/>
      <c r="BS84" s="2627" t="n"/>
      <c r="BT84" s="2627" t="n"/>
      <c r="BU84" s="2628">
        <f>SUM(BI84:BT84)</f>
        <v/>
      </c>
    </row>
    <row r="85" outlineLevel="1">
      <c r="A85" s="1470" t="n"/>
      <c r="B85" s="1456" t="inlineStr">
        <is>
          <t>프로젝트손실충당부채전입액 &gt; 재고자산 평가 손실</t>
        </is>
      </c>
      <c r="C85" s="1456" t="inlineStr">
        <is>
          <t>기타</t>
        </is>
      </c>
      <c r="D85" s="2625" t="n"/>
      <c r="E85" s="2625" t="n"/>
      <c r="F85" s="2625" t="n"/>
      <c r="G85" s="2625" t="n"/>
      <c r="H85" s="2625" t="n">
        <v>0</v>
      </c>
      <c r="I85" s="2625" t="n">
        <v>0</v>
      </c>
      <c r="J85" s="2625" t="n">
        <v>0</v>
      </c>
      <c r="K85" s="2625" t="n">
        <v>0</v>
      </c>
      <c r="L85" s="2625" t="n">
        <v>0</v>
      </c>
      <c r="M85" s="2625" t="n">
        <v>0</v>
      </c>
      <c r="N85" s="2625" t="n">
        <v>0</v>
      </c>
      <c r="O85" s="2625" t="n">
        <v>0</v>
      </c>
      <c r="P85" s="2626">
        <f>SUM(D85:O85)</f>
        <v/>
      </c>
      <c r="Q85" s="1466" t="n"/>
      <c r="R85" s="1436" t="n"/>
      <c r="S85" s="2625" t="n">
        <v>0</v>
      </c>
      <c r="T85" s="2625" t="n">
        <v>0</v>
      </c>
      <c r="U85" s="2625" t="n">
        <v>0</v>
      </c>
      <c r="V85" s="2625" t="n">
        <v>0</v>
      </c>
      <c r="W85" s="2633" t="n"/>
      <c r="X85" s="2633" t="n"/>
      <c r="Y85" s="2633" t="n"/>
      <c r="Z85" s="2633" t="n"/>
      <c r="AA85" s="2633" t="n"/>
      <c r="AB85" s="2633" t="n"/>
      <c r="AC85" s="2633" t="n"/>
      <c r="AD85" s="2633" t="n"/>
      <c r="AE85" s="2626">
        <f>SUM(S85:AD85)</f>
        <v/>
      </c>
      <c r="AF85" s="1466" t="n"/>
      <c r="AG85" s="2633" t="n"/>
      <c r="AH85" s="2633" t="n"/>
      <c r="AI85" s="2633" t="n">
        <v>0</v>
      </c>
      <c r="AJ85" s="2633" t="n">
        <v>0</v>
      </c>
      <c r="AK85" s="2633" t="n">
        <v>0</v>
      </c>
      <c r="AL85" s="2633" t="n">
        <v>0</v>
      </c>
      <c r="AM85" s="2633" t="n"/>
      <c r="AN85" s="2633" t="n"/>
      <c r="AO85" s="2633" t="n"/>
      <c r="AP85" s="2633" t="n"/>
      <c r="AQ85" s="2633" t="n"/>
      <c r="AR85" s="2633" t="n"/>
      <c r="AS85" s="2626">
        <f>SUM(AG85:AR85)</f>
        <v/>
      </c>
      <c r="AU85" s="2633" t="n"/>
      <c r="AV85" s="2633" t="n"/>
      <c r="AW85" s="2633" t="n"/>
      <c r="AX85" s="2633" t="n"/>
      <c r="AY85" s="2633" t="n"/>
      <c r="AZ85" s="2633" t="n"/>
      <c r="BA85" s="2633" t="n"/>
      <c r="BB85" s="2633" t="n"/>
      <c r="BC85" s="2633" t="n"/>
      <c r="BD85" s="2633" t="n"/>
      <c r="BE85" s="2633" t="n"/>
      <c r="BF85" s="2627" t="n"/>
      <c r="BG85" s="2628">
        <f>SUM(AU85:BF85)</f>
        <v/>
      </c>
      <c r="BI85" s="2627" t="n"/>
      <c r="BJ85" s="2627" t="n"/>
      <c r="BK85" s="2627" t="n"/>
      <c r="BL85" s="2627" t="n"/>
      <c r="BM85" s="2627" t="n"/>
      <c r="BN85" s="2627" t="n"/>
      <c r="BO85" s="2627" t="n"/>
      <c r="BP85" s="2627" t="n"/>
      <c r="BQ85" s="2627" t="n"/>
      <c r="BR85" s="2627" t="n"/>
      <c r="BS85" s="2627" t="n"/>
      <c r="BT85" s="2627" t="n"/>
      <c r="BU85" s="2628">
        <f>SUM(BI85:BT85)</f>
        <v/>
      </c>
    </row>
    <row r="86">
      <c r="A86" s="1470" t="n"/>
      <c r="B86" s="1471" t="inlineStr">
        <is>
          <t>III.매출총이익</t>
        </is>
      </c>
      <c r="C86" s="1471" t="n"/>
      <c r="D86" s="2622">
        <f>D5-D53</f>
        <v/>
      </c>
      <c r="E86" s="2622">
        <f>E5-E53</f>
        <v/>
      </c>
      <c r="F86" s="2622">
        <f>F5-F53</f>
        <v/>
      </c>
      <c r="G86" s="2622">
        <f>G5-G53</f>
        <v/>
      </c>
      <c r="H86" s="2622">
        <f>H5-H53</f>
        <v/>
      </c>
      <c r="I86" s="2622">
        <f>I5-I53</f>
        <v/>
      </c>
      <c r="J86" s="2622">
        <f>J5-J53</f>
        <v/>
      </c>
      <c r="K86" s="2622">
        <f>K5-K53</f>
        <v/>
      </c>
      <c r="L86" s="2622">
        <f>L5-L53</f>
        <v/>
      </c>
      <c r="M86" s="2622">
        <f>M5-M53</f>
        <v/>
      </c>
      <c r="N86" s="2622">
        <f>N5-N53</f>
        <v/>
      </c>
      <c r="O86" s="2622">
        <f>O5-O53</f>
        <v/>
      </c>
      <c r="P86" s="2623">
        <f>SUM(D86:O86)</f>
        <v/>
      </c>
      <c r="Q86" s="1466" t="n"/>
      <c r="R86" s="1436" t="n"/>
      <c r="S86" s="2622">
        <f>S5-S53</f>
        <v/>
      </c>
      <c r="T86" s="2622">
        <f>T5-T53</f>
        <v/>
      </c>
      <c r="U86" s="2622">
        <f>U5-U53</f>
        <v/>
      </c>
      <c r="V86" s="2622">
        <f>V5-V53</f>
        <v/>
      </c>
      <c r="W86" s="2622">
        <f>W5-W53</f>
        <v/>
      </c>
      <c r="X86" s="2622">
        <f>X5-X53</f>
        <v/>
      </c>
      <c r="Y86" s="2622">
        <f>Y5-Y53</f>
        <v/>
      </c>
      <c r="Z86" s="2622">
        <f>Z5-Z53</f>
        <v/>
      </c>
      <c r="AA86" s="2622">
        <f>AA5-AA53</f>
        <v/>
      </c>
      <c r="AB86" s="2622">
        <f>AB5-AB53</f>
        <v/>
      </c>
      <c r="AC86" s="2622">
        <f>AC5-AC53</f>
        <v/>
      </c>
      <c r="AD86" s="2622">
        <f>AD5-AD53</f>
        <v/>
      </c>
      <c r="AE86" s="2623">
        <f>SUM(S86:AD86)</f>
        <v/>
      </c>
      <c r="AF86" s="1466" t="n"/>
      <c r="AG86" s="2622">
        <f>AG5-AG53</f>
        <v/>
      </c>
      <c r="AH86" s="2622">
        <f>AH5-AH53</f>
        <v/>
      </c>
      <c r="AI86" s="2622">
        <f>AI5-AI53</f>
        <v/>
      </c>
      <c r="AJ86" s="2622">
        <f>AJ5-AJ53</f>
        <v/>
      </c>
      <c r="AK86" s="2622">
        <f>AK5-AK53</f>
        <v/>
      </c>
      <c r="AL86" s="2622">
        <f>AL5-AL53</f>
        <v/>
      </c>
      <c r="AM86" s="2622">
        <f>AM5-AM53</f>
        <v/>
      </c>
      <c r="AN86" s="2622">
        <f>AN5-AN53</f>
        <v/>
      </c>
      <c r="AO86" s="2622">
        <f>AO5-AO53</f>
        <v/>
      </c>
      <c r="AP86" s="2622">
        <f>AP5-AP53</f>
        <v/>
      </c>
      <c r="AQ86" s="2622">
        <f>AQ5-AQ53</f>
        <v/>
      </c>
      <c r="AR86" s="2622">
        <f>AR5-AR53</f>
        <v/>
      </c>
      <c r="AS86" s="2623">
        <f>SUM(AG86:AR86)</f>
        <v/>
      </c>
      <c r="AU86" s="2622">
        <f>AU5-AU53</f>
        <v/>
      </c>
      <c r="AV86" s="2622">
        <f>AV5-AV53</f>
        <v/>
      </c>
      <c r="AW86" s="2622">
        <f>AW5-AW53</f>
        <v/>
      </c>
      <c r="AX86" s="2622">
        <f>AX5-AX53</f>
        <v/>
      </c>
      <c r="AY86" s="2622">
        <f>AY5-AY53</f>
        <v/>
      </c>
      <c r="AZ86" s="2622">
        <f>AZ5-AZ53</f>
        <v/>
      </c>
      <c r="BA86" s="2622">
        <f>BA5-BA53</f>
        <v/>
      </c>
      <c r="BB86" s="2622">
        <f>BB5-BB53</f>
        <v/>
      </c>
      <c r="BC86" s="2622">
        <f>BC5-BC53</f>
        <v/>
      </c>
      <c r="BD86" s="2622">
        <f>BD5-BD53</f>
        <v/>
      </c>
      <c r="BE86" s="2622">
        <f>BE5-BE53</f>
        <v/>
      </c>
      <c r="BF86" s="2622">
        <f>BF5-BF53</f>
        <v/>
      </c>
      <c r="BG86" s="2624">
        <f>SUM(AU86:BF86)</f>
        <v/>
      </c>
      <c r="BI86" s="2622">
        <f>BI5-BI53</f>
        <v/>
      </c>
      <c r="BJ86" s="2622">
        <f>BJ5-BJ53</f>
        <v/>
      </c>
      <c r="BK86" s="2622">
        <f>BK5-BK53</f>
        <v/>
      </c>
      <c r="BL86" s="2622">
        <f>BL5-BL53</f>
        <v/>
      </c>
      <c r="BM86" s="2622">
        <f>BM5-BM53</f>
        <v/>
      </c>
      <c r="BN86" s="2622">
        <f>BN5-BN53</f>
        <v/>
      </c>
      <c r="BO86" s="2622">
        <f>BO5-BO53</f>
        <v/>
      </c>
      <c r="BP86" s="2622">
        <f>BP5-BP53</f>
        <v/>
      </c>
      <c r="BQ86" s="2622">
        <f>BQ5-BQ53</f>
        <v/>
      </c>
      <c r="BR86" s="2622">
        <f>BR5-BR53</f>
        <v/>
      </c>
      <c r="BS86" s="2622">
        <f>BS5-BS53</f>
        <v/>
      </c>
      <c r="BT86" s="2622">
        <f>BT5-BT53</f>
        <v/>
      </c>
      <c r="BU86" s="2624">
        <f>SUM(BI86:BT86)</f>
        <v/>
      </c>
    </row>
    <row r="87">
      <c r="A87" s="1470" t="n"/>
      <c r="B87" s="1471" t="inlineStr">
        <is>
          <t>IV.판매비와관리비</t>
        </is>
      </c>
      <c r="C87" s="1471" t="n"/>
      <c r="D87" s="2622">
        <f>SUM(D88:D120)</f>
        <v/>
      </c>
      <c r="E87" s="2622">
        <f>SUM(E88:E120)</f>
        <v/>
      </c>
      <c r="F87" s="2622">
        <f>SUM(F88:F120)</f>
        <v/>
      </c>
      <c r="G87" s="2622">
        <f>SUM(G88:G120)</f>
        <v/>
      </c>
      <c r="H87" s="2622">
        <f>SUM(H88:H120)</f>
        <v/>
      </c>
      <c r="I87" s="2622">
        <f>SUM(I88:I121)</f>
        <v/>
      </c>
      <c r="J87" s="2622">
        <f>SUM(J88:J121)</f>
        <v/>
      </c>
      <c r="K87" s="2622">
        <f>SUM(K88:K121)</f>
        <v/>
      </c>
      <c r="L87" s="2622">
        <f>SUM(L88:L121)</f>
        <v/>
      </c>
      <c r="M87" s="2622">
        <f>SUM(M88:M121)</f>
        <v/>
      </c>
      <c r="N87" s="2622">
        <f>SUM(N88:N121)</f>
        <v/>
      </c>
      <c r="O87" s="2622">
        <f>SUM(O88:O121)</f>
        <v/>
      </c>
      <c r="P87" s="2623">
        <f>SUM(D87:O87)</f>
        <v/>
      </c>
      <c r="Q87" s="1466" t="n"/>
      <c r="R87" s="1436" t="n"/>
      <c r="S87" s="2622">
        <f>SUM(S88:S121)</f>
        <v/>
      </c>
      <c r="T87" s="2622">
        <f>SUM(T88:T121)</f>
        <v/>
      </c>
      <c r="U87" s="2622">
        <f>SUM(U88:U121)</f>
        <v/>
      </c>
      <c r="V87" s="2622">
        <f>SUM(V88:V121)</f>
        <v/>
      </c>
      <c r="W87" s="2622">
        <f>SUM(W88:W121)</f>
        <v/>
      </c>
      <c r="X87" s="2622">
        <f>SUM(X88:X121)</f>
        <v/>
      </c>
      <c r="Y87" s="2622">
        <f>SUM(Y88:Y121)</f>
        <v/>
      </c>
      <c r="Z87" s="2622">
        <f>SUM(Z88:Z121)</f>
        <v/>
      </c>
      <c r="AA87" s="2622">
        <f>SUM(AA88:AA121)</f>
        <v/>
      </c>
      <c r="AB87" s="2622">
        <f>SUM(AB88:AB121)</f>
        <v/>
      </c>
      <c r="AC87" s="2622">
        <f>SUM(AC88:AC121)</f>
        <v/>
      </c>
      <c r="AD87" s="2622">
        <f>SUM(AD88:AD121)</f>
        <v/>
      </c>
      <c r="AE87" s="2623">
        <f>SUM(S87:AD87)</f>
        <v/>
      </c>
      <c r="AF87" s="1466" t="n"/>
      <c r="AG87" s="2622">
        <f>SUM(AG88:AG121)</f>
        <v/>
      </c>
      <c r="AH87" s="2622">
        <f>SUM(AH88:AH121)</f>
        <v/>
      </c>
      <c r="AI87" s="2622">
        <f>SUM(AI88:AI121)</f>
        <v/>
      </c>
      <c r="AJ87" s="2622">
        <f>SUM(AJ88:AJ121)</f>
        <v/>
      </c>
      <c r="AK87" s="2622">
        <f>SUM(AK88:AK121)</f>
        <v/>
      </c>
      <c r="AL87" s="2622">
        <f>SUM(AL88:AL121)</f>
        <v/>
      </c>
      <c r="AM87" s="2622">
        <f>SUM(AM88:AM121)</f>
        <v/>
      </c>
      <c r="AN87" s="2622">
        <f>SUM(AN88:AN121)</f>
        <v/>
      </c>
      <c r="AO87" s="2622">
        <f>SUM(AO88:AO121)</f>
        <v/>
      </c>
      <c r="AP87" s="2622">
        <f>SUM(AP88:AP121)</f>
        <v/>
      </c>
      <c r="AQ87" s="2622">
        <f>SUM(AQ88:AQ121)</f>
        <v/>
      </c>
      <c r="AR87" s="2622">
        <f>SUM(AR88:AR121)</f>
        <v/>
      </c>
      <c r="AS87" s="2623">
        <f>SUM(AG87:AR87)</f>
        <v/>
      </c>
      <c r="AU87" s="2622">
        <f>SUM(AU88:AU121)</f>
        <v/>
      </c>
      <c r="AV87" s="2622">
        <f>SUM(AV88:AV121)</f>
        <v/>
      </c>
      <c r="AW87" s="2622">
        <f>SUM(AW88:AW121)</f>
        <v/>
      </c>
      <c r="AX87" s="2622">
        <f>SUM(AX88:AX121)</f>
        <v/>
      </c>
      <c r="AY87" s="2622">
        <f>SUM(AY88:AY121)</f>
        <v/>
      </c>
      <c r="AZ87" s="2622">
        <f>SUM(AZ88:AZ121)</f>
        <v/>
      </c>
      <c r="BA87" s="2622">
        <f>SUM(BA88:BA121)</f>
        <v/>
      </c>
      <c r="BB87" s="2622">
        <f>SUM(BB88:BB121)</f>
        <v/>
      </c>
      <c r="BC87" s="2622">
        <f>SUM(BC88:BC121)</f>
        <v/>
      </c>
      <c r="BD87" s="2622">
        <f>SUM(BD88:BD121)</f>
        <v/>
      </c>
      <c r="BE87" s="2622">
        <f>SUM(BE88:BE121)</f>
        <v/>
      </c>
      <c r="BF87" s="2622">
        <f>SUM(BF88:BF121)</f>
        <v/>
      </c>
      <c r="BG87" s="2624">
        <f>SUM(AU87:BF87)</f>
        <v/>
      </c>
      <c r="BI87" s="2622">
        <f>SUM(BI88:BI121)</f>
        <v/>
      </c>
      <c r="BJ87" s="2622">
        <f>SUM(BJ88:BJ121)</f>
        <v/>
      </c>
      <c r="BK87" s="2622">
        <f>SUM(BK88:BK121)</f>
        <v/>
      </c>
      <c r="BL87" s="2622">
        <f>SUM(BL88:BL121)</f>
        <v/>
      </c>
      <c r="BM87" s="2622">
        <f>SUM(BM88:BM121)</f>
        <v/>
      </c>
      <c r="BN87" s="2622">
        <f>SUM(BN88:BN121)</f>
        <v/>
      </c>
      <c r="BO87" s="2622">
        <f>SUM(BO88:BO121)</f>
        <v/>
      </c>
      <c r="BP87" s="2622">
        <f>SUM(BP88:BP121)</f>
        <v/>
      </c>
      <c r="BQ87" s="2622">
        <f>SUM(BQ88:BQ121)</f>
        <v/>
      </c>
      <c r="BR87" s="2622">
        <f>SUM(BR88:BR121)</f>
        <v/>
      </c>
      <c r="BS87" s="2622">
        <f>SUM(BS88:BS121)</f>
        <v/>
      </c>
      <c r="BT87" s="2622">
        <f>SUM(BT88:BT121)</f>
        <v/>
      </c>
      <c r="BU87" s="2624">
        <f>SUM(BI87:BT87)</f>
        <v/>
      </c>
    </row>
    <row r="88" outlineLevel="1">
      <c r="A88" s="1470" t="n"/>
      <c r="B88" s="1456" t="inlineStr">
        <is>
          <t>급여</t>
        </is>
      </c>
      <c r="C88" s="1456" t="inlineStr">
        <is>
          <t>인건비 등</t>
        </is>
      </c>
      <c r="D88" s="2625" t="n"/>
      <c r="E88" s="2625" t="n"/>
      <c r="F88" s="2625" t="n"/>
      <c r="G88" s="2625" t="n">
        <v>71740770</v>
      </c>
      <c r="H88" s="2625" t="n">
        <v>77231880</v>
      </c>
      <c r="I88" s="2625" t="n">
        <v>69649380</v>
      </c>
      <c r="J88" s="2625" t="n">
        <v>79227970</v>
      </c>
      <c r="K88" s="2625" t="n">
        <v>129360737</v>
      </c>
      <c r="L88" s="2625" t="n">
        <v>145677557</v>
      </c>
      <c r="M88" s="2625" t="n">
        <v>127722980</v>
      </c>
      <c r="N88" s="2625" t="n">
        <v>144741910</v>
      </c>
      <c r="O88" s="2625" t="n">
        <v>204976875</v>
      </c>
      <c r="P88" s="2626">
        <f>SUM(D88:O88)</f>
        <v/>
      </c>
      <c r="Q88" s="1464" t="inlineStr">
        <is>
          <t>인원계획 조정(11월까지 매월 10명 증가 가정)</t>
        </is>
      </c>
      <c r="R88" s="1436" t="n"/>
      <c r="S88" s="2625" t="n">
        <v>93806982</v>
      </c>
      <c r="T88" s="2625" t="n">
        <v>102143134</v>
      </c>
      <c r="U88" s="2625" t="n">
        <v>138373680</v>
      </c>
      <c r="V88" s="2625" t="n">
        <v>130644662</v>
      </c>
      <c r="W88" s="2625" t="n">
        <v>934580783</v>
      </c>
      <c r="X88" s="2625" t="n">
        <v>917800682</v>
      </c>
      <c r="Y88" s="2625" t="n">
        <v>893783361</v>
      </c>
      <c r="Z88" s="2625" t="n">
        <v>962134146</v>
      </c>
      <c r="AA88" s="2625" t="n">
        <v>808947862</v>
      </c>
      <c r="AB88" s="2625" t="n">
        <v>520390885</v>
      </c>
      <c r="AC88" s="2625" t="n">
        <v>463584101</v>
      </c>
      <c r="AD88" s="2625" t="n">
        <v>119459980</v>
      </c>
      <c r="AE88" s="2626">
        <f>SUM(S88:AD88)</f>
        <v/>
      </c>
      <c r="AF88" s="1464" t="inlineStr">
        <is>
          <t>12월 실적</t>
        </is>
      </c>
      <c r="AG88" s="2625" t="n">
        <v>219862894</v>
      </c>
      <c r="AH88" s="2625" t="n">
        <v>213054394</v>
      </c>
      <c r="AI88" s="2625" t="n">
        <v>164561255</v>
      </c>
      <c r="AJ88" s="2625" t="n">
        <v>208362412</v>
      </c>
      <c r="AK88" s="2625" t="n">
        <v>191040112</v>
      </c>
      <c r="AL88" s="2625" t="n">
        <v>185722901</v>
      </c>
      <c r="AM88" s="2625" t="n">
        <v>132666072</v>
      </c>
      <c r="AN88" s="2625" t="n">
        <v>90461526</v>
      </c>
      <c r="AO88" s="2625" t="n">
        <v>-10035289</v>
      </c>
      <c r="AP88" s="2625" t="n">
        <v>39035205</v>
      </c>
      <c r="AQ88" s="2625" t="n">
        <v>29901076</v>
      </c>
      <c r="AR88" s="2625" t="n">
        <v>25322871</v>
      </c>
      <c r="AS88" s="2626">
        <f>SUM(AG88:AR88)</f>
        <v/>
      </c>
      <c r="AT88" s="1440" t="inlineStr">
        <is>
          <t>전월</t>
        </is>
      </c>
      <c r="AU88" s="2625">
        <f>27534240+223296</f>
        <v/>
      </c>
      <c r="AV88" s="2625" t="n">
        <v>27470626</v>
      </c>
      <c r="AW88" s="2625" t="n">
        <v>28531639</v>
      </c>
      <c r="AX88" s="2625" t="n">
        <v>29073306</v>
      </c>
      <c r="AY88" s="2625" t="n">
        <v>29073306</v>
      </c>
      <c r="AZ88" s="2625" t="n">
        <v>29015359</v>
      </c>
      <c r="BA88" s="2625" t="n">
        <v>28473306</v>
      </c>
      <c r="BB88" s="2625" t="n">
        <v>28473306</v>
      </c>
      <c r="BC88" s="2625" t="n">
        <v>29081828</v>
      </c>
      <c r="BD88" s="2625" t="n">
        <v>28473306</v>
      </c>
      <c r="BE88" s="2625" t="n">
        <v>28473306</v>
      </c>
      <c r="BF88" s="2627">
        <f>BE88</f>
        <v/>
      </c>
      <c r="BG88" s="2628">
        <f>SUM(AU88:BF88)</f>
        <v/>
      </c>
      <c r="BI88" s="2629">
        <f>BF88*1.02</f>
        <v/>
      </c>
      <c r="BJ88" s="2629">
        <f>BI88</f>
        <v/>
      </c>
      <c r="BK88" s="2629">
        <f>BJ88</f>
        <v/>
      </c>
      <c r="BL88" s="2629">
        <f>BK88</f>
        <v/>
      </c>
      <c r="BM88" s="2629">
        <f>BL88</f>
        <v/>
      </c>
      <c r="BN88" s="2629">
        <f>BM88</f>
        <v/>
      </c>
      <c r="BO88" s="2629">
        <f>BN88</f>
        <v/>
      </c>
      <c r="BP88" s="2629">
        <f>BO88</f>
        <v/>
      </c>
      <c r="BQ88" s="2629">
        <f>BP88</f>
        <v/>
      </c>
      <c r="BR88" s="2629">
        <f>BQ88</f>
        <v/>
      </c>
      <c r="BS88" s="2629">
        <f>BR88</f>
        <v/>
      </c>
      <c r="BT88" s="2629">
        <f>BS88</f>
        <v/>
      </c>
      <c r="BU88" s="2628">
        <f>SUM(BI88:BT88)</f>
        <v/>
      </c>
    </row>
    <row r="89" outlineLevel="1">
      <c r="A89" s="1470" t="n"/>
      <c r="B89" s="1456" t="inlineStr">
        <is>
          <t>상여</t>
        </is>
      </c>
      <c r="C89" s="1456" t="inlineStr">
        <is>
          <t>인건비 등</t>
        </is>
      </c>
      <c r="D89" s="2625" t="n"/>
      <c r="E89" s="2625" t="n"/>
      <c r="F89" s="2625" t="n"/>
      <c r="G89" s="2625" t="n"/>
      <c r="H89" s="2625" t="n">
        <v>0</v>
      </c>
      <c r="I89" s="2625" t="n">
        <v>0</v>
      </c>
      <c r="J89" s="2625" t="n">
        <v>0</v>
      </c>
      <c r="K89" s="2625" t="n">
        <v>0</v>
      </c>
      <c r="L89" s="2625" t="n">
        <v>0</v>
      </c>
      <c r="M89" s="2625" t="n">
        <v>0</v>
      </c>
      <c r="N89" s="2625" t="n">
        <v>0</v>
      </c>
      <c r="O89" s="2625" t="n">
        <v>0</v>
      </c>
      <c r="P89" s="2626">
        <f>SUM(D89:O89)</f>
        <v/>
      </c>
      <c r="Q89" s="1466" t="n"/>
      <c r="R89" s="1436" t="n"/>
      <c r="S89" s="2625" t="n">
        <v>0</v>
      </c>
      <c r="T89" s="2625" t="n">
        <v>0</v>
      </c>
      <c r="U89" s="2625" t="n">
        <v>0</v>
      </c>
      <c r="V89" s="2625" t="n">
        <v>0</v>
      </c>
      <c r="W89" s="2625" t="n">
        <v>0</v>
      </c>
      <c r="X89" s="2625" t="n">
        <v>0</v>
      </c>
      <c r="Y89" s="2625" t="n">
        <v>0</v>
      </c>
      <c r="Z89" s="2625" t="n">
        <v>0</v>
      </c>
      <c r="AA89" s="2625" t="n">
        <v>0</v>
      </c>
      <c r="AB89" s="2625" t="n">
        <v>0</v>
      </c>
      <c r="AC89" s="2625" t="n">
        <v>0</v>
      </c>
      <c r="AD89" s="2625" t="n">
        <v>0</v>
      </c>
      <c r="AE89" s="2626">
        <f>SUM(S89:AD89)</f>
        <v/>
      </c>
      <c r="AF89" s="1466" t="n"/>
      <c r="AG89" s="2625" t="n">
        <v>0</v>
      </c>
      <c r="AH89" s="2625" t="n">
        <v>0</v>
      </c>
      <c r="AI89" s="2625" t="n">
        <v>0</v>
      </c>
      <c r="AJ89" s="2625" t="n">
        <v>0</v>
      </c>
      <c r="AK89" s="2625" t="n">
        <v>0</v>
      </c>
      <c r="AL89" s="2625" t="n">
        <v>0</v>
      </c>
      <c r="AM89" s="2625" t="n">
        <v>0</v>
      </c>
      <c r="AN89" s="2625" t="n">
        <v>0</v>
      </c>
      <c r="AO89" s="2625" t="n">
        <v>0</v>
      </c>
      <c r="AP89" s="2625" t="n">
        <v>0</v>
      </c>
      <c r="AQ89" s="2625" t="n"/>
      <c r="AR89" s="2625" t="n">
        <v>0</v>
      </c>
      <c r="AS89" s="2626">
        <f>SUM(AG89:AR89)</f>
        <v/>
      </c>
      <c r="AU89" s="2625" t="n"/>
      <c r="AV89" s="2625" t="n">
        <v>0</v>
      </c>
      <c r="AW89" s="2625" t="n">
        <v>0</v>
      </c>
      <c r="AX89" s="2625" t="n">
        <v>0</v>
      </c>
      <c r="AY89" s="2625" t="n">
        <v>0</v>
      </c>
      <c r="AZ89" s="2625" t="n">
        <v>0</v>
      </c>
      <c r="BA89" s="2625" t="n">
        <v>0</v>
      </c>
      <c r="BB89" s="2625" t="n">
        <v>0</v>
      </c>
      <c r="BC89" s="2625" t="n"/>
      <c r="BD89" s="2625" t="n">
        <v>0</v>
      </c>
      <c r="BE89" s="2625" t="n">
        <v>0</v>
      </c>
      <c r="BF89" s="2627" t="n"/>
      <c r="BG89" s="2628">
        <f>SUM(AU89:BF89)</f>
        <v/>
      </c>
      <c r="BI89" s="2629" t="n"/>
      <c r="BJ89" s="2629" t="n"/>
      <c r="BK89" s="2629" t="n"/>
      <c r="BL89" s="2629" t="n"/>
      <c r="BM89" s="2629" t="n"/>
      <c r="BN89" s="2629" t="n"/>
      <c r="BO89" s="2629" t="n"/>
      <c r="BP89" s="2629" t="n"/>
      <c r="BQ89" s="2629" t="n"/>
      <c r="BR89" s="2629" t="n"/>
      <c r="BS89" s="2629" t="n"/>
      <c r="BT89" s="2629" t="n"/>
      <c r="BU89" s="2628">
        <f>SUM(BI89:BT89)</f>
        <v/>
      </c>
    </row>
    <row r="90" outlineLevel="1">
      <c r="A90" s="1470" t="n"/>
      <c r="B90" s="1456" t="inlineStr">
        <is>
          <t>퇴직급여</t>
        </is>
      </c>
      <c r="C90" s="1456" t="inlineStr">
        <is>
          <t>인건비 등</t>
        </is>
      </c>
      <c r="D90" s="2625" t="n"/>
      <c r="E90" s="2625" t="n"/>
      <c r="F90" s="2625" t="n"/>
      <c r="G90" s="2625" t="n">
        <v>375700</v>
      </c>
      <c r="H90" s="2625" t="n">
        <v>375700</v>
      </c>
      <c r="I90" s="2625" t="n">
        <v>372600</v>
      </c>
      <c r="J90" s="2625" t="n">
        <v>375700</v>
      </c>
      <c r="K90" s="2625" t="n">
        <v>813200</v>
      </c>
      <c r="L90" s="2625" t="n">
        <v>833240</v>
      </c>
      <c r="M90" s="2625" t="n">
        <v>4649920</v>
      </c>
      <c r="N90" s="2625" t="n">
        <v>7606360</v>
      </c>
      <c r="O90" s="2625" t="n">
        <v>9424590</v>
      </c>
      <c r="P90" s="2626">
        <f>SUM(D90:O90)</f>
        <v/>
      </c>
      <c r="Q90" s="1464" t="inlineStr">
        <is>
          <t>실적평균</t>
        </is>
      </c>
      <c r="R90" s="1436" t="n"/>
      <c r="S90" s="2625" t="n">
        <v>2675700</v>
      </c>
      <c r="T90" s="2625" t="n">
        <v>2675700</v>
      </c>
      <c r="U90" s="2625" t="n">
        <v>33045740</v>
      </c>
      <c r="V90" s="2625" t="n">
        <v>19553660</v>
      </c>
      <c r="W90" s="2625" t="n">
        <v>48966070</v>
      </c>
      <c r="X90" s="2625" t="n">
        <v>93854360</v>
      </c>
      <c r="Y90" s="2625" t="n">
        <v>61564360</v>
      </c>
      <c r="Z90" s="2625" t="n">
        <v>7500000</v>
      </c>
      <c r="AA90" s="2625" t="n">
        <v>213944080</v>
      </c>
      <c r="AB90" s="2625" t="n">
        <v>919203780</v>
      </c>
      <c r="AC90" s="2625" t="n">
        <v>58392980</v>
      </c>
      <c r="AD90" s="2625" t="n">
        <v>80089500</v>
      </c>
      <c r="AE90" s="2626">
        <f>SUM(S90:AD90)</f>
        <v/>
      </c>
      <c r="AF90" s="1464" t="inlineStr">
        <is>
          <t>퇴직자에따른 증가. 1분기 평균 가정(140명수준, 23년 1월 유사 가정</t>
        </is>
      </c>
      <c r="AG90" s="2625" t="n">
        <v>20619210</v>
      </c>
      <c r="AH90" s="2625" t="n">
        <v>22833750</v>
      </c>
      <c r="AI90" s="2625" t="n">
        <v>60122180</v>
      </c>
      <c r="AJ90" s="2625" t="n">
        <v>16649880</v>
      </c>
      <c r="AK90" s="2625" t="n">
        <v>15578010</v>
      </c>
      <c r="AL90" s="2625" t="n">
        <v>15059750</v>
      </c>
      <c r="AM90" s="2625" t="n">
        <v>37850790</v>
      </c>
      <c r="AN90" s="2625" t="n">
        <v>160390150</v>
      </c>
      <c r="AO90" s="2625" t="n">
        <v>33432940</v>
      </c>
      <c r="AP90" s="2625" t="n">
        <v>23736140</v>
      </c>
      <c r="AQ90" s="2625" t="n">
        <v>2486120</v>
      </c>
      <c r="AR90" s="2625" t="n">
        <v>2805600</v>
      </c>
      <c r="AS90" s="2626">
        <f>SUM(AG90:AR90)</f>
        <v/>
      </c>
      <c r="AT90" s="1440" t="inlineStr">
        <is>
          <t>전월</t>
        </is>
      </c>
      <c r="AU90" s="2625" t="n">
        <v>2486120</v>
      </c>
      <c r="AV90" s="2625" t="n">
        <v>2486120</v>
      </c>
      <c r="AW90" s="2625" t="n">
        <v>2598620</v>
      </c>
      <c r="AX90" s="2625" t="n">
        <v>2598620</v>
      </c>
      <c r="AY90" s="2625" t="n">
        <v>2598620</v>
      </c>
      <c r="AZ90" s="2625" t="n">
        <v>2598620</v>
      </c>
      <c r="BA90" s="2625" t="n">
        <v>2598620</v>
      </c>
      <c r="BB90" s="2625" t="n">
        <v>2598620</v>
      </c>
      <c r="BC90" s="2625" t="n">
        <v>2598620</v>
      </c>
      <c r="BD90" s="2625" t="n">
        <v>2598620</v>
      </c>
      <c r="BE90" s="2625" t="n">
        <v>2598620</v>
      </c>
      <c r="BF90" s="2627">
        <f>BE90</f>
        <v/>
      </c>
      <c r="BG90" s="2628">
        <f>SUM(AU90:BF90)</f>
        <v/>
      </c>
      <c r="BI90" s="2629">
        <f>BF90*1.02</f>
        <v/>
      </c>
      <c r="BJ90" s="2629">
        <f>BI90</f>
        <v/>
      </c>
      <c r="BK90" s="2629">
        <f>BJ90</f>
        <v/>
      </c>
      <c r="BL90" s="2629">
        <f>BK90</f>
        <v/>
      </c>
      <c r="BM90" s="2629">
        <f>BL90</f>
        <v/>
      </c>
      <c r="BN90" s="2629">
        <f>BM90</f>
        <v/>
      </c>
      <c r="BO90" s="2629">
        <f>BN90</f>
        <v/>
      </c>
      <c r="BP90" s="2629">
        <f>BO90</f>
        <v/>
      </c>
      <c r="BQ90" s="2629">
        <f>BP90</f>
        <v/>
      </c>
      <c r="BR90" s="2629">
        <f>BQ90</f>
        <v/>
      </c>
      <c r="BS90" s="2629">
        <f>BR90</f>
        <v/>
      </c>
      <c r="BT90" s="2629">
        <f>BS90</f>
        <v/>
      </c>
      <c r="BU90" s="2628">
        <f>SUM(BI90:BT90)</f>
        <v/>
      </c>
    </row>
    <row r="91" outlineLevel="1">
      <c r="A91" s="1470" t="n"/>
      <c r="B91" s="1456" t="inlineStr">
        <is>
          <t>복리후생비</t>
        </is>
      </c>
      <c r="C91" s="1456" t="inlineStr">
        <is>
          <t>인건비 등</t>
        </is>
      </c>
      <c r="D91" s="2625" t="n"/>
      <c r="E91" s="2625" t="n"/>
      <c r="F91" s="2625" t="n"/>
      <c r="G91" s="2625" t="n">
        <v>4560131</v>
      </c>
      <c r="H91" s="2625" t="n">
        <v>7996125</v>
      </c>
      <c r="I91" s="2625" t="n">
        <v>45266414</v>
      </c>
      <c r="J91" s="2625" t="n">
        <v>27887923</v>
      </c>
      <c r="K91" s="2625" t="n">
        <v>65306438</v>
      </c>
      <c r="L91" s="2625" t="n">
        <v>39937575</v>
      </c>
      <c r="M91" s="2625" t="n">
        <v>42017615</v>
      </c>
      <c r="N91" s="2625" t="n">
        <v>47502205</v>
      </c>
      <c r="O91" s="2625" t="n">
        <v>60623587</v>
      </c>
      <c r="P91" s="2626">
        <f>SUM(D91:O91)</f>
        <v/>
      </c>
      <c r="Q91" s="1464" t="inlineStr">
        <is>
          <t>인원계획에 따라 +5% 반영</t>
        </is>
      </c>
      <c r="R91" s="1436" t="n"/>
      <c r="S91" s="2625" t="n">
        <v>69195079</v>
      </c>
      <c r="T91" s="2625" t="n">
        <v>44262310</v>
      </c>
      <c r="U91" s="2625" t="n">
        <v>56007340</v>
      </c>
      <c r="V91" s="2625" t="n">
        <v>63290882</v>
      </c>
      <c r="W91" s="2625" t="n">
        <v>168979041</v>
      </c>
      <c r="X91" s="2625" t="n">
        <v>149147586</v>
      </c>
      <c r="Y91" s="2625" t="n">
        <v>144577659</v>
      </c>
      <c r="Z91" s="2625" t="n">
        <v>142910847</v>
      </c>
      <c r="AA91" s="2625" t="n">
        <v>129130025</v>
      </c>
      <c r="AB91" s="2625" t="n">
        <v>42754726</v>
      </c>
      <c r="AC91" s="2625" t="n">
        <v>-74282943</v>
      </c>
      <c r="AD91" s="2625" t="n">
        <v>52367605</v>
      </c>
      <c r="AE91" s="2626">
        <f>SUM(S91:AD91)</f>
        <v/>
      </c>
      <c r="AF91" s="1464" t="inlineStr">
        <is>
          <t>약 1억 가정(3월 실적 약 1억)~인원 감소효과 가정</t>
        </is>
      </c>
      <c r="AG91" s="2625" t="n">
        <v>53272610</v>
      </c>
      <c r="AH91" s="2625" t="n">
        <v>37427868</v>
      </c>
      <c r="AI91" s="2625" t="n">
        <v>26316451</v>
      </c>
      <c r="AJ91" s="2625" t="n">
        <v>41991674</v>
      </c>
      <c r="AK91" s="2625" t="n">
        <v>41684629</v>
      </c>
      <c r="AL91" s="2625" t="n">
        <v>27799557</v>
      </c>
      <c r="AM91" s="2625" t="n">
        <v>19669996</v>
      </c>
      <c r="AN91" s="2625" t="n">
        <v>-36005983</v>
      </c>
      <c r="AO91" s="2625" t="n">
        <v>-1282407</v>
      </c>
      <c r="AP91" s="2625" t="n">
        <v>-1847609</v>
      </c>
      <c r="AQ91" s="2625" t="n">
        <v>9730476</v>
      </c>
      <c r="AR91" s="2625" t="n">
        <v>7785786</v>
      </c>
      <c r="AS91" s="2626">
        <f>SUM(AG91:AR91)</f>
        <v/>
      </c>
      <c r="AT91" s="1440" t="inlineStr">
        <is>
          <t>3백만원 가정</t>
        </is>
      </c>
      <c r="AU91" s="2625" t="n">
        <v>3267547</v>
      </c>
      <c r="AV91" s="2625" t="n">
        <v>2859731</v>
      </c>
      <c r="AW91" s="2625" t="n">
        <v>3635409</v>
      </c>
      <c r="AX91" s="2625" t="n">
        <v>3699174</v>
      </c>
      <c r="AY91" s="2625" t="n">
        <v>3080161</v>
      </c>
      <c r="AZ91" s="2625" t="n">
        <v>6978046</v>
      </c>
      <c r="BA91" s="2625" t="n">
        <v>2737012</v>
      </c>
      <c r="BB91" s="2625" t="n">
        <v>2603214</v>
      </c>
      <c r="BC91" s="2625" t="n">
        <v>3209784</v>
      </c>
      <c r="BD91" s="2625" t="n">
        <v>4363434</v>
      </c>
      <c r="BE91" s="2625" t="n">
        <v>3653510</v>
      </c>
      <c r="BF91" s="2627" t="n">
        <v>3000000</v>
      </c>
      <c r="BG91" s="2628">
        <f>SUM(AU91:BF91)</f>
        <v/>
      </c>
      <c r="BH91" s="1440" t="inlineStr">
        <is>
          <t>3백만원 가정</t>
        </is>
      </c>
      <c r="BI91" s="2629" t="n">
        <v>3000000</v>
      </c>
      <c r="BJ91" s="2629" t="n">
        <v>3000000</v>
      </c>
      <c r="BK91" s="2629" t="n">
        <v>3000000</v>
      </c>
      <c r="BL91" s="2629" t="n">
        <v>3000000</v>
      </c>
      <c r="BM91" s="2629" t="n">
        <v>3000000</v>
      </c>
      <c r="BN91" s="2629" t="n">
        <v>3000000</v>
      </c>
      <c r="BO91" s="2629" t="n">
        <v>3000000</v>
      </c>
      <c r="BP91" s="2629" t="n">
        <v>3000000</v>
      </c>
      <c r="BQ91" s="2629" t="n">
        <v>3000000</v>
      </c>
      <c r="BR91" s="2629" t="n">
        <v>3000000</v>
      </c>
      <c r="BS91" s="2629" t="n">
        <v>3000000</v>
      </c>
      <c r="BT91" s="2629" t="n">
        <v>3000000</v>
      </c>
      <c r="BU91" s="2628">
        <f>SUM(BI91:BT91)</f>
        <v/>
      </c>
    </row>
    <row r="92" outlineLevel="1" customFormat="1" s="1498">
      <c r="A92" s="1494" t="n"/>
      <c r="B92" s="1495" t="inlineStr">
        <is>
          <t>감가상각비</t>
        </is>
      </c>
      <c r="C92" s="1495" t="inlineStr">
        <is>
          <t>기타</t>
        </is>
      </c>
      <c r="D92" s="2641" t="n"/>
      <c r="E92" s="2641" t="n"/>
      <c r="F92" s="2641" t="n"/>
      <c r="G92" s="2641" t="n">
        <v>5415866.541666666</v>
      </c>
      <c r="H92" s="2641" t="n">
        <v>-1943246.541666666</v>
      </c>
      <c r="I92" s="2641" t="n">
        <v>1987891</v>
      </c>
      <c r="J92" s="2641" t="n">
        <v>1907230</v>
      </c>
      <c r="K92" s="2641" t="n">
        <v>14213425</v>
      </c>
      <c r="L92" s="2641" t="n">
        <v>26143173</v>
      </c>
      <c r="M92" s="2641" t="n">
        <v>31818426</v>
      </c>
      <c r="N92" s="2641" t="n">
        <v>32822746</v>
      </c>
      <c r="O92" s="2641" t="n">
        <v>33596521</v>
      </c>
      <c r="P92" s="2641">
        <f>SUM(D92:O92)</f>
        <v/>
      </c>
      <c r="Q92" s="1500" t="n"/>
      <c r="R92" s="1494" t="n"/>
      <c r="S92" s="2641" t="n">
        <v>33329510</v>
      </c>
      <c r="T92" s="2641" t="n">
        <v>33461625</v>
      </c>
      <c r="U92" s="2641" t="n">
        <v>48673144</v>
      </c>
      <c r="V92" s="2641" t="n">
        <v>52980156</v>
      </c>
      <c r="W92" s="2641" t="n">
        <v>48847288</v>
      </c>
      <c r="X92" s="2641" t="n">
        <v>44505262</v>
      </c>
      <c r="Y92" s="2641" t="n">
        <v>41253178</v>
      </c>
      <c r="Z92" s="2641" t="n">
        <v>41283178</v>
      </c>
      <c r="AA92" s="2641" t="n">
        <v>41397842</v>
      </c>
      <c r="AB92" s="2641" t="n">
        <v>41397842</v>
      </c>
      <c r="AC92" s="2641" t="n">
        <v>11722939</v>
      </c>
      <c r="AD92" s="2641" t="n">
        <v>15035863</v>
      </c>
      <c r="AE92" s="2641">
        <f>SUM(S92:AD92)</f>
        <v/>
      </c>
      <c r="AF92" s="1497" t="inlineStr">
        <is>
          <t>전월</t>
        </is>
      </c>
      <c r="AG92" s="2641" t="n">
        <v>17185922</v>
      </c>
      <c r="AH92" s="2641" t="n">
        <v>17511674</v>
      </c>
      <c r="AI92" s="2641" t="n">
        <v>17348798</v>
      </c>
      <c r="AJ92" s="2641" t="n">
        <v>17348798</v>
      </c>
      <c r="AK92" s="2641" t="n">
        <v>17348798</v>
      </c>
      <c r="AL92" s="2641" t="n">
        <v>17348798</v>
      </c>
      <c r="AM92" s="2641" t="n">
        <v>16849294</v>
      </c>
      <c r="AN92" s="2641" t="n">
        <v>15837912</v>
      </c>
      <c r="AO92" s="2641" t="n">
        <v>15837912</v>
      </c>
      <c r="AP92" s="2641" t="n">
        <v>5442880</v>
      </c>
      <c r="AQ92" s="2641" t="n">
        <v>5438847</v>
      </c>
      <c r="AR92" s="2641" t="n">
        <v>5490359</v>
      </c>
      <c r="AS92" s="2641">
        <f>SUM(AG92:AR92)</f>
        <v/>
      </c>
      <c r="AT92" s="1498" t="inlineStr">
        <is>
          <t>전월</t>
        </is>
      </c>
      <c r="AU92" s="2641">
        <f>2869713+2569207</f>
        <v/>
      </c>
      <c r="AV92" s="2641" t="n">
        <v>5438920</v>
      </c>
      <c r="AW92" s="2641" t="n">
        <v>5438920</v>
      </c>
      <c r="AX92" s="2641" t="n">
        <v>5438920</v>
      </c>
      <c r="AY92" s="2641" t="n">
        <v>5438920</v>
      </c>
      <c r="AZ92" s="2641" t="n">
        <v>5438920</v>
      </c>
      <c r="BA92" s="2641" t="n">
        <v>5438920</v>
      </c>
      <c r="BB92" s="2641" t="n">
        <v>5438920</v>
      </c>
      <c r="BC92" s="2641" t="n">
        <v>5438920</v>
      </c>
      <c r="BD92" s="2641" t="n">
        <v>5438920</v>
      </c>
      <c r="BE92" s="2641" t="n">
        <v>5438920</v>
      </c>
      <c r="BF92" s="2641">
        <f>BE92</f>
        <v/>
      </c>
      <c r="BG92" s="2641">
        <f>SUM(AU92:BF92)</f>
        <v/>
      </c>
      <c r="BI92" s="2641" t="n">
        <v>5438920</v>
      </c>
      <c r="BJ92" s="2641" t="n">
        <v>5438920</v>
      </c>
      <c r="BK92" s="2641" t="n">
        <v>5438920</v>
      </c>
      <c r="BL92" s="2641" t="n">
        <v>5438920</v>
      </c>
      <c r="BM92" s="2641" t="n">
        <v>5438920</v>
      </c>
      <c r="BN92" s="2641" t="n">
        <v>5438920</v>
      </c>
      <c r="BO92" s="2641" t="n">
        <v>5438920</v>
      </c>
      <c r="BP92" s="2641" t="n">
        <v>5438920</v>
      </c>
      <c r="BQ92" s="2641" t="n">
        <v>5438920</v>
      </c>
      <c r="BR92" s="2641" t="n">
        <v>5438920</v>
      </c>
      <c r="BS92" s="2641" t="n">
        <v>5438920</v>
      </c>
      <c r="BT92" s="2641" t="n">
        <v>5438920</v>
      </c>
      <c r="BU92" s="2641">
        <f>SUM(BI92:BT92)</f>
        <v/>
      </c>
    </row>
    <row r="93" outlineLevel="1">
      <c r="A93" s="1470" t="n"/>
      <c r="B93" s="1456" t="inlineStr">
        <is>
          <t>여비교통비</t>
        </is>
      </c>
      <c r="C93" s="1456" t="inlineStr">
        <is>
          <t>인건비 등</t>
        </is>
      </c>
      <c r="D93" s="2625" t="n"/>
      <c r="E93" s="2625" t="n"/>
      <c r="F93" s="2625" t="n"/>
      <c r="G93" s="2625" t="n">
        <v>337150</v>
      </c>
      <c r="H93" s="2625" t="n">
        <v>784550</v>
      </c>
      <c r="I93" s="2625" t="n">
        <v>355740</v>
      </c>
      <c r="J93" s="2625" t="n">
        <v>1220575</v>
      </c>
      <c r="K93" s="2625" t="n">
        <v>1921130</v>
      </c>
      <c r="L93" s="2625" t="n">
        <v>1433300</v>
      </c>
      <c r="M93" s="2625" t="n">
        <v>2471040</v>
      </c>
      <c r="N93" s="2625" t="n">
        <v>1599270</v>
      </c>
      <c r="O93" s="2625" t="n">
        <v>1995090</v>
      </c>
      <c r="P93" s="2626">
        <f>SUM(D93:O93)</f>
        <v/>
      </c>
      <c r="Q93" s="1464" t="inlineStr">
        <is>
          <t>실적평균</t>
        </is>
      </c>
      <c r="R93" s="1436" t="n"/>
      <c r="S93" s="2625" t="n">
        <v>1613312</v>
      </c>
      <c r="T93" s="2625" t="n">
        <v>1948510</v>
      </c>
      <c r="U93" s="2625" t="n">
        <v>1949485</v>
      </c>
      <c r="V93" s="2625" t="n">
        <v>1708010</v>
      </c>
      <c r="W93" s="2625" t="n">
        <v>15524437</v>
      </c>
      <c r="X93" s="2625" t="n">
        <v>5588388</v>
      </c>
      <c r="Y93" s="2625" t="n">
        <v>11777991</v>
      </c>
      <c r="Z93" s="2625" t="n">
        <v>6524492</v>
      </c>
      <c r="AA93" s="2625" t="n">
        <v>4174372</v>
      </c>
      <c r="AB93" s="2625" t="n">
        <v>1277380</v>
      </c>
      <c r="AC93" s="2625" t="n">
        <v>2775773</v>
      </c>
      <c r="AD93" s="2625" t="n">
        <v>776784</v>
      </c>
      <c r="AE93" s="2626">
        <f>SUM(S93:AD93)</f>
        <v/>
      </c>
      <c r="AF93" s="1466" t="inlineStr">
        <is>
          <t>최근 3개월 평균</t>
        </is>
      </c>
      <c r="AG93" s="2625" t="n">
        <v>340600</v>
      </c>
      <c r="AH93" s="2625" t="n">
        <v>650047</v>
      </c>
      <c r="AI93" s="2625" t="n">
        <v>684700</v>
      </c>
      <c r="AJ93" s="2625" t="n">
        <v>1058480</v>
      </c>
      <c r="AK93" s="2625" t="n">
        <v>1284497</v>
      </c>
      <c r="AL93" s="2625" t="n">
        <v>621500</v>
      </c>
      <c r="AM93" s="2625" t="n">
        <v>1018600</v>
      </c>
      <c r="AN93" s="2625" t="n">
        <v>754700</v>
      </c>
      <c r="AO93" s="2625" t="n">
        <v>768400</v>
      </c>
      <c r="AP93" s="2625" t="n">
        <v>651800</v>
      </c>
      <c r="AQ93" s="2625" t="n">
        <v>778740</v>
      </c>
      <c r="AR93" s="2625" t="n">
        <v>718300</v>
      </c>
      <c r="AS93" s="2626">
        <f>SUM(AG93:AR93)</f>
        <v/>
      </c>
      <c r="AU93" s="2625" t="n">
        <v>530800</v>
      </c>
      <c r="AV93" s="2625" t="n">
        <v>744244</v>
      </c>
      <c r="AW93" s="2625" t="n">
        <v>810056</v>
      </c>
      <c r="AX93" s="2625" t="n">
        <v>526000</v>
      </c>
      <c r="AY93" s="2625" t="n">
        <v>505700</v>
      </c>
      <c r="AZ93" s="2625" t="n">
        <v>673400</v>
      </c>
      <c r="BA93" s="2625" t="n">
        <v>664000</v>
      </c>
      <c r="BB93" s="2625" t="n">
        <v>516528</v>
      </c>
      <c r="BC93" s="2625" t="n">
        <v>840128</v>
      </c>
      <c r="BD93" s="2625" t="n">
        <v>699000</v>
      </c>
      <c r="BE93" s="2625" t="n">
        <v>1404286</v>
      </c>
      <c r="BF93" s="2627" t="n">
        <v>664000</v>
      </c>
      <c r="BG93" s="2628">
        <f>SUM(AU93:BF93)</f>
        <v/>
      </c>
      <c r="BI93" s="2629">
        <f>AVERAGE(AU93:BC93)</f>
        <v/>
      </c>
      <c r="BJ93" s="2629">
        <f>BI93</f>
        <v/>
      </c>
      <c r="BK93" s="2629">
        <f>BJ93</f>
        <v/>
      </c>
      <c r="BL93" s="2629">
        <f>BK93</f>
        <v/>
      </c>
      <c r="BM93" s="2629">
        <f>BL93</f>
        <v/>
      </c>
      <c r="BN93" s="2629">
        <f>BM93</f>
        <v/>
      </c>
      <c r="BO93" s="2629">
        <f>BN93</f>
        <v/>
      </c>
      <c r="BP93" s="2629">
        <f>BO93</f>
        <v/>
      </c>
      <c r="BQ93" s="2629">
        <f>BP93</f>
        <v/>
      </c>
      <c r="BR93" s="2629">
        <f>BQ93</f>
        <v/>
      </c>
      <c r="BS93" s="2629">
        <f>BR93</f>
        <v/>
      </c>
      <c r="BT93" s="2629">
        <f>BS93</f>
        <v/>
      </c>
      <c r="BU93" s="2628">
        <f>SUM(BI93:BT93)</f>
        <v/>
      </c>
    </row>
    <row r="94" outlineLevel="1">
      <c r="A94" s="1470" t="n"/>
      <c r="B94" s="1456" t="inlineStr">
        <is>
          <t>접대비</t>
        </is>
      </c>
      <c r="C94" s="1456" t="inlineStr">
        <is>
          <t>기타</t>
        </is>
      </c>
      <c r="D94" s="2625" t="n"/>
      <c r="E94" s="2625" t="n"/>
      <c r="F94" s="2625" t="n"/>
      <c r="G94" s="2625" t="n">
        <v>0</v>
      </c>
      <c r="H94" s="2625" t="n">
        <v>3937390</v>
      </c>
      <c r="I94" s="2625" t="n">
        <v>5129607</v>
      </c>
      <c r="J94" s="2625" t="n">
        <v>5189590</v>
      </c>
      <c r="K94" s="2625" t="n">
        <v>3749300</v>
      </c>
      <c r="L94" s="2625" t="n">
        <v>3261573</v>
      </c>
      <c r="M94" s="2625" t="n">
        <v>3752500</v>
      </c>
      <c r="N94" s="2625" t="n">
        <v>2866150</v>
      </c>
      <c r="O94" s="2625" t="n">
        <v>4692840</v>
      </c>
      <c r="P94" s="2626">
        <f>SUM(D94:O94)</f>
        <v/>
      </c>
      <c r="Q94" s="1464" t="inlineStr">
        <is>
          <t>실적평균</t>
        </is>
      </c>
      <c r="R94" s="1436" t="n"/>
      <c r="S94" s="2625" t="n">
        <v>6214670</v>
      </c>
      <c r="T94" s="2625" t="n">
        <v>4939300</v>
      </c>
      <c r="U94" s="2625" t="n">
        <v>5722030</v>
      </c>
      <c r="V94" s="2625" t="n">
        <v>6149250</v>
      </c>
      <c r="W94" s="2625" t="n">
        <v>4254764</v>
      </c>
      <c r="X94" s="2625" t="n">
        <v>5252930</v>
      </c>
      <c r="Y94" s="2625" t="n">
        <v>6343700</v>
      </c>
      <c r="Z94" s="2625" t="n">
        <v>4259840</v>
      </c>
      <c r="AA94" s="2625" t="n">
        <v>6472656</v>
      </c>
      <c r="AB94" s="2625" t="n">
        <v>3767840</v>
      </c>
      <c r="AC94" s="2625" t="n">
        <v>1723520</v>
      </c>
      <c r="AD94" s="2625" t="n">
        <v>2391252</v>
      </c>
      <c r="AE94" s="2626">
        <f>SUM(S94:AD94)</f>
        <v/>
      </c>
      <c r="AF94" s="1466" t="inlineStr">
        <is>
          <t>최근 3개월 평균</t>
        </is>
      </c>
      <c r="AG94" s="2625" t="n">
        <v>1537807</v>
      </c>
      <c r="AH94" s="2625" t="n">
        <v>1798970</v>
      </c>
      <c r="AI94" s="2625" t="n">
        <v>1104370</v>
      </c>
      <c r="AJ94" s="2625" t="n">
        <v>2544400</v>
      </c>
      <c r="AK94" s="2625" t="n">
        <v>1910200</v>
      </c>
      <c r="AL94" s="2625" t="n">
        <v>3463500</v>
      </c>
      <c r="AM94" s="2625" t="n">
        <v>1820100</v>
      </c>
      <c r="AN94" s="2625" t="n">
        <v>3114700</v>
      </c>
      <c r="AO94" s="2625" t="n">
        <v>2070050</v>
      </c>
      <c r="AP94" s="2625" t="n">
        <v>899600</v>
      </c>
      <c r="AQ94" s="2625" t="n">
        <v>1295955</v>
      </c>
      <c r="AR94" s="2625" t="n">
        <v>2277300</v>
      </c>
      <c r="AS94" s="2626">
        <f>SUM(AG94:AR94)</f>
        <v/>
      </c>
      <c r="AU94" s="2625" t="n">
        <v>1160500</v>
      </c>
      <c r="AV94" s="2625" t="n">
        <v>1452800</v>
      </c>
      <c r="AW94" s="2625" t="n">
        <v>1567700</v>
      </c>
      <c r="AX94" s="2625" t="n">
        <v>757800</v>
      </c>
      <c r="AY94" s="2625" t="n">
        <v>1378300</v>
      </c>
      <c r="AZ94" s="2625" t="n">
        <v>1451900</v>
      </c>
      <c r="BA94" s="2625" t="n">
        <v>1754700</v>
      </c>
      <c r="BB94" s="2625" t="n">
        <v>4540600</v>
      </c>
      <c r="BC94" s="2625" t="n">
        <v>4247600</v>
      </c>
      <c r="BD94" s="2625" t="n">
        <v>3355500</v>
      </c>
      <c r="BE94" s="2625" t="n">
        <v>1764752</v>
      </c>
      <c r="BF94" s="2627" t="n">
        <v>1500000</v>
      </c>
      <c r="BG94" s="2628">
        <f>SUM(AU94:BF94)</f>
        <v/>
      </c>
      <c r="BH94" s="1440" t="inlineStr">
        <is>
          <t>1.5백만원</t>
        </is>
      </c>
      <c r="BI94" s="2629" t="n">
        <v>1500000</v>
      </c>
      <c r="BJ94" s="2629" t="n">
        <v>1500000</v>
      </c>
      <c r="BK94" s="2629" t="n">
        <v>1500000</v>
      </c>
      <c r="BL94" s="2629" t="n">
        <v>1500000</v>
      </c>
      <c r="BM94" s="2629" t="n">
        <v>1500000</v>
      </c>
      <c r="BN94" s="2629" t="n">
        <v>1500000</v>
      </c>
      <c r="BO94" s="2629" t="n">
        <v>1500000</v>
      </c>
      <c r="BP94" s="2629" t="n">
        <v>1500000</v>
      </c>
      <c r="BQ94" s="2629" t="n">
        <v>1500000</v>
      </c>
      <c r="BR94" s="2629" t="n">
        <v>1500000</v>
      </c>
      <c r="BS94" s="2629" t="n">
        <v>1500000</v>
      </c>
      <c r="BT94" s="2629" t="n">
        <v>1500000</v>
      </c>
      <c r="BU94" s="2628">
        <f>SUM(BI94:BT94)</f>
        <v/>
      </c>
    </row>
    <row r="95" outlineLevel="1">
      <c r="A95" s="1470" t="n"/>
      <c r="B95" s="1456" t="inlineStr">
        <is>
          <t>통신비</t>
        </is>
      </c>
      <c r="C95" s="1456" t="inlineStr">
        <is>
          <t>기타</t>
        </is>
      </c>
      <c r="D95" s="2625" t="n"/>
      <c r="E95" s="2625" t="n"/>
      <c r="F95" s="2625" t="n"/>
      <c r="G95" s="2625" t="n">
        <v>50150</v>
      </c>
      <c r="H95" s="2625" t="n">
        <v>54400</v>
      </c>
      <c r="I95" s="2625" t="n">
        <v>175100</v>
      </c>
      <c r="J95" s="2625" t="n">
        <v>77141</v>
      </c>
      <c r="K95" s="2625" t="n">
        <v>64600</v>
      </c>
      <c r="L95" s="2625" t="n">
        <v>11050</v>
      </c>
      <c r="M95" s="2625" t="n">
        <v>2100000</v>
      </c>
      <c r="N95" s="2625" t="n">
        <v>111050</v>
      </c>
      <c r="O95" s="2625" t="n">
        <v>82930</v>
      </c>
      <c r="P95" s="2626">
        <f>SUM(D95:O95)</f>
        <v/>
      </c>
      <c r="Q95" s="1464" t="inlineStr">
        <is>
          <t>실적평균</t>
        </is>
      </c>
      <c r="R95" s="1436" t="n"/>
      <c r="S95" s="2625" t="n">
        <v>88370</v>
      </c>
      <c r="T95" s="2625" t="n">
        <v>77320</v>
      </c>
      <c r="U95" s="2625" t="n">
        <v>98960</v>
      </c>
      <c r="V95" s="2625" t="n">
        <v>91250</v>
      </c>
      <c r="W95" s="2625" t="n">
        <v>161670</v>
      </c>
      <c r="X95" s="2625" t="n">
        <v>208680</v>
      </c>
      <c r="Y95" s="2625" t="n">
        <v>187830</v>
      </c>
      <c r="Z95" s="2625" t="n">
        <v>203190</v>
      </c>
      <c r="AA95" s="2625" t="n">
        <v>365050</v>
      </c>
      <c r="AB95" s="2625" t="n">
        <v>4953665</v>
      </c>
      <c r="AC95" s="2625" t="n">
        <v>101383</v>
      </c>
      <c r="AD95" s="2625" t="n">
        <v>140610</v>
      </c>
      <c r="AE95" s="2626">
        <f>SUM(S95:AD95)</f>
        <v/>
      </c>
      <c r="AF95" s="1466" t="inlineStr">
        <is>
          <t>최근 3개월 평균</t>
        </is>
      </c>
      <c r="AG95" s="2625" t="n">
        <v>149870</v>
      </c>
      <c r="AH95" s="2625" t="n">
        <v>133110</v>
      </c>
      <c r="AI95" s="2625" t="n">
        <v>170296</v>
      </c>
      <c r="AJ95" s="2625" t="n">
        <v>194912</v>
      </c>
      <c r="AK95" s="2625" t="n">
        <v>214253</v>
      </c>
      <c r="AL95" s="2625" t="n">
        <v>188260</v>
      </c>
      <c r="AM95" s="2625" t="n">
        <v>317640</v>
      </c>
      <c r="AN95" s="2625" t="n">
        <v>221923</v>
      </c>
      <c r="AO95" s="2625" t="n">
        <v>361803</v>
      </c>
      <c r="AP95" s="2625" t="n">
        <v>255003</v>
      </c>
      <c r="AQ95" s="2625" t="n">
        <v>176631</v>
      </c>
      <c r="AR95" s="2625">
        <f>174054+12750</f>
        <v/>
      </c>
      <c r="AS95" s="2626">
        <f>SUM(AG95:AR95)</f>
        <v/>
      </c>
      <c r="AU95" s="2625" t="n">
        <v>204903</v>
      </c>
      <c r="AV95" s="2625" t="n">
        <v>181453</v>
      </c>
      <c r="AW95" s="2625" t="n">
        <v>181393</v>
      </c>
      <c r="AX95" s="2625" t="n">
        <v>231153</v>
      </c>
      <c r="AY95" s="2625" t="n">
        <v>1964498</v>
      </c>
      <c r="AZ95" s="2625" t="n">
        <v>485854</v>
      </c>
      <c r="BA95" s="2625" t="n">
        <v>580978</v>
      </c>
      <c r="BB95" s="2625" t="n">
        <v>438553</v>
      </c>
      <c r="BC95" s="2625" t="n">
        <v>225353</v>
      </c>
      <c r="BD95" s="2625" t="n">
        <v>225053</v>
      </c>
      <c r="BE95" s="2625" t="n">
        <v>225353</v>
      </c>
      <c r="BF95" s="2627">
        <f>BE95</f>
        <v/>
      </c>
      <c r="BG95" s="2628">
        <f>SUM(AU95:BF95)</f>
        <v/>
      </c>
      <c r="BI95" s="2629">
        <f>AVERAGE(AU95:BC95)</f>
        <v/>
      </c>
      <c r="BJ95" s="2629">
        <f>BI95</f>
        <v/>
      </c>
      <c r="BK95" s="2629">
        <f>BJ95</f>
        <v/>
      </c>
      <c r="BL95" s="2629">
        <f>BK95</f>
        <v/>
      </c>
      <c r="BM95" s="2629">
        <f>BL95</f>
        <v/>
      </c>
      <c r="BN95" s="2629">
        <f>BM95</f>
        <v/>
      </c>
      <c r="BO95" s="2629">
        <f>BN95</f>
        <v/>
      </c>
      <c r="BP95" s="2629">
        <f>BO95</f>
        <v/>
      </c>
      <c r="BQ95" s="2629">
        <f>BP95</f>
        <v/>
      </c>
      <c r="BR95" s="2629">
        <f>BQ95</f>
        <v/>
      </c>
      <c r="BS95" s="2629">
        <f>BR95</f>
        <v/>
      </c>
      <c r="BT95" s="2629">
        <f>BS95</f>
        <v/>
      </c>
      <c r="BU95" s="2628">
        <f>SUM(BI95:BT95)</f>
        <v/>
      </c>
    </row>
    <row r="96" outlineLevel="1">
      <c r="A96" s="1470" t="n"/>
      <c r="B96" s="1456" t="inlineStr">
        <is>
          <t>수도광열비</t>
        </is>
      </c>
      <c r="C96" s="1456" t="inlineStr">
        <is>
          <t>기타</t>
        </is>
      </c>
      <c r="D96" s="2625" t="n"/>
      <c r="E96" s="2625" t="n"/>
      <c r="F96" s="2625" t="n"/>
      <c r="G96" s="2625" t="n">
        <v>0</v>
      </c>
      <c r="H96" s="2625" t="n">
        <v>0</v>
      </c>
      <c r="I96" s="2625" t="n">
        <v>0</v>
      </c>
      <c r="J96" s="2625" t="n">
        <v>0</v>
      </c>
      <c r="K96" s="2625" t="n">
        <v>0</v>
      </c>
      <c r="L96" s="2625" t="n">
        <v>0</v>
      </c>
      <c r="M96" s="2625" t="n">
        <v>0</v>
      </c>
      <c r="N96" s="2625" t="n">
        <v>0</v>
      </c>
      <c r="O96" s="2625" t="n">
        <v>0</v>
      </c>
      <c r="P96" s="2626">
        <f>SUM(D96:O96)</f>
        <v/>
      </c>
      <c r="Q96" s="1466" t="n"/>
      <c r="R96" s="1436" t="n"/>
      <c r="S96" s="2625" t="n">
        <v>0</v>
      </c>
      <c r="T96" s="2625" t="n">
        <v>0</v>
      </c>
      <c r="U96" s="2625" t="n">
        <v>0</v>
      </c>
      <c r="V96" s="2625" t="n">
        <v>0</v>
      </c>
      <c r="W96" s="2625" t="n">
        <v>0</v>
      </c>
      <c r="X96" s="2625" t="n">
        <v>0</v>
      </c>
      <c r="Y96" s="2625" t="n">
        <v>0</v>
      </c>
      <c r="Z96" s="2625" t="n">
        <v>0</v>
      </c>
      <c r="AA96" s="2625" t="n">
        <v>0</v>
      </c>
      <c r="AB96" s="2625" t="n">
        <v>0</v>
      </c>
      <c r="AC96" s="2625" t="n">
        <v>0</v>
      </c>
      <c r="AD96" s="2625" t="n">
        <v>0</v>
      </c>
      <c r="AE96" s="2626">
        <f>SUM(S96:AD96)</f>
        <v/>
      </c>
      <c r="AF96" s="1466" t="n"/>
      <c r="AG96" s="2625" t="n">
        <v>0</v>
      </c>
      <c r="AH96" s="2625" t="n">
        <v>0</v>
      </c>
      <c r="AI96" s="2625" t="n">
        <v>0</v>
      </c>
      <c r="AJ96" s="2625" t="n">
        <v>0</v>
      </c>
      <c r="AK96" s="2625" t="n">
        <v>0</v>
      </c>
      <c r="AL96" s="2625" t="n">
        <v>0</v>
      </c>
      <c r="AM96" s="2625" t="n">
        <v>0</v>
      </c>
      <c r="AN96" s="2625" t="n">
        <v>0</v>
      </c>
      <c r="AO96" s="2625" t="n">
        <v>0</v>
      </c>
      <c r="AP96" s="2625" t="n">
        <v>0</v>
      </c>
      <c r="AQ96" s="2625" t="n"/>
      <c r="AR96" s="2625" t="n">
        <v>0</v>
      </c>
      <c r="AS96" s="2626">
        <f>SUM(AG96:AR96)</f>
        <v/>
      </c>
      <c r="AU96" s="2625" t="n"/>
      <c r="AV96" s="2625" t="n">
        <v>0</v>
      </c>
      <c r="AW96" s="2625" t="n">
        <v>0</v>
      </c>
      <c r="AX96" s="2625" t="n">
        <v>0</v>
      </c>
      <c r="AY96" s="2625" t="n">
        <v>0</v>
      </c>
      <c r="AZ96" s="2625" t="n">
        <v>0</v>
      </c>
      <c r="BA96" s="2625" t="n">
        <v>0</v>
      </c>
      <c r="BB96" s="2625" t="n"/>
      <c r="BC96" s="2625" t="n"/>
      <c r="BD96" s="2625" t="n">
        <v>0</v>
      </c>
      <c r="BE96" s="2625" t="n">
        <v>0</v>
      </c>
      <c r="BF96" s="2627" t="n"/>
      <c r="BG96" s="2628">
        <f>SUM(AU96:BF96)</f>
        <v/>
      </c>
      <c r="BI96" s="2629" t="n"/>
      <c r="BJ96" s="2629" t="n"/>
      <c r="BK96" s="2629" t="n"/>
      <c r="BL96" s="2629" t="n"/>
      <c r="BM96" s="2629" t="n"/>
      <c r="BN96" s="2629" t="n"/>
      <c r="BO96" s="2629" t="n"/>
      <c r="BP96" s="2629" t="n"/>
      <c r="BQ96" s="2629" t="n"/>
      <c r="BR96" s="2629" t="n"/>
      <c r="BS96" s="2629" t="n"/>
      <c r="BT96" s="2629" t="n"/>
      <c r="BU96" s="2628">
        <f>SUM(BI96:BT96)</f>
        <v/>
      </c>
    </row>
    <row r="97" outlineLevel="1">
      <c r="A97" s="1470" t="n"/>
      <c r="B97" s="1456" t="inlineStr">
        <is>
          <t>세금과공과금</t>
        </is>
      </c>
      <c r="C97" s="1456" t="inlineStr">
        <is>
          <t>기타</t>
        </is>
      </c>
      <c r="D97" s="2625" t="n"/>
      <c r="E97" s="2625" t="n"/>
      <c r="F97" s="2625" t="n"/>
      <c r="G97" s="2625" t="n">
        <v>72000000</v>
      </c>
      <c r="H97" s="2625" t="n">
        <v>0</v>
      </c>
      <c r="I97" s="2625" t="n">
        <v>126780</v>
      </c>
      <c r="J97" s="2625" t="n">
        <v>583750</v>
      </c>
      <c r="K97" s="2625" t="n">
        <v>0</v>
      </c>
      <c r="L97" s="2625" t="n">
        <v>0</v>
      </c>
      <c r="M97" s="2629" t="n">
        <v>0</v>
      </c>
      <c r="N97" s="2625" t="n">
        <v>0</v>
      </c>
      <c r="O97" s="2625" t="n">
        <v>434460</v>
      </c>
      <c r="P97" s="2626">
        <f>SUM(D97:O97)</f>
        <v/>
      </c>
      <c r="Q97" s="1464" t="inlineStr">
        <is>
          <t>유상증자 관련 등록세 등 3천3백만원 이상 예상</t>
        </is>
      </c>
      <c r="R97" s="1436" t="n"/>
      <c r="S97" s="2625" t="n">
        <v>813250</v>
      </c>
      <c r="T97" s="2625" t="n">
        <v>0</v>
      </c>
      <c r="U97" s="2625" t="n">
        <v>0</v>
      </c>
      <c r="V97" s="2625" t="n">
        <v>48240</v>
      </c>
      <c r="W97" s="2625" t="n">
        <v>4616510</v>
      </c>
      <c r="X97" s="2625" t="n">
        <v>4534820</v>
      </c>
      <c r="Y97" s="2625" t="n">
        <v>4460970</v>
      </c>
      <c r="Z97" s="2625" t="n">
        <v>5759040</v>
      </c>
      <c r="AA97" s="2625" t="n">
        <v>4246320</v>
      </c>
      <c r="AB97" s="2625" t="n">
        <v>3127940</v>
      </c>
      <c r="AC97" s="2625" t="n">
        <v>2913930</v>
      </c>
      <c r="AD97" s="2625" t="n">
        <v>1264530</v>
      </c>
      <c r="AE97" s="2626">
        <f>SUM(S97:AD97)</f>
        <v/>
      </c>
      <c r="AF97" s="1466" t="inlineStr">
        <is>
          <t>최근 3개월 평균</t>
        </is>
      </c>
      <c r="AG97" s="2625" t="n">
        <v>28184000</v>
      </c>
      <c r="AH97" s="2625" t="n">
        <v>1144480</v>
      </c>
      <c r="AI97" s="2625" t="n">
        <v>1162010</v>
      </c>
      <c r="AJ97" s="2625" t="n">
        <v>1107190</v>
      </c>
      <c r="AK97" s="2625" t="n">
        <v>961790</v>
      </c>
      <c r="AL97" s="2625" t="n">
        <v>925800</v>
      </c>
      <c r="AM97" s="2625" t="n">
        <v>586130</v>
      </c>
      <c r="AN97" s="2625" t="n">
        <v>886610</v>
      </c>
      <c r="AO97" s="2625" t="n">
        <v>204000</v>
      </c>
      <c r="AP97" s="2625" t="n">
        <v>307680</v>
      </c>
      <c r="AQ97" s="2625" t="n">
        <v>139770</v>
      </c>
      <c r="AR97" s="2625" t="n">
        <v>0</v>
      </c>
      <c r="AS97" s="2626">
        <f>SUM(AG97:AR97)</f>
        <v/>
      </c>
      <c r="AT97" s="1440" t="inlineStr">
        <is>
          <t>1백만원 가정</t>
        </is>
      </c>
      <c r="AU97" s="2625" t="n">
        <v>786740</v>
      </c>
      <c r="AV97" s="2625" t="n">
        <v>0</v>
      </c>
      <c r="AW97" s="2625" t="n">
        <v>192960</v>
      </c>
      <c r="AX97" s="2625" t="n">
        <v>0</v>
      </c>
      <c r="AY97" s="2625" t="n">
        <v>0</v>
      </c>
      <c r="AZ97" s="2625" t="n">
        <v>0</v>
      </c>
      <c r="BA97" s="2625" t="n">
        <v>48240</v>
      </c>
      <c r="BB97" s="2625" t="n">
        <v>250000</v>
      </c>
      <c r="BC97" s="2625" t="n">
        <v>100000</v>
      </c>
      <c r="BD97" s="2625" t="n">
        <v>0</v>
      </c>
      <c r="BE97" s="2625" t="n">
        <v>0</v>
      </c>
      <c r="BF97" s="2627" t="n">
        <v>500000</v>
      </c>
      <c r="BG97" s="2628">
        <f>SUM(AU97:BF97)</f>
        <v/>
      </c>
      <c r="BI97" s="2635">
        <f>500000</f>
        <v/>
      </c>
      <c r="BJ97" s="2629">
        <f>500000</f>
        <v/>
      </c>
      <c r="BK97" s="2629">
        <f>500000</f>
        <v/>
      </c>
      <c r="BL97" s="2629">
        <f>500000</f>
        <v/>
      </c>
      <c r="BM97" s="2629">
        <f>500000</f>
        <v/>
      </c>
      <c r="BN97" s="2629">
        <f>500000</f>
        <v/>
      </c>
      <c r="BO97" s="2629">
        <f>500000</f>
        <v/>
      </c>
      <c r="BP97" s="2629">
        <f>500000</f>
        <v/>
      </c>
      <c r="BQ97" s="2629">
        <f>500000</f>
        <v/>
      </c>
      <c r="BR97" s="2629">
        <f>500000</f>
        <v/>
      </c>
      <c r="BS97" s="2629">
        <f>500000</f>
        <v/>
      </c>
      <c r="BT97" s="2629">
        <f>500000</f>
        <v/>
      </c>
      <c r="BU97" s="2628">
        <f>SUM(BI97:BT97)</f>
        <v/>
      </c>
    </row>
    <row r="98" outlineLevel="1">
      <c r="A98" s="1470" t="n"/>
      <c r="B98" s="1456" t="inlineStr">
        <is>
          <t>지급임차료</t>
        </is>
      </c>
      <c r="C98" s="1456" t="inlineStr">
        <is>
          <t>기타</t>
        </is>
      </c>
      <c r="D98" s="2625" t="n"/>
      <c r="E98" s="2625" t="n"/>
      <c r="F98" s="2625" t="n"/>
      <c r="G98" s="2625" t="n">
        <v>0</v>
      </c>
      <c r="H98" s="2625" t="n">
        <v>0</v>
      </c>
      <c r="I98" s="2625" t="n">
        <v>120000</v>
      </c>
      <c r="J98" s="2625" t="n">
        <v>178000</v>
      </c>
      <c r="K98" s="2625" t="n">
        <v>0</v>
      </c>
      <c r="L98" s="2625" t="n">
        <v>0</v>
      </c>
      <c r="M98" s="2625" t="n">
        <v>0</v>
      </c>
      <c r="N98" s="2625" t="n">
        <v>220000</v>
      </c>
      <c r="O98" s="2625" t="n">
        <v>220000</v>
      </c>
      <c r="P98" s="2626">
        <f>SUM(D98:O98)</f>
        <v/>
      </c>
      <c r="Q98" s="1464" t="n"/>
      <c r="R98" s="1436" t="n"/>
      <c r="S98" s="2625" t="n">
        <v>220000</v>
      </c>
      <c r="T98" s="2625" t="n">
        <v>220000</v>
      </c>
      <c r="U98" s="2625" t="n">
        <v>220000</v>
      </c>
      <c r="V98" s="2625" t="n">
        <v>220000</v>
      </c>
      <c r="W98" s="2625" t="n">
        <v>22670964</v>
      </c>
      <c r="X98" s="2625" t="n">
        <v>18009022</v>
      </c>
      <c r="Y98" s="2625" t="n">
        <v>34048396</v>
      </c>
      <c r="Z98" s="2625" t="n">
        <v>52082336</v>
      </c>
      <c r="AA98" s="2625" t="n">
        <v>30493889</v>
      </c>
      <c r="AB98" s="2625" t="n">
        <v>9437261</v>
      </c>
      <c r="AC98" s="2625" t="n">
        <v>110000</v>
      </c>
      <c r="AD98" s="2625" t="n">
        <v>-246215279</v>
      </c>
      <c r="AE98" s="2626">
        <f>SUM(S98:AD98)</f>
        <v/>
      </c>
      <c r="AF98" s="1466" t="inlineStr">
        <is>
          <t>전월(11월부터 사무실 임차료 감소:-2천만원)</t>
        </is>
      </c>
      <c r="AG98" s="2625" t="n">
        <v>110000</v>
      </c>
      <c r="AH98" s="2625" t="n">
        <v>110000</v>
      </c>
      <c r="AI98" s="2625" t="n">
        <v>110000</v>
      </c>
      <c r="AJ98" s="2625" t="n">
        <v>110000</v>
      </c>
      <c r="AK98" s="2625" t="n">
        <v>110000</v>
      </c>
      <c r="AL98" s="2625" t="n">
        <v>110000</v>
      </c>
      <c r="AM98" s="2625" t="n">
        <v>110000</v>
      </c>
      <c r="AN98" s="2625" t="n">
        <v>110000</v>
      </c>
      <c r="AO98" s="2625" t="n">
        <v>110000</v>
      </c>
      <c r="AP98" s="2625" t="n">
        <v>535680</v>
      </c>
      <c r="AQ98" s="2625" t="n">
        <v>535680</v>
      </c>
      <c r="AR98" s="2625" t="n">
        <v>535680</v>
      </c>
      <c r="AS98" s="2626">
        <f>SUM(AG98:AR98)</f>
        <v/>
      </c>
      <c r="AT98" s="1440" t="inlineStr">
        <is>
          <t>전월</t>
        </is>
      </c>
      <c r="AU98" s="2625" t="n">
        <v>535680</v>
      </c>
      <c r="AV98" s="2625" t="n">
        <v>535680</v>
      </c>
      <c r="AW98" s="2625" t="n">
        <v>535680</v>
      </c>
      <c r="AX98" s="2625" t="n">
        <v>535680</v>
      </c>
      <c r="AY98" s="2625" t="n">
        <v>535680</v>
      </c>
      <c r="AZ98" s="2625" t="n">
        <v>535680</v>
      </c>
      <c r="BA98" s="2625" t="n">
        <v>535680</v>
      </c>
      <c r="BB98" s="2625" t="n">
        <v>535680</v>
      </c>
      <c r="BC98" s="2625" t="n">
        <v>535680</v>
      </c>
      <c r="BD98" s="2625" t="n">
        <v>535680</v>
      </c>
      <c r="BE98" s="2625" t="n">
        <v>535680</v>
      </c>
      <c r="BF98" s="2627">
        <f>BE98</f>
        <v/>
      </c>
      <c r="BG98" s="2628">
        <f>SUM(AU98:BF98)</f>
        <v/>
      </c>
      <c r="BI98" s="2629" t="n">
        <v>535680</v>
      </c>
      <c r="BJ98" s="2629" t="n">
        <v>535680</v>
      </c>
      <c r="BK98" s="2629" t="n">
        <v>535680</v>
      </c>
      <c r="BL98" s="2629" t="n">
        <v>535680</v>
      </c>
      <c r="BM98" s="2629" t="n">
        <v>535680</v>
      </c>
      <c r="BN98" s="2629" t="n">
        <v>535680</v>
      </c>
      <c r="BO98" s="2629" t="n">
        <v>535680</v>
      </c>
      <c r="BP98" s="2629" t="n">
        <v>535680</v>
      </c>
      <c r="BQ98" s="2629" t="n">
        <v>535680</v>
      </c>
      <c r="BR98" s="2629" t="n">
        <v>535680</v>
      </c>
      <c r="BS98" s="2629" t="n">
        <v>535680</v>
      </c>
      <c r="BT98" s="2629" t="n">
        <v>535680</v>
      </c>
      <c r="BU98" s="2628">
        <f>SUM(BI98:BT98)</f>
        <v/>
      </c>
    </row>
    <row r="99" outlineLevel="1">
      <c r="A99" s="1470" t="n"/>
      <c r="B99" s="1456" t="inlineStr">
        <is>
          <t>경상연구개발비</t>
        </is>
      </c>
      <c r="C99" s="1456" t="inlineStr">
        <is>
          <t>인건비 등</t>
        </is>
      </c>
      <c r="D99" s="2625" t="n"/>
      <c r="E99" s="2625" t="n"/>
      <c r="F99" s="2625" t="n"/>
      <c r="G99" s="2625" t="n"/>
      <c r="H99" s="2625" t="n"/>
      <c r="I99" s="2625" t="n"/>
      <c r="J99" s="2625" t="n"/>
      <c r="K99" s="2625" t="n"/>
      <c r="L99" s="2625" t="n"/>
      <c r="M99" s="2625" t="n"/>
      <c r="N99" s="2625" t="n"/>
      <c r="O99" s="2625" t="n"/>
      <c r="P99" s="2626">
        <f>SUM(D99:O99)</f>
        <v/>
      </c>
      <c r="Q99" s="1464" t="n"/>
      <c r="R99" s="1436" t="n"/>
      <c r="S99" s="2625" t="n"/>
      <c r="T99" s="2625" t="n"/>
      <c r="U99" s="2625" t="n"/>
      <c r="V99" s="2625" t="n"/>
      <c r="W99" s="2625" t="n">
        <v>0</v>
      </c>
      <c r="X99" s="2625" t="n">
        <v>0</v>
      </c>
      <c r="Y99" s="2625" t="n">
        <v>0</v>
      </c>
      <c r="Z99" s="2625" t="n">
        <v>0</v>
      </c>
      <c r="AA99" s="2625" t="n">
        <v>0</v>
      </c>
      <c r="AB99" s="2625" t="n">
        <v>0</v>
      </c>
      <c r="AC99" s="2625" t="n">
        <v>0</v>
      </c>
      <c r="AD99" s="2625" t="n">
        <v>0</v>
      </c>
      <c r="AE99" s="2626">
        <f>SUM(S99:AD99)</f>
        <v/>
      </c>
      <c r="AF99" s="1464" t="n"/>
      <c r="AG99" s="2625" t="n">
        <v>0</v>
      </c>
      <c r="AH99" s="2625" t="n">
        <v>0</v>
      </c>
      <c r="AI99" s="2625" t="n">
        <v>0</v>
      </c>
      <c r="AJ99" s="2625" t="n">
        <v>0</v>
      </c>
      <c r="AK99" s="2625" t="n">
        <v>0</v>
      </c>
      <c r="AL99" s="2625" t="n">
        <v>0</v>
      </c>
      <c r="AM99" s="2625" t="n">
        <v>0</v>
      </c>
      <c r="AN99" s="2625" t="n">
        <v>0</v>
      </c>
      <c r="AO99" s="2625" t="n">
        <v>0</v>
      </c>
      <c r="AP99" s="2625" t="n">
        <v>0</v>
      </c>
      <c r="AQ99" s="2625" t="n"/>
      <c r="AR99" s="2625" t="n">
        <v>0</v>
      </c>
      <c r="AS99" s="2626">
        <f>SUM(AG99:AR99)</f>
        <v/>
      </c>
      <c r="AU99" s="2625" t="n"/>
      <c r="AV99" s="2625" t="n">
        <v>0</v>
      </c>
      <c r="AW99" s="2625" t="n">
        <v>0</v>
      </c>
      <c r="AX99" s="2625" t="n">
        <v>0</v>
      </c>
      <c r="AY99" s="2625" t="n">
        <v>0</v>
      </c>
      <c r="AZ99" s="2625" t="n">
        <v>0</v>
      </c>
      <c r="BA99" s="2625" t="n">
        <v>0</v>
      </c>
      <c r="BB99" s="2625" t="n"/>
      <c r="BC99" s="2625" t="n"/>
      <c r="BD99" s="2625" t="n">
        <v>0</v>
      </c>
      <c r="BE99" s="2625" t="n">
        <v>0</v>
      </c>
      <c r="BF99" s="2627" t="n"/>
      <c r="BG99" s="2628">
        <f>SUM(AU99:BF99)</f>
        <v/>
      </c>
      <c r="BI99" s="2629" t="n"/>
      <c r="BJ99" s="2629" t="n"/>
      <c r="BK99" s="2629" t="n"/>
      <c r="BL99" s="2629" t="n"/>
      <c r="BM99" s="2629" t="n"/>
      <c r="BN99" s="2629" t="n"/>
      <c r="BO99" s="2629" t="n"/>
      <c r="BP99" s="2629" t="n"/>
      <c r="BQ99" s="2629" t="n"/>
      <c r="BR99" s="2629" t="n"/>
      <c r="BS99" s="2629" t="n"/>
      <c r="BT99" s="2629" t="n"/>
      <c r="BU99" s="2628">
        <f>SUM(BI99:BT99)</f>
        <v/>
      </c>
    </row>
    <row r="100" outlineLevel="1">
      <c r="A100" s="1470" t="n"/>
      <c r="B100" s="1456" t="inlineStr">
        <is>
          <t>수선비</t>
        </is>
      </c>
      <c r="C100" s="1456" t="inlineStr">
        <is>
          <t>기타</t>
        </is>
      </c>
      <c r="D100" s="2625" t="n"/>
      <c r="E100" s="2625" t="n"/>
      <c r="F100" s="2625" t="n"/>
      <c r="G100" s="2625" t="n">
        <v>0</v>
      </c>
      <c r="H100" s="2625" t="n">
        <v>0</v>
      </c>
      <c r="I100" s="2625" t="n">
        <v>0</v>
      </c>
      <c r="J100" s="2625" t="n">
        <v>0</v>
      </c>
      <c r="K100" s="2625" t="n">
        <v>0</v>
      </c>
      <c r="L100" s="2625" t="n">
        <v>0</v>
      </c>
      <c r="M100" s="2625" t="n">
        <v>0</v>
      </c>
      <c r="N100" s="2625" t="n">
        <v>0</v>
      </c>
      <c r="O100" s="2625" t="n">
        <v>0</v>
      </c>
      <c r="P100" s="2626">
        <f>SUM(D100:O100)</f>
        <v/>
      </c>
      <c r="Q100" s="1466" t="n"/>
      <c r="R100" s="1436" t="n"/>
      <c r="S100" s="2625" t="n">
        <v>0</v>
      </c>
      <c r="T100" s="2625" t="n">
        <v>0</v>
      </c>
      <c r="U100" s="2625" t="n">
        <v>0</v>
      </c>
      <c r="V100" s="2625" t="n">
        <v>0</v>
      </c>
      <c r="W100" s="2625" t="n">
        <v>0</v>
      </c>
      <c r="X100" s="2625" t="n">
        <v>0</v>
      </c>
      <c r="Y100" s="2625" t="n">
        <v>0</v>
      </c>
      <c r="Z100" s="2625" t="n">
        <v>0</v>
      </c>
      <c r="AA100" s="2625" t="n">
        <v>0</v>
      </c>
      <c r="AB100" s="2625" t="n">
        <v>0</v>
      </c>
      <c r="AC100" s="2625" t="n">
        <v>0</v>
      </c>
      <c r="AD100" s="2625" t="n">
        <v>0</v>
      </c>
      <c r="AE100" s="2626">
        <f>SUM(S100:AD100)</f>
        <v/>
      </c>
      <c r="AF100" s="1466" t="n"/>
      <c r="AG100" s="2625" t="n">
        <v>0</v>
      </c>
      <c r="AH100" s="2625" t="n">
        <v>0</v>
      </c>
      <c r="AI100" s="2625" t="n">
        <v>0</v>
      </c>
      <c r="AJ100" s="2625" t="n">
        <v>0</v>
      </c>
      <c r="AK100" s="2625" t="n">
        <v>0</v>
      </c>
      <c r="AL100" s="2625" t="n">
        <v>0</v>
      </c>
      <c r="AM100" s="2625" t="n">
        <v>0</v>
      </c>
      <c r="AN100" s="2625" t="n">
        <v>0</v>
      </c>
      <c r="AO100" s="2625" t="n">
        <v>0</v>
      </c>
      <c r="AP100" s="2625" t="n">
        <v>0</v>
      </c>
      <c r="AQ100" s="2625" t="n"/>
      <c r="AR100" s="2625" t="n">
        <v>0</v>
      </c>
      <c r="AS100" s="2626">
        <f>SUM(AG100:AR100)</f>
        <v/>
      </c>
      <c r="AU100" s="2625" t="n"/>
      <c r="AV100" s="2625" t="n">
        <v>0</v>
      </c>
      <c r="AW100" s="2625" t="n">
        <v>0</v>
      </c>
      <c r="AX100" s="2625" t="n">
        <v>0</v>
      </c>
      <c r="AY100" s="2625" t="n">
        <v>0</v>
      </c>
      <c r="AZ100" s="2625" t="n">
        <v>0</v>
      </c>
      <c r="BA100" s="2625" t="n">
        <v>0</v>
      </c>
      <c r="BB100" s="2625" t="n"/>
      <c r="BC100" s="2625" t="n"/>
      <c r="BD100" s="2625" t="n">
        <v>0</v>
      </c>
      <c r="BE100" s="2625" t="n">
        <v>0</v>
      </c>
      <c r="BF100" s="2627" t="n"/>
      <c r="BG100" s="2628">
        <f>SUM(AU100:BF100)</f>
        <v/>
      </c>
      <c r="BI100" s="2629" t="n"/>
      <c r="BJ100" s="2629" t="n"/>
      <c r="BK100" s="2629" t="n"/>
      <c r="BL100" s="2629" t="n"/>
      <c r="BM100" s="2629" t="n"/>
      <c r="BN100" s="2629" t="n"/>
      <c r="BO100" s="2629" t="n"/>
      <c r="BP100" s="2629" t="n"/>
      <c r="BQ100" s="2629" t="n"/>
      <c r="BR100" s="2629" t="n"/>
      <c r="BS100" s="2629" t="n"/>
      <c r="BT100" s="2629" t="n"/>
      <c r="BU100" s="2628">
        <f>SUM(BI100:BT100)</f>
        <v/>
      </c>
    </row>
    <row r="101" outlineLevel="1">
      <c r="A101" s="1470" t="n"/>
      <c r="B101" s="1456" t="inlineStr">
        <is>
          <t>보험료</t>
        </is>
      </c>
      <c r="C101" s="1456" t="inlineStr">
        <is>
          <t>기타</t>
        </is>
      </c>
      <c r="D101" s="2625" t="n"/>
      <c r="E101" s="2625" t="n"/>
      <c r="F101" s="2625" t="n"/>
      <c r="G101" s="2625" t="n">
        <v>0</v>
      </c>
      <c r="H101" s="2625" t="n">
        <v>0</v>
      </c>
      <c r="I101" s="2625" t="n">
        <v>0</v>
      </c>
      <c r="J101" s="2625" t="n">
        <v>449904</v>
      </c>
      <c r="K101" s="2625" t="n">
        <v>1643154</v>
      </c>
      <c r="L101" s="2625" t="n">
        <v>1456213</v>
      </c>
      <c r="M101" s="2625" t="n">
        <v>1504754</v>
      </c>
      <c r="N101" s="2625" t="n">
        <v>1456213</v>
      </c>
      <c r="O101" s="2625" t="n">
        <v>1504754</v>
      </c>
      <c r="P101" s="2626">
        <f>SUM(D101:O101)</f>
        <v/>
      </c>
      <c r="Q101" s="1466" t="inlineStr">
        <is>
          <t>전월기준</t>
        </is>
      </c>
      <c r="R101" s="1436" t="n"/>
      <c r="S101" s="2625" t="n">
        <v>1504754</v>
      </c>
      <c r="T101" s="2625" t="n">
        <v>1359133</v>
      </c>
      <c r="U101" s="2625" t="n">
        <v>1504754</v>
      </c>
      <c r="V101" s="2625" t="n">
        <v>1456213</v>
      </c>
      <c r="W101" s="2625" t="n">
        <v>2706254</v>
      </c>
      <c r="X101" s="2625" t="n">
        <v>1456213</v>
      </c>
      <c r="Y101" s="2625" t="n">
        <v>-653755</v>
      </c>
      <c r="Z101" s="2625" t="n">
        <v>3401538</v>
      </c>
      <c r="AA101" s="2625" t="n">
        <v>3182553</v>
      </c>
      <c r="AB101" s="2625" t="n">
        <v>3288638</v>
      </c>
      <c r="AC101" s="2625" t="n">
        <v>3182553</v>
      </c>
      <c r="AD101" s="2625" t="n">
        <v>3288638</v>
      </c>
      <c r="AE101" s="2626">
        <f>SUM(S101:AD101)</f>
        <v/>
      </c>
      <c r="AF101" s="1466" t="inlineStr">
        <is>
          <t>최근 3개월 평균</t>
        </is>
      </c>
      <c r="AG101" s="2625" t="n">
        <v>3288638</v>
      </c>
      <c r="AH101" s="2625" t="n">
        <v>3076468</v>
      </c>
      <c r="AI101" s="2625" t="n">
        <v>3288638</v>
      </c>
      <c r="AJ101" s="2625" t="n">
        <v>7661615</v>
      </c>
      <c r="AK101" s="2625" t="n">
        <v>3380835</v>
      </c>
      <c r="AL101" s="2625" t="n">
        <v>3281336</v>
      </c>
      <c r="AM101" s="2625" t="n">
        <v>1030527</v>
      </c>
      <c r="AN101" s="2625" t="n">
        <v>881532</v>
      </c>
      <c r="AO101" s="2625" t="n">
        <v>853096</v>
      </c>
      <c r="AP101" s="2625" t="n">
        <v>881532</v>
      </c>
      <c r="AQ101" s="2625" t="n">
        <v>853096</v>
      </c>
      <c r="AR101" s="2625" t="n">
        <v>917824</v>
      </c>
      <c r="AS101" s="2626">
        <f>SUM(AG101:AR101)</f>
        <v/>
      </c>
      <c r="AU101" s="2625" t="n">
        <v>917826</v>
      </c>
      <c r="AV101" s="2625" t="n">
        <v>829004</v>
      </c>
      <c r="AW101" s="2625" t="n">
        <v>917826</v>
      </c>
      <c r="AX101" s="2625" t="n">
        <v>888219</v>
      </c>
      <c r="AY101" s="2625" t="n">
        <v>1805081</v>
      </c>
      <c r="AZ101" s="2625" t="n">
        <v>2965866</v>
      </c>
      <c r="BA101" s="2625" t="n">
        <v>36292</v>
      </c>
      <c r="BB101" s="2625" t="n">
        <v>36292</v>
      </c>
      <c r="BC101" s="2625" t="n">
        <v>35121</v>
      </c>
      <c r="BD101" s="2625" t="n">
        <v>36292</v>
      </c>
      <c r="BE101" s="2625" t="n">
        <v>36294</v>
      </c>
      <c r="BF101" s="2627">
        <f>BE101</f>
        <v/>
      </c>
      <c r="BG101" s="2628">
        <f>SUM(AU101:BF101)</f>
        <v/>
      </c>
      <c r="BI101" s="2629">
        <f>AVERAGE(AU101:BC101)</f>
        <v/>
      </c>
      <c r="BJ101" s="2629">
        <f>BI101</f>
        <v/>
      </c>
      <c r="BK101" s="2629">
        <f>BJ101</f>
        <v/>
      </c>
      <c r="BL101" s="2629">
        <f>BK101</f>
        <v/>
      </c>
      <c r="BM101" s="2629">
        <f>BL101</f>
        <v/>
      </c>
      <c r="BN101" s="2629">
        <f>BM101</f>
        <v/>
      </c>
      <c r="BO101" s="2629">
        <f>BN101</f>
        <v/>
      </c>
      <c r="BP101" s="2629">
        <f>BO101</f>
        <v/>
      </c>
      <c r="BQ101" s="2629">
        <f>BP101</f>
        <v/>
      </c>
      <c r="BR101" s="2629">
        <f>BQ101</f>
        <v/>
      </c>
      <c r="BS101" s="2629">
        <f>BR101</f>
        <v/>
      </c>
      <c r="BT101" s="2629">
        <f>BS101</f>
        <v/>
      </c>
      <c r="BU101" s="2628">
        <f>SUM(BI101:BT101)</f>
        <v/>
      </c>
    </row>
    <row r="102" outlineLevel="1">
      <c r="A102" s="1470" t="n"/>
      <c r="B102" s="1456" t="inlineStr">
        <is>
          <t>차량유지비</t>
        </is>
      </c>
      <c r="C102" s="1456" t="inlineStr">
        <is>
          <t>기타</t>
        </is>
      </c>
      <c r="D102" s="2625" t="n"/>
      <c r="E102" s="2625" t="n"/>
      <c r="F102" s="2625" t="n"/>
      <c r="G102" s="2625" t="n">
        <v>0</v>
      </c>
      <c r="H102" s="2625" t="n">
        <v>0</v>
      </c>
      <c r="I102" s="2625" t="n">
        <v>0</v>
      </c>
      <c r="J102" s="2625" t="n">
        <v>0</v>
      </c>
      <c r="K102" s="2625" t="n">
        <v>0</v>
      </c>
      <c r="L102" s="2625" t="n">
        <v>0</v>
      </c>
      <c r="M102" s="2625" t="n">
        <v>0</v>
      </c>
      <c r="N102" s="2625" t="n">
        <v>0</v>
      </c>
      <c r="O102" s="2625" t="n">
        <v>0</v>
      </c>
      <c r="P102" s="2626">
        <f>SUM(D102:O102)</f>
        <v/>
      </c>
      <c r="Q102" s="1466" t="n"/>
      <c r="R102" s="1436" t="n"/>
      <c r="S102" s="2625" t="n">
        <v>0</v>
      </c>
      <c r="T102" s="2625" t="n">
        <v>0</v>
      </c>
      <c r="U102" s="2625" t="n">
        <v>0</v>
      </c>
      <c r="V102" s="2625" t="n">
        <v>0</v>
      </c>
      <c r="W102" s="2625" t="n">
        <v>0</v>
      </c>
      <c r="X102" s="2625" t="n">
        <v>0</v>
      </c>
      <c r="Y102" s="2625" t="n">
        <v>0</v>
      </c>
      <c r="Z102" s="2625" t="n">
        <v>0</v>
      </c>
      <c r="AA102" s="2625" t="n">
        <v>0</v>
      </c>
      <c r="AB102" s="2625" t="n">
        <v>0</v>
      </c>
      <c r="AC102" s="2625" t="n">
        <v>0</v>
      </c>
      <c r="AD102" s="2625" t="n">
        <v>0</v>
      </c>
      <c r="AE102" s="2626">
        <f>SUM(S102:AD102)</f>
        <v/>
      </c>
      <c r="AF102" s="1466" t="n"/>
      <c r="AG102" s="2625" t="n">
        <v>0</v>
      </c>
      <c r="AH102" s="2625" t="n">
        <v>0</v>
      </c>
      <c r="AI102" s="2625" t="n">
        <v>0</v>
      </c>
      <c r="AJ102" s="2625" t="n">
        <v>0</v>
      </c>
      <c r="AK102" s="2625" t="n">
        <v>0</v>
      </c>
      <c r="AL102" s="2625" t="n">
        <v>0</v>
      </c>
      <c r="AM102" s="2625" t="n">
        <v>0</v>
      </c>
      <c r="AN102" s="2625" t="n">
        <v>0</v>
      </c>
      <c r="AO102" s="2625" t="n">
        <v>0</v>
      </c>
      <c r="AP102" s="2625" t="n">
        <v>0</v>
      </c>
      <c r="AQ102" s="2625" t="n"/>
      <c r="AR102" s="2625" t="n">
        <v>0</v>
      </c>
      <c r="AS102" s="2626">
        <f>SUM(AG102:AR102)</f>
        <v/>
      </c>
      <c r="AU102" s="2625" t="n"/>
      <c r="AV102" s="2625" t="n">
        <v>0</v>
      </c>
      <c r="AW102" s="2625" t="n">
        <v>0</v>
      </c>
      <c r="AX102" s="2625" t="n">
        <v>0</v>
      </c>
      <c r="AY102" s="2625" t="n">
        <v>0</v>
      </c>
      <c r="AZ102" s="2625" t="n">
        <v>0</v>
      </c>
      <c r="BA102" s="2625" t="n">
        <v>0</v>
      </c>
      <c r="BB102" s="2625" t="n"/>
      <c r="BC102" s="2625" t="n"/>
      <c r="BD102" s="2625" t="n">
        <v>0</v>
      </c>
      <c r="BE102" s="2625" t="n">
        <v>0</v>
      </c>
      <c r="BF102" s="2627" t="n"/>
      <c r="BG102" s="2628">
        <f>SUM(AU102:BF102)</f>
        <v/>
      </c>
      <c r="BI102" s="2629" t="n"/>
      <c r="BJ102" s="2629" t="n"/>
      <c r="BK102" s="2629" t="n"/>
      <c r="BL102" s="2629" t="n"/>
      <c r="BM102" s="2629" t="n"/>
      <c r="BN102" s="2629" t="n"/>
      <c r="BO102" s="2629" t="n"/>
      <c r="BP102" s="2629" t="n"/>
      <c r="BQ102" s="2629" t="n"/>
      <c r="BR102" s="2629" t="n"/>
      <c r="BS102" s="2629" t="n"/>
      <c r="BT102" s="2629" t="n"/>
      <c r="BU102" s="2628">
        <f>SUM(BI102:BT102)</f>
        <v/>
      </c>
    </row>
    <row r="103" outlineLevel="1">
      <c r="A103" s="1470" t="n"/>
      <c r="B103" s="1456" t="inlineStr">
        <is>
          <t>운반비</t>
        </is>
      </c>
      <c r="C103" s="1456" t="inlineStr">
        <is>
          <t>기타</t>
        </is>
      </c>
      <c r="D103" s="2625" t="n"/>
      <c r="E103" s="2625" t="n"/>
      <c r="F103" s="2625" t="n"/>
      <c r="G103" s="2625" t="n">
        <v>0</v>
      </c>
      <c r="H103" s="2625" t="n">
        <v>0</v>
      </c>
      <c r="I103" s="2625" t="n">
        <v>0</v>
      </c>
      <c r="J103" s="2625" t="n">
        <v>0</v>
      </c>
      <c r="K103" s="2625" t="n">
        <v>0</v>
      </c>
      <c r="L103" s="2625" t="n">
        <v>0</v>
      </c>
      <c r="M103" s="2625" t="n">
        <v>0</v>
      </c>
      <c r="N103" s="2625" t="n">
        <v>0</v>
      </c>
      <c r="O103" s="2625" t="n">
        <v>0</v>
      </c>
      <c r="P103" s="2626">
        <f>SUM(D103:O103)</f>
        <v/>
      </c>
      <c r="Q103" s="1466" t="n"/>
      <c r="R103" s="1436" t="n"/>
      <c r="S103" s="2625" t="n">
        <v>0</v>
      </c>
      <c r="T103" s="2625" t="n">
        <v>0</v>
      </c>
      <c r="U103" s="2625" t="n">
        <v>0</v>
      </c>
      <c r="V103" s="2625" t="n">
        <v>0</v>
      </c>
      <c r="W103" s="2625" t="n">
        <v>0</v>
      </c>
      <c r="X103" s="2625" t="n">
        <v>0</v>
      </c>
      <c r="Y103" s="2625" t="n">
        <v>0</v>
      </c>
      <c r="Z103" s="2625" t="n">
        <v>0</v>
      </c>
      <c r="AA103" s="2625" t="n">
        <v>0</v>
      </c>
      <c r="AB103" s="2625" t="n">
        <v>0</v>
      </c>
      <c r="AC103" s="2625" t="n">
        <v>0</v>
      </c>
      <c r="AD103" s="2625" t="n">
        <v>0</v>
      </c>
      <c r="AE103" s="2626">
        <f>SUM(S103:AD103)</f>
        <v/>
      </c>
      <c r="AF103" s="1466" t="n"/>
      <c r="AG103" s="2625" t="n">
        <v>0</v>
      </c>
      <c r="AH103" s="2625" t="n">
        <v>0</v>
      </c>
      <c r="AI103" s="2625" t="n">
        <v>0</v>
      </c>
      <c r="AJ103" s="2625" t="n">
        <v>0</v>
      </c>
      <c r="AK103" s="2625" t="n">
        <v>0</v>
      </c>
      <c r="AL103" s="2625" t="n">
        <v>0</v>
      </c>
      <c r="AM103" s="2625" t="n">
        <v>0</v>
      </c>
      <c r="AN103" s="2625" t="n">
        <v>0</v>
      </c>
      <c r="AO103" s="2625" t="n">
        <v>0</v>
      </c>
      <c r="AP103" s="2625" t="n">
        <v>0</v>
      </c>
      <c r="AQ103" s="2625" t="n"/>
      <c r="AR103" s="2625" t="n">
        <v>0</v>
      </c>
      <c r="AS103" s="2626">
        <f>SUM(AG103:AR103)</f>
        <v/>
      </c>
      <c r="AU103" s="2625" t="n"/>
      <c r="AV103" s="2625" t="n">
        <v>0</v>
      </c>
      <c r="AW103" s="2625" t="n">
        <v>0</v>
      </c>
      <c r="AX103" s="2625" t="n">
        <v>0</v>
      </c>
      <c r="AY103" s="2625" t="n">
        <v>0</v>
      </c>
      <c r="AZ103" s="2625" t="n">
        <v>0</v>
      </c>
      <c r="BA103" s="2625" t="n">
        <v>0</v>
      </c>
      <c r="BB103" s="2625" t="n"/>
      <c r="BC103" s="2625" t="n"/>
      <c r="BD103" s="2625" t="n">
        <v>0</v>
      </c>
      <c r="BE103" s="2625" t="n">
        <v>0</v>
      </c>
      <c r="BF103" s="2627" t="n"/>
      <c r="BG103" s="2628">
        <f>SUM(AU103:BF103)</f>
        <v/>
      </c>
      <c r="BI103" s="2629" t="n"/>
      <c r="BJ103" s="2629" t="n"/>
      <c r="BK103" s="2629" t="n"/>
      <c r="BL103" s="2629" t="n"/>
      <c r="BM103" s="2629" t="n"/>
      <c r="BN103" s="2629" t="n"/>
      <c r="BO103" s="2629" t="n"/>
      <c r="BP103" s="2629" t="n"/>
      <c r="BQ103" s="2629" t="n"/>
      <c r="BR103" s="2629" t="n"/>
      <c r="BS103" s="2629" t="n"/>
      <c r="BT103" s="2629" t="n"/>
      <c r="BU103" s="2628">
        <f>SUM(BI103:BT103)</f>
        <v/>
      </c>
    </row>
    <row r="104" outlineLevel="1">
      <c r="A104" s="1470" t="n"/>
      <c r="B104" s="1456" t="inlineStr">
        <is>
          <t>교육훈련비</t>
        </is>
      </c>
      <c r="C104" s="1456" t="inlineStr">
        <is>
          <t>인건비 등</t>
        </is>
      </c>
      <c r="D104" s="2625" t="n"/>
      <c r="E104" s="2625" t="n"/>
      <c r="F104" s="2625" t="n"/>
      <c r="G104" s="2625" t="n">
        <v>0</v>
      </c>
      <c r="H104" s="2625" t="n">
        <v>130000</v>
      </c>
      <c r="I104" s="2625" t="n">
        <v>120000</v>
      </c>
      <c r="J104" s="2625" t="n">
        <v>150000</v>
      </c>
      <c r="K104" s="2625" t="n">
        <v>397000</v>
      </c>
      <c r="L104" s="2625" t="n">
        <v>549000</v>
      </c>
      <c r="M104" s="2625" t="n">
        <v>748793</v>
      </c>
      <c r="N104" s="2625" t="n">
        <v>223637</v>
      </c>
      <c r="O104" s="2625" t="n">
        <v>1132500</v>
      </c>
      <c r="P104" s="2626">
        <f>SUM(D104:O104)</f>
        <v/>
      </c>
      <c r="Q104" s="1464" t="inlineStr">
        <is>
          <t>실적평균</t>
        </is>
      </c>
      <c r="R104" s="1436" t="n"/>
      <c r="S104" s="2625" t="n">
        <v>1865354</v>
      </c>
      <c r="T104" s="2625" t="n">
        <v>1739100</v>
      </c>
      <c r="U104" s="2625" t="n">
        <v>905250</v>
      </c>
      <c r="V104" s="2625" t="n">
        <v>3007677</v>
      </c>
      <c r="W104" s="2625" t="n">
        <v>591500</v>
      </c>
      <c r="X104" s="2625" t="n">
        <v>630450</v>
      </c>
      <c r="Y104" s="2625" t="n">
        <v>503200</v>
      </c>
      <c r="Z104" s="2625" t="n">
        <v>899300</v>
      </c>
      <c r="AA104" s="2625" t="n">
        <v>225250</v>
      </c>
      <c r="AB104" s="2625" t="n">
        <v>583550</v>
      </c>
      <c r="AC104" s="2625" t="n">
        <v>3300388</v>
      </c>
      <c r="AD104" s="2625" t="n">
        <v>612492</v>
      </c>
      <c r="AE104" s="2626">
        <f>SUM(S104:AD104)</f>
        <v/>
      </c>
      <c r="AF104" s="1466" t="inlineStr">
        <is>
          <t>최근 3개월 평균</t>
        </is>
      </c>
      <c r="AG104" s="2625" t="n">
        <v>20400</v>
      </c>
      <c r="AH104" s="2625" t="n">
        <v>76500</v>
      </c>
      <c r="AI104" s="2625" t="n">
        <v>0</v>
      </c>
      <c r="AJ104" s="2625" t="n">
        <v>298350</v>
      </c>
      <c r="AK104" s="2625" t="n">
        <v>161500</v>
      </c>
      <c r="AL104" s="2625" t="n">
        <v>272000</v>
      </c>
      <c r="AM104" s="2625" t="n">
        <v>0</v>
      </c>
      <c r="AN104" s="2625" t="n">
        <v>0</v>
      </c>
      <c r="AO104" s="2625" t="n">
        <v>0</v>
      </c>
      <c r="AP104" s="2625" t="n">
        <v>0</v>
      </c>
      <c r="AQ104" s="2625" t="n">
        <v>8400</v>
      </c>
      <c r="AR104" s="2625" t="n">
        <v>3000</v>
      </c>
      <c r="AS104" s="2626">
        <f>SUM(AG104:AR104)</f>
        <v/>
      </c>
      <c r="AU104" s="2625" t="n"/>
      <c r="AV104" s="2625" t="n">
        <v>0</v>
      </c>
      <c r="AW104" s="2625" t="n">
        <v>0</v>
      </c>
      <c r="AX104" s="2625" t="n">
        <v>0</v>
      </c>
      <c r="AY104" s="2625" t="n">
        <v>0</v>
      </c>
      <c r="AZ104" s="2625" t="n">
        <v>0</v>
      </c>
      <c r="BA104" s="2625" t="n">
        <v>290000</v>
      </c>
      <c r="BB104" s="2625" t="n"/>
      <c r="BC104" s="2625" t="n">
        <v>0</v>
      </c>
      <c r="BD104" s="2625" t="n">
        <v>0</v>
      </c>
      <c r="BE104" s="2625" t="n">
        <v>0</v>
      </c>
      <c r="BF104" s="2627" t="n"/>
      <c r="BG104" s="2628">
        <f>SUM(AU104:BF104)</f>
        <v/>
      </c>
      <c r="BI104" s="2629" t="n"/>
      <c r="BJ104" s="2629" t="n"/>
      <c r="BK104" s="2629" t="n"/>
      <c r="BL104" s="2629" t="n"/>
      <c r="BM104" s="2629" t="n"/>
      <c r="BN104" s="2629" t="n"/>
      <c r="BO104" s="2629" t="n"/>
      <c r="BP104" s="2629" t="n"/>
      <c r="BQ104" s="2629" t="n"/>
      <c r="BR104" s="2629" t="n"/>
      <c r="BS104" s="2629" t="n"/>
      <c r="BT104" s="2629" t="n"/>
      <c r="BU104" s="2628">
        <f>SUM(BI104:BT104)</f>
        <v/>
      </c>
    </row>
    <row r="105" outlineLevel="1">
      <c r="A105" s="1470" t="n"/>
      <c r="B105" s="1456" t="inlineStr">
        <is>
          <t>도서인쇄비</t>
        </is>
      </c>
      <c r="C105" s="1456" t="inlineStr">
        <is>
          <t>기타</t>
        </is>
      </c>
      <c r="D105" s="2625" t="n"/>
      <c r="E105" s="2625" t="n"/>
      <c r="F105" s="2625" t="n"/>
      <c r="G105" s="2625" t="n">
        <v>0</v>
      </c>
      <c r="H105" s="2625" t="n">
        <v>19950</v>
      </c>
      <c r="I105" s="2625" t="n">
        <v>0</v>
      </c>
      <c r="J105" s="2625" t="n">
        <v>34460</v>
      </c>
      <c r="K105" s="2625" t="n">
        <v>30780</v>
      </c>
      <c r="L105" s="2625" t="n">
        <v>13500</v>
      </c>
      <c r="M105" s="2625" t="n">
        <v>11000</v>
      </c>
      <c r="N105" s="2625" t="n">
        <v>32240</v>
      </c>
      <c r="O105" s="2625" t="n">
        <v>22000</v>
      </c>
      <c r="P105" s="2626">
        <f>SUM(D105:O105)</f>
        <v/>
      </c>
      <c r="Q105" s="1466" t="n"/>
      <c r="R105" s="1436" t="n"/>
      <c r="S105" s="2625" t="n">
        <v>29800</v>
      </c>
      <c r="T105" s="2625" t="n">
        <v>29800</v>
      </c>
      <c r="U105" s="2625" t="n">
        <v>27900</v>
      </c>
      <c r="V105" s="2625" t="n">
        <v>11700</v>
      </c>
      <c r="W105" s="2625" t="n">
        <v>28600</v>
      </c>
      <c r="X105" s="2625" t="n">
        <v>55180</v>
      </c>
      <c r="Y105" s="2625" t="n">
        <v>24500</v>
      </c>
      <c r="Z105" s="2625" t="n">
        <v>95400</v>
      </c>
      <c r="AA105" s="2625" t="n">
        <v>0</v>
      </c>
      <c r="AB105" s="2625" t="n">
        <v>61200</v>
      </c>
      <c r="AC105" s="2625" t="n">
        <v>0</v>
      </c>
      <c r="AD105" s="2625" t="n">
        <v>0</v>
      </c>
      <c r="AE105" s="2626">
        <f>SUM(S105:AD105)</f>
        <v/>
      </c>
      <c r="AF105" s="1466" t="n"/>
      <c r="AG105" s="2625" t="n">
        <v>0</v>
      </c>
      <c r="AH105" s="2625" t="n">
        <v>0</v>
      </c>
      <c r="AI105" s="2625" t="n">
        <v>0</v>
      </c>
      <c r="AJ105" s="2625" t="n">
        <v>0</v>
      </c>
      <c r="AK105" s="2625" t="n">
        <v>0</v>
      </c>
      <c r="AL105" s="2625" t="n">
        <v>0</v>
      </c>
      <c r="AM105" s="2625" t="n">
        <v>0</v>
      </c>
      <c r="AN105" s="2625" t="n">
        <v>0</v>
      </c>
      <c r="AO105" s="2625" t="n">
        <v>0</v>
      </c>
      <c r="AP105" s="2625" t="n">
        <v>0</v>
      </c>
      <c r="AQ105" s="2625" t="n"/>
      <c r="AR105" s="2625" t="n">
        <v>0</v>
      </c>
      <c r="AS105" s="2626">
        <f>SUM(AG105:AR105)</f>
        <v/>
      </c>
      <c r="AU105" s="2625" t="n"/>
      <c r="AV105" s="2625" t="n">
        <v>0</v>
      </c>
      <c r="AW105" s="2625" t="n">
        <v>0</v>
      </c>
      <c r="AX105" s="2625" t="n">
        <v>0</v>
      </c>
      <c r="AY105" s="2625" t="n">
        <v>0</v>
      </c>
      <c r="AZ105" s="2625" t="n">
        <v>0</v>
      </c>
      <c r="BA105" s="2625" t="n">
        <v>0</v>
      </c>
      <c r="BB105" s="2625" t="n"/>
      <c r="BC105" s="2625" t="n"/>
      <c r="BD105" s="2625" t="n">
        <v>0</v>
      </c>
      <c r="BE105" s="2625" t="n">
        <v>0</v>
      </c>
      <c r="BF105" s="2627" t="n"/>
      <c r="BG105" s="2628">
        <f>SUM(AU105:BF105)</f>
        <v/>
      </c>
      <c r="BI105" s="2629" t="n"/>
      <c r="BJ105" s="2629" t="n"/>
      <c r="BK105" s="2629" t="n"/>
      <c r="BL105" s="2629" t="n"/>
      <c r="BM105" s="2629" t="n"/>
      <c r="BN105" s="2629" t="n"/>
      <c r="BO105" s="2629" t="n"/>
      <c r="BP105" s="2629" t="n"/>
      <c r="BQ105" s="2629" t="n"/>
      <c r="BR105" s="2629" t="n"/>
      <c r="BS105" s="2629" t="n"/>
      <c r="BT105" s="2629" t="n"/>
      <c r="BU105" s="2628">
        <f>SUM(BI105:BT105)</f>
        <v/>
      </c>
    </row>
    <row r="106" outlineLevel="1">
      <c r="A106" s="1470" t="n"/>
      <c r="B106" s="1456" t="inlineStr">
        <is>
          <t>사무용품비</t>
        </is>
      </c>
      <c r="C106" s="1456" t="inlineStr">
        <is>
          <t>기타</t>
        </is>
      </c>
      <c r="D106" s="2625" t="n"/>
      <c r="E106" s="2625" t="n"/>
      <c r="F106" s="2625" t="n"/>
      <c r="G106" s="2625" t="n">
        <v>0</v>
      </c>
      <c r="H106" s="2625" t="n">
        <v>0</v>
      </c>
      <c r="I106" s="2625" t="n">
        <v>0</v>
      </c>
      <c r="J106" s="2625" t="n">
        <v>0</v>
      </c>
      <c r="K106" s="2625" t="n">
        <v>0</v>
      </c>
      <c r="L106" s="2625" t="n">
        <v>0</v>
      </c>
      <c r="M106" s="2625" t="n">
        <v>0</v>
      </c>
      <c r="N106" s="2625" t="n">
        <v>0</v>
      </c>
      <c r="O106" s="2625" t="n">
        <v>0</v>
      </c>
      <c r="P106" s="2626">
        <f>SUM(D106:O106)</f>
        <v/>
      </c>
      <c r="Q106" s="1464" t="n"/>
      <c r="R106" s="1436" t="n"/>
      <c r="S106" s="2625" t="n">
        <v>0</v>
      </c>
      <c r="T106" s="2625" t="n">
        <v>0</v>
      </c>
      <c r="U106" s="2625" t="n">
        <v>0</v>
      </c>
      <c r="V106" s="2625" t="n">
        <v>0</v>
      </c>
      <c r="W106" s="2625" t="n">
        <v>0</v>
      </c>
      <c r="X106" s="2625" t="n">
        <v>0</v>
      </c>
      <c r="Y106" s="2625" t="n">
        <v>0</v>
      </c>
      <c r="Z106" s="2625" t="n">
        <v>0</v>
      </c>
      <c r="AA106" s="2625" t="n">
        <v>0</v>
      </c>
      <c r="AB106" s="2625" t="n">
        <v>0</v>
      </c>
      <c r="AC106" s="2625" t="n">
        <v>0</v>
      </c>
      <c r="AD106" s="2625" t="n">
        <v>0</v>
      </c>
      <c r="AE106" s="2626">
        <f>SUM(S106:AD106)</f>
        <v/>
      </c>
      <c r="AF106" s="1464" t="n"/>
      <c r="AG106" s="2625" t="n">
        <v>0</v>
      </c>
      <c r="AH106" s="2625" t="n">
        <v>0</v>
      </c>
      <c r="AI106" s="2625" t="n">
        <v>0</v>
      </c>
      <c r="AJ106" s="2625" t="n">
        <v>0</v>
      </c>
      <c r="AK106" s="2625" t="n">
        <v>0</v>
      </c>
      <c r="AL106" s="2625" t="n">
        <v>0</v>
      </c>
      <c r="AM106" s="2625" t="n">
        <v>0</v>
      </c>
      <c r="AN106" s="2625" t="n">
        <v>0</v>
      </c>
      <c r="AO106" s="2625" t="n">
        <v>0</v>
      </c>
      <c r="AP106" s="2625" t="n">
        <v>0</v>
      </c>
      <c r="AQ106" s="2625" t="n"/>
      <c r="AR106" s="2625" t="n">
        <v>0</v>
      </c>
      <c r="AS106" s="2626">
        <f>SUM(AG106:AR106)</f>
        <v/>
      </c>
      <c r="AU106" s="2625" t="n"/>
      <c r="AV106" s="2625" t="n">
        <v>0</v>
      </c>
      <c r="AW106" s="2625" t="n">
        <v>0</v>
      </c>
      <c r="AX106" s="2625" t="n">
        <v>0</v>
      </c>
      <c r="AY106" s="2625" t="n">
        <v>0</v>
      </c>
      <c r="AZ106" s="2625" t="n">
        <v>0</v>
      </c>
      <c r="BA106" s="2625" t="n">
        <v>0</v>
      </c>
      <c r="BB106" s="2625" t="n"/>
      <c r="BC106" s="2625" t="n"/>
      <c r="BD106" s="2625" t="n">
        <v>0</v>
      </c>
      <c r="BE106" s="2625" t="n">
        <v>0</v>
      </c>
      <c r="BF106" s="2627" t="n"/>
      <c r="BG106" s="2628">
        <f>SUM(AU106:BF106)</f>
        <v/>
      </c>
      <c r="BI106" s="2629" t="n"/>
      <c r="BJ106" s="2629" t="n"/>
      <c r="BK106" s="2629" t="n"/>
      <c r="BL106" s="2629" t="n"/>
      <c r="BM106" s="2629" t="n"/>
      <c r="BN106" s="2629" t="n"/>
      <c r="BO106" s="2629" t="n"/>
      <c r="BP106" s="2629" t="n"/>
      <c r="BQ106" s="2629" t="n"/>
      <c r="BR106" s="2629" t="n"/>
      <c r="BS106" s="2629" t="n"/>
      <c r="BT106" s="2629" t="n"/>
      <c r="BU106" s="2628">
        <f>SUM(BI106:BT106)</f>
        <v/>
      </c>
    </row>
    <row r="107" outlineLevel="1">
      <c r="A107" s="1470" t="n"/>
      <c r="B107" s="1456" t="inlineStr">
        <is>
          <t>소모품비</t>
        </is>
      </c>
      <c r="C107" s="1456" t="inlineStr">
        <is>
          <t>기타</t>
        </is>
      </c>
      <c r="D107" s="2625" t="n"/>
      <c r="E107" s="2625" t="n"/>
      <c r="F107" s="2625" t="n"/>
      <c r="G107" s="2625" t="n">
        <v>0</v>
      </c>
      <c r="H107" s="2625" t="n">
        <v>3640000</v>
      </c>
      <c r="I107" s="2625" t="n">
        <v>2184345</v>
      </c>
      <c r="J107" s="2625" t="n">
        <v>450000</v>
      </c>
      <c r="K107" s="2625" t="n">
        <v>32184459</v>
      </c>
      <c r="L107" s="2625" t="n">
        <v>6315228</v>
      </c>
      <c r="M107" s="2625" t="n">
        <v>73387655</v>
      </c>
      <c r="N107" s="2625" t="n">
        <v>38818999</v>
      </c>
      <c r="O107" s="2625" t="n">
        <v>623911</v>
      </c>
      <c r="P107" s="2626">
        <f>SUM(D107:O107)</f>
        <v/>
      </c>
      <c r="Q107" s="1464" t="inlineStr">
        <is>
          <t>실적평균</t>
        </is>
      </c>
      <c r="R107" s="1436" t="n"/>
      <c r="S107" s="2625" t="n">
        <v>13098655</v>
      </c>
      <c r="T107" s="2625" t="n">
        <v>3990819</v>
      </c>
      <c r="U107" s="2625" t="n">
        <v>18364000</v>
      </c>
      <c r="V107" s="2625" t="n">
        <v>557900</v>
      </c>
      <c r="W107" s="2625" t="n">
        <v>2314877</v>
      </c>
      <c r="X107" s="2625" t="n">
        <v>1885056</v>
      </c>
      <c r="Y107" s="2625" t="n">
        <v>440612</v>
      </c>
      <c r="Z107" s="2625" t="n">
        <v>740447</v>
      </c>
      <c r="AA107" s="2625" t="n">
        <v>2230033</v>
      </c>
      <c r="AB107" s="2625" t="n">
        <v>2497600</v>
      </c>
      <c r="AC107" s="2625" t="n">
        <v>676224</v>
      </c>
      <c r="AD107" s="2625" t="n">
        <v>6235481</v>
      </c>
      <c r="AE107" s="2626">
        <f>SUM(S107:AD107)</f>
        <v/>
      </c>
      <c r="AF107" s="1466" t="inlineStr">
        <is>
          <t>최근 3개월 평균</t>
        </is>
      </c>
      <c r="AG107" s="2625" t="n">
        <v>0</v>
      </c>
      <c r="AH107" s="2625" t="n">
        <v>1697351</v>
      </c>
      <c r="AI107" s="2625" t="n">
        <v>704582</v>
      </c>
      <c r="AJ107" s="2625" t="n">
        <v>729500</v>
      </c>
      <c r="AK107" s="2625" t="n">
        <v>495000</v>
      </c>
      <c r="AL107" s="2625" t="n">
        <v>495000</v>
      </c>
      <c r="AM107" s="2625" t="n">
        <v>50455</v>
      </c>
      <c r="AN107" s="2625" t="n">
        <v>90865</v>
      </c>
      <c r="AO107" s="2625" t="n">
        <v>0</v>
      </c>
      <c r="AP107" s="2625" t="n">
        <v>793365</v>
      </c>
      <c r="AQ107" s="2625" t="n"/>
      <c r="AR107" s="2625" t="n">
        <v>0</v>
      </c>
      <c r="AS107" s="2626">
        <f>SUM(AG107:AR107)</f>
        <v/>
      </c>
      <c r="AU107" s="2625" t="n">
        <v>90373</v>
      </c>
      <c r="AV107" s="2625" t="n">
        <v>62728</v>
      </c>
      <c r="AW107" s="2625" t="n">
        <v>62455</v>
      </c>
      <c r="AX107" s="2625" t="n">
        <v>152700</v>
      </c>
      <c r="AY107" s="2625" t="n">
        <v>36827</v>
      </c>
      <c r="AZ107" s="2625" t="n">
        <v>0</v>
      </c>
      <c r="BA107" s="2625" t="n">
        <v>0</v>
      </c>
      <c r="BB107" s="2625" t="n"/>
      <c r="BC107" s="2625" t="n">
        <v>0</v>
      </c>
      <c r="BD107" s="2625" t="n">
        <v>0</v>
      </c>
      <c r="BE107" s="2625" t="n">
        <v>1198700</v>
      </c>
      <c r="BF107" s="2627" t="n">
        <v>0</v>
      </c>
      <c r="BG107" s="2628">
        <f>SUM(AU107:BF107)</f>
        <v/>
      </c>
      <c r="BH107" s="1440" t="inlineStr">
        <is>
          <t>10만원</t>
        </is>
      </c>
      <c r="BI107" s="2629" t="n">
        <v>100000</v>
      </c>
      <c r="BJ107" s="2629" t="n">
        <v>100000</v>
      </c>
      <c r="BK107" s="2629" t="n">
        <v>100000</v>
      </c>
      <c r="BL107" s="2629" t="n">
        <v>100000</v>
      </c>
      <c r="BM107" s="2629" t="n">
        <v>100000</v>
      </c>
      <c r="BN107" s="2629" t="n">
        <v>100000</v>
      </c>
      <c r="BO107" s="2629" t="n">
        <v>100000</v>
      </c>
      <c r="BP107" s="2629" t="n">
        <v>100000</v>
      </c>
      <c r="BQ107" s="2629" t="n">
        <v>100000</v>
      </c>
      <c r="BR107" s="2629" t="n">
        <v>100000</v>
      </c>
      <c r="BS107" s="2629" t="n">
        <v>100000</v>
      </c>
      <c r="BT107" s="2629" t="n">
        <v>100000</v>
      </c>
      <c r="BU107" s="2628">
        <f>SUM(BI107:BT107)</f>
        <v/>
      </c>
    </row>
    <row r="108" outlineLevel="1">
      <c r="A108" s="1470" t="n"/>
      <c r="B108" s="1456" t="inlineStr">
        <is>
          <t>지급수수료</t>
        </is>
      </c>
      <c r="C108" s="1456" t="inlineStr">
        <is>
          <t>지급수수료</t>
        </is>
      </c>
      <c r="D108" s="2625" t="n"/>
      <c r="E108" s="2625" t="n"/>
      <c r="F108" s="2625" t="n"/>
      <c r="G108" s="2625" t="n">
        <v>2114000</v>
      </c>
      <c r="H108" s="2625" t="n">
        <v>282037</v>
      </c>
      <c r="I108" s="2625" t="n">
        <v>30057615</v>
      </c>
      <c r="J108" s="2625" t="n">
        <v>7168065</v>
      </c>
      <c r="K108" s="2625" t="n">
        <v>153685820</v>
      </c>
      <c r="L108" s="2625" t="n">
        <v>99545528</v>
      </c>
      <c r="M108" s="2629" t="n">
        <v>88411934</v>
      </c>
      <c r="N108" s="2625" t="n">
        <v>1725760</v>
      </c>
      <c r="O108" s="2625" t="n">
        <v>97634385</v>
      </c>
      <c r="P108" s="2626">
        <f>SUM(D108:O108)</f>
        <v/>
      </c>
      <c r="Q108" s="1464" t="inlineStr">
        <is>
          <t>보안비용 0.3억/ 증자비용 7백/기타 3백 가정</t>
        </is>
      </c>
      <c r="R108" s="1436" t="n"/>
      <c r="S108" s="2625" t="n">
        <v>64567073</v>
      </c>
      <c r="T108" s="2625" t="n">
        <v>55444857</v>
      </c>
      <c r="U108" s="2625" t="n">
        <v>120420365</v>
      </c>
      <c r="V108" s="2625" t="n">
        <v>64866158</v>
      </c>
      <c r="W108" s="2634">
        <f>93197387-W74</f>
        <v/>
      </c>
      <c r="X108" s="2634">
        <f>136778336-X74</f>
        <v/>
      </c>
      <c r="Y108" s="2634">
        <f>86683175-Y74</f>
        <v/>
      </c>
      <c r="Z108" s="2634">
        <f>105851921-Z74</f>
        <v/>
      </c>
      <c r="AA108" s="2634">
        <f>137100248-AA74</f>
        <v/>
      </c>
      <c r="AB108" s="2634">
        <f>105145005-AB74</f>
        <v/>
      </c>
      <c r="AC108" s="2634">
        <f>74154752-AC74</f>
        <v/>
      </c>
      <c r="AD108" s="2634">
        <f>347762082-AD74</f>
        <v/>
      </c>
      <c r="AE108" s="2626">
        <f>SUM(S108:AD108)</f>
        <v/>
      </c>
      <c r="AF108" s="1466" t="inlineStr">
        <is>
          <t>최근 3개월 평균</t>
        </is>
      </c>
      <c r="AG108" s="2634">
        <f>66192979-AG74</f>
        <v/>
      </c>
      <c r="AH108" s="2634">
        <f>61915511-AH74</f>
        <v/>
      </c>
      <c r="AI108" s="2634">
        <f>40661919-AI74</f>
        <v/>
      </c>
      <c r="AJ108" s="2634" t="n">
        <v>9080273</v>
      </c>
      <c r="AK108" s="2634" t="n">
        <v>15495228</v>
      </c>
      <c r="AL108" s="2634" t="n">
        <v>8488339</v>
      </c>
      <c r="AM108" s="2634">
        <f>17410357-AM74</f>
        <v/>
      </c>
      <c r="AN108" s="2634">
        <f>16040094-AN74</f>
        <v/>
      </c>
      <c r="AO108" s="2634" t="n">
        <v>8302153</v>
      </c>
      <c r="AP108" s="2634" t="n">
        <v>9797191</v>
      </c>
      <c r="AQ108" s="2634" t="n">
        <v>3792095</v>
      </c>
      <c r="AR108" s="2634" t="n">
        <v>5715369</v>
      </c>
      <c r="AS108" s="2626">
        <f>SUM(AG108:AR108)</f>
        <v/>
      </c>
      <c r="AT108" s="1440" t="inlineStr">
        <is>
          <t>4백만원 가정</t>
        </is>
      </c>
      <c r="AU108" s="2625" t="n">
        <v>7769373</v>
      </c>
      <c r="AV108" s="2625">
        <f>11971329-3624366</f>
        <v/>
      </c>
      <c r="AW108" s="2625" t="n">
        <v>8138537</v>
      </c>
      <c r="AX108" s="2625" t="n">
        <v>9010660</v>
      </c>
      <c r="AY108" s="2625" t="n">
        <v>572560</v>
      </c>
      <c r="AZ108" s="2625">
        <f>10534650-3640776</f>
        <v/>
      </c>
      <c r="BA108" s="2625" t="n">
        <v>2247487</v>
      </c>
      <c r="BB108" s="2625" t="n">
        <v>1636073</v>
      </c>
      <c r="BC108" s="2625" t="n">
        <v>9890059</v>
      </c>
      <c r="BD108" s="2625" t="n">
        <v>2218356</v>
      </c>
      <c r="BE108" s="2625" t="n">
        <v>2283380</v>
      </c>
      <c r="BF108" s="2627">
        <f>BE108+2700000+740705/2</f>
        <v/>
      </c>
      <c r="BG108" s="2628">
        <f>SUM(AU108:BF108)</f>
        <v/>
      </c>
      <c r="BH108" s="2636">
        <f>44000*1350-9000*1350</f>
        <v/>
      </c>
      <c r="BI108" s="2635">
        <f>1327087+9000*1350/12</f>
        <v/>
      </c>
      <c r="BJ108" s="2629">
        <f>1327087+9000*1350/12</f>
        <v/>
      </c>
      <c r="BK108" s="2629">
        <f>4501087+9000*1350/12</f>
        <v/>
      </c>
      <c r="BL108" s="2629">
        <f>1327087+9000*1350/12</f>
        <v/>
      </c>
      <c r="BM108" s="2629">
        <f>1327087+9000*1350/12</f>
        <v/>
      </c>
      <c r="BN108" s="2629">
        <f>4477087+9000*1350/12</f>
        <v/>
      </c>
      <c r="BO108" s="2629">
        <f>1327087+9000*1350/12</f>
        <v/>
      </c>
      <c r="BP108" s="2629">
        <f>1327087+9000*1350/12</f>
        <v/>
      </c>
      <c r="BQ108" s="2629">
        <f>4477087+9000*1350/12</f>
        <v/>
      </c>
      <c r="BR108" s="2629">
        <f>1327087+9000*1350/12</f>
        <v/>
      </c>
      <c r="BS108" s="2629">
        <f>1327087+9000*1350/12</f>
        <v/>
      </c>
      <c r="BT108" s="2629">
        <f>4027087</f>
        <v/>
      </c>
      <c r="BU108" s="2628">
        <f>SUM(BI108:BT108)</f>
        <v/>
      </c>
    </row>
    <row r="109" outlineLevel="1">
      <c r="A109" s="1470" t="n"/>
      <c r="B109" s="1456" t="n"/>
      <c r="C109" s="1456" t="n"/>
      <c r="D109" s="2625" t="n"/>
      <c r="E109" s="2625" t="n"/>
      <c r="F109" s="2625" t="n"/>
      <c r="G109" s="2625" t="n"/>
      <c r="H109" s="2625" t="n"/>
      <c r="I109" s="2625" t="n"/>
      <c r="J109" s="2625" t="n"/>
      <c r="K109" s="2625" t="n"/>
      <c r="L109" s="2625" t="n"/>
      <c r="M109" s="2629" t="n"/>
      <c r="N109" s="2625" t="n"/>
      <c r="O109" s="2625" t="n"/>
      <c r="P109" s="2626" t="n"/>
      <c r="Q109" s="1464" t="n"/>
      <c r="R109" s="1436" t="n"/>
      <c r="S109" s="2625" t="n"/>
      <c r="T109" s="2625" t="n"/>
      <c r="U109" s="2625" t="n"/>
      <c r="V109" s="2625" t="n"/>
      <c r="W109" s="2634" t="n"/>
      <c r="X109" s="2634" t="n"/>
      <c r="Y109" s="2634" t="n"/>
      <c r="Z109" s="2634" t="n"/>
      <c r="AA109" s="2634" t="n"/>
      <c r="AB109" s="2634" t="n"/>
      <c r="AC109" s="2634" t="n"/>
      <c r="AD109" s="2634" t="n"/>
      <c r="AE109" s="2626" t="n"/>
      <c r="AF109" s="1466" t="n"/>
      <c r="AG109" s="2634" t="n"/>
      <c r="AH109" s="2634" t="n"/>
      <c r="AI109" s="2634" t="n"/>
      <c r="AJ109" s="2634" t="n"/>
      <c r="AK109" s="2634" t="n"/>
      <c r="AL109" s="2634" t="n"/>
      <c r="AM109" s="2634" t="n"/>
      <c r="AN109" s="2634" t="n"/>
      <c r="AO109" s="2634" t="n"/>
      <c r="AP109" s="2634" t="n"/>
      <c r="AQ109" s="2634" t="n"/>
      <c r="AR109" s="2634" t="n"/>
      <c r="AS109" s="2626" t="n"/>
      <c r="AU109" s="2625" t="n"/>
      <c r="AV109" s="2625" t="n"/>
      <c r="AW109" s="2625" t="n"/>
      <c r="AX109" s="2625" t="n"/>
      <c r="AY109" s="2625" t="n"/>
      <c r="AZ109" s="2625" t="n"/>
      <c r="BA109" s="2625" t="n"/>
      <c r="BB109" s="2625" t="n"/>
      <c r="BC109" s="2625" t="n"/>
      <c r="BD109" s="2625" t="n"/>
      <c r="BE109" s="2625" t="n"/>
      <c r="BF109" s="2627" t="n"/>
      <c r="BG109" s="2628" t="n"/>
      <c r="BI109" s="2635" t="n"/>
      <c r="BJ109" s="2629" t="n"/>
      <c r="BK109" s="2629" t="n"/>
      <c r="BL109" s="2629" t="n"/>
      <c r="BM109" s="2629" t="n"/>
      <c r="BN109" s="2629" t="n"/>
      <c r="BO109" s="2629" t="n"/>
      <c r="BP109" s="2629" t="n"/>
      <c r="BQ109" s="2629" t="n"/>
      <c r="BR109" s="2629" t="n"/>
      <c r="BS109" s="2629" t="n"/>
      <c r="BT109" s="2629" t="n"/>
      <c r="BU109" s="2628" t="n"/>
    </row>
    <row r="110" outlineLevel="1">
      <c r="A110" s="1470" t="n"/>
      <c r="B110" s="1456" t="inlineStr">
        <is>
          <t>광고선전비</t>
        </is>
      </c>
      <c r="C110" s="1456" t="inlineStr">
        <is>
          <t>마케팅</t>
        </is>
      </c>
      <c r="D110" s="2625" t="n"/>
      <c r="E110" s="2625" t="n"/>
      <c r="F110" s="2625" t="n"/>
      <c r="G110" s="2625" t="n">
        <v>0</v>
      </c>
      <c r="H110" s="2625" t="n">
        <v>0</v>
      </c>
      <c r="I110" s="2625" t="n">
        <v>0</v>
      </c>
      <c r="J110" s="2625" t="n">
        <v>0</v>
      </c>
      <c r="K110" s="2625" t="n">
        <v>0</v>
      </c>
      <c r="L110" s="2625" t="n">
        <v>0</v>
      </c>
      <c r="M110" s="2625" t="n">
        <v>0</v>
      </c>
      <c r="N110" s="2625" t="n">
        <v>0</v>
      </c>
      <c r="O110" s="2625" t="n">
        <v>0</v>
      </c>
      <c r="P110" s="2626">
        <f>SUM(D110:O110)</f>
        <v/>
      </c>
      <c r="Q110" s="1466" t="n"/>
      <c r="R110" s="1436" t="n"/>
      <c r="S110" s="2625" t="n">
        <v>0</v>
      </c>
      <c r="T110" s="2625" t="n">
        <v>0</v>
      </c>
      <c r="U110" s="2625" t="n">
        <v>0</v>
      </c>
      <c r="V110" s="2625" t="n">
        <v>0</v>
      </c>
      <c r="W110" s="2625" t="n">
        <v>0</v>
      </c>
      <c r="X110" s="2625" t="n">
        <v>0</v>
      </c>
      <c r="Y110" s="2625" t="n">
        <v>10000000</v>
      </c>
      <c r="Z110" s="2625" t="n">
        <v>13114114</v>
      </c>
      <c r="AA110" s="2625" t="n">
        <v>2000000</v>
      </c>
      <c r="AB110" s="2625" t="n">
        <v>4821240</v>
      </c>
      <c r="AC110" s="2625" t="n">
        <v>0</v>
      </c>
      <c r="AD110" s="2625" t="n">
        <v>0</v>
      </c>
      <c r="AE110" s="2626">
        <f>SUM(S110:AD110)</f>
        <v/>
      </c>
      <c r="AF110" s="1466" t="inlineStr">
        <is>
          <t>진행하지 않는 것으로</t>
        </is>
      </c>
      <c r="AG110" s="2625" t="n">
        <v>0</v>
      </c>
      <c r="AH110" s="2625" t="n">
        <v>0</v>
      </c>
      <c r="AI110" s="2625" t="n">
        <v>0</v>
      </c>
      <c r="AJ110" s="2625" t="n">
        <v>0</v>
      </c>
      <c r="AK110" s="2625" t="n">
        <v>0</v>
      </c>
      <c r="AL110" s="2625" t="n">
        <v>0</v>
      </c>
      <c r="AM110" s="2625" t="n">
        <v>0</v>
      </c>
      <c r="AN110" s="2625" t="n">
        <v>0</v>
      </c>
      <c r="AO110" s="2625" t="n">
        <v>0</v>
      </c>
      <c r="AP110" s="2625" t="n">
        <v>0</v>
      </c>
      <c r="AQ110" s="2625" t="n"/>
      <c r="AR110" s="2625" t="n">
        <v>0</v>
      </c>
      <c r="AS110" s="2626">
        <f>SUM(AG110:AR110)</f>
        <v/>
      </c>
      <c r="AU110" s="2625" t="n"/>
      <c r="AV110" s="2625" t="n">
        <v>0</v>
      </c>
      <c r="AW110" s="2625" t="n">
        <v>0</v>
      </c>
      <c r="AX110" s="2625" t="n">
        <v>0</v>
      </c>
      <c r="AY110" s="2625" t="n">
        <v>0</v>
      </c>
      <c r="AZ110" s="2625" t="n">
        <v>0</v>
      </c>
      <c r="BA110" s="2625" t="n">
        <v>0</v>
      </c>
      <c r="BB110" s="2625" t="n"/>
      <c r="BC110" s="2625" t="n"/>
      <c r="BD110" s="2625" t="n">
        <v>0</v>
      </c>
      <c r="BE110" s="2625" t="n">
        <v>0</v>
      </c>
      <c r="BF110" s="2627" t="n"/>
      <c r="BG110" s="2628">
        <f>SUM(AU110:BF110)</f>
        <v/>
      </c>
      <c r="BI110" s="2629" t="n"/>
      <c r="BJ110" s="2629" t="n"/>
      <c r="BK110" s="2629" t="n"/>
      <c r="BL110" s="2629" t="n"/>
      <c r="BM110" s="2629" t="n"/>
      <c r="BN110" s="2629" t="n"/>
      <c r="BO110" s="2629" t="n"/>
      <c r="BP110" s="2629" t="n"/>
      <c r="BQ110" s="2629" t="n"/>
      <c r="BR110" s="2629" t="n"/>
      <c r="BS110" s="2629" t="n"/>
      <c r="BT110" s="2629" t="n"/>
      <c r="BU110" s="2628">
        <f>SUM(BI110:BT110)</f>
        <v/>
      </c>
    </row>
    <row r="111" outlineLevel="1">
      <c r="A111" s="1470" t="n"/>
      <c r="B111" s="1456" t="inlineStr">
        <is>
          <t>판매촉진비</t>
        </is>
      </c>
      <c r="C111" s="1456" t="inlineStr">
        <is>
          <t>마케팅</t>
        </is>
      </c>
      <c r="D111" s="2625" t="n"/>
      <c r="E111" s="2625" t="n"/>
      <c r="F111" s="2625" t="n"/>
      <c r="G111" s="2625" t="n">
        <v>0</v>
      </c>
      <c r="H111" s="2625" t="n">
        <v>0</v>
      </c>
      <c r="I111" s="2625" t="n">
        <v>0</v>
      </c>
      <c r="J111" s="2625" t="n">
        <v>0</v>
      </c>
      <c r="K111" s="2625" t="n">
        <v>0</v>
      </c>
      <c r="L111" s="2625" t="n">
        <v>0</v>
      </c>
      <c r="M111" s="2625" t="n">
        <v>0</v>
      </c>
      <c r="N111" s="2625" t="n">
        <v>0</v>
      </c>
      <c r="O111" s="2625" t="n">
        <v>0</v>
      </c>
      <c r="P111" s="2626">
        <f>SUM(D111:O111)</f>
        <v/>
      </c>
      <c r="Q111" s="1466" t="n"/>
      <c r="R111" s="1436" t="n"/>
      <c r="S111" s="2625" t="n">
        <v>0</v>
      </c>
      <c r="T111" s="2625" t="n">
        <v>0</v>
      </c>
      <c r="U111" s="2625" t="n">
        <v>0</v>
      </c>
      <c r="V111" s="2625" t="n">
        <v>0</v>
      </c>
      <c r="W111" s="2625" t="n">
        <v>0</v>
      </c>
      <c r="X111" s="2625" t="n">
        <v>0</v>
      </c>
      <c r="Y111" s="2625" t="n">
        <v>331317</v>
      </c>
      <c r="Z111" s="2625" t="n">
        <v>37608</v>
      </c>
      <c r="AA111" s="2625" t="n">
        <v>47631</v>
      </c>
      <c r="AB111" s="2625" t="n">
        <v>42403</v>
      </c>
      <c r="AC111" s="2625" t="n">
        <v>0</v>
      </c>
      <c r="AD111" s="2625" t="n">
        <v>30000</v>
      </c>
      <c r="AE111" s="2626">
        <f>SUM(S111:AD111)</f>
        <v/>
      </c>
      <c r="AF111" s="1466" t="inlineStr">
        <is>
          <t>진행하지 않는 것으로</t>
        </is>
      </c>
      <c r="AG111" s="2625" t="n">
        <v>30000</v>
      </c>
      <c r="AH111" s="2625" t="n">
        <v>30000</v>
      </c>
      <c r="AI111" s="2625" t="n">
        <v>30000</v>
      </c>
      <c r="AJ111" s="2625" t="n">
        <v>30000</v>
      </c>
      <c r="AK111" s="2625" t="n">
        <v>2040000</v>
      </c>
      <c r="AL111" s="2625" t="n">
        <v>0</v>
      </c>
      <c r="AM111" s="2625" t="n">
        <v>0</v>
      </c>
      <c r="AN111" s="2625" t="n">
        <v>0</v>
      </c>
      <c r="AO111" s="2625" t="n">
        <v>0</v>
      </c>
      <c r="AP111" s="2625" t="n">
        <v>0</v>
      </c>
      <c r="AQ111" s="2625" t="n"/>
      <c r="AR111" s="2625" t="n">
        <v>0</v>
      </c>
      <c r="AS111" s="2626">
        <f>SUM(AG111:AR111)</f>
        <v/>
      </c>
      <c r="AU111" s="2625" t="n"/>
      <c r="AV111" s="2625" t="n">
        <v>0</v>
      </c>
      <c r="AW111" s="2625" t="n">
        <v>0</v>
      </c>
      <c r="AX111" s="2625" t="n">
        <v>0</v>
      </c>
      <c r="AY111" s="2625" t="n">
        <v>0</v>
      </c>
      <c r="AZ111" s="2625" t="n">
        <v>0</v>
      </c>
      <c r="BA111" s="2625" t="n">
        <v>0</v>
      </c>
      <c r="BB111" s="2625" t="n"/>
      <c r="BC111" s="2625" t="n"/>
      <c r="BD111" s="2625" t="n">
        <v>0</v>
      </c>
      <c r="BE111" s="2625" t="n">
        <v>0</v>
      </c>
      <c r="BF111" s="2627" t="n"/>
      <c r="BG111" s="2628">
        <f>SUM(AU111:BF111)</f>
        <v/>
      </c>
      <c r="BI111" s="2629" t="n"/>
      <c r="BJ111" s="2629" t="n"/>
      <c r="BK111" s="2629" t="n"/>
      <c r="BL111" s="2629" t="n"/>
      <c r="BM111" s="2629" t="n"/>
      <c r="BN111" s="2629" t="n"/>
      <c r="BO111" s="2629" t="n"/>
      <c r="BP111" s="2629" t="n"/>
      <c r="BQ111" s="2629" t="n"/>
      <c r="BR111" s="2629" t="n"/>
      <c r="BS111" s="2629" t="n"/>
      <c r="BT111" s="2629" t="n"/>
      <c r="BU111" s="2628">
        <f>SUM(BI111:BT111)</f>
        <v/>
      </c>
    </row>
    <row r="112" outlineLevel="1">
      <c r="A112" s="1470" t="n"/>
      <c r="B112" s="1456" t="inlineStr">
        <is>
          <t>건물관리비</t>
        </is>
      </c>
      <c r="C112" s="1456" t="inlineStr">
        <is>
          <t>기타</t>
        </is>
      </c>
      <c r="D112" s="2625" t="n"/>
      <c r="E112" s="2625" t="n"/>
      <c r="F112" s="2625" t="n"/>
      <c r="G112" s="2625" t="n">
        <v>451145</v>
      </c>
      <c r="H112" s="2625" t="n">
        <v>945259</v>
      </c>
      <c r="I112" s="2625" t="n">
        <v>1051199</v>
      </c>
      <c r="J112" s="2625" t="n">
        <v>1184527</v>
      </c>
      <c r="K112" s="2625" t="n">
        <v>1307010</v>
      </c>
      <c r="L112" s="2625" t="n">
        <v>1549031</v>
      </c>
      <c r="M112" s="2625" t="n">
        <v>2017771</v>
      </c>
      <c r="N112" s="2625" t="n">
        <v>2698831</v>
      </c>
      <c r="O112" s="2625" t="n">
        <v>3144681</v>
      </c>
      <c r="P112" s="2626">
        <f>SUM(D112:O112)</f>
        <v/>
      </c>
      <c r="Q112" s="1464" t="inlineStr">
        <is>
          <t>실적평균</t>
        </is>
      </c>
      <c r="R112" s="1436" t="n"/>
      <c r="S112" s="2625" t="n">
        <v>3696321</v>
      </c>
      <c r="T112" s="2625" t="n">
        <v>4135573</v>
      </c>
      <c r="U112" s="2625" t="n">
        <v>5605487</v>
      </c>
      <c r="V112" s="2625" t="n">
        <v>5891774</v>
      </c>
      <c r="W112" s="2625" t="n">
        <v>4262330</v>
      </c>
      <c r="X112" s="2625" t="n">
        <v>4813270</v>
      </c>
      <c r="Y112" s="2625" t="n">
        <v>6023516</v>
      </c>
      <c r="Z112" s="2625" t="n">
        <v>7224321</v>
      </c>
      <c r="AA112" s="2625" t="n">
        <v>7214291</v>
      </c>
      <c r="AB112" s="2625" t="n">
        <v>8286093</v>
      </c>
      <c r="AC112" s="2625" t="n">
        <v>1591370</v>
      </c>
      <c r="AD112" s="2625" t="n">
        <v>1918840</v>
      </c>
      <c r="AE112" s="2626">
        <f>SUM(S112:AD112)</f>
        <v/>
      </c>
      <c r="AF112" s="1466" t="inlineStr">
        <is>
          <t>전월</t>
        </is>
      </c>
      <c r="AG112" s="2625" t="n">
        <v>2151167</v>
      </c>
      <c r="AH112" s="2625" t="n">
        <v>2389923</v>
      </c>
      <c r="AI112" s="2625" t="n">
        <v>1958770</v>
      </c>
      <c r="AJ112" s="2625" t="n">
        <v>1825851</v>
      </c>
      <c r="AK112" s="2625" t="n">
        <v>1712894</v>
      </c>
      <c r="AL112" s="2625" t="n">
        <v>1842793</v>
      </c>
      <c r="AM112" s="2625" t="n">
        <v>2154452</v>
      </c>
      <c r="AN112" s="2625" t="n">
        <v>2018956</v>
      </c>
      <c r="AO112" s="2625" t="n">
        <v>2128366</v>
      </c>
      <c r="AP112" s="2625" t="n">
        <v>1128691</v>
      </c>
      <c r="AQ112" s="2625" t="n">
        <v>300000</v>
      </c>
      <c r="AR112" s="2625" t="n">
        <v>300000</v>
      </c>
      <c r="AS112" s="2626">
        <f>SUM(AG112:AR112)</f>
        <v/>
      </c>
      <c r="AU112" s="2625" t="n">
        <v>300000</v>
      </c>
      <c r="AV112" s="2625" t="n">
        <v>300000</v>
      </c>
      <c r="AW112" s="2625" t="n">
        <v>300000</v>
      </c>
      <c r="AX112" s="2625" t="n">
        <v>300000</v>
      </c>
      <c r="AY112" s="2625" t="n">
        <v>300000</v>
      </c>
      <c r="AZ112" s="2625" t="n">
        <v>300000</v>
      </c>
      <c r="BA112" s="2625" t="n">
        <v>300000</v>
      </c>
      <c r="BB112" s="2625" t="n">
        <v>300000</v>
      </c>
      <c r="BC112" s="2625" t="n">
        <v>300000</v>
      </c>
      <c r="BD112" s="2625" t="n">
        <v>300000</v>
      </c>
      <c r="BE112" s="2625" t="n">
        <v>300000</v>
      </c>
      <c r="BF112" s="2627" t="n">
        <v>300000</v>
      </c>
      <c r="BG112" s="2628">
        <f>SUM(AU112:BF112)</f>
        <v/>
      </c>
      <c r="BI112" s="2629" t="n">
        <v>300000</v>
      </c>
      <c r="BJ112" s="2629" t="n">
        <v>300000</v>
      </c>
      <c r="BK112" s="2629" t="n">
        <v>300000</v>
      </c>
      <c r="BL112" s="2629" t="n">
        <v>300000</v>
      </c>
      <c r="BM112" s="2629" t="n">
        <v>300000</v>
      </c>
      <c r="BN112" s="2629" t="n">
        <v>300000</v>
      </c>
      <c r="BO112" s="2629" t="n">
        <v>300000</v>
      </c>
      <c r="BP112" s="2629" t="n">
        <v>300000</v>
      </c>
      <c r="BQ112" s="2629" t="n">
        <v>300000</v>
      </c>
      <c r="BR112" s="2629" t="n">
        <v>300000</v>
      </c>
      <c r="BS112" s="2629" t="n">
        <v>300000</v>
      </c>
      <c r="BT112" s="2629" t="n">
        <v>300000</v>
      </c>
      <c r="BU112" s="2628">
        <f>SUM(BI112:BT112)</f>
        <v/>
      </c>
    </row>
    <row r="113" outlineLevel="1" customFormat="1" s="1498">
      <c r="A113" s="1494" t="n"/>
      <c r="B113" s="1495" t="inlineStr">
        <is>
          <t>무형자산상각비</t>
        </is>
      </c>
      <c r="C113" s="1495" t="inlineStr">
        <is>
          <t>기타</t>
        </is>
      </c>
      <c r="D113" s="2641" t="n"/>
      <c r="E113" s="2641" t="n"/>
      <c r="F113" s="2641" t="n"/>
      <c r="G113" s="2641" t="n"/>
      <c r="H113" s="2641" t="n">
        <v>0</v>
      </c>
      <c r="I113" s="2641" t="n">
        <v>39583332</v>
      </c>
      <c r="J113" s="2641" t="n">
        <v>0</v>
      </c>
      <c r="K113" s="2641" t="n">
        <v>-39583332</v>
      </c>
      <c r="L113" s="2641" t="n">
        <v>0</v>
      </c>
      <c r="M113" s="2641" t="n">
        <v>0</v>
      </c>
      <c r="N113" s="2641" t="n">
        <v>0</v>
      </c>
      <c r="O113" s="2641" t="n">
        <v>0</v>
      </c>
      <c r="P113" s="2641">
        <f>SUM(D113:O113)</f>
        <v/>
      </c>
      <c r="Q113" s="1497" t="n"/>
      <c r="R113" s="1494" t="n"/>
      <c r="S113" s="2641" t="n">
        <v>0</v>
      </c>
      <c r="T113" s="2641" t="n">
        <v>0</v>
      </c>
      <c r="U113" s="2641" t="n">
        <v>0</v>
      </c>
      <c r="V113" s="2641" t="n">
        <v>0</v>
      </c>
      <c r="W113" s="2641" t="n">
        <v>1344074</v>
      </c>
      <c r="X113" s="2641" t="n">
        <v>1366828</v>
      </c>
      <c r="Y113" s="2641" t="n">
        <v>1366827</v>
      </c>
      <c r="Z113" s="2641" t="n">
        <v>1366827</v>
      </c>
      <c r="AA113" s="2641" t="n">
        <v>1366827</v>
      </c>
      <c r="AB113" s="2641" t="n">
        <v>1366827</v>
      </c>
      <c r="AC113" s="2641" t="n">
        <v>1366827</v>
      </c>
      <c r="AD113" s="2641" t="n">
        <v>1238608</v>
      </c>
      <c r="AE113" s="2641">
        <f>SUM(S113:AD113)</f>
        <v/>
      </c>
      <c r="AF113" s="1497" t="inlineStr">
        <is>
          <t>최근 3개월 평균</t>
        </is>
      </c>
      <c r="AG113" s="2641" t="n">
        <v>1234462</v>
      </c>
      <c r="AH113" s="2641" t="n">
        <v>1234462</v>
      </c>
      <c r="AI113" s="2641" t="n">
        <v>1426855</v>
      </c>
      <c r="AJ113" s="2641" t="n">
        <v>1298593</v>
      </c>
      <c r="AK113" s="2641" t="n">
        <v>1298593</v>
      </c>
      <c r="AL113" s="2641" t="n">
        <v>1298593</v>
      </c>
      <c r="AM113" s="2641" t="n">
        <v>1298593</v>
      </c>
      <c r="AN113" s="2641" t="n">
        <v>1298593</v>
      </c>
      <c r="AO113" s="2641" t="n">
        <v>1298593</v>
      </c>
      <c r="AP113" s="2641" t="n">
        <v>1298593</v>
      </c>
      <c r="AQ113" s="2641" t="n">
        <v>1298593</v>
      </c>
      <c r="AR113" s="2641" t="n">
        <v>1166092</v>
      </c>
      <c r="AS113" s="2641">
        <f>SUM(AG113:AR113)</f>
        <v/>
      </c>
      <c r="AT113" s="1498" t="inlineStr">
        <is>
          <t>전월</t>
        </is>
      </c>
      <c r="AU113" s="2641">
        <f>190584+1108056</f>
        <v/>
      </c>
      <c r="AV113" s="2641" t="n">
        <v>1298640</v>
      </c>
      <c r="AW113" s="2641" t="n">
        <v>1298640</v>
      </c>
      <c r="AX113" s="2641" t="n">
        <v>1298640</v>
      </c>
      <c r="AY113" s="2641" t="n">
        <v>1298640</v>
      </c>
      <c r="AZ113" s="2641" t="n">
        <v>1298640</v>
      </c>
      <c r="BA113" s="2641" t="n">
        <v>1298640</v>
      </c>
      <c r="BB113" s="2641" t="n">
        <v>1298640</v>
      </c>
      <c r="BC113" s="2641" t="n">
        <v>1298640</v>
      </c>
      <c r="BD113" s="2641" t="n">
        <v>1298640</v>
      </c>
      <c r="BE113" s="2641" t="n">
        <v>1298640</v>
      </c>
      <c r="BF113" s="2641">
        <f>BE113</f>
        <v/>
      </c>
      <c r="BG113" s="2641">
        <f>SUM(AU113:BF113)</f>
        <v/>
      </c>
      <c r="BI113" s="2641" t="n">
        <v>1298640</v>
      </c>
      <c r="BJ113" s="2641" t="n">
        <v>1298640</v>
      </c>
      <c r="BK113" s="2641" t="n">
        <v>1298640</v>
      </c>
      <c r="BL113" s="2641" t="n">
        <v>1298640</v>
      </c>
      <c r="BM113" s="2641" t="n">
        <v>1298640</v>
      </c>
      <c r="BN113" s="2641" t="n">
        <v>1298640</v>
      </c>
      <c r="BO113" s="2641" t="n">
        <v>1298640</v>
      </c>
      <c r="BP113" s="2641" t="n">
        <v>1298640</v>
      </c>
      <c r="BQ113" s="2641" t="n">
        <v>1298640</v>
      </c>
      <c r="BR113" s="2641" t="n">
        <v>1298640</v>
      </c>
      <c r="BS113" s="2641" t="n">
        <v>1298640</v>
      </c>
      <c r="BT113" s="2641" t="n">
        <v>1298640</v>
      </c>
      <c r="BU113" s="2641">
        <f>SUM(BI113:BT113)</f>
        <v/>
      </c>
    </row>
    <row r="114" outlineLevel="1">
      <c r="A114" s="1470" t="n"/>
      <c r="B114" s="1456" t="inlineStr">
        <is>
          <t>잡비</t>
        </is>
      </c>
      <c r="C114" s="1456" t="inlineStr">
        <is>
          <t>기타</t>
        </is>
      </c>
      <c r="D114" s="2625" t="n"/>
      <c r="E114" s="2625" t="n"/>
      <c r="F114" s="2625" t="n"/>
      <c r="G114" s="2625" t="n"/>
      <c r="H114" s="2625" t="n">
        <v>0</v>
      </c>
      <c r="I114" s="2625" t="n">
        <v>0</v>
      </c>
      <c r="J114" s="2625" t="n">
        <v>0</v>
      </c>
      <c r="K114" s="2625" t="n">
        <v>0</v>
      </c>
      <c r="L114" s="2625" t="n">
        <v>0</v>
      </c>
      <c r="M114" s="2625" t="n">
        <v>0</v>
      </c>
      <c r="N114" s="2625" t="n">
        <v>0</v>
      </c>
      <c r="O114" s="2625" t="n">
        <v>0</v>
      </c>
      <c r="P114" s="2626">
        <f>SUM(D114:O114)</f>
        <v/>
      </c>
      <c r="Q114" s="1466" t="n"/>
      <c r="R114" s="1436" t="n"/>
      <c r="S114" s="2625" t="n">
        <v>0</v>
      </c>
      <c r="T114" s="2625" t="n">
        <v>0</v>
      </c>
      <c r="U114" s="2625" t="n">
        <v>0</v>
      </c>
      <c r="V114" s="2625" t="n">
        <v>0</v>
      </c>
      <c r="W114" s="2625" t="n">
        <v>0</v>
      </c>
      <c r="X114" s="2625" t="n">
        <v>0</v>
      </c>
      <c r="Y114" s="2625" t="n">
        <v>0</v>
      </c>
      <c r="Z114" s="2625" t="n">
        <v>0</v>
      </c>
      <c r="AA114" s="2625" t="n">
        <v>0</v>
      </c>
      <c r="AB114" s="2625" t="n">
        <v>0</v>
      </c>
      <c r="AC114" s="2625" t="n">
        <v>0</v>
      </c>
      <c r="AD114" s="2625" t="n">
        <v>0</v>
      </c>
      <c r="AE114" s="2626">
        <f>SUM(S114:AD114)</f>
        <v/>
      </c>
      <c r="AF114" s="1466" t="n"/>
      <c r="AG114" s="2625" t="n">
        <v>0</v>
      </c>
      <c r="AH114" s="2625" t="n">
        <v>0</v>
      </c>
      <c r="AI114" s="2625" t="n">
        <v>0</v>
      </c>
      <c r="AJ114" s="2625" t="n">
        <v>0</v>
      </c>
      <c r="AK114" s="2625" t="n">
        <v>0</v>
      </c>
      <c r="AL114" s="2625" t="n">
        <v>0</v>
      </c>
      <c r="AM114" s="2625" t="n">
        <v>0</v>
      </c>
      <c r="AN114" s="2625" t="n">
        <v>0</v>
      </c>
      <c r="AO114" s="2625" t="n">
        <v>0</v>
      </c>
      <c r="AP114" s="2625" t="n">
        <v>0</v>
      </c>
      <c r="AQ114" s="2625" t="n"/>
      <c r="AR114" s="2625" t="n">
        <v>0</v>
      </c>
      <c r="AS114" s="2626">
        <f>SUM(AG114:AR114)</f>
        <v/>
      </c>
      <c r="AU114" s="2625" t="n"/>
      <c r="AV114" s="2625" t="n">
        <v>0</v>
      </c>
      <c r="AW114" s="2625" t="n">
        <v>0</v>
      </c>
      <c r="AX114" s="2625" t="n">
        <v>0</v>
      </c>
      <c r="AY114" s="2625" t="n">
        <v>0</v>
      </c>
      <c r="AZ114" s="2625" t="n">
        <v>0</v>
      </c>
      <c r="BA114" s="2625" t="n">
        <v>0</v>
      </c>
      <c r="BB114" s="2625" t="n"/>
      <c r="BC114" s="2625" t="n"/>
      <c r="BD114" s="2625" t="n">
        <v>0</v>
      </c>
      <c r="BE114" s="2625" t="n">
        <v>0</v>
      </c>
      <c r="BF114" s="2627" t="n"/>
      <c r="BG114" s="2628">
        <f>SUM(AU114:BF114)</f>
        <v/>
      </c>
      <c r="BI114" s="2629" t="n"/>
      <c r="BJ114" s="2629" t="n"/>
      <c r="BK114" s="2629" t="n"/>
      <c r="BL114" s="2629" t="n"/>
      <c r="BM114" s="2629" t="n"/>
      <c r="BN114" s="2629" t="n"/>
      <c r="BO114" s="2629" t="n"/>
      <c r="BP114" s="2629" t="n"/>
      <c r="BQ114" s="2629" t="n"/>
      <c r="BR114" s="2629" t="n"/>
      <c r="BS114" s="2629" t="n"/>
      <c r="BT114" s="2629" t="n"/>
      <c r="BU114" s="2628">
        <f>SUM(BI114:BT114)</f>
        <v/>
      </c>
    </row>
    <row r="115" outlineLevel="1">
      <c r="A115" s="1470" t="n"/>
      <c r="B115" s="1456" t="inlineStr">
        <is>
          <t>협회비</t>
        </is>
      </c>
      <c r="C115" s="1456" t="inlineStr">
        <is>
          <t>기타</t>
        </is>
      </c>
      <c r="D115" s="2625" t="n"/>
      <c r="E115" s="2625" t="n"/>
      <c r="F115" s="2625" t="n"/>
      <c r="G115" s="2625" t="n"/>
      <c r="H115" s="2625" t="n">
        <v>0</v>
      </c>
      <c r="I115" s="2625" t="n">
        <v>0</v>
      </c>
      <c r="J115" s="2625" t="n">
        <v>0</v>
      </c>
      <c r="K115" s="2625" t="n">
        <v>0</v>
      </c>
      <c r="L115" s="2625" t="n">
        <v>0</v>
      </c>
      <c r="M115" s="2625" t="n">
        <v>0</v>
      </c>
      <c r="N115" s="2625" t="n">
        <v>0</v>
      </c>
      <c r="O115" s="2625" t="n">
        <v>0</v>
      </c>
      <c r="P115" s="2626">
        <f>SUM(D115:O115)</f>
        <v/>
      </c>
      <c r="Q115" s="1466" t="n"/>
      <c r="R115" s="1436" t="n"/>
      <c r="S115" s="2625" t="n">
        <v>0</v>
      </c>
      <c r="T115" s="2625" t="n">
        <v>0</v>
      </c>
      <c r="U115" s="2625" t="n">
        <v>0</v>
      </c>
      <c r="V115" s="2625" t="n">
        <v>0</v>
      </c>
      <c r="W115" s="2625" t="n">
        <v>0</v>
      </c>
      <c r="X115" s="2625" t="n">
        <v>0</v>
      </c>
      <c r="Y115" s="2625" t="n">
        <v>0</v>
      </c>
      <c r="Z115" s="2625" t="n">
        <v>0</v>
      </c>
      <c r="AA115" s="2625" t="n">
        <v>0</v>
      </c>
      <c r="AB115" s="2625" t="n">
        <v>0</v>
      </c>
      <c r="AC115" s="2625" t="n">
        <v>0</v>
      </c>
      <c r="AD115" s="2625" t="n">
        <v>0</v>
      </c>
      <c r="AE115" s="2626">
        <f>SUM(S115:AD115)</f>
        <v/>
      </c>
      <c r="AF115" s="1466" t="n"/>
      <c r="AG115" s="2625" t="n">
        <v>0</v>
      </c>
      <c r="AH115" s="2625" t="n">
        <v>0</v>
      </c>
      <c r="AI115" s="2625" t="n">
        <v>0</v>
      </c>
      <c r="AJ115" s="2625" t="n">
        <v>0</v>
      </c>
      <c r="AK115" s="2625" t="n">
        <v>0</v>
      </c>
      <c r="AL115" s="2625" t="n">
        <v>0</v>
      </c>
      <c r="AM115" s="2625" t="n">
        <v>0</v>
      </c>
      <c r="AN115" s="2625" t="n">
        <v>0</v>
      </c>
      <c r="AO115" s="2625" t="n">
        <v>0</v>
      </c>
      <c r="AP115" s="2625" t="n">
        <v>0</v>
      </c>
      <c r="AQ115" s="2625" t="n"/>
      <c r="AR115" s="2625" t="n">
        <v>0</v>
      </c>
      <c r="AS115" s="2626">
        <f>SUM(AG115:AR115)</f>
        <v/>
      </c>
      <c r="AU115" s="2625" t="n"/>
      <c r="AV115" s="2625" t="n">
        <v>0</v>
      </c>
      <c r="AW115" s="2625" t="n">
        <v>0</v>
      </c>
      <c r="AX115" s="2625" t="n">
        <v>0</v>
      </c>
      <c r="AY115" s="2625" t="n">
        <v>0</v>
      </c>
      <c r="AZ115" s="2625" t="n">
        <v>0</v>
      </c>
      <c r="BA115" s="2625" t="n">
        <v>0</v>
      </c>
      <c r="BB115" s="2625" t="n"/>
      <c r="BC115" s="2625" t="n"/>
      <c r="BD115" s="2625" t="n">
        <v>0</v>
      </c>
      <c r="BE115" s="2625" t="n">
        <v>0</v>
      </c>
      <c r="BF115" s="2627" t="n"/>
      <c r="BG115" s="2628">
        <f>SUM(AU115:BF115)</f>
        <v/>
      </c>
      <c r="BI115" s="2629" t="n"/>
      <c r="BJ115" s="2629" t="n"/>
      <c r="BK115" s="2629" t="n"/>
      <c r="BL115" s="2629" t="n"/>
      <c r="BM115" s="2629" t="n"/>
      <c r="BN115" s="2629" t="n"/>
      <c r="BO115" s="2629" t="n"/>
      <c r="BP115" s="2629" t="n"/>
      <c r="BQ115" s="2629" t="n"/>
      <c r="BR115" s="2629" t="n"/>
      <c r="BS115" s="2629" t="n"/>
      <c r="BT115" s="2629" t="n"/>
      <c r="BU115" s="2628">
        <f>SUM(BI115:BT115)</f>
        <v/>
      </c>
    </row>
    <row r="116" outlineLevel="1">
      <c r="A116" s="1470" t="n"/>
      <c r="B116" s="1456" t="inlineStr">
        <is>
          <t>외주용역비</t>
        </is>
      </c>
      <c r="C116" s="1456" t="inlineStr">
        <is>
          <t>기타</t>
        </is>
      </c>
      <c r="D116" s="2625" t="n"/>
      <c r="E116" s="2625" t="n"/>
      <c r="F116" s="2625" t="n"/>
      <c r="G116" s="2625" t="n"/>
      <c r="H116" s="2625" t="n">
        <v>0</v>
      </c>
      <c r="I116" s="2625" t="n">
        <v>0</v>
      </c>
      <c r="J116" s="2625" t="n">
        <v>0</v>
      </c>
      <c r="K116" s="2625" t="n">
        <v>0</v>
      </c>
      <c r="L116" s="2625" t="n">
        <v>150000000</v>
      </c>
      <c r="M116" s="2625" t="n">
        <v>0</v>
      </c>
      <c r="N116" s="2625" t="n">
        <v>0</v>
      </c>
      <c r="O116" s="2625" t="n">
        <v>0</v>
      </c>
      <c r="P116" s="2626">
        <f>SUM(D116:O116)</f>
        <v/>
      </c>
      <c r="Q116" s="1466" t="n"/>
      <c r="R116" s="1436" t="n"/>
      <c r="S116" s="2625" t="n">
        <v>0</v>
      </c>
      <c r="T116" s="2625" t="n">
        <v>0</v>
      </c>
      <c r="U116" s="2625" t="n">
        <v>0</v>
      </c>
      <c r="V116" s="2625" t="n">
        <v>0</v>
      </c>
      <c r="W116" s="2625" t="n">
        <v>118225910</v>
      </c>
      <c r="X116" s="2625" t="n">
        <v>145532520</v>
      </c>
      <c r="Y116" s="2625" t="n">
        <v>158381790</v>
      </c>
      <c r="Z116" s="2625" t="n">
        <v>131844930</v>
      </c>
      <c r="AA116" s="2625" t="n">
        <v>66119130</v>
      </c>
      <c r="AB116" s="2625" t="n">
        <v>0</v>
      </c>
      <c r="AC116" s="2625" t="n">
        <v>0</v>
      </c>
      <c r="AD116" s="2625" t="n">
        <v>0</v>
      </c>
      <c r="AE116" s="2626">
        <f>SUM(S116:AD116)</f>
        <v/>
      </c>
      <c r="AF116" s="1466" t="inlineStr">
        <is>
          <t>최소치 가정</t>
        </is>
      </c>
      <c r="AG116" s="2625" t="n">
        <v>0</v>
      </c>
      <c r="AH116" s="2625" t="n">
        <v>0</v>
      </c>
      <c r="AI116" s="2625" t="n">
        <v>0</v>
      </c>
      <c r="AJ116" s="2625" t="n">
        <v>0</v>
      </c>
      <c r="AK116" s="2625" t="n">
        <v>0</v>
      </c>
      <c r="AL116" s="2625" t="n">
        <v>0</v>
      </c>
      <c r="AM116" s="2625" t="n">
        <v>0</v>
      </c>
      <c r="AN116" s="2625" t="n">
        <v>0</v>
      </c>
      <c r="AO116" s="2625" t="n">
        <v>0</v>
      </c>
      <c r="AP116" s="2625" t="n">
        <v>0</v>
      </c>
      <c r="AQ116" s="2625" t="n"/>
      <c r="AR116" s="2625" t="n">
        <v>0</v>
      </c>
      <c r="AS116" s="2626">
        <f>SUM(AG116:AR116)</f>
        <v/>
      </c>
      <c r="AU116" s="2625" t="n"/>
      <c r="AV116" s="2625" t="n">
        <v>0</v>
      </c>
      <c r="AW116" s="2625" t="n">
        <v>0</v>
      </c>
      <c r="AX116" s="2625" t="n">
        <v>0</v>
      </c>
      <c r="AY116" s="2625" t="n">
        <v>0</v>
      </c>
      <c r="AZ116" s="2625" t="n">
        <v>0</v>
      </c>
      <c r="BA116" s="2625" t="n">
        <v>0</v>
      </c>
      <c r="BB116" s="2625" t="n"/>
      <c r="BC116" s="2625" t="n"/>
      <c r="BD116" s="2625" t="n">
        <v>0</v>
      </c>
      <c r="BE116" s="2625" t="n">
        <v>0</v>
      </c>
      <c r="BF116" s="2627" t="n"/>
      <c r="BG116" s="2628">
        <f>SUM(AU116:BF116)</f>
        <v/>
      </c>
      <c r="BI116" s="2629" t="n"/>
      <c r="BJ116" s="2629" t="n"/>
      <c r="BK116" s="2629" t="n"/>
      <c r="BL116" s="2629" t="n"/>
      <c r="BM116" s="2629" t="n"/>
      <c r="BN116" s="2629" t="n"/>
      <c r="BO116" s="2629" t="n"/>
      <c r="BP116" s="2629" t="n"/>
      <c r="BQ116" s="2629" t="n"/>
      <c r="BR116" s="2629" t="n"/>
      <c r="BS116" s="2629" t="n"/>
      <c r="BT116" s="2629" t="n"/>
      <c r="BU116" s="2628">
        <f>SUM(BI116:BT116)</f>
        <v/>
      </c>
    </row>
    <row r="117" outlineLevel="1">
      <c r="A117" s="1470" t="n"/>
      <c r="B117" s="1456" t="inlineStr">
        <is>
          <t>매출채권 손상차손</t>
        </is>
      </c>
      <c r="C117" s="1456" t="inlineStr">
        <is>
          <t>기타</t>
        </is>
      </c>
      <c r="D117" s="2625" t="n"/>
      <c r="E117" s="2625" t="n"/>
      <c r="F117" s="2625" t="n"/>
      <c r="G117" s="2625" t="n"/>
      <c r="H117" s="2625" t="n">
        <v>0</v>
      </c>
      <c r="I117" s="2625" t="n">
        <v>0</v>
      </c>
      <c r="J117" s="2625" t="n">
        <v>0</v>
      </c>
      <c r="K117" s="2625" t="n">
        <v>0</v>
      </c>
      <c r="L117" s="2625" t="n">
        <v>0</v>
      </c>
      <c r="M117" s="2625" t="n">
        <v>0</v>
      </c>
      <c r="N117" s="2625" t="n">
        <v>0</v>
      </c>
      <c r="O117" s="2625" t="n">
        <v>0</v>
      </c>
      <c r="P117" s="2626">
        <f>SUM(D117:O117)</f>
        <v/>
      </c>
      <c r="Q117" s="1466" t="n"/>
      <c r="R117" s="1436" t="n"/>
      <c r="S117" s="2625" t="n">
        <v>0</v>
      </c>
      <c r="T117" s="2625" t="n">
        <v>0</v>
      </c>
      <c r="U117" s="2625" t="n">
        <v>0</v>
      </c>
      <c r="V117" s="2625" t="n">
        <v>0</v>
      </c>
      <c r="W117" s="2625" t="n">
        <v>0</v>
      </c>
      <c r="X117" s="2625" t="n">
        <v>0</v>
      </c>
      <c r="Y117" s="2625" t="n">
        <v>0</v>
      </c>
      <c r="Z117" s="2625" t="n">
        <v>0</v>
      </c>
      <c r="AA117" s="2625" t="n">
        <v>0</v>
      </c>
      <c r="AB117" s="2625" t="n">
        <v>0</v>
      </c>
      <c r="AC117" s="2625" t="n">
        <v>0</v>
      </c>
      <c r="AD117" s="2625" t="n">
        <v>0</v>
      </c>
      <c r="AE117" s="2626">
        <f>SUM(S117:AD117)</f>
        <v/>
      </c>
      <c r="AF117" s="1466" t="n"/>
      <c r="AG117" s="2625" t="n">
        <v>0</v>
      </c>
      <c r="AH117" s="2625" t="n">
        <v>0</v>
      </c>
      <c r="AI117" s="2625" t="n">
        <v>0</v>
      </c>
      <c r="AJ117" s="2625" t="n">
        <v>0</v>
      </c>
      <c r="AK117" s="2625" t="n">
        <v>0</v>
      </c>
      <c r="AL117" s="2625" t="n">
        <v>0</v>
      </c>
      <c r="AM117" s="2625" t="n">
        <v>0</v>
      </c>
      <c r="AN117" s="2625" t="n">
        <v>0</v>
      </c>
      <c r="AO117" s="2625" t="n">
        <v>0</v>
      </c>
      <c r="AP117" s="2625" t="n">
        <v>0</v>
      </c>
      <c r="AQ117" s="2625" t="n"/>
      <c r="AR117" s="2625" t="n">
        <v>0</v>
      </c>
      <c r="AS117" s="2626">
        <f>SUM(AG117:AR117)</f>
        <v/>
      </c>
      <c r="AU117" s="2625" t="n"/>
      <c r="AV117" s="2625" t="n">
        <v>0</v>
      </c>
      <c r="AW117" s="2625" t="n">
        <v>0</v>
      </c>
      <c r="AX117" s="2625" t="n">
        <v>0</v>
      </c>
      <c r="AY117" s="2625" t="n">
        <v>0</v>
      </c>
      <c r="AZ117" s="2625" t="n">
        <v>0</v>
      </c>
      <c r="BA117" s="2625" t="n">
        <v>0</v>
      </c>
      <c r="BB117" s="2625" t="n"/>
      <c r="BC117" s="2625" t="n"/>
      <c r="BD117" s="2625" t="n">
        <v>0</v>
      </c>
      <c r="BE117" s="2625" t="n">
        <v>0</v>
      </c>
      <c r="BF117" s="2627" t="n"/>
      <c r="BG117" s="2628">
        <f>SUM(AU117:BF117)</f>
        <v/>
      </c>
      <c r="BI117" s="2629" t="n"/>
      <c r="BJ117" s="2629" t="n"/>
      <c r="BK117" s="2629" t="n"/>
      <c r="BL117" s="2629" t="n"/>
      <c r="BM117" s="2629" t="n"/>
      <c r="BN117" s="2629" t="n"/>
      <c r="BO117" s="2629" t="n"/>
      <c r="BP117" s="2629" t="n"/>
      <c r="BQ117" s="2629" t="n"/>
      <c r="BR117" s="2629" t="n"/>
      <c r="BS117" s="2629" t="n"/>
      <c r="BT117" s="2629" t="n"/>
      <c r="BU117" s="2628">
        <f>SUM(BI117:BT117)</f>
        <v/>
      </c>
    </row>
    <row r="118" outlineLevel="1">
      <c r="A118" s="1470" t="n"/>
      <c r="B118" s="1456" t="inlineStr">
        <is>
          <t>복구충당부채환입</t>
        </is>
      </c>
      <c r="C118" s="1456" t="inlineStr">
        <is>
          <t>기타</t>
        </is>
      </c>
      <c r="D118" s="2625" t="n"/>
      <c r="E118" s="2625" t="n"/>
      <c r="F118" s="2625" t="n"/>
      <c r="G118" s="2625" t="n"/>
      <c r="H118" s="2625" t="n">
        <v>0</v>
      </c>
      <c r="I118" s="2625" t="n">
        <v>0</v>
      </c>
      <c r="J118" s="2625" t="n">
        <v>0</v>
      </c>
      <c r="K118" s="2625" t="n">
        <v>0</v>
      </c>
      <c r="L118" s="2625" t="n">
        <v>0</v>
      </c>
      <c r="M118" s="2625" t="n">
        <v>0</v>
      </c>
      <c r="N118" s="2625" t="n">
        <v>0</v>
      </c>
      <c r="O118" s="2625" t="n">
        <v>0</v>
      </c>
      <c r="P118" s="2626">
        <f>SUM(D118:O118)</f>
        <v/>
      </c>
      <c r="Q118" s="1466" t="n"/>
      <c r="R118" s="1436" t="n"/>
      <c r="S118" s="2625" t="n">
        <v>0</v>
      </c>
      <c r="T118" s="2625" t="n">
        <v>0</v>
      </c>
      <c r="U118" s="2625" t="n">
        <v>0</v>
      </c>
      <c r="V118" s="2625" t="n">
        <v>0</v>
      </c>
      <c r="W118" s="2625" t="n">
        <v>0</v>
      </c>
      <c r="X118" s="2625" t="n">
        <v>0</v>
      </c>
      <c r="Y118" s="2625" t="n">
        <v>0</v>
      </c>
      <c r="Z118" s="2625" t="n">
        <v>0</v>
      </c>
      <c r="AA118" s="2625" t="n">
        <v>0</v>
      </c>
      <c r="AB118" s="2625" t="n">
        <v>0</v>
      </c>
      <c r="AC118" s="2625" t="n">
        <v>0</v>
      </c>
      <c r="AD118" s="2625" t="n">
        <v>0</v>
      </c>
      <c r="AE118" s="2626">
        <f>SUM(S118:AD118)</f>
        <v/>
      </c>
      <c r="AF118" s="1466" t="n"/>
      <c r="AG118" s="2625" t="n">
        <v>0</v>
      </c>
      <c r="AH118" s="2625" t="n">
        <v>0</v>
      </c>
      <c r="AI118" s="2625" t="n">
        <v>0</v>
      </c>
      <c r="AJ118" s="2625" t="n">
        <v>0</v>
      </c>
      <c r="AK118" s="2625" t="n">
        <v>0</v>
      </c>
      <c r="AL118" s="2625" t="n">
        <v>0</v>
      </c>
      <c r="AM118" s="2625" t="n">
        <v>0</v>
      </c>
      <c r="AN118" s="2625" t="n">
        <v>0</v>
      </c>
      <c r="AO118" s="2625" t="n">
        <v>0</v>
      </c>
      <c r="AP118" s="2625" t="n">
        <v>0</v>
      </c>
      <c r="AQ118" s="2625" t="n"/>
      <c r="AR118" s="2625" t="n">
        <v>0</v>
      </c>
      <c r="AS118" s="2626">
        <f>SUM(AG118:AR118)</f>
        <v/>
      </c>
      <c r="AU118" s="2625" t="n"/>
      <c r="AV118" s="2625" t="n">
        <v>0</v>
      </c>
      <c r="AW118" s="2625" t="n">
        <v>0</v>
      </c>
      <c r="AX118" s="2625" t="n">
        <v>0</v>
      </c>
      <c r="AY118" s="2625" t="n">
        <v>0</v>
      </c>
      <c r="AZ118" s="2625" t="n">
        <v>0</v>
      </c>
      <c r="BA118" s="2625" t="n">
        <v>0</v>
      </c>
      <c r="BB118" s="2625" t="n"/>
      <c r="BC118" s="2625" t="n"/>
      <c r="BD118" s="2625" t="n">
        <v>0</v>
      </c>
      <c r="BE118" s="2625" t="n">
        <v>0</v>
      </c>
      <c r="BF118" s="2627" t="n"/>
      <c r="BG118" s="2628">
        <f>SUM(AU118:BF118)</f>
        <v/>
      </c>
      <c r="BI118" s="2629" t="n"/>
      <c r="BJ118" s="2629" t="n"/>
      <c r="BK118" s="2629" t="n"/>
      <c r="BL118" s="2629" t="n"/>
      <c r="BM118" s="2629" t="n"/>
      <c r="BN118" s="2629" t="n"/>
      <c r="BO118" s="2629" t="n"/>
      <c r="BP118" s="2629" t="n"/>
      <c r="BQ118" s="2629" t="n"/>
      <c r="BR118" s="2629" t="n"/>
      <c r="BS118" s="2629" t="n"/>
      <c r="BT118" s="2629" t="n"/>
      <c r="BU118" s="2628">
        <f>SUM(BI118:BT118)</f>
        <v/>
      </c>
    </row>
    <row r="119" outlineLevel="1">
      <c r="A119" s="1470" t="n"/>
      <c r="B119" s="1456" t="inlineStr">
        <is>
          <t>하자보수비</t>
        </is>
      </c>
      <c r="C119" s="1456" t="inlineStr">
        <is>
          <t>기타</t>
        </is>
      </c>
      <c r="D119" s="2625" t="n"/>
      <c r="E119" s="2625" t="n"/>
      <c r="F119" s="2625" t="n"/>
      <c r="G119" s="2625" t="n"/>
      <c r="H119" s="2625" t="n">
        <v>0</v>
      </c>
      <c r="I119" s="2625" t="n">
        <v>0</v>
      </c>
      <c r="J119" s="2625" t="n">
        <v>0</v>
      </c>
      <c r="K119" s="2625" t="n">
        <v>0</v>
      </c>
      <c r="L119" s="2625" t="n">
        <v>0</v>
      </c>
      <c r="M119" s="2625" t="n">
        <v>0</v>
      </c>
      <c r="N119" s="2625" t="n">
        <v>0</v>
      </c>
      <c r="O119" s="2625" t="n">
        <v>0</v>
      </c>
      <c r="P119" s="2626">
        <f>SUM(D119:O119)</f>
        <v/>
      </c>
      <c r="Q119" s="1466" t="n"/>
      <c r="R119" s="1436" t="n"/>
      <c r="S119" s="2625" t="n">
        <v>0</v>
      </c>
      <c r="T119" s="2625" t="n">
        <v>0</v>
      </c>
      <c r="U119" s="2625" t="n">
        <v>0</v>
      </c>
      <c r="V119" s="2625" t="n">
        <v>0</v>
      </c>
      <c r="W119" s="2625" t="n">
        <v>0</v>
      </c>
      <c r="X119" s="2625" t="n">
        <v>0</v>
      </c>
      <c r="Y119" s="2625" t="n">
        <v>0</v>
      </c>
      <c r="Z119" s="2625" t="n">
        <v>0</v>
      </c>
      <c r="AA119" s="2625" t="n">
        <v>0</v>
      </c>
      <c r="AB119" s="2625" t="n">
        <v>0</v>
      </c>
      <c r="AC119" s="2625" t="n">
        <v>0</v>
      </c>
      <c r="AD119" s="2625" t="n">
        <v>0</v>
      </c>
      <c r="AE119" s="2626">
        <f>SUM(S119:AD119)</f>
        <v/>
      </c>
      <c r="AF119" s="1466" t="n"/>
      <c r="AG119" s="2625" t="n">
        <v>0</v>
      </c>
      <c r="AH119" s="2625" t="n">
        <v>0</v>
      </c>
      <c r="AI119" s="2625" t="n">
        <v>0</v>
      </c>
      <c r="AJ119" s="2625" t="n">
        <v>0</v>
      </c>
      <c r="AK119" s="2625" t="n">
        <v>0</v>
      </c>
      <c r="AL119" s="2625" t="n">
        <v>0</v>
      </c>
      <c r="AM119" s="2625" t="n">
        <v>0</v>
      </c>
      <c r="AN119" s="2625" t="n">
        <v>0</v>
      </c>
      <c r="AO119" s="2625" t="n">
        <v>0</v>
      </c>
      <c r="AP119" s="2625" t="n">
        <v>0</v>
      </c>
      <c r="AQ119" s="2625" t="n"/>
      <c r="AR119" s="2625" t="n">
        <v>0</v>
      </c>
      <c r="AS119" s="2626">
        <f>SUM(AG119:AR119)</f>
        <v/>
      </c>
      <c r="AU119" s="2625" t="n"/>
      <c r="AV119" s="2625" t="n">
        <v>0</v>
      </c>
      <c r="AW119" s="2625" t="n">
        <v>0</v>
      </c>
      <c r="AX119" s="2625" t="n">
        <v>0</v>
      </c>
      <c r="AY119" s="2625" t="n">
        <v>0</v>
      </c>
      <c r="AZ119" s="2625" t="n">
        <v>0</v>
      </c>
      <c r="BA119" s="2625" t="n">
        <v>0</v>
      </c>
      <c r="BB119" s="2625" t="n"/>
      <c r="BC119" s="2625" t="n"/>
      <c r="BD119" s="2625" t="n">
        <v>0</v>
      </c>
      <c r="BE119" s="2625" t="n">
        <v>0</v>
      </c>
      <c r="BF119" s="2627" t="n"/>
      <c r="BG119" s="2628">
        <f>SUM(AU119:BF119)</f>
        <v/>
      </c>
      <c r="BI119" s="2629" t="n"/>
      <c r="BJ119" s="2629" t="n"/>
      <c r="BK119" s="2629" t="n"/>
      <c r="BL119" s="2629" t="n"/>
      <c r="BM119" s="2629" t="n"/>
      <c r="BN119" s="2629" t="n"/>
      <c r="BO119" s="2629" t="n"/>
      <c r="BP119" s="2629" t="n"/>
      <c r="BQ119" s="2629" t="n"/>
      <c r="BR119" s="2629" t="n"/>
      <c r="BS119" s="2629" t="n"/>
      <c r="BT119" s="2629" t="n"/>
      <c r="BU119" s="2628">
        <f>SUM(BI119:BT119)</f>
        <v/>
      </c>
    </row>
    <row r="120" outlineLevel="1" customFormat="1" s="1498">
      <c r="A120" s="1494" t="n"/>
      <c r="B120" s="1495" t="inlineStr">
        <is>
          <t>주식보상비용</t>
        </is>
      </c>
      <c r="C120" s="1495" t="inlineStr">
        <is>
          <t>기타</t>
        </is>
      </c>
      <c r="D120" s="2641" t="n"/>
      <c r="E120" s="2641" t="n"/>
      <c r="F120" s="2641" t="n"/>
      <c r="G120" s="2641" t="n"/>
      <c r="H120" s="2641" t="n">
        <v>0</v>
      </c>
      <c r="I120" s="2641" t="n">
        <v>0</v>
      </c>
      <c r="J120" s="2641" t="n">
        <v>2195864</v>
      </c>
      <c r="K120" s="2641" t="n">
        <v>1791362</v>
      </c>
      <c r="L120" s="2641" t="n">
        <v>1733577</v>
      </c>
      <c r="M120" s="2641" t="n">
        <v>1791362</v>
      </c>
      <c r="N120" s="2641" t="n">
        <v>1733577</v>
      </c>
      <c r="O120" s="2641" t="n">
        <v>1791362</v>
      </c>
      <c r="P120" s="2641">
        <f>SUM(D120:O120)</f>
        <v/>
      </c>
      <c r="Q120" s="1497" t="n"/>
      <c r="R120" s="1494" t="n"/>
      <c r="S120" s="2641" t="n">
        <v>1791363</v>
      </c>
      <c r="T120" s="2641" t="n">
        <v>1618005</v>
      </c>
      <c r="U120" s="2641" t="n">
        <v>1791362</v>
      </c>
      <c r="V120" s="2641" t="n">
        <v>1733577</v>
      </c>
      <c r="W120" s="2641" t="n">
        <v>1791362</v>
      </c>
      <c r="X120" s="2641" t="n">
        <v>161186702</v>
      </c>
      <c r="Y120" s="2641" t="n">
        <v>-8298831</v>
      </c>
      <c r="Z120" s="2641" t="n">
        <v>51579007</v>
      </c>
      <c r="AA120" s="2641" t="n">
        <v>51521220</v>
      </c>
      <c r="AB120" s="2641" t="n">
        <v>-129666557</v>
      </c>
      <c r="AC120" s="2641" t="n">
        <v>124009790</v>
      </c>
      <c r="AD120" s="2641" t="n">
        <v>12419029</v>
      </c>
      <c r="AE120" s="2641">
        <f>SUM(S120:AD120)</f>
        <v/>
      </c>
      <c r="AF120" s="1501" t="inlineStr">
        <is>
          <t>3분기 장부 전액 손상에 따라 주식보상비용 추가 인식 안하는 걸로</t>
        </is>
      </c>
      <c r="AG120" s="2641" t="n">
        <v>26929586</v>
      </c>
      <c r="AH120" s="2641" t="n">
        <v>25192194</v>
      </c>
      <c r="AI120" s="2641" t="n">
        <v>14419872</v>
      </c>
      <c r="AJ120" s="2641" t="n">
        <v>24891757</v>
      </c>
      <c r="AK120" s="2641" t="n">
        <v>25721483</v>
      </c>
      <c r="AL120" s="2641" t="n">
        <v>15666623</v>
      </c>
      <c r="AM120" s="2641" t="n">
        <v>-36550069</v>
      </c>
      <c r="AN120" s="2641" t="n">
        <v>6747608</v>
      </c>
      <c r="AO120" s="2641" t="n">
        <v>7866280</v>
      </c>
      <c r="AP120" s="2641" t="n">
        <v>12685085</v>
      </c>
      <c r="AQ120" s="2641" t="n">
        <v>11152935</v>
      </c>
      <c r="AR120" s="2641" t="n">
        <v>12685085</v>
      </c>
      <c r="AS120" s="2641">
        <f>SUM(AG120:AR120)</f>
        <v/>
      </c>
      <c r="AU120" s="2641" t="n">
        <v>12685085</v>
      </c>
      <c r="AV120" s="2641" t="n">
        <v>11457497</v>
      </c>
      <c r="AW120" s="2641" t="n">
        <v>12685085</v>
      </c>
      <c r="AX120" s="2641" t="n">
        <v>12275889</v>
      </c>
      <c r="AY120" s="2641" t="n">
        <v>12685085</v>
      </c>
      <c r="AZ120" s="2641" t="n">
        <v>12275889</v>
      </c>
      <c r="BA120" s="2641" t="n">
        <v>12685085</v>
      </c>
      <c r="BB120" s="2641" t="n">
        <v>12685085</v>
      </c>
      <c r="BC120" s="2641" t="n">
        <v>12275889</v>
      </c>
      <c r="BD120" s="2641" t="n">
        <v>12685085</v>
      </c>
      <c r="BE120" s="2641" t="n">
        <v>12275889</v>
      </c>
      <c r="BF120" s="2641" t="n">
        <v>12685085</v>
      </c>
      <c r="BG120" s="2641">
        <f>SUM(AU120:BF120)</f>
        <v/>
      </c>
      <c r="BI120" s="2641">
        <f>BF120</f>
        <v/>
      </c>
      <c r="BJ120" s="2641" t="n">
        <v>12685085</v>
      </c>
      <c r="BK120" s="2641" t="n">
        <v>12685085</v>
      </c>
      <c r="BL120" s="2641" t="n">
        <v>12685085</v>
      </c>
      <c r="BM120" s="2641" t="n">
        <v>12685085</v>
      </c>
      <c r="BN120" s="2641" t="n"/>
      <c r="BO120" s="2641" t="n"/>
      <c r="BP120" s="2641" t="n"/>
      <c r="BQ120" s="2641" t="n"/>
      <c r="BR120" s="2641" t="n"/>
      <c r="BS120" s="2641" t="n"/>
      <c r="BT120" s="2641" t="n"/>
      <c r="BU120" s="2641">
        <f>SUM(BI120:BT120)</f>
        <v/>
      </c>
    </row>
    <row r="121" outlineLevel="1">
      <c r="A121" s="1470" t="n"/>
      <c r="B121" s="1456" t="inlineStr">
        <is>
          <t>프로젝트손실충당부채전입액 &gt; 재고자산 평가 손실</t>
        </is>
      </c>
      <c r="C121" s="1456" t="inlineStr">
        <is>
          <t>기타</t>
        </is>
      </c>
      <c r="D121" s="2625" t="n"/>
      <c r="E121" s="2625" t="n"/>
      <c r="F121" s="2625" t="n"/>
      <c r="G121" s="2625" t="n"/>
      <c r="H121" s="2625" t="n"/>
      <c r="I121" s="2625" t="n"/>
      <c r="J121" s="2625" t="n">
        <v>0</v>
      </c>
      <c r="K121" s="2625" t="n">
        <v>0</v>
      </c>
      <c r="L121" s="2625" t="n">
        <v>0</v>
      </c>
      <c r="M121" s="2625" t="n">
        <v>0</v>
      </c>
      <c r="N121" s="2625" t="n">
        <v>0</v>
      </c>
      <c r="O121" s="2625" t="n">
        <v>0</v>
      </c>
      <c r="P121" s="2626">
        <f>SUM(D121:O121)</f>
        <v/>
      </c>
      <c r="Q121" s="1436" t="n"/>
      <c r="R121" s="1436" t="n"/>
      <c r="S121" s="2625" t="n">
        <v>0</v>
      </c>
      <c r="T121" s="2625" t="n">
        <v>0</v>
      </c>
      <c r="U121" s="2625" t="n">
        <v>0</v>
      </c>
      <c r="V121" s="2625" t="n">
        <v>0</v>
      </c>
      <c r="W121" s="2625" t="n">
        <v>0</v>
      </c>
      <c r="X121" s="2625" t="n">
        <v>0</v>
      </c>
      <c r="Y121" s="2625" t="n">
        <v>0</v>
      </c>
      <c r="Z121" s="2625" t="n">
        <v>0</v>
      </c>
      <c r="AA121" s="2625" t="n">
        <v>0</v>
      </c>
      <c r="AB121" s="2625" t="n">
        <v>0</v>
      </c>
      <c r="AC121" s="2625" t="n">
        <v>0</v>
      </c>
      <c r="AD121" s="2625" t="n">
        <v>0</v>
      </c>
      <c r="AE121" s="2626">
        <f>SUM(S121:AD121)</f>
        <v/>
      </c>
      <c r="AF121" s="1476" t="n"/>
      <c r="AG121" s="2625" t="n">
        <v>0</v>
      </c>
      <c r="AH121" s="2625" t="n">
        <v>0</v>
      </c>
      <c r="AI121" s="2625" t="n">
        <v>0</v>
      </c>
      <c r="AJ121" s="2625" t="n">
        <v>0</v>
      </c>
      <c r="AK121" s="2625" t="n">
        <v>0</v>
      </c>
      <c r="AL121" s="2625" t="n">
        <v>0</v>
      </c>
      <c r="AM121" s="2625" t="n">
        <v>0</v>
      </c>
      <c r="AN121" s="2625" t="n">
        <v>0</v>
      </c>
      <c r="AO121" s="2625" t="n">
        <v>0</v>
      </c>
      <c r="AP121" s="2625" t="n">
        <v>0</v>
      </c>
      <c r="AQ121" s="2625" t="n"/>
      <c r="AR121" s="2625" t="n">
        <v>0</v>
      </c>
      <c r="AS121" s="2626">
        <f>SUM(AG121:AR121)</f>
        <v/>
      </c>
      <c r="AU121" s="2625" t="n"/>
      <c r="AV121" s="2625" t="n">
        <v>0</v>
      </c>
      <c r="AW121" s="2625" t="n">
        <v>0</v>
      </c>
      <c r="AX121" s="2625" t="n">
        <v>0</v>
      </c>
      <c r="AY121" s="2625" t="n">
        <v>0</v>
      </c>
      <c r="AZ121" s="2625" t="n">
        <v>0</v>
      </c>
      <c r="BA121" s="2625" t="n">
        <v>0</v>
      </c>
      <c r="BB121" s="2625" t="n"/>
      <c r="BC121" s="2625" t="n"/>
      <c r="BD121" s="2625" t="n">
        <v>0</v>
      </c>
      <c r="BE121" s="2625" t="n">
        <v>0</v>
      </c>
      <c r="BF121" s="2627" t="n"/>
      <c r="BG121" s="2628">
        <f>SUM(AU121:BF121)</f>
        <v/>
      </c>
      <c r="BI121" s="2629" t="n"/>
      <c r="BJ121" s="2629" t="n"/>
      <c r="BK121" s="2629" t="n"/>
      <c r="BL121" s="2629" t="n"/>
      <c r="BM121" s="2629" t="n"/>
      <c r="BN121" s="2629" t="n"/>
      <c r="BO121" s="2629" t="n"/>
      <c r="BP121" s="2629" t="n"/>
      <c r="BQ121" s="2629" t="n"/>
      <c r="BR121" s="2629" t="n"/>
      <c r="BS121" s="2629" t="n"/>
      <c r="BT121" s="2629" t="n"/>
      <c r="BU121" s="2628">
        <f>SUM(BI121:BT121)</f>
        <v/>
      </c>
    </row>
    <row r="122">
      <c r="A122" s="1470" t="n"/>
      <c r="B122" s="1471" t="inlineStr">
        <is>
          <t>Ⅲ. 영업이익(손실)</t>
        </is>
      </c>
      <c r="C122" s="1471" t="n"/>
      <c r="D122" s="2622">
        <f>D86-D87</f>
        <v/>
      </c>
      <c r="E122" s="2622">
        <f>E86-E87</f>
        <v/>
      </c>
      <c r="F122" s="2622">
        <f>F86-F87</f>
        <v/>
      </c>
      <c r="G122" s="2622">
        <f>G86-G87</f>
        <v/>
      </c>
      <c r="H122" s="2622">
        <f>H86-H87</f>
        <v/>
      </c>
      <c r="I122" s="2622">
        <f>I86-I87</f>
        <v/>
      </c>
      <c r="J122" s="2622">
        <f>J86-J87</f>
        <v/>
      </c>
      <c r="K122" s="2622">
        <f>K86-K87</f>
        <v/>
      </c>
      <c r="L122" s="2622">
        <f>L86-L87</f>
        <v/>
      </c>
      <c r="M122" s="2622">
        <f>M86-M87</f>
        <v/>
      </c>
      <c r="N122" s="2622">
        <f>N86-N87</f>
        <v/>
      </c>
      <c r="O122" s="2622">
        <f>O86-O87</f>
        <v/>
      </c>
      <c r="P122" s="2623">
        <f>SUM(D122:O122)</f>
        <v/>
      </c>
      <c r="Q122" s="1436" t="n"/>
      <c r="R122" s="1436" t="n"/>
      <c r="S122" s="2622">
        <f>S86-S87</f>
        <v/>
      </c>
      <c r="T122" s="2622">
        <f>T86-T87</f>
        <v/>
      </c>
      <c r="U122" s="2622">
        <f>U86-U87</f>
        <v/>
      </c>
      <c r="V122" s="2622">
        <f>V86-V87</f>
        <v/>
      </c>
      <c r="W122" s="2622">
        <f>W86-W87</f>
        <v/>
      </c>
      <c r="X122" s="2622">
        <f>X86-X87</f>
        <v/>
      </c>
      <c r="Y122" s="2622">
        <f>Y86-Y87</f>
        <v/>
      </c>
      <c r="Z122" s="2622">
        <f>Z86-Z87</f>
        <v/>
      </c>
      <c r="AA122" s="2622">
        <f>AA86-AA87</f>
        <v/>
      </c>
      <c r="AB122" s="2622">
        <f>AB86-AB87</f>
        <v/>
      </c>
      <c r="AC122" s="2622">
        <f>AC86-AC87</f>
        <v/>
      </c>
      <c r="AD122" s="2622">
        <f>AD86-AD87</f>
        <v/>
      </c>
      <c r="AE122" s="2623">
        <f>SUM(S122:AD122)</f>
        <v/>
      </c>
      <c r="AF122" s="1477" t="n"/>
      <c r="AG122" s="2622">
        <f>AG86-AG87</f>
        <v/>
      </c>
      <c r="AH122" s="2622">
        <f>AH86-AH87</f>
        <v/>
      </c>
      <c r="AI122" s="2622">
        <f>AI86-AI87</f>
        <v/>
      </c>
      <c r="AJ122" s="2622">
        <f>AJ86-AJ87</f>
        <v/>
      </c>
      <c r="AK122" s="2622">
        <f>AK86-AK87</f>
        <v/>
      </c>
      <c r="AL122" s="2622">
        <f>AL86-AL87</f>
        <v/>
      </c>
      <c r="AM122" s="2622">
        <f>AM86-AM87</f>
        <v/>
      </c>
      <c r="AN122" s="2622">
        <f>AN86-AN87</f>
        <v/>
      </c>
      <c r="AO122" s="2622">
        <f>AO86-AO87</f>
        <v/>
      </c>
      <c r="AP122" s="2622">
        <f>AP86-AP87</f>
        <v/>
      </c>
      <c r="AQ122" s="2622">
        <f>AQ86-AQ87</f>
        <v/>
      </c>
      <c r="AR122" s="2622">
        <f>AR86-AR87</f>
        <v/>
      </c>
      <c r="AS122" s="2623">
        <f>SUM(AG122:AR122)</f>
        <v/>
      </c>
      <c r="AU122" s="2622">
        <f>AU86-AU87</f>
        <v/>
      </c>
      <c r="AV122" s="2622">
        <f>AV86-AV87</f>
        <v/>
      </c>
      <c r="AW122" s="2622">
        <f>AW86-AW87</f>
        <v/>
      </c>
      <c r="AX122" s="2622">
        <f>AX86-AX87</f>
        <v/>
      </c>
      <c r="AY122" s="2622">
        <f>AY86-AY87</f>
        <v/>
      </c>
      <c r="AZ122" s="2622">
        <f>AZ86-AZ87</f>
        <v/>
      </c>
      <c r="BA122" s="2622">
        <f>BA86-BA87</f>
        <v/>
      </c>
      <c r="BB122" s="2622">
        <f>BB86-BB87</f>
        <v/>
      </c>
      <c r="BC122" s="2622">
        <f>BC86-BC87</f>
        <v/>
      </c>
      <c r="BD122" s="2622">
        <f>BD86-BD87</f>
        <v/>
      </c>
      <c r="BE122" s="2622">
        <f>BE86-BE87</f>
        <v/>
      </c>
      <c r="BF122" s="2622">
        <f>BF86-BF87</f>
        <v/>
      </c>
      <c r="BG122" s="2624">
        <f>SUM(AU122:BF122)</f>
        <v/>
      </c>
      <c r="BI122" s="2622">
        <f>BI86-BI87</f>
        <v/>
      </c>
      <c r="BJ122" s="2622">
        <f>BJ86-BJ87</f>
        <v/>
      </c>
      <c r="BK122" s="2622">
        <f>BK86-BK87</f>
        <v/>
      </c>
      <c r="BL122" s="2622">
        <f>BL86-BL87</f>
        <v/>
      </c>
      <c r="BM122" s="2622">
        <f>BM86-BM87</f>
        <v/>
      </c>
      <c r="BN122" s="2622">
        <f>BN86-BN87</f>
        <v/>
      </c>
      <c r="BO122" s="2622">
        <f>BO86-BO87</f>
        <v/>
      </c>
      <c r="BP122" s="2622">
        <f>BP86-BP87</f>
        <v/>
      </c>
      <c r="BQ122" s="2622">
        <f>BQ86-BQ87</f>
        <v/>
      </c>
      <c r="BR122" s="2622">
        <f>BR86-BR87</f>
        <v/>
      </c>
      <c r="BS122" s="2622">
        <f>BS86-BS87</f>
        <v/>
      </c>
      <c r="BT122" s="2622">
        <f>BT86-BT87</f>
        <v/>
      </c>
      <c r="BU122" s="2624">
        <f>SUM(BI122:BT122)</f>
        <v/>
      </c>
    </row>
    <row r="123">
      <c r="A123" s="1436" t="n"/>
      <c r="B123" s="1436" t="n"/>
      <c r="C123" s="1436" t="n"/>
      <c r="D123" s="2614" t="n"/>
      <c r="E123" s="2614" t="n"/>
      <c r="F123" s="2614" t="n"/>
      <c r="G123" s="1436" t="n"/>
      <c r="H123" s="1436" t="n"/>
      <c r="I123" s="2614" t="n">
        <v>0</v>
      </c>
      <c r="J123" s="2614" t="n">
        <v>0</v>
      </c>
      <c r="K123" s="2614" t="n">
        <v>0</v>
      </c>
      <c r="L123" s="2614" t="n"/>
      <c r="M123" s="2614" t="n"/>
      <c r="N123" s="2614" t="n"/>
      <c r="O123" s="2614" t="n"/>
      <c r="P123" s="2614" t="n"/>
      <c r="Q123" s="1436" t="n"/>
      <c r="R123" s="1436" t="n"/>
      <c r="S123" s="2614" t="n"/>
      <c r="T123" s="2614" t="n"/>
      <c r="U123" s="2614" t="n"/>
      <c r="V123" s="2614" t="n"/>
      <c r="W123" s="2614" t="n"/>
      <c r="X123" s="2614" t="n"/>
      <c r="Y123" s="2614" t="n"/>
      <c r="Z123" s="2614" t="n"/>
      <c r="AA123" s="2614" t="n"/>
      <c r="AB123" s="2614" t="n"/>
      <c r="AC123" s="2614" t="n"/>
      <c r="AD123" s="2614" t="n"/>
      <c r="AE123" s="2614" t="n"/>
      <c r="AF123" s="1436" t="n"/>
      <c r="AG123" s="2614" t="n"/>
      <c r="AH123" s="2614" t="n"/>
      <c r="AI123" s="2614" t="n"/>
      <c r="AJ123" s="2614" t="n"/>
      <c r="AK123" s="2614" t="n"/>
      <c r="AL123" s="2614" t="n"/>
      <c r="AM123" s="2614" t="n"/>
      <c r="AN123" s="2614" t="n"/>
      <c r="AO123" s="2614" t="n"/>
      <c r="AP123" s="2614" t="n"/>
      <c r="AQ123" s="1436" t="n"/>
      <c r="AR123" s="1436" t="n"/>
      <c r="AS123" s="2614" t="n"/>
      <c r="AU123" s="1436" t="n"/>
      <c r="AV123" s="1436" t="n"/>
      <c r="AW123" s="1436" t="n"/>
      <c r="AX123" s="1436" t="n"/>
      <c r="AY123" s="1436" t="n"/>
      <c r="AZ123" s="1436" t="n"/>
      <c r="BA123" s="1436" t="n"/>
      <c r="BB123" s="1436" t="n"/>
      <c r="BC123" s="1436" t="n"/>
      <c r="BD123" s="1436" t="n"/>
      <c r="BE123" s="1436" t="n"/>
      <c r="BF123" s="1436" t="n"/>
      <c r="BG123" s="2614" t="n"/>
      <c r="BI123" s="1436" t="n"/>
      <c r="BJ123" s="1436" t="n"/>
      <c r="BK123" s="1436" t="n"/>
      <c r="BL123" s="1436" t="n"/>
      <c r="BM123" s="1436" t="n"/>
      <c r="BN123" s="1436" t="n"/>
      <c r="BO123" s="1436" t="n"/>
      <c r="BP123" s="1436" t="n"/>
      <c r="BQ123" s="1436" t="n"/>
      <c r="BR123" s="1436" t="n"/>
      <c r="BS123" s="1436" t="n"/>
      <c r="BT123" s="1436" t="n"/>
      <c r="BU123" s="2614" t="n"/>
    </row>
    <row r="124">
      <c r="A124" s="1436" t="n"/>
      <c r="B124" s="1478" t="inlineStr">
        <is>
          <t>Ⅳ. 금융수익</t>
        </is>
      </c>
      <c r="C124" s="1436" t="inlineStr">
        <is>
          <t>금융수익</t>
        </is>
      </c>
      <c r="D124" s="2637">
        <f>SUM(D125:D140)</f>
        <v/>
      </c>
      <c r="E124" s="2637">
        <f>SUM(E125:E140)</f>
        <v/>
      </c>
      <c r="F124" s="2637">
        <f>SUM(F125:F140)</f>
        <v/>
      </c>
      <c r="G124" s="2637">
        <f>SUM(G125:G140)</f>
        <v/>
      </c>
      <c r="H124" s="2637">
        <f>SUM(H125:H140)</f>
        <v/>
      </c>
      <c r="I124" s="2637">
        <f>SUM(I125:I140)</f>
        <v/>
      </c>
      <c r="J124" s="2637">
        <f>SUM(J125:J140)</f>
        <v/>
      </c>
      <c r="K124" s="2637">
        <f>SUM(K125:K140)</f>
        <v/>
      </c>
      <c r="L124" s="2637">
        <f>SUM(L125:L140)</f>
        <v/>
      </c>
      <c r="M124" s="2637">
        <f>SUM(M125:M140)</f>
        <v/>
      </c>
      <c r="N124" s="2637">
        <f>SUM(N125:N140)</f>
        <v/>
      </c>
      <c r="O124" s="2637">
        <f>SUM(O125:O140)</f>
        <v/>
      </c>
      <c r="P124" s="2623">
        <f>SUM(D124:O124)</f>
        <v/>
      </c>
      <c r="Q124" s="1436" t="n"/>
      <c r="R124" s="1436" t="n"/>
      <c r="S124" s="2637">
        <f>SUM(S125:S140)</f>
        <v/>
      </c>
      <c r="T124" s="2637">
        <f>SUM(T125:T140)</f>
        <v/>
      </c>
      <c r="U124" s="2637">
        <f>SUM(U125:U140)</f>
        <v/>
      </c>
      <c r="V124" s="2637">
        <f>SUM(V125:V140)</f>
        <v/>
      </c>
      <c r="W124" s="2637">
        <f>SUM(W125:W140)</f>
        <v/>
      </c>
      <c r="X124" s="2637">
        <f>SUM(X125:X140)</f>
        <v/>
      </c>
      <c r="Y124" s="2637">
        <f>SUM(Y125:Y140)</f>
        <v/>
      </c>
      <c r="Z124" s="2637">
        <f>SUM(Z125:Z140)</f>
        <v/>
      </c>
      <c r="AA124" s="2637">
        <f>SUM(AA125:AA140)</f>
        <v/>
      </c>
      <c r="AB124" s="2637">
        <f>SUM(AB125:AB140)</f>
        <v/>
      </c>
      <c r="AC124" s="2637">
        <f>SUM(AC125:AC140)</f>
        <v/>
      </c>
      <c r="AD124" s="2637">
        <f>SUM(AD125:AD140)</f>
        <v/>
      </c>
      <c r="AE124" s="2623">
        <f>SUM(S124:AD124)</f>
        <v/>
      </c>
      <c r="AF124" s="1436" t="n"/>
      <c r="AG124" s="2637">
        <f>SUM(AG125:AG140)</f>
        <v/>
      </c>
      <c r="AH124" s="2637">
        <f>SUM(AH125:AH140)</f>
        <v/>
      </c>
      <c r="AI124" s="2637">
        <f>SUM(AI125:AI140)</f>
        <v/>
      </c>
      <c r="AJ124" s="2637">
        <f>SUM(AJ125:AJ140)</f>
        <v/>
      </c>
      <c r="AK124" s="2637">
        <f>SUM(AK125:AK140)</f>
        <v/>
      </c>
      <c r="AL124" s="2637">
        <f>SUM(AL125:AL140)</f>
        <v/>
      </c>
      <c r="AM124" s="2637">
        <f>SUM(AM125:AM140)</f>
        <v/>
      </c>
      <c r="AN124" s="2637">
        <f>SUM(AN125:AN140)</f>
        <v/>
      </c>
      <c r="AO124" s="2637">
        <f>SUM(AO125:AO140)</f>
        <v/>
      </c>
      <c r="AP124" s="2637">
        <f>SUM(AP125:AP140)</f>
        <v/>
      </c>
      <c r="AQ124" s="2637">
        <f>SUM(AQ125:AQ140)</f>
        <v/>
      </c>
      <c r="AR124" s="2637">
        <f>SUM(AR125:AR140)</f>
        <v/>
      </c>
      <c r="AS124" s="2623">
        <f>SUM(AG124:AR124)</f>
        <v/>
      </c>
      <c r="AU124" s="2637">
        <f> SUM(AU125:AU140)</f>
        <v/>
      </c>
      <c r="AV124" s="2637">
        <f> SUM(AV125:AV140)</f>
        <v/>
      </c>
      <c r="AW124" s="2637">
        <f> SUM(AW125:AW140)</f>
        <v/>
      </c>
      <c r="AX124" s="2637">
        <f> SUM(AX125:AX140)</f>
        <v/>
      </c>
      <c r="AY124" s="2637">
        <f> SUM(AY125:AY140)</f>
        <v/>
      </c>
      <c r="AZ124" s="2637">
        <f> SUM(AZ125:AZ140)</f>
        <v/>
      </c>
      <c r="BA124" s="2637">
        <f> SUM(BA125:BA140)</f>
        <v/>
      </c>
      <c r="BB124" s="2637">
        <f> SUM(BB125:BB140)</f>
        <v/>
      </c>
      <c r="BC124" s="2637">
        <f> SUM(BC125:BC140)</f>
        <v/>
      </c>
      <c r="BD124" s="2637">
        <f> SUM(BD125:BD140)</f>
        <v/>
      </c>
      <c r="BE124" s="2637">
        <f> SUM(BE125:BE140)</f>
        <v/>
      </c>
      <c r="BF124" s="2637">
        <f> SUM(BF125:BF140)</f>
        <v/>
      </c>
      <c r="BG124" s="2624">
        <f>SUM(AU124:BF124)</f>
        <v/>
      </c>
      <c r="BI124" s="2637" t="n"/>
      <c r="BJ124" s="2637" t="n"/>
      <c r="BK124" s="2637" t="n"/>
      <c r="BL124" s="2637" t="n"/>
      <c r="BM124" s="2637" t="n"/>
      <c r="BN124" s="2637" t="n"/>
      <c r="BO124" s="2637" t="n"/>
      <c r="BP124" s="2637" t="n"/>
      <c r="BQ124" s="2637" t="n"/>
      <c r="BR124" s="2637" t="n"/>
      <c r="BS124" s="2637" t="n"/>
      <c r="BT124" s="2637" t="n"/>
      <c r="BU124" s="2624">
        <f>SUM(BI124:BT124)</f>
        <v/>
      </c>
    </row>
    <row r="125" outlineLevel="1">
      <c r="A125" s="1436" t="n"/>
      <c r="B125" s="1480" t="inlineStr">
        <is>
          <t>이자수익</t>
        </is>
      </c>
      <c r="C125" s="1436" t="n"/>
      <c r="D125" s="2625" t="n"/>
      <c r="E125" s="2625" t="n"/>
      <c r="F125" s="2625" t="n"/>
      <c r="G125" s="2625" t="n"/>
      <c r="H125" s="2625" t="n"/>
      <c r="I125" s="2625" t="n">
        <v>23885618</v>
      </c>
      <c r="J125" s="2625" t="n">
        <v>0</v>
      </c>
      <c r="K125" s="2625" t="n">
        <v>0</v>
      </c>
      <c r="L125" s="2625" t="n">
        <v>39353981</v>
      </c>
      <c r="M125" s="2625" t="n">
        <v>0</v>
      </c>
      <c r="N125" s="2625" t="n">
        <v>0</v>
      </c>
      <c r="O125" s="2625" t="n">
        <v>58740405</v>
      </c>
      <c r="P125" s="2626">
        <f>SUM(D125:O125)</f>
        <v/>
      </c>
      <c r="Q125" s="1436" t="n"/>
      <c r="R125" s="1436" t="n"/>
      <c r="S125" s="2625" t="n">
        <v>0</v>
      </c>
      <c r="T125" s="2625" t="n">
        <v>0</v>
      </c>
      <c r="U125" s="2625" t="n">
        <v>131216902</v>
      </c>
      <c r="V125" s="2625" t="n">
        <v>0</v>
      </c>
      <c r="W125" s="2625" t="n">
        <v>0</v>
      </c>
      <c r="X125" s="2625" t="n">
        <v>113512386</v>
      </c>
      <c r="Y125" s="2625" t="n">
        <v>21193973</v>
      </c>
      <c r="Z125" s="2625" t="n">
        <v>0</v>
      </c>
      <c r="AA125" s="2625" t="n">
        <v>59134642</v>
      </c>
      <c r="AB125" s="2625" t="n">
        <v>10993425</v>
      </c>
      <c r="AC125" s="2625" t="n">
        <v>0</v>
      </c>
      <c r="AD125" s="2625" t="n">
        <v>34045394</v>
      </c>
      <c r="AE125" s="2626">
        <f>SUM(S125:AD125)</f>
        <v/>
      </c>
      <c r="AF125" s="1436" t="n"/>
      <c r="AG125" s="2625" t="n">
        <v>0</v>
      </c>
      <c r="AH125" s="2625" t="n">
        <v>0</v>
      </c>
      <c r="AI125" s="2625" t="n">
        <v>41084439</v>
      </c>
      <c r="AJ125" s="2625" t="n">
        <v>0</v>
      </c>
      <c r="AK125" s="2625" t="n">
        <v>12708904</v>
      </c>
      <c r="AL125" s="2625">
        <f>78736157-SUM(AG125:AK125)</f>
        <v/>
      </c>
      <c r="AM125" s="2625" t="n">
        <v>0</v>
      </c>
      <c r="AN125" s="2625" t="n">
        <v>13407533</v>
      </c>
      <c r="AO125" s="2625" t="n">
        <v>7467234</v>
      </c>
      <c r="AP125" s="2625" t="n">
        <v>0</v>
      </c>
      <c r="AQ125" s="2625" t="n">
        <v>1009685</v>
      </c>
      <c r="AR125" s="2627" t="n">
        <v>3392011</v>
      </c>
      <c r="AS125" s="2626">
        <f>SUM(AG125:AR125)</f>
        <v/>
      </c>
      <c r="AT125" s="2615">
        <f>SUM(AG125:AP125)</f>
        <v/>
      </c>
      <c r="AU125" s="2627" t="n"/>
      <c r="AV125" s="2627" t="n"/>
      <c r="AW125" s="2627" t="n">
        <v>6150684</v>
      </c>
      <c r="AX125" s="2627" t="n"/>
      <c r="AY125" s="2627" t="n"/>
      <c r="AZ125" s="2627" t="n">
        <v>5919388</v>
      </c>
      <c r="BA125" s="2627" t="n"/>
      <c r="BB125" s="2627" t="n"/>
      <c r="BC125" s="2627" t="n">
        <v>3965784</v>
      </c>
      <c r="BD125" s="2627" t="n"/>
      <c r="BE125" s="2627" t="n"/>
      <c r="BF125" s="2627" t="n">
        <v>2082195</v>
      </c>
      <c r="BG125" s="2628">
        <f>SUM(AU125:BF125)</f>
        <v/>
      </c>
      <c r="BI125" s="2627" t="n"/>
      <c r="BJ125" s="2627" t="n"/>
      <c r="BK125" s="2627" t="n"/>
      <c r="BL125" s="2627" t="n"/>
      <c r="BM125" s="2627" t="n"/>
      <c r="BN125" s="2627" t="n"/>
      <c r="BO125" s="2627" t="n"/>
      <c r="BP125" s="2627" t="n"/>
      <c r="BQ125" s="2627" t="n"/>
      <c r="BR125" s="2627" t="n"/>
      <c r="BS125" s="2627" t="n"/>
      <c r="BT125" s="2627" t="n"/>
      <c r="BU125" s="2628">
        <f>SUM(BI125:BT125)</f>
        <v/>
      </c>
    </row>
    <row r="126" outlineLevel="1">
      <c r="A126" s="1436" t="n"/>
      <c r="B126" s="1480" t="inlineStr">
        <is>
          <t>배당금수익</t>
        </is>
      </c>
      <c r="C126" s="1436" t="n"/>
      <c r="D126" s="2625" t="n"/>
      <c r="E126" s="2625" t="n"/>
      <c r="F126" s="2625" t="n"/>
      <c r="G126" s="2625" t="n"/>
      <c r="H126" s="2625" t="n"/>
      <c r="I126" s="2625" t="n"/>
      <c r="J126" s="2625" t="n">
        <v>0</v>
      </c>
      <c r="K126" s="2625" t="n">
        <v>0</v>
      </c>
      <c r="L126" s="2625" t="n">
        <v>0</v>
      </c>
      <c r="M126" s="2625" t="n">
        <v>0</v>
      </c>
      <c r="N126" s="2625" t="n">
        <v>0</v>
      </c>
      <c r="O126" s="2625" t="n">
        <v>0</v>
      </c>
      <c r="P126" s="2626">
        <f>SUM(D126:O126)</f>
        <v/>
      </c>
      <c r="Q126" s="1436" t="n"/>
      <c r="R126" s="1436" t="n"/>
      <c r="S126" s="2625" t="n">
        <v>0</v>
      </c>
      <c r="T126" s="2625" t="n">
        <v>0</v>
      </c>
      <c r="U126" s="2625" t="n">
        <v>0</v>
      </c>
      <c r="V126" s="2625" t="n">
        <v>0</v>
      </c>
      <c r="W126" s="2625" t="n">
        <v>0</v>
      </c>
      <c r="X126" s="2625" t="n">
        <v>0</v>
      </c>
      <c r="Y126" s="2625" t="n">
        <v>0</v>
      </c>
      <c r="Z126" s="2625" t="n">
        <v>0</v>
      </c>
      <c r="AA126" s="2625" t="n">
        <v>0</v>
      </c>
      <c r="AB126" s="2625" t="n">
        <v>0</v>
      </c>
      <c r="AC126" s="2625" t="n">
        <v>0</v>
      </c>
      <c r="AD126" s="2625" t="n">
        <v>0</v>
      </c>
      <c r="AE126" s="2626">
        <f>SUM(S126:AD126)</f>
        <v/>
      </c>
      <c r="AF126" s="1436" t="n"/>
      <c r="AG126" s="2625" t="n">
        <v>0</v>
      </c>
      <c r="AH126" s="2625" t="n">
        <v>0</v>
      </c>
      <c r="AI126" s="2625" t="n">
        <v>0</v>
      </c>
      <c r="AJ126" s="2625" t="n">
        <v>0</v>
      </c>
      <c r="AK126" s="2625" t="n">
        <v>0</v>
      </c>
      <c r="AL126" s="2625" t="n"/>
      <c r="AM126" s="2625" t="n">
        <v>0</v>
      </c>
      <c r="AN126" s="2625" t="n">
        <v>0</v>
      </c>
      <c r="AO126" s="2625" t="n"/>
      <c r="AP126" s="2625" t="n">
        <v>0</v>
      </c>
      <c r="AQ126" s="2625" t="n">
        <v>0</v>
      </c>
      <c r="AR126" s="2627" t="n">
        <v>35509256</v>
      </c>
      <c r="AS126" s="2626">
        <f>SUM(AG126:AR126)</f>
        <v/>
      </c>
      <c r="AT126" s="2615">
        <f>SUM(AG126:AP126)</f>
        <v/>
      </c>
      <c r="AU126" s="2627" t="n"/>
      <c r="AV126" s="2627" t="n"/>
      <c r="AW126" s="2627" t="n"/>
      <c r="AX126" s="2627" t="n"/>
      <c r="AY126" s="2627" t="n"/>
      <c r="AZ126" s="2627" t="n"/>
      <c r="BA126" s="2627" t="n"/>
      <c r="BB126" s="2627" t="n"/>
      <c r="BC126" s="2627" t="n"/>
      <c r="BD126" s="2627" t="n"/>
      <c r="BE126" s="2627" t="n"/>
      <c r="BF126" s="2627" t="n"/>
      <c r="BG126" s="2628">
        <f>SUM(AU126:BF126)</f>
        <v/>
      </c>
      <c r="BI126" s="2627" t="n"/>
      <c r="BJ126" s="2627" t="n"/>
      <c r="BK126" s="2627" t="n"/>
      <c r="BL126" s="2627" t="n"/>
      <c r="BM126" s="2627" t="n"/>
      <c r="BN126" s="2627" t="n"/>
      <c r="BO126" s="2627" t="n"/>
      <c r="BP126" s="2627" t="n"/>
      <c r="BQ126" s="2627" t="n"/>
      <c r="BR126" s="2627" t="n"/>
      <c r="BS126" s="2627" t="n"/>
      <c r="BT126" s="2627" t="n"/>
      <c r="BU126" s="2628">
        <f>SUM(BI126:BT126)</f>
        <v/>
      </c>
    </row>
    <row r="127" outlineLevel="1">
      <c r="A127" s="1436" t="n"/>
      <c r="B127" s="1480" t="inlineStr">
        <is>
          <t>금융상품처분이익</t>
        </is>
      </c>
      <c r="C127" s="1436" t="n"/>
      <c r="D127" s="2625" t="n"/>
      <c r="E127" s="2625" t="n"/>
      <c r="F127" s="2625" t="n"/>
      <c r="G127" s="2625" t="n"/>
      <c r="H127" s="2625" t="n"/>
      <c r="I127" s="2625" t="n"/>
      <c r="J127" s="2625" t="n">
        <v>0</v>
      </c>
      <c r="K127" s="2625" t="n">
        <v>0</v>
      </c>
      <c r="L127" s="2625" t="n">
        <v>0</v>
      </c>
      <c r="M127" s="2625" t="n">
        <v>0</v>
      </c>
      <c r="N127" s="2625" t="n">
        <v>0</v>
      </c>
      <c r="O127" s="2625" t="n">
        <v>0</v>
      </c>
      <c r="P127" s="2626">
        <f>SUM(D127:O127)</f>
        <v/>
      </c>
      <c r="Q127" s="1436" t="n"/>
      <c r="R127" s="1436" t="n"/>
      <c r="S127" s="2625" t="n">
        <v>0</v>
      </c>
      <c r="T127" s="2625" t="n">
        <v>0</v>
      </c>
      <c r="U127" s="2625" t="n">
        <v>0</v>
      </c>
      <c r="V127" s="2625" t="n">
        <v>0</v>
      </c>
      <c r="W127" s="2625" t="n">
        <v>0</v>
      </c>
      <c r="X127" s="2625" t="n">
        <v>0</v>
      </c>
      <c r="Y127" s="2625" t="n">
        <v>0</v>
      </c>
      <c r="Z127" s="2625" t="n">
        <v>0</v>
      </c>
      <c r="AA127" s="2625" t="n">
        <v>0</v>
      </c>
      <c r="AB127" s="2625" t="n">
        <v>0</v>
      </c>
      <c r="AC127" s="2625" t="n">
        <v>0</v>
      </c>
      <c r="AD127" s="2625" t="n">
        <v>0</v>
      </c>
      <c r="AE127" s="2626">
        <f>SUM(S127:AD127)</f>
        <v/>
      </c>
      <c r="AF127" s="1436" t="n"/>
      <c r="AG127" s="2625" t="n">
        <v>0</v>
      </c>
      <c r="AH127" s="2625" t="n">
        <v>0</v>
      </c>
      <c r="AI127" s="2625" t="n">
        <v>0</v>
      </c>
      <c r="AJ127" s="2625" t="n">
        <v>0</v>
      </c>
      <c r="AK127" s="2625" t="n">
        <v>0</v>
      </c>
      <c r="AL127" s="2625" t="n"/>
      <c r="AM127" s="2625" t="n">
        <v>0</v>
      </c>
      <c r="AN127" s="2625" t="n">
        <v>0</v>
      </c>
      <c r="AO127" s="2625" t="n"/>
      <c r="AP127" s="2625" t="n">
        <v>0</v>
      </c>
      <c r="AQ127" s="2625" t="n">
        <v>0</v>
      </c>
      <c r="AR127" s="2627" t="n">
        <v>0</v>
      </c>
      <c r="AS127" s="2626">
        <f>SUM(AG127:AR127)</f>
        <v/>
      </c>
      <c r="AT127" s="2615">
        <f>SUM(AG127:AP127)</f>
        <v/>
      </c>
      <c r="AU127" s="2627" t="n"/>
      <c r="AV127" s="2627" t="n"/>
      <c r="AW127" s="2627" t="n"/>
      <c r="AX127" s="2627" t="n"/>
      <c r="AY127" s="2627" t="n"/>
      <c r="AZ127" s="2627" t="n"/>
      <c r="BA127" s="2627" t="n"/>
      <c r="BB127" s="2627" t="n"/>
      <c r="BC127" s="2627" t="n"/>
      <c r="BD127" s="2627" t="n"/>
      <c r="BE127" s="2627" t="n"/>
      <c r="BF127" s="2627" t="n"/>
      <c r="BG127" s="2628">
        <f>SUM(AU127:BF127)</f>
        <v/>
      </c>
      <c r="BI127" s="2627" t="n"/>
      <c r="BJ127" s="2627" t="n"/>
      <c r="BK127" s="2627" t="n"/>
      <c r="BL127" s="2627" t="n"/>
      <c r="BM127" s="2627" t="n"/>
      <c r="BN127" s="2627" t="n"/>
      <c r="BO127" s="2627" t="n"/>
      <c r="BP127" s="2627" t="n"/>
      <c r="BQ127" s="2627" t="n"/>
      <c r="BR127" s="2627" t="n"/>
      <c r="BS127" s="2627" t="n"/>
      <c r="BT127" s="2627" t="n"/>
      <c r="BU127" s="2628">
        <f>SUM(BI127:BT127)</f>
        <v/>
      </c>
    </row>
    <row r="128" outlineLevel="1">
      <c r="A128" s="1436" t="n"/>
      <c r="B128" s="1480" t="inlineStr">
        <is>
          <t>매도가능금융자산평가이익</t>
        </is>
      </c>
      <c r="C128" s="1436" t="n"/>
      <c r="D128" s="2625" t="n"/>
      <c r="E128" s="2625" t="n"/>
      <c r="F128" s="2625" t="n"/>
      <c r="G128" s="2625" t="n"/>
      <c r="H128" s="2625" t="n"/>
      <c r="I128" s="2625" t="n"/>
      <c r="J128" s="2625" t="n"/>
      <c r="K128" s="2625" t="n"/>
      <c r="L128" s="2625" t="n">
        <v>0</v>
      </c>
      <c r="M128" s="2625" t="n">
        <v>0</v>
      </c>
      <c r="N128" s="2625" t="n">
        <v>0</v>
      </c>
      <c r="O128" s="2625" t="n">
        <v>0</v>
      </c>
      <c r="P128" s="2626">
        <f>SUM(D128:O128)</f>
        <v/>
      </c>
      <c r="Q128" s="1436" t="n"/>
      <c r="R128" s="1436" t="n"/>
      <c r="S128" s="2625" t="n">
        <v>0</v>
      </c>
      <c r="T128" s="2625" t="n">
        <v>0</v>
      </c>
      <c r="U128" s="2625" t="n">
        <v>0</v>
      </c>
      <c r="V128" s="2625" t="n">
        <v>0</v>
      </c>
      <c r="W128" s="2625" t="n">
        <v>0</v>
      </c>
      <c r="X128" s="2625" t="n">
        <v>0</v>
      </c>
      <c r="Y128" s="2625" t="n">
        <v>0</v>
      </c>
      <c r="Z128" s="2625" t="n">
        <v>0</v>
      </c>
      <c r="AA128" s="2625" t="n">
        <v>0</v>
      </c>
      <c r="AB128" s="2625" t="n">
        <v>0</v>
      </c>
      <c r="AC128" s="2625" t="n">
        <v>0</v>
      </c>
      <c r="AD128" s="2625" t="n">
        <v>0</v>
      </c>
      <c r="AE128" s="2626">
        <f>SUM(S128:AD128)</f>
        <v/>
      </c>
      <c r="AF128" s="1436" t="n"/>
      <c r="AG128" s="2625" t="n">
        <v>0</v>
      </c>
      <c r="AH128" s="2625" t="n">
        <v>0</v>
      </c>
      <c r="AI128" s="2625" t="n">
        <v>0</v>
      </c>
      <c r="AJ128" s="2625" t="n">
        <v>0</v>
      </c>
      <c r="AK128" s="2625" t="n">
        <v>0</v>
      </c>
      <c r="AL128" s="2625" t="n"/>
      <c r="AM128" s="2625" t="n">
        <v>0</v>
      </c>
      <c r="AN128" s="2625" t="n">
        <v>0</v>
      </c>
      <c r="AO128" s="2625" t="n">
        <v>10882120</v>
      </c>
      <c r="AP128" s="2625" t="n">
        <v>0</v>
      </c>
      <c r="AQ128" s="2625" t="n">
        <v>0</v>
      </c>
      <c r="AR128" s="2627" t="n">
        <v>-7028246</v>
      </c>
      <c r="AS128" s="2626">
        <f>SUM(AG128:AR128)</f>
        <v/>
      </c>
      <c r="AT128" s="2615">
        <f>SUM(AG128:AP128)</f>
        <v/>
      </c>
      <c r="AU128" s="2627" t="n"/>
      <c r="AV128" s="2627" t="n"/>
      <c r="AW128" s="2627" t="n"/>
      <c r="AX128" s="2627" t="n"/>
      <c r="AY128" s="2627" t="n"/>
      <c r="AZ128" s="2627" t="n"/>
      <c r="BA128" s="2627" t="n"/>
      <c r="BB128" s="2627" t="n"/>
      <c r="BC128" s="2627" t="n"/>
      <c r="BD128" s="2627" t="n"/>
      <c r="BE128" s="2627" t="n"/>
      <c r="BF128" s="2627" t="n"/>
      <c r="BG128" s="2628">
        <f>SUM(AU128:BF128)</f>
        <v/>
      </c>
      <c r="BI128" s="2627" t="n"/>
      <c r="BJ128" s="2627" t="n"/>
      <c r="BK128" s="2627" t="n"/>
      <c r="BL128" s="2627" t="n"/>
      <c r="BM128" s="2627" t="n"/>
      <c r="BN128" s="2627" t="n"/>
      <c r="BO128" s="2627" t="n"/>
      <c r="BP128" s="2627" t="n"/>
      <c r="BQ128" s="2627" t="n"/>
      <c r="BR128" s="2627" t="n"/>
      <c r="BS128" s="2627" t="n"/>
      <c r="BT128" s="2627" t="n"/>
      <c r="BU128" s="2628">
        <f>SUM(BI128:BT128)</f>
        <v/>
      </c>
    </row>
    <row r="129" outlineLevel="1">
      <c r="A129" s="1436" t="n"/>
      <c r="B129" s="1480" t="inlineStr">
        <is>
          <t>단기금융상품평가이익</t>
        </is>
      </c>
      <c r="C129" s="1436" t="n"/>
      <c r="D129" s="2625" t="n"/>
      <c r="E129" s="2625" t="n"/>
      <c r="F129" s="2625" t="n"/>
      <c r="G129" s="2625" t="n"/>
      <c r="H129" s="2625" t="n"/>
      <c r="I129" s="2625" t="n"/>
      <c r="J129" s="2625" t="n">
        <v>0</v>
      </c>
      <c r="K129" s="2625" t="n">
        <v>0</v>
      </c>
      <c r="L129" s="2625" t="n">
        <v>0</v>
      </c>
      <c r="M129" s="2625" t="n">
        <v>0</v>
      </c>
      <c r="N129" s="2625" t="n">
        <v>0</v>
      </c>
      <c r="O129" s="2625" t="n">
        <v>0</v>
      </c>
      <c r="P129" s="2626">
        <f>SUM(D129:O129)</f>
        <v/>
      </c>
      <c r="Q129" s="1436" t="n"/>
      <c r="R129" s="1436" t="n"/>
      <c r="S129" s="2625" t="n">
        <v>0</v>
      </c>
      <c r="T129" s="2625" t="n">
        <v>0</v>
      </c>
      <c r="U129" s="2625" t="n">
        <v>0</v>
      </c>
      <c r="V129" s="2625" t="n">
        <v>0</v>
      </c>
      <c r="W129" s="2625" t="n">
        <v>0</v>
      </c>
      <c r="X129" s="2625" t="n">
        <v>0</v>
      </c>
      <c r="Y129" s="2625" t="n">
        <v>0</v>
      </c>
      <c r="Z129" s="2625" t="n">
        <v>0</v>
      </c>
      <c r="AA129" s="2625" t="n">
        <v>0</v>
      </c>
      <c r="AB129" s="2625" t="n">
        <v>0</v>
      </c>
      <c r="AC129" s="2625" t="n">
        <v>0</v>
      </c>
      <c r="AD129" s="2625" t="n">
        <v>0</v>
      </c>
      <c r="AE129" s="2626">
        <f>SUM(S129:AD129)</f>
        <v/>
      </c>
      <c r="AF129" s="1436" t="n"/>
      <c r="AG129" s="2625" t="n">
        <v>0</v>
      </c>
      <c r="AH129" s="2625" t="n">
        <v>0</v>
      </c>
      <c r="AI129" s="2625" t="n">
        <v>0</v>
      </c>
      <c r="AJ129" s="2625" t="n">
        <v>0</v>
      </c>
      <c r="AK129" s="2625" t="n">
        <v>0</v>
      </c>
      <c r="AL129" s="2625" t="n"/>
      <c r="AM129" s="2625" t="n">
        <v>0</v>
      </c>
      <c r="AN129" s="2625" t="n">
        <v>0</v>
      </c>
      <c r="AO129" s="2625" t="n"/>
      <c r="AP129" s="2625" t="n">
        <v>0</v>
      </c>
      <c r="AQ129" s="2625" t="n">
        <v>0</v>
      </c>
      <c r="AR129" s="2627" t="n">
        <v>0</v>
      </c>
      <c r="AS129" s="2626">
        <f>SUM(AG129:AR129)</f>
        <v/>
      </c>
      <c r="AT129" s="2615">
        <f>SUM(AG129:AP129)</f>
        <v/>
      </c>
      <c r="AU129" s="2627" t="n"/>
      <c r="AV129" s="2627" t="n"/>
      <c r="AW129" s="2627" t="n"/>
      <c r="AX129" s="2627" t="n"/>
      <c r="AY129" s="2627" t="n"/>
      <c r="AZ129" s="2627" t="n"/>
      <c r="BA129" s="2627" t="n"/>
      <c r="BB129" s="2627" t="n"/>
      <c r="BC129" s="2627" t="n"/>
      <c r="BD129" s="2627" t="n"/>
      <c r="BE129" s="2627" t="n"/>
      <c r="BF129" s="2627" t="n"/>
      <c r="BG129" s="2628">
        <f>SUM(AU129:BF129)</f>
        <v/>
      </c>
      <c r="BI129" s="2627" t="n"/>
      <c r="BJ129" s="2627" t="n"/>
      <c r="BK129" s="2627" t="n"/>
      <c r="BL129" s="2627" t="n"/>
      <c r="BM129" s="2627" t="n"/>
      <c r="BN129" s="2627" t="n"/>
      <c r="BO129" s="2627" t="n"/>
      <c r="BP129" s="2627" t="n"/>
      <c r="BQ129" s="2627" t="n"/>
      <c r="BR129" s="2627" t="n"/>
      <c r="BS129" s="2627" t="n"/>
      <c r="BT129" s="2627" t="n"/>
      <c r="BU129" s="2628">
        <f>SUM(BI129:BT129)</f>
        <v/>
      </c>
    </row>
    <row r="130" outlineLevel="1">
      <c r="A130" s="1436" t="n"/>
      <c r="B130" s="1480" t="inlineStr">
        <is>
          <t>장기금융상품평가이익</t>
        </is>
      </c>
      <c r="C130" s="1436" t="n"/>
      <c r="D130" s="2625" t="n"/>
      <c r="E130" s="2625" t="n"/>
      <c r="F130" s="2625" t="n"/>
      <c r="G130" s="2625" t="n"/>
      <c r="H130" s="2625" t="n"/>
      <c r="I130" s="2625" t="n"/>
      <c r="J130" s="2625" t="n">
        <v>0</v>
      </c>
      <c r="K130" s="2625" t="n">
        <v>0</v>
      </c>
      <c r="L130" s="2625" t="n">
        <v>0</v>
      </c>
      <c r="M130" s="2625" t="n">
        <v>0</v>
      </c>
      <c r="N130" s="2625" t="n">
        <v>0</v>
      </c>
      <c r="O130" s="2625" t="n">
        <v>0</v>
      </c>
      <c r="P130" s="2626">
        <f>SUM(D130:O130)</f>
        <v/>
      </c>
      <c r="Q130" s="1436" t="n"/>
      <c r="R130" s="1436" t="n"/>
      <c r="S130" s="2625" t="n">
        <v>0</v>
      </c>
      <c r="T130" s="2625" t="n">
        <v>0</v>
      </c>
      <c r="U130" s="2625" t="n">
        <v>0</v>
      </c>
      <c r="V130" s="2625" t="n">
        <v>0</v>
      </c>
      <c r="W130" s="2625" t="n">
        <v>0</v>
      </c>
      <c r="X130" s="2625" t="n">
        <v>0</v>
      </c>
      <c r="Y130" s="2625" t="n">
        <v>0</v>
      </c>
      <c r="Z130" s="2625" t="n">
        <v>0</v>
      </c>
      <c r="AA130" s="2625" t="n">
        <v>0</v>
      </c>
      <c r="AB130" s="2625" t="n">
        <v>0</v>
      </c>
      <c r="AC130" s="2625" t="n">
        <v>0</v>
      </c>
      <c r="AD130" s="2625" t="n">
        <v>0</v>
      </c>
      <c r="AE130" s="2626">
        <f>SUM(S130:AD130)</f>
        <v/>
      </c>
      <c r="AF130" s="1436" t="n"/>
      <c r="AG130" s="2625" t="n">
        <v>0</v>
      </c>
      <c r="AH130" s="2625" t="n">
        <v>0</v>
      </c>
      <c r="AI130" s="2625" t="n">
        <v>0</v>
      </c>
      <c r="AJ130" s="2625" t="n">
        <v>0</v>
      </c>
      <c r="AK130" s="2625" t="n">
        <v>0</v>
      </c>
      <c r="AL130" s="2625" t="n"/>
      <c r="AM130" s="2625" t="n">
        <v>0</v>
      </c>
      <c r="AN130" s="2625" t="n">
        <v>0</v>
      </c>
      <c r="AO130" s="2625" t="n"/>
      <c r="AP130" s="2625" t="n">
        <v>0</v>
      </c>
      <c r="AQ130" s="2625" t="n">
        <v>0</v>
      </c>
      <c r="AR130" s="2627" t="n">
        <v>0</v>
      </c>
      <c r="AS130" s="2626">
        <f>SUM(AG130:AR130)</f>
        <v/>
      </c>
      <c r="AT130" s="2615">
        <f>SUM(AG130:AP130)</f>
        <v/>
      </c>
      <c r="AU130" s="2627" t="n"/>
      <c r="AV130" s="2627" t="n"/>
      <c r="AW130" s="2627" t="n">
        <v>30248029</v>
      </c>
      <c r="AX130" s="2627" t="n"/>
      <c r="AY130" s="2627" t="n"/>
      <c r="AZ130" s="2627" t="n">
        <v>28316672</v>
      </c>
      <c r="BA130" s="2627" t="n"/>
      <c r="BB130" s="2627" t="n"/>
      <c r="BC130" s="2627" t="n">
        <v>21036940</v>
      </c>
      <c r="BD130" s="2627" t="n"/>
      <c r="BE130" s="2627" t="n"/>
      <c r="BF130" s="2627" t="n">
        <v>88877820</v>
      </c>
      <c r="BG130" s="2628">
        <f>SUM(AU130:BF130)</f>
        <v/>
      </c>
      <c r="BI130" s="2627" t="n"/>
      <c r="BJ130" s="2627" t="n"/>
      <c r="BK130" s="2627" t="n"/>
      <c r="BL130" s="2627" t="n"/>
      <c r="BM130" s="2627" t="n"/>
      <c r="BN130" s="2627" t="n"/>
      <c r="BO130" s="2627" t="n"/>
      <c r="BP130" s="2627" t="n"/>
      <c r="BQ130" s="2627" t="n"/>
      <c r="BR130" s="2627" t="n"/>
      <c r="BS130" s="2627" t="n"/>
      <c r="BT130" s="2627" t="n"/>
      <c r="BU130" s="2628">
        <f>SUM(BI130:BT130)</f>
        <v/>
      </c>
    </row>
    <row r="131" outlineLevel="1">
      <c r="A131" s="1436" t="n"/>
      <c r="B131" s="1480" t="inlineStr">
        <is>
          <t>단기금융상품처분이익</t>
        </is>
      </c>
      <c r="C131" s="1436" t="n"/>
      <c r="D131" s="2625" t="n"/>
      <c r="E131" s="2625" t="n"/>
      <c r="F131" s="2625" t="n"/>
      <c r="G131" s="2625" t="n"/>
      <c r="H131" s="2625" t="n"/>
      <c r="I131" s="2625" t="n"/>
      <c r="J131" s="2625" t="n">
        <v>0</v>
      </c>
      <c r="K131" s="2625" t="n">
        <v>0</v>
      </c>
      <c r="L131" s="2625" t="n">
        <v>0</v>
      </c>
      <c r="M131" s="2625" t="n">
        <v>0</v>
      </c>
      <c r="N131" s="2625" t="n">
        <v>0</v>
      </c>
      <c r="O131" s="2625" t="n">
        <v>0</v>
      </c>
      <c r="P131" s="2626">
        <f>SUM(D131:O131)</f>
        <v/>
      </c>
      <c r="Q131" s="1436" t="n"/>
      <c r="R131" s="1436" t="n"/>
      <c r="S131" s="2625" t="n">
        <v>0</v>
      </c>
      <c r="T131" s="2625" t="n">
        <v>0</v>
      </c>
      <c r="U131" s="2625" t="n">
        <v>0</v>
      </c>
      <c r="V131" s="2625" t="n">
        <v>0</v>
      </c>
      <c r="W131" s="2625" t="n">
        <v>0</v>
      </c>
      <c r="X131" s="2625" t="n">
        <v>0</v>
      </c>
      <c r="Y131" s="2625" t="n">
        <v>0</v>
      </c>
      <c r="Z131" s="2625" t="n">
        <v>0</v>
      </c>
      <c r="AA131" s="2625" t="n">
        <v>0</v>
      </c>
      <c r="AB131" s="2625" t="n">
        <v>0</v>
      </c>
      <c r="AC131" s="2625" t="n">
        <v>0</v>
      </c>
      <c r="AD131" s="2625" t="n">
        <v>0</v>
      </c>
      <c r="AE131" s="2626">
        <f>SUM(S131:AD131)</f>
        <v/>
      </c>
      <c r="AF131" s="1436" t="n"/>
      <c r="AG131" s="2625" t="n">
        <v>0</v>
      </c>
      <c r="AH131" s="2625" t="n">
        <v>0</v>
      </c>
      <c r="AI131" s="2625" t="n">
        <v>0</v>
      </c>
      <c r="AJ131" s="2625" t="n">
        <v>0</v>
      </c>
      <c r="AK131" s="2625" t="n">
        <v>0</v>
      </c>
      <c r="AL131" s="2625" t="n"/>
      <c r="AM131" s="2625" t="n">
        <v>0</v>
      </c>
      <c r="AN131" s="2625" t="n">
        <v>0</v>
      </c>
      <c r="AO131" s="2625" t="n"/>
      <c r="AP131" s="2625" t="n">
        <v>0</v>
      </c>
      <c r="AQ131" s="2625" t="n">
        <v>0</v>
      </c>
      <c r="AR131" s="2627" t="n">
        <v>0</v>
      </c>
      <c r="AS131" s="2626">
        <f>SUM(AG131:AR131)</f>
        <v/>
      </c>
      <c r="AT131" s="2615">
        <f>SUM(AG131:AP131)</f>
        <v/>
      </c>
      <c r="AU131" s="2627" t="n"/>
      <c r="AV131" s="2627" t="n"/>
      <c r="AW131" s="2627" t="n"/>
      <c r="AX131" s="2627" t="n"/>
      <c r="AY131" s="2627" t="n"/>
      <c r="AZ131" s="2627" t="n"/>
      <c r="BA131" s="2627" t="n"/>
      <c r="BB131" s="2627" t="n"/>
      <c r="BC131" s="2627" t="n"/>
      <c r="BD131" s="2627" t="n"/>
      <c r="BE131" s="2627" t="n"/>
      <c r="BF131" s="2627" t="n"/>
      <c r="BG131" s="2628">
        <f>SUM(AU131:BF131)</f>
        <v/>
      </c>
      <c r="BI131" s="2627" t="n"/>
      <c r="BJ131" s="2627" t="n"/>
      <c r="BK131" s="2627" t="n"/>
      <c r="BL131" s="2627" t="n"/>
      <c r="BM131" s="2627" t="n"/>
      <c r="BN131" s="2627" t="n"/>
      <c r="BO131" s="2627" t="n"/>
      <c r="BP131" s="2627" t="n"/>
      <c r="BQ131" s="2627" t="n"/>
      <c r="BR131" s="2627" t="n"/>
      <c r="BS131" s="2627" t="n"/>
      <c r="BT131" s="2627" t="n"/>
      <c r="BU131" s="2628">
        <f>SUM(BI131:BT131)</f>
        <v/>
      </c>
    </row>
    <row r="132" outlineLevel="1">
      <c r="A132" s="1436" t="n"/>
      <c r="B132" s="1480" t="inlineStr">
        <is>
          <t>파생상품평가이익</t>
        </is>
      </c>
      <c r="C132" s="1436" t="n"/>
      <c r="D132" s="2625" t="n"/>
      <c r="E132" s="2625" t="n"/>
      <c r="F132" s="2625" t="n"/>
      <c r="G132" s="2625" t="n"/>
      <c r="H132" s="2625" t="n"/>
      <c r="I132" s="2625" t="n"/>
      <c r="J132" s="2625" t="n">
        <v>0</v>
      </c>
      <c r="K132" s="2625" t="n">
        <v>0</v>
      </c>
      <c r="L132" s="2625" t="n">
        <v>0</v>
      </c>
      <c r="M132" s="2625" t="n">
        <v>0</v>
      </c>
      <c r="N132" s="2625" t="n">
        <v>0</v>
      </c>
      <c r="O132" s="2625" t="n">
        <v>0</v>
      </c>
      <c r="P132" s="2626">
        <f>SUM(D132:O132)</f>
        <v/>
      </c>
      <c r="Q132" s="1436" t="n"/>
      <c r="R132" s="1436" t="n"/>
      <c r="S132" s="2625" t="n">
        <v>0</v>
      </c>
      <c r="T132" s="2625" t="n">
        <v>0</v>
      </c>
      <c r="U132" s="2625" t="n">
        <v>0</v>
      </c>
      <c r="V132" s="2625" t="n">
        <v>0</v>
      </c>
      <c r="W132" s="2625" t="n">
        <v>0</v>
      </c>
      <c r="X132" s="2625" t="n">
        <v>0</v>
      </c>
      <c r="Y132" s="2625" t="n">
        <v>0</v>
      </c>
      <c r="Z132" s="2625" t="n">
        <v>0</v>
      </c>
      <c r="AA132" s="2625" t="n">
        <v>0</v>
      </c>
      <c r="AB132" s="2625" t="n">
        <v>0</v>
      </c>
      <c r="AC132" s="2625" t="n">
        <v>0</v>
      </c>
      <c r="AD132" s="2625" t="n">
        <v>0</v>
      </c>
      <c r="AE132" s="2626">
        <f>SUM(S132:AD132)</f>
        <v/>
      </c>
      <c r="AF132" s="1436" t="n"/>
      <c r="AG132" s="2625" t="n">
        <v>0</v>
      </c>
      <c r="AH132" s="2625" t="n">
        <v>0</v>
      </c>
      <c r="AI132" s="2625" t="n">
        <v>0</v>
      </c>
      <c r="AJ132" s="2625" t="n">
        <v>0</v>
      </c>
      <c r="AK132" s="2625" t="n">
        <v>0</v>
      </c>
      <c r="AL132" s="2625" t="n"/>
      <c r="AM132" s="2625" t="n">
        <v>0</v>
      </c>
      <c r="AN132" s="2625" t="n">
        <v>0</v>
      </c>
      <c r="AO132" s="2625" t="n"/>
      <c r="AP132" s="2625" t="n">
        <v>0</v>
      </c>
      <c r="AQ132" s="2625" t="n">
        <v>0</v>
      </c>
      <c r="AR132" s="2627" t="n">
        <v>0</v>
      </c>
      <c r="AS132" s="2626">
        <f>SUM(AG132:AR132)</f>
        <v/>
      </c>
      <c r="AT132" s="2615">
        <f>SUM(AG132:AP132)</f>
        <v/>
      </c>
      <c r="AU132" s="2627" t="n"/>
      <c r="AV132" s="2627" t="n"/>
      <c r="AW132" s="2627" t="n"/>
      <c r="AX132" s="2627" t="n"/>
      <c r="AY132" s="2627" t="n"/>
      <c r="AZ132" s="2627" t="n"/>
      <c r="BA132" s="2627" t="n"/>
      <c r="BB132" s="2627" t="n"/>
      <c r="BC132" s="2627" t="n"/>
      <c r="BD132" s="2627" t="n"/>
      <c r="BE132" s="2627" t="n"/>
      <c r="BF132" s="2627" t="n"/>
      <c r="BG132" s="2628">
        <f>SUM(AU132:BF132)</f>
        <v/>
      </c>
      <c r="BI132" s="2627" t="n"/>
      <c r="BJ132" s="2627" t="n"/>
      <c r="BK132" s="2627" t="n"/>
      <c r="BL132" s="2627" t="n"/>
      <c r="BM132" s="2627" t="n"/>
      <c r="BN132" s="2627" t="n"/>
      <c r="BO132" s="2627" t="n"/>
      <c r="BP132" s="2627" t="n"/>
      <c r="BQ132" s="2627" t="n"/>
      <c r="BR132" s="2627" t="n"/>
      <c r="BS132" s="2627" t="n"/>
      <c r="BT132" s="2627" t="n"/>
      <c r="BU132" s="2628">
        <f>SUM(BI132:BT132)</f>
        <v/>
      </c>
    </row>
    <row r="133" outlineLevel="1">
      <c r="A133" s="1436" t="n"/>
      <c r="B133" s="1480" t="inlineStr">
        <is>
          <t>파생상품거래이익</t>
        </is>
      </c>
      <c r="C133" s="1436" t="n"/>
      <c r="D133" s="2625" t="n"/>
      <c r="E133" s="2625" t="n"/>
      <c r="F133" s="2625" t="n"/>
      <c r="G133" s="2625" t="n"/>
      <c r="H133" s="2625" t="n"/>
      <c r="I133" s="2625" t="n"/>
      <c r="J133" s="2625" t="n">
        <v>0</v>
      </c>
      <c r="K133" s="2625" t="n">
        <v>0</v>
      </c>
      <c r="L133" s="2625" t="n">
        <v>0</v>
      </c>
      <c r="M133" s="2625" t="n">
        <v>0</v>
      </c>
      <c r="N133" s="2625" t="n">
        <v>0</v>
      </c>
      <c r="O133" s="2625" t="n">
        <v>0</v>
      </c>
      <c r="P133" s="2626">
        <f>SUM(D133:O133)</f>
        <v/>
      </c>
      <c r="Q133" s="1436" t="n"/>
      <c r="R133" s="1436" t="n"/>
      <c r="S133" s="2625" t="n">
        <v>0</v>
      </c>
      <c r="T133" s="2625" t="n">
        <v>0</v>
      </c>
      <c r="U133" s="2625" t="n">
        <v>0</v>
      </c>
      <c r="V133" s="2625" t="n">
        <v>0</v>
      </c>
      <c r="W133" s="2625" t="n">
        <v>0</v>
      </c>
      <c r="X133" s="2625" t="n">
        <v>0</v>
      </c>
      <c r="Y133" s="2625" t="n">
        <v>0</v>
      </c>
      <c r="Z133" s="2625" t="n">
        <v>0</v>
      </c>
      <c r="AA133" s="2625" t="n">
        <v>0</v>
      </c>
      <c r="AB133" s="2625" t="n">
        <v>0</v>
      </c>
      <c r="AC133" s="2625" t="n">
        <v>0</v>
      </c>
      <c r="AD133" s="2625" t="n">
        <v>0</v>
      </c>
      <c r="AE133" s="2626">
        <f>SUM(S133:AD133)</f>
        <v/>
      </c>
      <c r="AF133" s="1436" t="n"/>
      <c r="AG133" s="2625" t="n">
        <v>0</v>
      </c>
      <c r="AH133" s="2625" t="n">
        <v>0</v>
      </c>
      <c r="AI133" s="2625" t="n">
        <v>0</v>
      </c>
      <c r="AJ133" s="2625" t="n">
        <v>0</v>
      </c>
      <c r="AK133" s="2625" t="n">
        <v>0</v>
      </c>
      <c r="AL133" s="2625" t="n"/>
      <c r="AM133" s="2625" t="n">
        <v>0</v>
      </c>
      <c r="AN133" s="2625" t="n">
        <v>0</v>
      </c>
      <c r="AO133" s="2625" t="n"/>
      <c r="AP133" s="2625" t="n">
        <v>0</v>
      </c>
      <c r="AQ133" s="2625" t="n">
        <v>0</v>
      </c>
      <c r="AR133" s="2627" t="n">
        <v>0</v>
      </c>
      <c r="AS133" s="2626">
        <f>SUM(AG133:AR133)</f>
        <v/>
      </c>
      <c r="AT133" s="2615">
        <f>SUM(AG133:AP133)</f>
        <v/>
      </c>
      <c r="AU133" s="2627" t="n"/>
      <c r="AV133" s="2627" t="n"/>
      <c r="AW133" s="2627" t="n"/>
      <c r="AX133" s="2627" t="n"/>
      <c r="AY133" s="2627" t="n"/>
      <c r="AZ133" s="2627" t="n"/>
      <c r="BA133" s="2627" t="n"/>
      <c r="BB133" s="2627" t="n"/>
      <c r="BC133" s="2627" t="n"/>
      <c r="BD133" s="2627" t="n"/>
      <c r="BE133" s="2627" t="n"/>
      <c r="BF133" s="2627" t="n"/>
      <c r="BG133" s="2628">
        <f>SUM(AU133:BF133)</f>
        <v/>
      </c>
      <c r="BI133" s="2627" t="n"/>
      <c r="BJ133" s="2627" t="n"/>
      <c r="BK133" s="2627" t="n"/>
      <c r="BL133" s="2627" t="n"/>
      <c r="BM133" s="2627" t="n"/>
      <c r="BN133" s="2627" t="n"/>
      <c r="BO133" s="2627" t="n"/>
      <c r="BP133" s="2627" t="n"/>
      <c r="BQ133" s="2627" t="n"/>
      <c r="BR133" s="2627" t="n"/>
      <c r="BS133" s="2627" t="n"/>
      <c r="BT133" s="2627" t="n"/>
      <c r="BU133" s="2628">
        <f>SUM(BI133:BT133)</f>
        <v/>
      </c>
    </row>
    <row r="134" outlineLevel="1">
      <c r="A134" s="1436" t="n"/>
      <c r="B134" s="1480" t="inlineStr">
        <is>
          <t>프로젝트손실충당부채환입액</t>
        </is>
      </c>
      <c r="C134" s="1436" t="n"/>
      <c r="D134" s="2625" t="n"/>
      <c r="E134" s="2625" t="n"/>
      <c r="F134" s="2625" t="n"/>
      <c r="G134" s="2625" t="n"/>
      <c r="H134" s="2625" t="n"/>
      <c r="I134" s="2625" t="n"/>
      <c r="J134" s="2625" t="n"/>
      <c r="K134" s="2625" t="n"/>
      <c r="L134" s="2625" t="n"/>
      <c r="M134" s="2625" t="n"/>
      <c r="N134" s="2625" t="n"/>
      <c r="O134" s="2625" t="n"/>
      <c r="P134" s="2626">
        <f>SUM(D134:O134)</f>
        <v/>
      </c>
      <c r="Q134" s="1436" t="n"/>
      <c r="R134" s="1436" t="n"/>
      <c r="S134" s="2625" t="n">
        <v>0</v>
      </c>
      <c r="T134" s="2625" t="n">
        <v>0</v>
      </c>
      <c r="U134" s="2625" t="n">
        <v>0</v>
      </c>
      <c r="V134" s="2625" t="n">
        <v>0</v>
      </c>
      <c r="W134" s="2625" t="n">
        <v>0</v>
      </c>
      <c r="X134" s="2625" t="n">
        <v>0</v>
      </c>
      <c r="Y134" s="2625" t="n">
        <v>0</v>
      </c>
      <c r="Z134" s="2625" t="n">
        <v>0</v>
      </c>
      <c r="AA134" s="2625" t="n">
        <v>0</v>
      </c>
      <c r="AB134" s="2625" t="n">
        <v>0</v>
      </c>
      <c r="AC134" s="2625" t="n">
        <v>0</v>
      </c>
      <c r="AD134" s="2625" t="n">
        <v>0</v>
      </c>
      <c r="AE134" s="2626">
        <f>SUM(S134:AD134)</f>
        <v/>
      </c>
      <c r="AF134" s="1436" t="n"/>
      <c r="AG134" s="2625" t="n">
        <v>0</v>
      </c>
      <c r="AH134" s="2625" t="n">
        <v>0</v>
      </c>
      <c r="AI134" s="2625" t="n">
        <v>0</v>
      </c>
      <c r="AJ134" s="2625" t="n">
        <v>0</v>
      </c>
      <c r="AK134" s="2625" t="n">
        <v>0</v>
      </c>
      <c r="AL134" s="2625" t="n"/>
      <c r="AM134" s="2625" t="n">
        <v>0</v>
      </c>
      <c r="AN134" s="2625" t="n">
        <v>0</v>
      </c>
      <c r="AO134" s="2625" t="n"/>
      <c r="AP134" s="2625" t="n">
        <v>0</v>
      </c>
      <c r="AQ134" s="2625" t="n">
        <v>0</v>
      </c>
      <c r="AR134" s="2627" t="n">
        <v>0</v>
      </c>
      <c r="AS134" s="2626">
        <f>SUM(AG134:AR134)</f>
        <v/>
      </c>
      <c r="AT134" s="2615">
        <f>SUM(AG134:AP134)</f>
        <v/>
      </c>
      <c r="AU134" s="2627" t="n"/>
      <c r="AV134" s="2627" t="n"/>
      <c r="AW134" s="2627" t="n"/>
      <c r="AX134" s="2627" t="n"/>
      <c r="AY134" s="2627" t="n"/>
      <c r="AZ134" s="2627" t="n"/>
      <c r="BA134" s="2627" t="n"/>
      <c r="BB134" s="2627" t="n"/>
      <c r="BC134" s="2627" t="n"/>
      <c r="BD134" s="2627" t="n"/>
      <c r="BE134" s="2627" t="n"/>
      <c r="BF134" s="2627" t="n"/>
      <c r="BG134" s="2628">
        <f>SUM(AU134:BF134)</f>
        <v/>
      </c>
      <c r="BI134" s="2627" t="n"/>
      <c r="BJ134" s="2627" t="n"/>
      <c r="BK134" s="2627" t="n"/>
      <c r="BL134" s="2627" t="n"/>
      <c r="BM134" s="2627" t="n"/>
      <c r="BN134" s="2627" t="n"/>
      <c r="BO134" s="2627" t="n"/>
      <c r="BP134" s="2627" t="n"/>
      <c r="BQ134" s="2627" t="n"/>
      <c r="BR134" s="2627" t="n"/>
      <c r="BS134" s="2627" t="n"/>
      <c r="BT134" s="2627" t="n"/>
      <c r="BU134" s="2628">
        <f>SUM(BI134:BT134)</f>
        <v/>
      </c>
    </row>
    <row r="135" outlineLevel="1">
      <c r="A135" s="1436" t="n"/>
      <c r="B135" s="1480" t="inlineStr">
        <is>
          <t>단기금융부채평가이익</t>
        </is>
      </c>
      <c r="C135" s="1436" t="n"/>
      <c r="D135" s="2625" t="n"/>
      <c r="E135" s="2625" t="n"/>
      <c r="F135" s="2625" t="n"/>
      <c r="G135" s="2625" t="n"/>
      <c r="H135" s="2625" t="n"/>
      <c r="I135" s="2625" t="n"/>
      <c r="J135" s="2625" t="n">
        <v>0</v>
      </c>
      <c r="K135" s="2625" t="n">
        <v>0</v>
      </c>
      <c r="L135" s="2625" t="n">
        <v>0</v>
      </c>
      <c r="M135" s="2625" t="n">
        <v>0</v>
      </c>
      <c r="N135" s="2625" t="n">
        <v>0</v>
      </c>
      <c r="O135" s="2625" t="n">
        <v>0</v>
      </c>
      <c r="P135" s="2626">
        <f>SUM(D135:O135)</f>
        <v/>
      </c>
      <c r="Q135" s="1436" t="n"/>
      <c r="R135" s="1436" t="n"/>
      <c r="S135" s="2625" t="n">
        <v>0</v>
      </c>
      <c r="T135" s="2625" t="n">
        <v>0</v>
      </c>
      <c r="U135" s="2625" t="n">
        <v>0</v>
      </c>
      <c r="V135" s="2625" t="n">
        <v>0</v>
      </c>
      <c r="W135" s="2625" t="n">
        <v>0</v>
      </c>
      <c r="X135" s="2625" t="n">
        <v>0</v>
      </c>
      <c r="Y135" s="2625" t="n">
        <v>0</v>
      </c>
      <c r="Z135" s="2625" t="n">
        <v>0</v>
      </c>
      <c r="AA135" s="2625" t="n">
        <v>0</v>
      </c>
      <c r="AB135" s="2625" t="n">
        <v>0</v>
      </c>
      <c r="AC135" s="2625" t="n">
        <v>0</v>
      </c>
      <c r="AD135" s="2625" t="n">
        <v>0</v>
      </c>
      <c r="AE135" s="2626">
        <f>SUM(S135:AD135)</f>
        <v/>
      </c>
      <c r="AF135" s="1436" t="n"/>
      <c r="AG135" s="2625" t="n">
        <v>0</v>
      </c>
      <c r="AH135" s="2625" t="n">
        <v>0</v>
      </c>
      <c r="AI135" s="2625" t="n">
        <v>0</v>
      </c>
      <c r="AJ135" s="2625" t="n">
        <v>0</v>
      </c>
      <c r="AK135" s="2625" t="n">
        <v>0</v>
      </c>
      <c r="AL135" s="2625" t="n"/>
      <c r="AM135" s="2625" t="n">
        <v>0</v>
      </c>
      <c r="AN135" s="2625" t="n">
        <v>0</v>
      </c>
      <c r="AO135" s="2625" t="n"/>
      <c r="AP135" s="2625" t="n">
        <v>0</v>
      </c>
      <c r="AQ135" s="2625" t="n">
        <v>0</v>
      </c>
      <c r="AR135" s="2627" t="n">
        <v>0</v>
      </c>
      <c r="AS135" s="2626">
        <f>SUM(AG135:AR135)</f>
        <v/>
      </c>
      <c r="AT135" s="2615">
        <f>SUM(AG135:AP135)</f>
        <v/>
      </c>
      <c r="AU135" s="2627" t="n"/>
      <c r="AV135" s="2627" t="n"/>
      <c r="AW135" s="2627" t="n"/>
      <c r="AX135" s="2627" t="n"/>
      <c r="AY135" s="2627" t="n"/>
      <c r="AZ135" s="2627" t="n"/>
      <c r="BA135" s="2627" t="n"/>
      <c r="BB135" s="2627" t="n"/>
      <c r="BC135" s="2627" t="n"/>
      <c r="BD135" s="2627" t="n"/>
      <c r="BE135" s="2627" t="n"/>
      <c r="BF135" s="2627" t="n"/>
      <c r="BG135" s="2628">
        <f>SUM(AU135:BF135)</f>
        <v/>
      </c>
      <c r="BI135" s="2627" t="n"/>
      <c r="BJ135" s="2627" t="n"/>
      <c r="BK135" s="2627" t="n"/>
      <c r="BL135" s="2627" t="n"/>
      <c r="BM135" s="2627" t="n"/>
      <c r="BN135" s="2627" t="n"/>
      <c r="BO135" s="2627" t="n"/>
      <c r="BP135" s="2627" t="n"/>
      <c r="BQ135" s="2627" t="n"/>
      <c r="BR135" s="2627" t="n"/>
      <c r="BS135" s="2627" t="n"/>
      <c r="BT135" s="2627" t="n"/>
      <c r="BU135" s="2628">
        <f>SUM(BI135:BT135)</f>
        <v/>
      </c>
    </row>
    <row r="136" outlineLevel="1">
      <c r="A136" s="1436" t="n"/>
      <c r="B136" s="1480" t="inlineStr">
        <is>
          <t>단기매매비파생상품처분이익</t>
        </is>
      </c>
      <c r="C136" s="1436" t="n"/>
      <c r="D136" s="2625" t="n"/>
      <c r="E136" s="2625" t="n"/>
      <c r="F136" s="2625" t="n"/>
      <c r="G136" s="2625" t="n"/>
      <c r="H136" s="2625" t="n"/>
      <c r="I136" s="2625" t="n"/>
      <c r="J136" s="2625" t="n">
        <v>0</v>
      </c>
      <c r="K136" s="2625" t="n">
        <v>0</v>
      </c>
      <c r="L136" s="2625" t="n">
        <v>0</v>
      </c>
      <c r="M136" s="2625" t="n">
        <v>0</v>
      </c>
      <c r="N136" s="2625" t="n">
        <v>0</v>
      </c>
      <c r="O136" s="2625" t="n">
        <v>0</v>
      </c>
      <c r="P136" s="2626">
        <f>SUM(D136:O136)</f>
        <v/>
      </c>
      <c r="Q136" s="1436" t="n"/>
      <c r="R136" s="1436" t="n"/>
      <c r="S136" s="2625" t="n">
        <v>0</v>
      </c>
      <c r="T136" s="2625" t="n">
        <v>0</v>
      </c>
      <c r="U136" s="2625" t="n">
        <v>0</v>
      </c>
      <c r="V136" s="2625" t="n">
        <v>0</v>
      </c>
      <c r="W136" s="2625" t="n">
        <v>0</v>
      </c>
      <c r="X136" s="2625" t="n">
        <v>0</v>
      </c>
      <c r="Y136" s="2625" t="n">
        <v>0</v>
      </c>
      <c r="Z136" s="2625" t="n">
        <v>0</v>
      </c>
      <c r="AA136" s="2625" t="n">
        <v>0</v>
      </c>
      <c r="AB136" s="2625" t="n">
        <v>0</v>
      </c>
      <c r="AC136" s="2625" t="n">
        <v>0</v>
      </c>
      <c r="AD136" s="2625" t="n">
        <v>0</v>
      </c>
      <c r="AE136" s="2626">
        <f>SUM(S136:AD136)</f>
        <v/>
      </c>
      <c r="AF136" s="1436" t="n"/>
      <c r="AG136" s="2625" t="n">
        <v>0</v>
      </c>
      <c r="AH136" s="2625" t="n">
        <v>0</v>
      </c>
      <c r="AI136" s="2625" t="n">
        <v>0</v>
      </c>
      <c r="AJ136" s="2625" t="n">
        <v>0</v>
      </c>
      <c r="AK136" s="2625" t="n">
        <v>0</v>
      </c>
      <c r="AL136" s="2625" t="n"/>
      <c r="AM136" s="2625" t="n">
        <v>0</v>
      </c>
      <c r="AN136" s="2625" t="n">
        <v>0</v>
      </c>
      <c r="AO136" s="2625" t="n"/>
      <c r="AP136" s="2625" t="n">
        <v>0</v>
      </c>
      <c r="AQ136" s="2625" t="n">
        <v>0</v>
      </c>
      <c r="AR136" s="2627" t="n">
        <v>0</v>
      </c>
      <c r="AS136" s="2626">
        <f>SUM(AG136:AR136)</f>
        <v/>
      </c>
      <c r="AT136" s="2615">
        <f>SUM(AG136:AP136)</f>
        <v/>
      </c>
      <c r="AU136" s="2627" t="n"/>
      <c r="AV136" s="2627" t="n"/>
      <c r="AW136" s="2627" t="n"/>
      <c r="AX136" s="2627" t="n"/>
      <c r="AY136" s="2627" t="n"/>
      <c r="AZ136" s="2627" t="n"/>
      <c r="BA136" s="2627" t="n"/>
      <c r="BB136" s="2627" t="n"/>
      <c r="BC136" s="2627" t="n"/>
      <c r="BD136" s="2627" t="n"/>
      <c r="BE136" s="2627" t="n"/>
      <c r="BF136" s="2627" t="n"/>
      <c r="BG136" s="2628">
        <f>SUM(AU136:BF136)</f>
        <v/>
      </c>
      <c r="BI136" s="2627" t="n"/>
      <c r="BJ136" s="2627" t="n"/>
      <c r="BK136" s="2627" t="n"/>
      <c r="BL136" s="2627" t="n"/>
      <c r="BM136" s="2627" t="n"/>
      <c r="BN136" s="2627" t="n"/>
      <c r="BO136" s="2627" t="n"/>
      <c r="BP136" s="2627" t="n"/>
      <c r="BQ136" s="2627" t="n"/>
      <c r="BR136" s="2627" t="n"/>
      <c r="BS136" s="2627" t="n"/>
      <c r="BT136" s="2627" t="n"/>
      <c r="BU136" s="2628">
        <f>SUM(BI136:BT136)</f>
        <v/>
      </c>
    </row>
    <row r="137" outlineLevel="1">
      <c r="A137" s="1436" t="n"/>
      <c r="B137" s="1480" t="inlineStr">
        <is>
          <t>비지배지분부채평가이익</t>
        </is>
      </c>
      <c r="C137" s="1436" t="n"/>
      <c r="D137" s="2625" t="n"/>
      <c r="E137" s="2625" t="n"/>
      <c r="F137" s="2625" t="n"/>
      <c r="G137" s="2625" t="n"/>
      <c r="H137" s="2625" t="n"/>
      <c r="I137" s="2625" t="n"/>
      <c r="J137" s="2625" t="n"/>
      <c r="K137" s="2625" t="n"/>
      <c r="L137" s="2625" t="n"/>
      <c r="M137" s="2625" t="n"/>
      <c r="N137" s="2625" t="n"/>
      <c r="O137" s="2625" t="n"/>
      <c r="P137" s="2626">
        <f>SUM(D137:O137)</f>
        <v/>
      </c>
      <c r="Q137" s="1436" t="n"/>
      <c r="R137" s="1436" t="n"/>
      <c r="S137" s="2625" t="n">
        <v>0</v>
      </c>
      <c r="T137" s="2625" t="n">
        <v>0</v>
      </c>
      <c r="U137" s="2625" t="n">
        <v>0</v>
      </c>
      <c r="V137" s="2625" t="n">
        <v>0</v>
      </c>
      <c r="W137" s="2625" t="n">
        <v>0</v>
      </c>
      <c r="X137" s="2625" t="n">
        <v>0</v>
      </c>
      <c r="Y137" s="2625" t="n">
        <v>0</v>
      </c>
      <c r="Z137" s="2625" t="n">
        <v>0</v>
      </c>
      <c r="AA137" s="2625" t="n">
        <v>0</v>
      </c>
      <c r="AB137" s="2625" t="n">
        <v>0</v>
      </c>
      <c r="AC137" s="2625" t="n">
        <v>0</v>
      </c>
      <c r="AD137" s="2625" t="n">
        <v>0</v>
      </c>
      <c r="AE137" s="2626">
        <f>SUM(S137:AD137)</f>
        <v/>
      </c>
      <c r="AF137" s="1436" t="n"/>
      <c r="AG137" s="2625" t="n">
        <v>0</v>
      </c>
      <c r="AH137" s="2625" t="n">
        <v>0</v>
      </c>
      <c r="AI137" s="2625" t="n">
        <v>0</v>
      </c>
      <c r="AJ137" s="2625" t="n">
        <v>0</v>
      </c>
      <c r="AK137" s="2625" t="n">
        <v>0</v>
      </c>
      <c r="AL137" s="2625" t="n"/>
      <c r="AM137" s="2625" t="n">
        <v>0</v>
      </c>
      <c r="AN137" s="2625" t="n">
        <v>0</v>
      </c>
      <c r="AO137" s="2625" t="n"/>
      <c r="AP137" s="2625" t="n">
        <v>0</v>
      </c>
      <c r="AQ137" s="2625" t="n">
        <v>0</v>
      </c>
      <c r="AR137" s="2627" t="n">
        <v>0</v>
      </c>
      <c r="AS137" s="2626">
        <f>SUM(AG137:AR137)</f>
        <v/>
      </c>
      <c r="AT137" s="2615">
        <f>SUM(AG137:AP137)</f>
        <v/>
      </c>
      <c r="AU137" s="2627" t="n"/>
      <c r="AV137" s="2627" t="n"/>
      <c r="AW137" s="2627" t="n"/>
      <c r="AX137" s="2627" t="n"/>
      <c r="AY137" s="2627" t="n"/>
      <c r="AZ137" s="2627" t="n"/>
      <c r="BA137" s="2627" t="n"/>
      <c r="BB137" s="2627" t="n"/>
      <c r="BC137" s="2627" t="n"/>
      <c r="BD137" s="2627" t="n"/>
      <c r="BE137" s="2627" t="n"/>
      <c r="BF137" s="2627" t="n"/>
      <c r="BG137" s="2628">
        <f>SUM(AU137:BF137)</f>
        <v/>
      </c>
      <c r="BI137" s="2627" t="n"/>
      <c r="BJ137" s="2627" t="n"/>
      <c r="BK137" s="2627" t="n"/>
      <c r="BL137" s="2627" t="n"/>
      <c r="BM137" s="2627" t="n"/>
      <c r="BN137" s="2627" t="n"/>
      <c r="BO137" s="2627" t="n"/>
      <c r="BP137" s="2627" t="n"/>
      <c r="BQ137" s="2627" t="n"/>
      <c r="BR137" s="2627" t="n"/>
      <c r="BS137" s="2627" t="n"/>
      <c r="BT137" s="2627" t="n"/>
      <c r="BU137" s="2628">
        <f>SUM(BI137:BT137)</f>
        <v/>
      </c>
    </row>
    <row r="138" outlineLevel="1">
      <c r="A138" s="1436" t="n"/>
      <c r="B138" s="1480" t="inlineStr">
        <is>
          <t>단기투자자산처분이익</t>
        </is>
      </c>
      <c r="C138" s="1436" t="n"/>
      <c r="D138" s="2625" t="n"/>
      <c r="E138" s="2625" t="n"/>
      <c r="F138" s="2625" t="n"/>
      <c r="G138" s="2625" t="n"/>
      <c r="H138" s="2625" t="n"/>
      <c r="I138" s="2625" t="n"/>
      <c r="J138" s="2625" t="n">
        <v>0</v>
      </c>
      <c r="K138" s="2625" t="n">
        <v>0</v>
      </c>
      <c r="L138" s="2625" t="n">
        <v>0</v>
      </c>
      <c r="M138" s="2625" t="n">
        <v>0</v>
      </c>
      <c r="N138" s="2625" t="n">
        <v>0</v>
      </c>
      <c r="O138" s="2625" t="n">
        <v>0</v>
      </c>
      <c r="P138" s="2626">
        <f>SUM(D138:O138)</f>
        <v/>
      </c>
      <c r="Q138" s="1436" t="n"/>
      <c r="R138" s="1436" t="n"/>
      <c r="S138" s="2625" t="n">
        <v>0</v>
      </c>
      <c r="T138" s="2625" t="n">
        <v>0</v>
      </c>
      <c r="U138" s="2625" t="n">
        <v>0</v>
      </c>
      <c r="V138" s="2625" t="n">
        <v>0</v>
      </c>
      <c r="W138" s="2625" t="n">
        <v>0</v>
      </c>
      <c r="X138" s="2625" t="n">
        <v>0</v>
      </c>
      <c r="Y138" s="2625" t="n">
        <v>0</v>
      </c>
      <c r="Z138" s="2625" t="n">
        <v>0</v>
      </c>
      <c r="AA138" s="2625" t="n">
        <v>0</v>
      </c>
      <c r="AB138" s="2625" t="n">
        <v>0</v>
      </c>
      <c r="AC138" s="2625" t="n">
        <v>0</v>
      </c>
      <c r="AD138" s="2625" t="n">
        <v>0</v>
      </c>
      <c r="AE138" s="2626">
        <f>SUM(S138:AD138)</f>
        <v/>
      </c>
      <c r="AF138" s="1436" t="n"/>
      <c r="AG138" s="2625" t="n">
        <v>0</v>
      </c>
      <c r="AH138" s="2625" t="n">
        <v>0</v>
      </c>
      <c r="AI138" s="2625" t="n">
        <v>0</v>
      </c>
      <c r="AJ138" s="2625" t="n">
        <v>0</v>
      </c>
      <c r="AK138" s="2625" t="n">
        <v>0</v>
      </c>
      <c r="AL138" s="2625" t="n"/>
      <c r="AM138" s="2625" t="n">
        <v>0</v>
      </c>
      <c r="AN138" s="2625" t="n">
        <v>0</v>
      </c>
      <c r="AO138" s="2625" t="n"/>
      <c r="AP138" s="2625" t="n">
        <v>0</v>
      </c>
      <c r="AQ138" s="2625" t="n">
        <v>0</v>
      </c>
      <c r="AR138" s="2627" t="n">
        <v>0</v>
      </c>
      <c r="AS138" s="2626">
        <f>SUM(AG138:AR138)</f>
        <v/>
      </c>
      <c r="AT138" s="2615">
        <f>SUM(AG138:AP138)</f>
        <v/>
      </c>
      <c r="AU138" s="2627" t="n"/>
      <c r="AV138" s="2627" t="n"/>
      <c r="AW138" s="2627" t="n"/>
      <c r="AX138" s="2627" t="n"/>
      <c r="AY138" s="2627" t="n"/>
      <c r="AZ138" s="2627" t="n"/>
      <c r="BA138" s="2627" t="n"/>
      <c r="BB138" s="2627" t="n"/>
      <c r="BC138" s="2627" t="n"/>
      <c r="BD138" s="2627" t="n"/>
      <c r="BE138" s="2627" t="n"/>
      <c r="BF138" s="2627" t="n"/>
      <c r="BG138" s="2628">
        <f>SUM(AU138:BF138)</f>
        <v/>
      </c>
      <c r="BI138" s="2627" t="n"/>
      <c r="BJ138" s="2627" t="n"/>
      <c r="BK138" s="2627" t="n"/>
      <c r="BL138" s="2627" t="n"/>
      <c r="BM138" s="2627" t="n"/>
      <c r="BN138" s="2627" t="n"/>
      <c r="BO138" s="2627" t="n"/>
      <c r="BP138" s="2627" t="n"/>
      <c r="BQ138" s="2627" t="n"/>
      <c r="BR138" s="2627" t="n"/>
      <c r="BS138" s="2627" t="n"/>
      <c r="BT138" s="2627" t="n"/>
      <c r="BU138" s="2628">
        <f>SUM(BI138:BT138)</f>
        <v/>
      </c>
    </row>
    <row r="139" outlineLevel="1">
      <c r="A139" s="1436" t="n"/>
      <c r="B139" s="1480" t="inlineStr">
        <is>
          <t>장기투자자산처분이익</t>
        </is>
      </c>
      <c r="C139" s="1436" t="n"/>
      <c r="D139" s="2625" t="n"/>
      <c r="E139" s="2625" t="n"/>
      <c r="F139" s="2625" t="n"/>
      <c r="G139" s="2625" t="n"/>
      <c r="H139" s="2625" t="n"/>
      <c r="I139" s="2625" t="n"/>
      <c r="J139" s="2625" t="n">
        <v>0</v>
      </c>
      <c r="K139" s="2625" t="n">
        <v>0</v>
      </c>
      <c r="L139" s="2625" t="n">
        <v>0</v>
      </c>
      <c r="M139" s="2625" t="n">
        <v>0</v>
      </c>
      <c r="N139" s="2625" t="n">
        <v>0</v>
      </c>
      <c r="O139" s="2625" t="n">
        <v>0</v>
      </c>
      <c r="P139" s="2626">
        <f>SUM(D139:O139)</f>
        <v/>
      </c>
      <c r="Q139" s="1436" t="n"/>
      <c r="R139" s="1436" t="n"/>
      <c r="S139" s="2625" t="n">
        <v>0</v>
      </c>
      <c r="T139" s="2625" t="n">
        <v>0</v>
      </c>
      <c r="U139" s="2625" t="n">
        <v>0</v>
      </c>
      <c r="V139" s="2625" t="n">
        <v>0</v>
      </c>
      <c r="W139" s="2625" t="n">
        <v>0</v>
      </c>
      <c r="X139" s="2625" t="n">
        <v>0</v>
      </c>
      <c r="Y139" s="2625" t="n">
        <v>0</v>
      </c>
      <c r="Z139" s="2625" t="n">
        <v>0</v>
      </c>
      <c r="AA139" s="2625" t="n">
        <v>0</v>
      </c>
      <c r="AB139" s="2625" t="n">
        <v>0</v>
      </c>
      <c r="AC139" s="2625" t="n">
        <v>0</v>
      </c>
      <c r="AD139" s="2625" t="n">
        <v>0</v>
      </c>
      <c r="AE139" s="2626">
        <f>SUM(S139:AD139)</f>
        <v/>
      </c>
      <c r="AF139" s="1436" t="n"/>
      <c r="AG139" s="2625" t="n">
        <v>0</v>
      </c>
      <c r="AH139" s="2625" t="n">
        <v>0</v>
      </c>
      <c r="AI139" s="2625" t="n">
        <v>0</v>
      </c>
      <c r="AJ139" s="2625" t="n">
        <v>0</v>
      </c>
      <c r="AK139" s="2625" t="n">
        <v>0</v>
      </c>
      <c r="AL139" s="2625" t="n"/>
      <c r="AM139" s="2625" t="n">
        <v>0</v>
      </c>
      <c r="AN139" s="2625" t="n">
        <v>0</v>
      </c>
      <c r="AO139" s="2625" t="n"/>
      <c r="AP139" s="2625" t="n">
        <v>0</v>
      </c>
      <c r="AQ139" s="2625" t="n">
        <v>0</v>
      </c>
      <c r="AR139" s="2627" t="n">
        <v>0</v>
      </c>
      <c r="AS139" s="2626">
        <f>SUM(AG139:AR139)</f>
        <v/>
      </c>
      <c r="AT139" s="2615">
        <f>SUM(AG139:AP139)</f>
        <v/>
      </c>
      <c r="AU139" s="2627" t="n"/>
      <c r="AV139" s="2627" t="n"/>
      <c r="AW139" s="2627" t="n"/>
      <c r="AX139" s="2627" t="n"/>
      <c r="AY139" s="2627" t="n"/>
      <c r="AZ139" s="2627" t="n"/>
      <c r="BA139" s="2627" t="n"/>
      <c r="BB139" s="2627" t="n"/>
      <c r="BC139" s="2627" t="n"/>
      <c r="BD139" s="2627" t="n"/>
      <c r="BE139" s="2627" t="n"/>
      <c r="BF139" s="2627" t="n"/>
      <c r="BG139" s="2628">
        <f>SUM(AU139:BF139)</f>
        <v/>
      </c>
      <c r="BI139" s="2627" t="n"/>
      <c r="BJ139" s="2627" t="n"/>
      <c r="BK139" s="2627" t="n"/>
      <c r="BL139" s="2627" t="n"/>
      <c r="BM139" s="2627" t="n"/>
      <c r="BN139" s="2627" t="n"/>
      <c r="BO139" s="2627" t="n"/>
      <c r="BP139" s="2627" t="n"/>
      <c r="BQ139" s="2627" t="n"/>
      <c r="BR139" s="2627" t="n"/>
      <c r="BS139" s="2627" t="n"/>
      <c r="BT139" s="2627" t="n"/>
      <c r="BU139" s="2628">
        <f>SUM(BI139:BT139)</f>
        <v/>
      </c>
    </row>
    <row r="140" outlineLevel="1">
      <c r="A140" s="1436" t="n"/>
      <c r="B140" s="1480" t="inlineStr">
        <is>
          <t>매도가능금융자산처분이익</t>
        </is>
      </c>
      <c r="C140" s="1436" t="n"/>
      <c r="D140" s="2625" t="n"/>
      <c r="E140" s="2625" t="n"/>
      <c r="F140" s="2625" t="n"/>
      <c r="G140" s="2625" t="n"/>
      <c r="H140" s="2625" t="n"/>
      <c r="I140" s="2625" t="n"/>
      <c r="J140" s="2625" t="n">
        <v>0</v>
      </c>
      <c r="K140" s="2625" t="n">
        <v>0</v>
      </c>
      <c r="L140" s="2625" t="n">
        <v>0</v>
      </c>
      <c r="M140" s="2625" t="n">
        <v>0</v>
      </c>
      <c r="N140" s="2625" t="n">
        <v>0</v>
      </c>
      <c r="O140" s="2625" t="n">
        <v>0</v>
      </c>
      <c r="P140" s="2626">
        <f>SUM(D140:O140)</f>
        <v/>
      </c>
      <c r="Q140" s="1436" t="n"/>
      <c r="R140" s="1436" t="n"/>
      <c r="S140" s="2625" t="n">
        <v>0</v>
      </c>
      <c r="T140" s="2625" t="n">
        <v>0</v>
      </c>
      <c r="U140" s="2625" t="n">
        <v>0</v>
      </c>
      <c r="V140" s="2625" t="n">
        <v>0</v>
      </c>
      <c r="W140" s="2625" t="n">
        <v>0</v>
      </c>
      <c r="X140" s="2625" t="n">
        <v>0</v>
      </c>
      <c r="Y140" s="2625" t="n">
        <v>0</v>
      </c>
      <c r="Z140" s="2625" t="n">
        <v>0</v>
      </c>
      <c r="AA140" s="2625" t="n">
        <v>0</v>
      </c>
      <c r="AB140" s="2625" t="n">
        <v>0</v>
      </c>
      <c r="AC140" s="2625" t="n">
        <v>0</v>
      </c>
      <c r="AD140" s="2625" t="n">
        <v>0</v>
      </c>
      <c r="AE140" s="2626">
        <f>SUM(S140:AD140)</f>
        <v/>
      </c>
      <c r="AF140" s="1436" t="n"/>
      <c r="AG140" s="2625" t="n">
        <v>0</v>
      </c>
      <c r="AH140" s="2625" t="n">
        <v>0</v>
      </c>
      <c r="AI140" s="2625" t="n">
        <v>0</v>
      </c>
      <c r="AJ140" s="2625" t="n">
        <v>0</v>
      </c>
      <c r="AK140" s="2625" t="n">
        <v>0</v>
      </c>
      <c r="AL140" s="2625" t="n"/>
      <c r="AM140" s="2625" t="n">
        <v>0</v>
      </c>
      <c r="AN140" s="2625" t="n">
        <v>0</v>
      </c>
      <c r="AO140" s="2625" t="n"/>
      <c r="AP140" s="2625" t="n">
        <v>0</v>
      </c>
      <c r="AQ140" s="2625" t="n">
        <v>0</v>
      </c>
      <c r="AR140" s="2627" t="n">
        <v>0</v>
      </c>
      <c r="AS140" s="2626">
        <f>SUM(AG140:AR140)</f>
        <v/>
      </c>
      <c r="AT140" s="2615">
        <f>SUM(AG140:AP140)</f>
        <v/>
      </c>
      <c r="AU140" s="2627" t="n"/>
      <c r="AV140" s="2627" t="n"/>
      <c r="AW140" s="2627" t="n"/>
      <c r="AX140" s="2627" t="n"/>
      <c r="AY140" s="2627" t="n"/>
      <c r="AZ140" s="2627" t="n"/>
      <c r="BA140" s="2627" t="n"/>
      <c r="BB140" s="2627" t="n"/>
      <c r="BC140" s="2627" t="n"/>
      <c r="BD140" s="2627" t="n"/>
      <c r="BE140" s="2627" t="n"/>
      <c r="BF140" s="2627" t="n"/>
      <c r="BG140" s="2628">
        <f>SUM(AU140:BF140)</f>
        <v/>
      </c>
      <c r="BI140" s="2627" t="n"/>
      <c r="BJ140" s="2627" t="n"/>
      <c r="BK140" s="2627" t="n"/>
      <c r="BL140" s="2627" t="n"/>
      <c r="BM140" s="2627" t="n"/>
      <c r="BN140" s="2627" t="n"/>
      <c r="BO140" s="2627" t="n"/>
      <c r="BP140" s="2627" t="n"/>
      <c r="BQ140" s="2627" t="n"/>
      <c r="BR140" s="2627" t="n"/>
      <c r="BS140" s="2627" t="n"/>
      <c r="BT140" s="2627" t="n"/>
      <c r="BU140" s="2628">
        <f>SUM(BI140:BT140)</f>
        <v/>
      </c>
    </row>
    <row r="141">
      <c r="A141" s="1436" t="n"/>
      <c r="B141" s="1478" t="inlineStr">
        <is>
          <t>Ⅴ. 금융비용</t>
        </is>
      </c>
      <c r="C141" s="1436" t="inlineStr">
        <is>
          <t>금융비용</t>
        </is>
      </c>
      <c r="D141" s="2637">
        <f>SUM(D142:D158)</f>
        <v/>
      </c>
      <c r="E141" s="2637">
        <f>SUM(E142:E158)</f>
        <v/>
      </c>
      <c r="F141" s="2637">
        <f>SUM(F142:F158)</f>
        <v/>
      </c>
      <c r="G141" s="2637">
        <f>SUM(G142:G158)</f>
        <v/>
      </c>
      <c r="H141" s="2637">
        <f>SUM(H142:H158)</f>
        <v/>
      </c>
      <c r="I141" s="2637">
        <f>SUM(I142:I158)</f>
        <v/>
      </c>
      <c r="J141" s="2637">
        <f>SUM(J142:J158)</f>
        <v/>
      </c>
      <c r="K141" s="2637">
        <f>SUM(K142:K158)</f>
        <v/>
      </c>
      <c r="L141" s="2637">
        <f>SUM(L142:L158)</f>
        <v/>
      </c>
      <c r="M141" s="2637">
        <f>SUM(M142:M158)</f>
        <v/>
      </c>
      <c r="N141" s="2637">
        <f>SUM(N142:N158)</f>
        <v/>
      </c>
      <c r="O141" s="2637">
        <f>SUM(O142:O158)</f>
        <v/>
      </c>
      <c r="P141" s="2623">
        <f>SUM(D141:O141)</f>
        <v/>
      </c>
      <c r="Q141" s="1436" t="n"/>
      <c r="R141" s="1436" t="n"/>
      <c r="S141" s="2637">
        <f>SUM(S142:S158)</f>
        <v/>
      </c>
      <c r="T141" s="2637">
        <f>SUM(T142:T158)</f>
        <v/>
      </c>
      <c r="U141" s="2637">
        <f>SUM(U142:U158)</f>
        <v/>
      </c>
      <c r="V141" s="2637">
        <f>SUM(V142:V158)</f>
        <v/>
      </c>
      <c r="W141" s="2637">
        <f>SUM(W142:W158)</f>
        <v/>
      </c>
      <c r="X141" s="2637">
        <f>SUM(X142:X158)</f>
        <v/>
      </c>
      <c r="Y141" s="2637">
        <f>SUM(Y142:Y158)</f>
        <v/>
      </c>
      <c r="Z141" s="2637">
        <f>SUM(Z142:Z158)</f>
        <v/>
      </c>
      <c r="AA141" s="2637">
        <f>SUM(AA142:AA158)</f>
        <v/>
      </c>
      <c r="AB141" s="2637">
        <f>SUM(AB142:AB158)</f>
        <v/>
      </c>
      <c r="AC141" s="2637">
        <f>SUM(AC142:AC158)</f>
        <v/>
      </c>
      <c r="AD141" s="2637">
        <f>SUM(AD142:AD158)</f>
        <v/>
      </c>
      <c r="AE141" s="2623">
        <f>SUM(S141:AD141)</f>
        <v/>
      </c>
      <c r="AF141" s="1436" t="n"/>
      <c r="AG141" s="2637">
        <f>SUM(AG142:AG158)</f>
        <v/>
      </c>
      <c r="AH141" s="2637">
        <f>SUM(AH142:AH158)</f>
        <v/>
      </c>
      <c r="AI141" s="2637">
        <f>SUM(AI142:AI158)</f>
        <v/>
      </c>
      <c r="AJ141" s="2637">
        <f>SUM(AJ142:AJ158)</f>
        <v/>
      </c>
      <c r="AK141" s="2637">
        <f>SUM(AK142:AK158)</f>
        <v/>
      </c>
      <c r="AL141" s="2637">
        <f>SUM(AL142:AL158)</f>
        <v/>
      </c>
      <c r="AM141" s="2637">
        <f>SUM(AM142:AM158)</f>
        <v/>
      </c>
      <c r="AN141" s="2637">
        <f>SUM(AN142:AN158)</f>
        <v/>
      </c>
      <c r="AO141" s="2637">
        <f>SUM(AO142:AO158)</f>
        <v/>
      </c>
      <c r="AP141" s="2637">
        <f>SUM(AP142:AP158)</f>
        <v/>
      </c>
      <c r="AQ141" s="2637">
        <f>SUM(AQ142:AQ158)</f>
        <v/>
      </c>
      <c r="AR141" s="2637">
        <f>SUM(AR142:AR158)</f>
        <v/>
      </c>
      <c r="AS141" s="2623">
        <f>SUM(AG141:AR141)</f>
        <v/>
      </c>
      <c r="AT141" s="2615">
        <f>SUM(AG141:AP141)</f>
        <v/>
      </c>
      <c r="AU141" s="2637" t="n">
        <v>0</v>
      </c>
      <c r="AV141" s="2637" t="n">
        <v>0</v>
      </c>
      <c r="AW141" s="2637" t="n"/>
      <c r="AX141" s="2637" t="n"/>
      <c r="AY141" s="2637" t="n"/>
      <c r="AZ141" s="2637" t="n"/>
      <c r="BA141" s="2637" t="n"/>
      <c r="BB141" s="2637" t="n"/>
      <c r="BC141" s="2637" t="n"/>
      <c r="BD141" s="2637" t="n"/>
      <c r="BE141" s="2637" t="n"/>
      <c r="BF141" s="2637" t="n"/>
      <c r="BG141" s="2624">
        <f>SUM(AU141:BF141)</f>
        <v/>
      </c>
      <c r="BI141" s="2637" t="n"/>
      <c r="BJ141" s="2637" t="n"/>
      <c r="BK141" s="2637" t="n"/>
      <c r="BL141" s="2637" t="n"/>
      <c r="BM141" s="2637" t="n"/>
      <c r="BN141" s="2637" t="n"/>
      <c r="BO141" s="2637" t="n"/>
      <c r="BP141" s="2637" t="n"/>
      <c r="BQ141" s="2637" t="n"/>
      <c r="BR141" s="2637" t="n"/>
      <c r="BS141" s="2637" t="n"/>
      <c r="BT141" s="2637" t="n"/>
      <c r="BU141" s="2624">
        <f>SUM(BI141:BT141)</f>
        <v/>
      </c>
    </row>
    <row r="142" hidden="1" outlineLevel="1">
      <c r="A142" s="1436" t="n"/>
      <c r="B142" s="1480" t="inlineStr">
        <is>
          <t>이자비용</t>
        </is>
      </c>
      <c r="C142" s="1436" t="n"/>
      <c r="D142" s="2625" t="n"/>
      <c r="E142" s="2625" t="n"/>
      <c r="F142" s="2625" t="n"/>
      <c r="G142" s="2625" t="n">
        <v>244180.6227955901</v>
      </c>
      <c r="H142" s="2625" t="n">
        <v>234326.3772044099</v>
      </c>
      <c r="I142" s="2625" t="n">
        <v>837020</v>
      </c>
      <c r="J142" s="2625" t="n">
        <v>802518</v>
      </c>
      <c r="K142" s="2625" t="n">
        <v>767909</v>
      </c>
      <c r="L142" s="2625" t="n">
        <v>1632828</v>
      </c>
      <c r="M142" s="2625" t="n">
        <v>2025854</v>
      </c>
      <c r="N142" s="2625" t="n">
        <v>1947594</v>
      </c>
      <c r="O142" s="2625" t="n">
        <v>1881361</v>
      </c>
      <c r="P142" s="2626">
        <f>SUM(D142:O142)</f>
        <v/>
      </c>
      <c r="Q142" s="1436" t="n"/>
      <c r="R142" s="1436" t="n"/>
      <c r="S142" s="2625" t="n">
        <v>1879740</v>
      </c>
      <c r="T142" s="2625" t="n">
        <v>1810199</v>
      </c>
      <c r="U142" s="2625" t="n">
        <v>3441733</v>
      </c>
      <c r="V142" s="2625" t="n">
        <v>3379014</v>
      </c>
      <c r="W142" s="2625" t="n">
        <v>2374823</v>
      </c>
      <c r="X142" s="2625" t="n">
        <v>5224297</v>
      </c>
      <c r="Y142" s="2625" t="n">
        <v>5131821</v>
      </c>
      <c r="Z142" s="2625" t="n">
        <v>5038941</v>
      </c>
      <c r="AA142" s="2625" t="n">
        <v>4945654</v>
      </c>
      <c r="AB142" s="2625" t="n">
        <v>4851961</v>
      </c>
      <c r="AC142" s="2625" t="n">
        <v>1379260</v>
      </c>
      <c r="AD142" s="2625" t="n">
        <v>1352075</v>
      </c>
      <c r="AE142" s="2626">
        <f>SUM(S142:AD142)</f>
        <v/>
      </c>
      <c r="AF142" s="1436" t="n"/>
      <c r="AG142" s="2625" t="n">
        <v>1324761</v>
      </c>
      <c r="AH142" s="2625" t="n">
        <v>1297319</v>
      </c>
      <c r="AI142" s="2625" t="n">
        <v>1269749</v>
      </c>
      <c r="AJ142" s="2625" t="n">
        <v>1242048</v>
      </c>
      <c r="AK142" s="2625" t="n">
        <v>1214217</v>
      </c>
      <c r="AL142" s="2625">
        <f>7534351-SUM(AG142:AK142)</f>
        <v/>
      </c>
      <c r="AM142" s="2625" t="n">
        <v>1158164</v>
      </c>
      <c r="AN142" s="2625" t="n">
        <v>1129939</v>
      </c>
      <c r="AO142" s="2625" t="n">
        <v>1101583</v>
      </c>
      <c r="AP142" s="2625" t="n">
        <v>0</v>
      </c>
      <c r="AQ142" s="2625" t="n">
        <v>0</v>
      </c>
      <c r="AR142" s="2627" t="n">
        <v>0</v>
      </c>
      <c r="AS142" s="2626">
        <f>SUM(AG142:AR142)</f>
        <v/>
      </c>
      <c r="AT142" s="2615">
        <f>SUM(AG142:AP142)</f>
        <v/>
      </c>
      <c r="AU142" s="2627" t="n"/>
      <c r="AV142" s="2627" t="n"/>
      <c r="AW142" s="2627" t="n"/>
      <c r="AX142" s="2627" t="n"/>
      <c r="AY142" s="2627" t="n"/>
      <c r="AZ142" s="2627" t="n"/>
      <c r="BA142" s="2627" t="n"/>
      <c r="BB142" s="2627" t="n"/>
      <c r="BC142" s="2627" t="n"/>
      <c r="BD142" s="2627" t="n"/>
      <c r="BE142" s="2627" t="n"/>
      <c r="BF142" s="2627" t="n"/>
      <c r="BG142" s="2628">
        <f>SUM(AU142:BF142)</f>
        <v/>
      </c>
      <c r="BI142" s="2627" t="n"/>
      <c r="BJ142" s="2627" t="n"/>
      <c r="BK142" s="2627" t="n"/>
      <c r="BL142" s="2627" t="n"/>
      <c r="BM142" s="2627" t="n"/>
      <c r="BN142" s="2627" t="n"/>
      <c r="BO142" s="2627" t="n"/>
      <c r="BP142" s="2627" t="n"/>
      <c r="BQ142" s="2627" t="n"/>
      <c r="BR142" s="2627" t="n"/>
      <c r="BS142" s="2627" t="n"/>
      <c r="BT142" s="2627" t="n"/>
      <c r="BU142" s="2628">
        <f>SUM(BI142:BT142)</f>
        <v/>
      </c>
    </row>
    <row r="143" hidden="1" outlineLevel="1">
      <c r="A143" s="1436" t="n"/>
      <c r="B143" s="1480" t="inlineStr">
        <is>
          <t>단기금융상품평가손실</t>
        </is>
      </c>
      <c r="C143" s="1436" t="n"/>
      <c r="D143" s="2625" t="n"/>
      <c r="E143" s="2625" t="n"/>
      <c r="F143" s="2625" t="n"/>
      <c r="G143" s="2625" t="n"/>
      <c r="H143" s="2625" t="n"/>
      <c r="I143" s="2625" t="n">
        <v>0</v>
      </c>
      <c r="J143" s="2625" t="n">
        <v>0</v>
      </c>
      <c r="K143" s="2625" t="n">
        <v>0</v>
      </c>
      <c r="L143" s="2625" t="n">
        <v>0</v>
      </c>
      <c r="M143" s="2625" t="n">
        <v>0</v>
      </c>
      <c r="N143" s="2625" t="n">
        <v>0</v>
      </c>
      <c r="O143" s="2625" t="n">
        <v>0</v>
      </c>
      <c r="P143" s="2626">
        <f>SUM(D143:O143)</f>
        <v/>
      </c>
      <c r="Q143" s="1436" t="n"/>
      <c r="R143" s="1436" t="n"/>
      <c r="S143" s="2625" t="n">
        <v>0</v>
      </c>
      <c r="T143" s="2625" t="n">
        <v>0</v>
      </c>
      <c r="U143" s="2625" t="n">
        <v>0</v>
      </c>
      <c r="V143" s="2625" t="n">
        <v>0</v>
      </c>
      <c r="W143" s="2625" t="n">
        <v>0</v>
      </c>
      <c r="X143" s="2625" t="n">
        <v>0</v>
      </c>
      <c r="Y143" s="2625" t="n">
        <v>0</v>
      </c>
      <c r="Z143" s="2625" t="n">
        <v>0</v>
      </c>
      <c r="AA143" s="2625" t="n">
        <v>0</v>
      </c>
      <c r="AB143" s="2625" t="n">
        <v>0</v>
      </c>
      <c r="AC143" s="2625" t="n">
        <v>0</v>
      </c>
      <c r="AD143" s="2625" t="n">
        <v>0</v>
      </c>
      <c r="AE143" s="2626">
        <f>SUM(S143:AD143)</f>
        <v/>
      </c>
      <c r="AF143" s="1436" t="n"/>
      <c r="AG143" s="2625" t="n">
        <v>0</v>
      </c>
      <c r="AH143" s="2625" t="n">
        <v>0</v>
      </c>
      <c r="AI143" s="2625" t="n">
        <v>0</v>
      </c>
      <c r="AJ143" s="2625" t="n">
        <v>0</v>
      </c>
      <c r="AK143" s="2625" t="n">
        <v>0</v>
      </c>
      <c r="AL143" s="2625" t="n"/>
      <c r="AM143" s="2625" t="n">
        <v>0</v>
      </c>
      <c r="AN143" s="2625" t="n">
        <v>0</v>
      </c>
      <c r="AO143" s="2625" t="n"/>
      <c r="AP143" s="2625" t="n">
        <v>0</v>
      </c>
      <c r="AQ143" s="2625" t="n">
        <v>0</v>
      </c>
      <c r="AR143" s="2627" t="n">
        <v>0</v>
      </c>
      <c r="AS143" s="2626">
        <f>SUM(AG143:AR143)</f>
        <v/>
      </c>
      <c r="AT143" s="2615">
        <f>SUM(AG143:AP143)</f>
        <v/>
      </c>
      <c r="AU143" s="2627" t="n"/>
      <c r="AV143" s="2627" t="n"/>
      <c r="AW143" s="2627" t="n"/>
      <c r="AX143" s="2627" t="n"/>
      <c r="AY143" s="2627" t="n"/>
      <c r="AZ143" s="2627" t="n"/>
      <c r="BA143" s="2627" t="n"/>
      <c r="BB143" s="2627" t="n"/>
      <c r="BC143" s="2627" t="n"/>
      <c r="BD143" s="2627" t="n"/>
      <c r="BE143" s="2627" t="n"/>
      <c r="BF143" s="2627" t="n"/>
      <c r="BG143" s="2628">
        <f>SUM(AU143:BF143)</f>
        <v/>
      </c>
      <c r="BI143" s="2627" t="n"/>
      <c r="BJ143" s="2627" t="n"/>
      <c r="BK143" s="2627" t="n"/>
      <c r="BL143" s="2627" t="n"/>
      <c r="BM143" s="2627" t="n"/>
      <c r="BN143" s="2627" t="n"/>
      <c r="BO143" s="2627" t="n"/>
      <c r="BP143" s="2627" t="n"/>
      <c r="BQ143" s="2627" t="n"/>
      <c r="BR143" s="2627" t="n"/>
      <c r="BS143" s="2627" t="n"/>
      <c r="BT143" s="2627" t="n"/>
      <c r="BU143" s="2628">
        <f>SUM(BI143:BT143)</f>
        <v/>
      </c>
    </row>
    <row r="144" hidden="1" outlineLevel="1">
      <c r="A144" s="1436" t="n"/>
      <c r="B144" s="1480" t="inlineStr">
        <is>
          <t>장기금융상품평가손실</t>
        </is>
      </c>
      <c r="C144" s="1436" t="n"/>
      <c r="D144" s="2625" t="n"/>
      <c r="E144" s="2625" t="n"/>
      <c r="F144" s="2625" t="n"/>
      <c r="G144" s="2625" t="n"/>
      <c r="H144" s="2625" t="n"/>
      <c r="I144" s="2625" t="n">
        <v>0</v>
      </c>
      <c r="J144" s="2625" t="n">
        <v>0</v>
      </c>
      <c r="K144" s="2625" t="n">
        <v>0</v>
      </c>
      <c r="L144" s="2625" t="n">
        <v>0</v>
      </c>
      <c r="M144" s="2625" t="n">
        <v>0</v>
      </c>
      <c r="N144" s="2625" t="n">
        <v>0</v>
      </c>
      <c r="O144" s="2625" t="n">
        <v>0</v>
      </c>
      <c r="P144" s="2626">
        <f>SUM(D144:O144)</f>
        <v/>
      </c>
      <c r="Q144" s="1436" t="n"/>
      <c r="R144" s="1436" t="n"/>
      <c r="S144" s="2625" t="n">
        <v>0</v>
      </c>
      <c r="T144" s="2625" t="n">
        <v>0</v>
      </c>
      <c r="U144" s="2625" t="n">
        <v>0</v>
      </c>
      <c r="V144" s="2625" t="n">
        <v>0</v>
      </c>
      <c r="W144" s="2625" t="n">
        <v>0</v>
      </c>
      <c r="X144" s="2625" t="n">
        <v>0</v>
      </c>
      <c r="Y144" s="2625" t="n">
        <v>0</v>
      </c>
      <c r="Z144" s="2625" t="n">
        <v>0</v>
      </c>
      <c r="AA144" s="2625" t="n">
        <v>0</v>
      </c>
      <c r="AB144" s="2625" t="n">
        <v>0</v>
      </c>
      <c r="AC144" s="2625" t="n">
        <v>0</v>
      </c>
      <c r="AD144" s="2625" t="n">
        <v>0</v>
      </c>
      <c r="AE144" s="2626">
        <f>SUM(S144:AD144)</f>
        <v/>
      </c>
      <c r="AF144" s="1436" t="n"/>
      <c r="AG144" s="2625" t="n">
        <v>0</v>
      </c>
      <c r="AH144" s="2625" t="n">
        <v>0</v>
      </c>
      <c r="AI144" s="2625" t="n">
        <v>0</v>
      </c>
      <c r="AJ144" s="2625" t="n">
        <v>0</v>
      </c>
      <c r="AK144" s="2625" t="n">
        <v>0</v>
      </c>
      <c r="AL144" s="2625" t="n"/>
      <c r="AM144" s="2625" t="n">
        <v>0</v>
      </c>
      <c r="AN144" s="2625" t="n">
        <v>0</v>
      </c>
      <c r="AO144" s="2625" t="n"/>
      <c r="AP144" s="2625" t="n">
        <v>0</v>
      </c>
      <c r="AQ144" s="2625" t="n">
        <v>0</v>
      </c>
      <c r="AR144" s="2627" t="n">
        <v>0</v>
      </c>
      <c r="AS144" s="2626">
        <f>SUM(AG144:AR144)</f>
        <v/>
      </c>
      <c r="AT144" s="2615">
        <f>SUM(AG144:AP144)</f>
        <v/>
      </c>
      <c r="AU144" s="2627" t="n"/>
      <c r="AV144" s="2627" t="n"/>
      <c r="AW144" s="2627" t="n"/>
      <c r="AX144" s="2627" t="n"/>
      <c r="AY144" s="2627" t="n"/>
      <c r="AZ144" s="2627" t="n"/>
      <c r="BA144" s="2627" t="n"/>
      <c r="BB144" s="2627" t="n"/>
      <c r="BC144" s="2627" t="n"/>
      <c r="BD144" s="2627" t="n"/>
      <c r="BE144" s="2627" t="n"/>
      <c r="BF144" s="2627" t="n"/>
      <c r="BG144" s="2628">
        <f>SUM(AU144:BF144)</f>
        <v/>
      </c>
      <c r="BI144" s="2627" t="n"/>
      <c r="BJ144" s="2627" t="n"/>
      <c r="BK144" s="2627" t="n"/>
      <c r="BL144" s="2627" t="n"/>
      <c r="BM144" s="2627" t="n"/>
      <c r="BN144" s="2627" t="n"/>
      <c r="BO144" s="2627" t="n"/>
      <c r="BP144" s="2627" t="n"/>
      <c r="BQ144" s="2627" t="n"/>
      <c r="BR144" s="2627" t="n"/>
      <c r="BS144" s="2627" t="n"/>
      <c r="BT144" s="2627" t="n"/>
      <c r="BU144" s="2628">
        <f>SUM(BI144:BT144)</f>
        <v/>
      </c>
    </row>
    <row r="145" hidden="1" outlineLevel="1">
      <c r="A145" s="1436" t="n"/>
      <c r="B145" s="1480" t="inlineStr">
        <is>
          <t>단기금융상품처분손실</t>
        </is>
      </c>
      <c r="C145" s="1436" t="n"/>
      <c r="D145" s="2625" t="n"/>
      <c r="E145" s="2625" t="n"/>
      <c r="F145" s="2625" t="n"/>
      <c r="G145" s="2625" t="n"/>
      <c r="H145" s="2625" t="n"/>
      <c r="I145" s="2625" t="n">
        <v>0</v>
      </c>
      <c r="J145" s="2625" t="n">
        <v>0</v>
      </c>
      <c r="K145" s="2625" t="n">
        <v>0</v>
      </c>
      <c r="L145" s="2625" t="n">
        <v>0</v>
      </c>
      <c r="M145" s="2625" t="n">
        <v>0</v>
      </c>
      <c r="N145" s="2625" t="n">
        <v>0</v>
      </c>
      <c r="O145" s="2625" t="n">
        <v>0</v>
      </c>
      <c r="P145" s="2626">
        <f>SUM(D145:O145)</f>
        <v/>
      </c>
      <c r="Q145" s="1436" t="n"/>
      <c r="R145" s="1436" t="n"/>
      <c r="S145" s="2625" t="n">
        <v>0</v>
      </c>
      <c r="T145" s="2625" t="n">
        <v>0</v>
      </c>
      <c r="U145" s="2625" t="n">
        <v>0</v>
      </c>
      <c r="V145" s="2625" t="n">
        <v>0</v>
      </c>
      <c r="W145" s="2625" t="n">
        <v>0</v>
      </c>
      <c r="X145" s="2625" t="n">
        <v>0</v>
      </c>
      <c r="Y145" s="2625" t="n">
        <v>0</v>
      </c>
      <c r="Z145" s="2625" t="n">
        <v>0</v>
      </c>
      <c r="AA145" s="2625" t="n">
        <v>0</v>
      </c>
      <c r="AB145" s="2625" t="n">
        <v>0</v>
      </c>
      <c r="AC145" s="2625" t="n">
        <v>0</v>
      </c>
      <c r="AD145" s="2625" t="n">
        <v>0</v>
      </c>
      <c r="AE145" s="2626">
        <f>SUM(S145:AD145)</f>
        <v/>
      </c>
      <c r="AF145" s="1436" t="n"/>
      <c r="AG145" s="2625" t="n">
        <v>0</v>
      </c>
      <c r="AH145" s="2625" t="n">
        <v>0</v>
      </c>
      <c r="AI145" s="2625" t="n">
        <v>0</v>
      </c>
      <c r="AJ145" s="2625" t="n">
        <v>0</v>
      </c>
      <c r="AK145" s="2625" t="n">
        <v>0</v>
      </c>
      <c r="AL145" s="2625" t="n"/>
      <c r="AM145" s="2625" t="n">
        <v>0</v>
      </c>
      <c r="AN145" s="2625" t="n">
        <v>0</v>
      </c>
      <c r="AO145" s="2625" t="n"/>
      <c r="AP145" s="2625" t="n">
        <v>0</v>
      </c>
      <c r="AQ145" s="2625" t="n">
        <v>0</v>
      </c>
      <c r="AR145" s="2627" t="n">
        <v>0</v>
      </c>
      <c r="AS145" s="2626">
        <f>SUM(AG145:AR145)</f>
        <v/>
      </c>
      <c r="AT145" s="2615">
        <f>SUM(AG145:AP145)</f>
        <v/>
      </c>
      <c r="AU145" s="2627" t="n"/>
      <c r="AV145" s="2627" t="n"/>
      <c r="AW145" s="2627" t="n"/>
      <c r="AX145" s="2627" t="n"/>
      <c r="AY145" s="2627" t="n"/>
      <c r="AZ145" s="2627" t="n"/>
      <c r="BA145" s="2627" t="n"/>
      <c r="BB145" s="2627" t="n"/>
      <c r="BC145" s="2627" t="n"/>
      <c r="BD145" s="2627" t="n"/>
      <c r="BE145" s="2627" t="n"/>
      <c r="BF145" s="2627" t="n"/>
      <c r="BG145" s="2628">
        <f>SUM(AU145:BF145)</f>
        <v/>
      </c>
      <c r="BI145" s="2627" t="n"/>
      <c r="BJ145" s="2627" t="n"/>
      <c r="BK145" s="2627" t="n"/>
      <c r="BL145" s="2627" t="n"/>
      <c r="BM145" s="2627" t="n"/>
      <c r="BN145" s="2627" t="n"/>
      <c r="BO145" s="2627" t="n"/>
      <c r="BP145" s="2627" t="n"/>
      <c r="BQ145" s="2627" t="n"/>
      <c r="BR145" s="2627" t="n"/>
      <c r="BS145" s="2627" t="n"/>
      <c r="BT145" s="2627" t="n"/>
      <c r="BU145" s="2628">
        <f>SUM(BI145:BT145)</f>
        <v/>
      </c>
    </row>
    <row r="146" hidden="1" outlineLevel="1">
      <c r="A146" s="1436" t="n"/>
      <c r="B146" s="1480" t="inlineStr">
        <is>
          <t>파생상품평가손실</t>
        </is>
      </c>
      <c r="C146" s="1436" t="n"/>
      <c r="D146" s="2625" t="n"/>
      <c r="E146" s="2625" t="n"/>
      <c r="F146" s="2625" t="n"/>
      <c r="G146" s="2625" t="n"/>
      <c r="H146" s="2625" t="n"/>
      <c r="I146" s="2625" t="n">
        <v>0</v>
      </c>
      <c r="J146" s="2625" t="n">
        <v>0</v>
      </c>
      <c r="K146" s="2625" t="n">
        <v>0</v>
      </c>
      <c r="L146" s="2625" t="n">
        <v>0</v>
      </c>
      <c r="M146" s="2625" t="n">
        <v>0</v>
      </c>
      <c r="N146" s="2625" t="n">
        <v>0</v>
      </c>
      <c r="O146" s="2625" t="n">
        <v>0</v>
      </c>
      <c r="P146" s="2626">
        <f>SUM(D146:O146)</f>
        <v/>
      </c>
      <c r="Q146" s="1436" t="n"/>
      <c r="R146" s="1436" t="n"/>
      <c r="S146" s="2625" t="n">
        <v>0</v>
      </c>
      <c r="T146" s="2625" t="n">
        <v>0</v>
      </c>
      <c r="U146" s="2625" t="n">
        <v>0</v>
      </c>
      <c r="V146" s="2625" t="n">
        <v>0</v>
      </c>
      <c r="W146" s="2625" t="n">
        <v>0</v>
      </c>
      <c r="X146" s="2625" t="n">
        <v>0</v>
      </c>
      <c r="Y146" s="2625" t="n">
        <v>0</v>
      </c>
      <c r="Z146" s="2625" t="n">
        <v>0</v>
      </c>
      <c r="AA146" s="2625" t="n">
        <v>0</v>
      </c>
      <c r="AB146" s="2625" t="n">
        <v>0</v>
      </c>
      <c r="AC146" s="2625" t="n">
        <v>0</v>
      </c>
      <c r="AD146" s="2625" t="n">
        <v>0</v>
      </c>
      <c r="AE146" s="2626">
        <f>SUM(S146:AD146)</f>
        <v/>
      </c>
      <c r="AF146" s="1436" t="n"/>
      <c r="AG146" s="2625" t="n">
        <v>0</v>
      </c>
      <c r="AH146" s="2625" t="n">
        <v>0</v>
      </c>
      <c r="AI146" s="2625" t="n">
        <v>0</v>
      </c>
      <c r="AJ146" s="2625" t="n">
        <v>0</v>
      </c>
      <c r="AK146" s="2625" t="n">
        <v>0</v>
      </c>
      <c r="AL146" s="2625" t="n"/>
      <c r="AM146" s="2625" t="n">
        <v>0</v>
      </c>
      <c r="AN146" s="2625" t="n">
        <v>0</v>
      </c>
      <c r="AO146" s="2625" t="n"/>
      <c r="AP146" s="2625" t="n">
        <v>0</v>
      </c>
      <c r="AQ146" s="2625" t="n">
        <v>0</v>
      </c>
      <c r="AR146" s="2627" t="n">
        <v>0</v>
      </c>
      <c r="AS146" s="2626">
        <f>SUM(AG146:AR146)</f>
        <v/>
      </c>
      <c r="AT146" s="2615">
        <f>SUM(AG146:AP146)</f>
        <v/>
      </c>
      <c r="AU146" s="2627" t="n"/>
      <c r="AV146" s="2627" t="n"/>
      <c r="AW146" s="2627" t="n"/>
      <c r="AX146" s="2627" t="n"/>
      <c r="AY146" s="2627" t="n"/>
      <c r="AZ146" s="2627" t="n"/>
      <c r="BA146" s="2627" t="n"/>
      <c r="BB146" s="2627" t="n"/>
      <c r="BC146" s="2627" t="n"/>
      <c r="BD146" s="2627" t="n"/>
      <c r="BE146" s="2627" t="n"/>
      <c r="BF146" s="2627" t="n"/>
      <c r="BG146" s="2628">
        <f>SUM(AU146:BF146)</f>
        <v/>
      </c>
      <c r="BI146" s="2627" t="n"/>
      <c r="BJ146" s="2627" t="n"/>
      <c r="BK146" s="2627" t="n"/>
      <c r="BL146" s="2627" t="n"/>
      <c r="BM146" s="2627" t="n"/>
      <c r="BN146" s="2627" t="n"/>
      <c r="BO146" s="2627" t="n"/>
      <c r="BP146" s="2627" t="n"/>
      <c r="BQ146" s="2627" t="n"/>
      <c r="BR146" s="2627" t="n"/>
      <c r="BS146" s="2627" t="n"/>
      <c r="BT146" s="2627" t="n"/>
      <c r="BU146" s="2628">
        <f>SUM(BI146:BT146)</f>
        <v/>
      </c>
    </row>
    <row r="147" hidden="1" outlineLevel="1">
      <c r="A147" s="1436" t="n"/>
      <c r="B147" s="1480" t="inlineStr">
        <is>
          <t>파생상품거래손실</t>
        </is>
      </c>
      <c r="C147" s="1436" t="n"/>
      <c r="D147" s="2625" t="n"/>
      <c r="E147" s="2625" t="n"/>
      <c r="F147" s="2625" t="n"/>
      <c r="G147" s="2625" t="n"/>
      <c r="H147" s="2625" t="n"/>
      <c r="I147" s="2625" t="n">
        <v>0</v>
      </c>
      <c r="J147" s="2625" t="n">
        <v>0</v>
      </c>
      <c r="K147" s="2625" t="n">
        <v>0</v>
      </c>
      <c r="L147" s="2625" t="n">
        <v>0</v>
      </c>
      <c r="M147" s="2625" t="n">
        <v>0</v>
      </c>
      <c r="N147" s="2625" t="n">
        <v>0</v>
      </c>
      <c r="O147" s="2625" t="n">
        <v>0</v>
      </c>
      <c r="P147" s="2626">
        <f>SUM(D147:O147)</f>
        <v/>
      </c>
      <c r="Q147" s="1436" t="n"/>
      <c r="R147" s="1436" t="n"/>
      <c r="S147" s="2625" t="n">
        <v>0</v>
      </c>
      <c r="T147" s="2625" t="n">
        <v>0</v>
      </c>
      <c r="U147" s="2625" t="n">
        <v>0</v>
      </c>
      <c r="V147" s="2625" t="n">
        <v>0</v>
      </c>
      <c r="W147" s="2625" t="n">
        <v>0</v>
      </c>
      <c r="X147" s="2625" t="n">
        <v>0</v>
      </c>
      <c r="Y147" s="2625" t="n">
        <v>0</v>
      </c>
      <c r="Z147" s="2625" t="n">
        <v>0</v>
      </c>
      <c r="AA147" s="2625" t="n">
        <v>0</v>
      </c>
      <c r="AB147" s="2625" t="n">
        <v>0</v>
      </c>
      <c r="AC147" s="2625" t="n">
        <v>0</v>
      </c>
      <c r="AD147" s="2625" t="n">
        <v>0</v>
      </c>
      <c r="AE147" s="2626">
        <f>SUM(S147:AD147)</f>
        <v/>
      </c>
      <c r="AF147" s="1436" t="n"/>
      <c r="AG147" s="2625" t="n">
        <v>0</v>
      </c>
      <c r="AH147" s="2625" t="n">
        <v>0</v>
      </c>
      <c r="AI147" s="2625" t="n">
        <v>0</v>
      </c>
      <c r="AJ147" s="2625" t="n">
        <v>0</v>
      </c>
      <c r="AK147" s="2625" t="n">
        <v>0</v>
      </c>
      <c r="AL147" s="2625" t="n"/>
      <c r="AM147" s="2625" t="n">
        <v>0</v>
      </c>
      <c r="AN147" s="2625" t="n">
        <v>0</v>
      </c>
      <c r="AO147" s="2625" t="n"/>
      <c r="AP147" s="2625" t="n">
        <v>0</v>
      </c>
      <c r="AQ147" s="2625" t="n">
        <v>0</v>
      </c>
      <c r="AR147" s="2627" t="n">
        <v>0</v>
      </c>
      <c r="AS147" s="2626">
        <f>SUM(AG147:AR147)</f>
        <v/>
      </c>
      <c r="AT147" s="2615">
        <f>SUM(AG147:AP147)</f>
        <v/>
      </c>
      <c r="AU147" s="2627" t="n"/>
      <c r="AV147" s="2627" t="n"/>
      <c r="AW147" s="2627" t="n"/>
      <c r="AX147" s="2627" t="n"/>
      <c r="AY147" s="2627" t="n"/>
      <c r="AZ147" s="2627" t="n"/>
      <c r="BA147" s="2627" t="n"/>
      <c r="BB147" s="2627" t="n"/>
      <c r="BC147" s="2627" t="n"/>
      <c r="BD147" s="2627" t="n"/>
      <c r="BE147" s="2627" t="n"/>
      <c r="BF147" s="2627" t="n"/>
      <c r="BG147" s="2628">
        <f>SUM(AU147:BF147)</f>
        <v/>
      </c>
      <c r="BI147" s="2627" t="n"/>
      <c r="BJ147" s="2627" t="n"/>
      <c r="BK147" s="2627" t="n"/>
      <c r="BL147" s="2627" t="n"/>
      <c r="BM147" s="2627" t="n"/>
      <c r="BN147" s="2627" t="n"/>
      <c r="BO147" s="2627" t="n"/>
      <c r="BP147" s="2627" t="n"/>
      <c r="BQ147" s="2627" t="n"/>
      <c r="BR147" s="2627" t="n"/>
      <c r="BS147" s="2627" t="n"/>
      <c r="BT147" s="2627" t="n"/>
      <c r="BU147" s="2628">
        <f>SUM(BI147:BT147)</f>
        <v/>
      </c>
    </row>
    <row r="148" hidden="1" outlineLevel="1">
      <c r="A148" s="1436" t="n"/>
      <c r="B148" s="1481" t="inlineStr">
        <is>
          <t>비지배지분부채평가손실</t>
        </is>
      </c>
      <c r="C148" s="1436" t="n"/>
      <c r="D148" s="2625" t="n"/>
      <c r="E148" s="2625" t="n"/>
      <c r="F148" s="2625" t="n"/>
      <c r="G148" s="2625" t="n"/>
      <c r="H148" s="2625" t="n"/>
      <c r="I148" s="2625" t="n"/>
      <c r="J148" s="2625" t="n"/>
      <c r="K148" s="2625" t="n"/>
      <c r="L148" s="2625" t="n"/>
      <c r="M148" s="2625" t="n"/>
      <c r="N148" s="2625" t="n"/>
      <c r="O148" s="2625" t="n"/>
      <c r="P148" s="2626" t="n"/>
      <c r="Q148" s="1436" t="n"/>
      <c r="R148" s="1436" t="n"/>
      <c r="S148" s="2625" t="n"/>
      <c r="T148" s="2625" t="n"/>
      <c r="U148" s="2625" t="n"/>
      <c r="V148" s="2625" t="n"/>
      <c r="W148" s="2625" t="n"/>
      <c r="X148" s="2625" t="n"/>
      <c r="Y148" s="2625" t="n"/>
      <c r="Z148" s="2625" t="n"/>
      <c r="AA148" s="2625" t="n"/>
      <c r="AB148" s="2625" t="n"/>
      <c r="AC148" s="2625" t="n"/>
      <c r="AD148" s="2625" t="n"/>
      <c r="AE148" s="2626" t="n"/>
      <c r="AF148" s="1436" t="n"/>
      <c r="AG148" s="2625" t="n"/>
      <c r="AH148" s="2625" t="n"/>
      <c r="AI148" s="2625" t="n"/>
      <c r="AJ148" s="2625" t="n"/>
      <c r="AK148" s="2625" t="n"/>
      <c r="AL148" s="2625" t="n"/>
      <c r="AM148" s="2625" t="n"/>
      <c r="AN148" s="2625" t="n"/>
      <c r="AO148" s="2625" t="n"/>
      <c r="AP148" s="2625" t="n"/>
      <c r="AQ148" s="2625" t="n"/>
      <c r="AR148" s="2627" t="n"/>
      <c r="AS148" s="2626" t="n"/>
      <c r="AT148" s="2615" t="n"/>
      <c r="AU148" s="2627" t="n"/>
      <c r="AV148" s="2627" t="n"/>
      <c r="AW148" s="2627" t="n"/>
      <c r="AX148" s="2627" t="n"/>
      <c r="AY148" s="2627" t="n"/>
      <c r="AZ148" s="2627" t="n"/>
      <c r="BA148" s="2627" t="n"/>
      <c r="BB148" s="2627" t="n"/>
      <c r="BC148" s="2627" t="n"/>
      <c r="BD148" s="2627" t="n"/>
      <c r="BE148" s="2627" t="n"/>
      <c r="BF148" s="2627" t="n"/>
      <c r="BG148" s="2628" t="n"/>
      <c r="BI148" s="2627" t="n"/>
      <c r="BJ148" s="2627" t="n"/>
      <c r="BK148" s="2627" t="n"/>
      <c r="BL148" s="2627" t="n"/>
      <c r="BM148" s="2627" t="n"/>
      <c r="BN148" s="2627" t="n"/>
      <c r="BO148" s="2627" t="n"/>
      <c r="BP148" s="2627" t="n"/>
      <c r="BQ148" s="2627" t="n"/>
      <c r="BR148" s="2627" t="n"/>
      <c r="BS148" s="2627" t="n"/>
      <c r="BT148" s="2627" t="n"/>
      <c r="BU148" s="2628" t="n"/>
    </row>
    <row r="149" hidden="1" outlineLevel="1">
      <c r="A149" s="1436" t="n"/>
      <c r="B149" s="1480" t="inlineStr">
        <is>
          <t>단기금융부채평가손실</t>
        </is>
      </c>
      <c r="C149" s="1436" t="n"/>
      <c r="D149" s="2625" t="n"/>
      <c r="E149" s="2625" t="n"/>
      <c r="F149" s="2625" t="n"/>
      <c r="G149" s="2625" t="n"/>
      <c r="H149" s="2625" t="n"/>
      <c r="I149" s="2625" t="n">
        <v>0</v>
      </c>
      <c r="J149" s="2625" t="n">
        <v>0</v>
      </c>
      <c r="K149" s="2625" t="n">
        <v>0</v>
      </c>
      <c r="L149" s="2625" t="n">
        <v>0</v>
      </c>
      <c r="M149" s="2625" t="n">
        <v>0</v>
      </c>
      <c r="N149" s="2625" t="n">
        <v>0</v>
      </c>
      <c r="O149" s="2625" t="n">
        <v>0</v>
      </c>
      <c r="P149" s="2626">
        <f>SUM(D149:O149)</f>
        <v/>
      </c>
      <c r="Q149" s="1436" t="n"/>
      <c r="R149" s="1436" t="n"/>
      <c r="S149" s="2625" t="n">
        <v>0</v>
      </c>
      <c r="T149" s="2625" t="n">
        <v>0</v>
      </c>
      <c r="U149" s="2625" t="n">
        <v>0</v>
      </c>
      <c r="V149" s="2625" t="n">
        <v>0</v>
      </c>
      <c r="W149" s="2625" t="n">
        <v>0</v>
      </c>
      <c r="X149" s="2625" t="n">
        <v>0</v>
      </c>
      <c r="Y149" s="2625" t="n">
        <v>0</v>
      </c>
      <c r="Z149" s="2625" t="n">
        <v>0</v>
      </c>
      <c r="AA149" s="2625" t="n">
        <v>0</v>
      </c>
      <c r="AB149" s="2625" t="n">
        <v>0</v>
      </c>
      <c r="AC149" s="2625" t="n">
        <v>0</v>
      </c>
      <c r="AD149" s="2625" t="n">
        <v>0</v>
      </c>
      <c r="AE149" s="2626">
        <f>SUM(S149:AD149)</f>
        <v/>
      </c>
      <c r="AF149" s="1436" t="n"/>
      <c r="AG149" s="2625" t="n">
        <v>0</v>
      </c>
      <c r="AH149" s="2625" t="n">
        <v>0</v>
      </c>
      <c r="AI149" s="2625" t="n">
        <v>0</v>
      </c>
      <c r="AJ149" s="2625" t="n">
        <v>0</v>
      </c>
      <c r="AK149" s="2625" t="n">
        <v>0</v>
      </c>
      <c r="AL149" s="2625" t="n"/>
      <c r="AM149" s="2625" t="n">
        <v>0</v>
      </c>
      <c r="AN149" s="2625" t="n">
        <v>0</v>
      </c>
      <c r="AO149" s="2625" t="n"/>
      <c r="AP149" s="2625" t="n">
        <v>0</v>
      </c>
      <c r="AQ149" s="2625" t="n">
        <v>0</v>
      </c>
      <c r="AR149" s="2627" t="n">
        <v>0</v>
      </c>
      <c r="AS149" s="2626">
        <f>SUM(AG149:AR149)</f>
        <v/>
      </c>
      <c r="AT149" s="2615">
        <f>SUM(AG149:AP149)</f>
        <v/>
      </c>
      <c r="AU149" s="2627" t="n"/>
      <c r="AV149" s="2627" t="n"/>
      <c r="AW149" s="2627" t="n"/>
      <c r="AX149" s="2627" t="n"/>
      <c r="AY149" s="2627" t="n"/>
      <c r="AZ149" s="2627" t="n"/>
      <c r="BA149" s="2627" t="n"/>
      <c r="BB149" s="2627" t="n"/>
      <c r="BC149" s="2627" t="n"/>
      <c r="BD149" s="2627" t="n"/>
      <c r="BE149" s="2627" t="n"/>
      <c r="BF149" s="2627" t="n"/>
      <c r="BG149" s="2628">
        <f>SUM(AU149:BF149)</f>
        <v/>
      </c>
      <c r="BI149" s="2627" t="n"/>
      <c r="BJ149" s="2627" t="n"/>
      <c r="BK149" s="2627" t="n"/>
      <c r="BL149" s="2627" t="n"/>
      <c r="BM149" s="2627" t="n"/>
      <c r="BN149" s="2627" t="n"/>
      <c r="BO149" s="2627" t="n"/>
      <c r="BP149" s="2627" t="n"/>
      <c r="BQ149" s="2627" t="n"/>
      <c r="BR149" s="2627" t="n"/>
      <c r="BS149" s="2627" t="n"/>
      <c r="BT149" s="2627" t="n"/>
      <c r="BU149" s="2628">
        <f>SUM(BI149:BT149)</f>
        <v/>
      </c>
    </row>
    <row r="150" hidden="1" outlineLevel="1">
      <c r="A150" s="1436" t="n"/>
      <c r="B150" s="1480" t="inlineStr">
        <is>
          <t>단기금융부채처분손실</t>
        </is>
      </c>
      <c r="C150" s="1436" t="n"/>
      <c r="D150" s="2625" t="n"/>
      <c r="E150" s="2625" t="n"/>
      <c r="F150" s="2625" t="n"/>
      <c r="G150" s="2625" t="n"/>
      <c r="H150" s="2625" t="n"/>
      <c r="I150" s="2625" t="n"/>
      <c r="J150" s="2625" t="n"/>
      <c r="K150" s="2625" t="n"/>
      <c r="L150" s="2625" t="n"/>
      <c r="M150" s="2625" t="n"/>
      <c r="N150" s="2625" t="n"/>
      <c r="O150" s="2625" t="n"/>
      <c r="P150" s="2626" t="n"/>
      <c r="Q150" s="1436" t="n"/>
      <c r="R150" s="1436" t="n"/>
      <c r="S150" s="2625" t="n"/>
      <c r="T150" s="2625" t="n"/>
      <c r="U150" s="2625" t="n"/>
      <c r="V150" s="2625" t="n"/>
      <c r="W150" s="2625" t="n"/>
      <c r="X150" s="2625" t="n"/>
      <c r="Y150" s="2625" t="n"/>
      <c r="Z150" s="2625" t="n"/>
      <c r="AA150" s="2625" t="n"/>
      <c r="AB150" s="2625" t="n"/>
      <c r="AC150" s="2625" t="n"/>
      <c r="AD150" s="2625" t="n"/>
      <c r="AE150" s="2626">
        <f>SUM(S150:AD150)</f>
        <v/>
      </c>
      <c r="AF150" s="1436" t="n"/>
      <c r="AG150" s="2625" t="n">
        <v>0</v>
      </c>
      <c r="AH150" s="2625" t="n">
        <v>0</v>
      </c>
      <c r="AI150" s="2625" t="n">
        <v>0</v>
      </c>
      <c r="AJ150" s="2625" t="n">
        <v>0</v>
      </c>
      <c r="AK150" s="2625" t="n">
        <v>0</v>
      </c>
      <c r="AL150" s="2625" t="n"/>
      <c r="AM150" s="2625" t="n">
        <v>0</v>
      </c>
      <c r="AN150" s="2625" t="n">
        <v>0</v>
      </c>
      <c r="AO150" s="2625" t="n"/>
      <c r="AP150" s="2625" t="n">
        <v>0</v>
      </c>
      <c r="AQ150" s="2625" t="n">
        <v>0</v>
      </c>
      <c r="AR150" s="2627" t="n">
        <v>0</v>
      </c>
      <c r="AS150" s="2626">
        <f>SUM(AG150:AR150)</f>
        <v/>
      </c>
      <c r="AT150" s="2615">
        <f>SUM(AG150:AP150)</f>
        <v/>
      </c>
      <c r="AU150" s="2627" t="n"/>
      <c r="AV150" s="2627" t="n"/>
      <c r="AW150" s="2627" t="n"/>
      <c r="AX150" s="2627" t="n"/>
      <c r="AY150" s="2627" t="n"/>
      <c r="AZ150" s="2627" t="n"/>
      <c r="BA150" s="2627" t="n"/>
      <c r="BB150" s="2627" t="n"/>
      <c r="BC150" s="2627" t="n"/>
      <c r="BD150" s="2627" t="n"/>
      <c r="BE150" s="2627" t="n"/>
      <c r="BF150" s="2627" t="n"/>
      <c r="BG150" s="2628">
        <f>SUM(AU150:BF150)</f>
        <v/>
      </c>
      <c r="BI150" s="2627" t="n"/>
      <c r="BJ150" s="2627" t="n"/>
      <c r="BK150" s="2627" t="n"/>
      <c r="BL150" s="2627" t="n"/>
      <c r="BM150" s="2627" t="n"/>
      <c r="BN150" s="2627" t="n"/>
      <c r="BO150" s="2627" t="n"/>
      <c r="BP150" s="2627" t="n"/>
      <c r="BQ150" s="2627" t="n"/>
      <c r="BR150" s="2627" t="n"/>
      <c r="BS150" s="2627" t="n"/>
      <c r="BT150" s="2627" t="n"/>
      <c r="BU150" s="2628">
        <f>SUM(BI150:BT150)</f>
        <v/>
      </c>
    </row>
    <row r="151" hidden="1" outlineLevel="1">
      <c r="A151" s="1436" t="n"/>
      <c r="B151" s="1480" t="inlineStr">
        <is>
          <t>매도가능금융자산처분손실</t>
        </is>
      </c>
      <c r="C151" s="1436" t="n"/>
      <c r="D151" s="2625" t="n"/>
      <c r="E151" s="2625" t="n"/>
      <c r="F151" s="2625" t="n"/>
      <c r="G151" s="2625" t="n"/>
      <c r="H151" s="2625" t="n"/>
      <c r="I151" s="2625" t="n">
        <v>0</v>
      </c>
      <c r="J151" s="2625" t="n">
        <v>0</v>
      </c>
      <c r="K151" s="2625" t="n">
        <v>0</v>
      </c>
      <c r="L151" s="2625" t="n">
        <v>0</v>
      </c>
      <c r="M151" s="2625" t="n">
        <v>0</v>
      </c>
      <c r="N151" s="2625" t="n">
        <v>0</v>
      </c>
      <c r="O151" s="2625" t="n">
        <v>0</v>
      </c>
      <c r="P151" s="2626">
        <f>SUM(D151:O151)</f>
        <v/>
      </c>
      <c r="Q151" s="1436" t="n"/>
      <c r="R151" s="1436" t="n"/>
      <c r="S151" s="2625" t="n">
        <v>0</v>
      </c>
      <c r="T151" s="2625" t="n">
        <v>0</v>
      </c>
      <c r="U151" s="2625" t="n">
        <v>0</v>
      </c>
      <c r="V151" s="2625" t="n">
        <v>0</v>
      </c>
      <c r="W151" s="2625" t="n">
        <v>0</v>
      </c>
      <c r="X151" s="2625" t="n">
        <v>0</v>
      </c>
      <c r="Y151" s="2625" t="n">
        <v>0</v>
      </c>
      <c r="Z151" s="2625" t="n">
        <v>0</v>
      </c>
      <c r="AA151" s="2625" t="n">
        <v>0</v>
      </c>
      <c r="AB151" s="2625" t="n">
        <v>0</v>
      </c>
      <c r="AC151" s="2625" t="n">
        <v>0</v>
      </c>
      <c r="AD151" s="2625" t="n">
        <v>0</v>
      </c>
      <c r="AE151" s="2626">
        <f>SUM(S151:AD151)</f>
        <v/>
      </c>
      <c r="AF151" s="1436" t="n"/>
      <c r="AG151" s="2625" t="n">
        <v>0</v>
      </c>
      <c r="AH151" s="2625" t="n">
        <v>0</v>
      </c>
      <c r="AI151" s="2625" t="n">
        <v>0</v>
      </c>
      <c r="AJ151" s="2625" t="n">
        <v>0</v>
      </c>
      <c r="AK151" s="2625" t="n">
        <v>0</v>
      </c>
      <c r="AL151" s="2625" t="n"/>
      <c r="AM151" s="2625" t="n">
        <v>0</v>
      </c>
      <c r="AN151" s="2625" t="n">
        <v>0</v>
      </c>
      <c r="AO151" s="2625" t="n"/>
      <c r="AP151" s="2625" t="n">
        <v>0</v>
      </c>
      <c r="AQ151" s="2625" t="n">
        <v>0</v>
      </c>
      <c r="AR151" s="2627" t="n">
        <v>0</v>
      </c>
      <c r="AS151" s="2626">
        <f>SUM(AG151:AR151)</f>
        <v/>
      </c>
      <c r="AT151" s="2615">
        <f>SUM(AG151:AP151)</f>
        <v/>
      </c>
      <c r="AU151" s="2627" t="n"/>
      <c r="AV151" s="2627" t="n"/>
      <c r="AW151" s="2627" t="n"/>
      <c r="AX151" s="2627" t="n"/>
      <c r="AY151" s="2627" t="n"/>
      <c r="AZ151" s="2627" t="n"/>
      <c r="BA151" s="2627" t="n"/>
      <c r="BB151" s="2627" t="n"/>
      <c r="BC151" s="2627" t="n"/>
      <c r="BD151" s="2627" t="n"/>
      <c r="BE151" s="2627" t="n"/>
      <c r="BF151" s="2627" t="n"/>
      <c r="BG151" s="2628">
        <f>SUM(AU151:BF151)</f>
        <v/>
      </c>
      <c r="BI151" s="2627" t="n"/>
      <c r="BJ151" s="2627" t="n"/>
      <c r="BK151" s="2627" t="n"/>
      <c r="BL151" s="2627" t="n"/>
      <c r="BM151" s="2627" t="n"/>
      <c r="BN151" s="2627" t="n"/>
      <c r="BO151" s="2627" t="n"/>
      <c r="BP151" s="2627" t="n"/>
      <c r="BQ151" s="2627" t="n"/>
      <c r="BR151" s="2627" t="n"/>
      <c r="BS151" s="2627" t="n"/>
      <c r="BT151" s="2627" t="n"/>
      <c r="BU151" s="2628">
        <f>SUM(BI151:BT151)</f>
        <v/>
      </c>
    </row>
    <row r="152" hidden="1" outlineLevel="1">
      <c r="A152" s="1436" t="n"/>
      <c r="B152" s="1480" t="inlineStr">
        <is>
          <t>매도가능금융자산평가손실</t>
        </is>
      </c>
      <c r="C152" s="1436" t="n"/>
      <c r="D152" s="2625" t="n"/>
      <c r="E152" s="2625" t="n"/>
      <c r="F152" s="2625" t="n"/>
      <c r="G152" s="2625" t="n"/>
      <c r="H152" s="2625" t="n"/>
      <c r="I152" s="2625" t="n"/>
      <c r="J152" s="2625" t="n"/>
      <c r="K152" s="2625" t="n"/>
      <c r="L152" s="2625" t="n"/>
      <c r="M152" s="2625" t="n"/>
      <c r="N152" s="2625" t="n"/>
      <c r="O152" s="2625" t="n">
        <v>0</v>
      </c>
      <c r="P152" s="2626">
        <f>SUM(D152:O152)</f>
        <v/>
      </c>
      <c r="Q152" s="1436" t="n"/>
      <c r="R152" s="1436" t="n"/>
      <c r="S152" s="2625" t="n">
        <v>0</v>
      </c>
      <c r="T152" s="2625" t="n">
        <v>0</v>
      </c>
      <c r="U152" s="2625" t="n">
        <v>0</v>
      </c>
      <c r="V152" s="2625" t="n">
        <v>0</v>
      </c>
      <c r="W152" s="2625" t="n">
        <v>0</v>
      </c>
      <c r="X152" s="2625" t="n">
        <v>0</v>
      </c>
      <c r="Y152" s="2625" t="n">
        <v>0</v>
      </c>
      <c r="Z152" s="2625" t="n">
        <v>0</v>
      </c>
      <c r="AA152" s="2625" t="n">
        <v>0</v>
      </c>
      <c r="AB152" s="2625" t="n">
        <v>0</v>
      </c>
      <c r="AC152" s="2625" t="n">
        <v>0</v>
      </c>
      <c r="AD152" s="2625" t="n">
        <v>0</v>
      </c>
      <c r="AE152" s="2626">
        <f>SUM(S152:AD152)</f>
        <v/>
      </c>
      <c r="AF152" s="1436" t="n"/>
      <c r="AG152" s="2625" t="n">
        <v>0</v>
      </c>
      <c r="AH152" s="2625" t="n">
        <v>0</v>
      </c>
      <c r="AI152" s="2625" t="n">
        <v>0</v>
      </c>
      <c r="AJ152" s="2625" t="n">
        <v>0</v>
      </c>
      <c r="AK152" s="2625" t="n">
        <v>0</v>
      </c>
      <c r="AL152" s="2625" t="n"/>
      <c r="AM152" s="2625" t="n">
        <v>0</v>
      </c>
      <c r="AN152" s="2625" t="n">
        <v>0</v>
      </c>
      <c r="AO152" s="2625" t="n"/>
      <c r="AP152" s="2625" t="n">
        <v>0</v>
      </c>
      <c r="AQ152" s="2625" t="n">
        <v>0</v>
      </c>
      <c r="AR152" s="2627" t="n">
        <v>0</v>
      </c>
      <c r="AS152" s="2626">
        <f>SUM(AG152:AR152)</f>
        <v/>
      </c>
      <c r="AT152" s="2615">
        <f>SUM(AG152:AP152)</f>
        <v/>
      </c>
      <c r="AU152" s="2627" t="n"/>
      <c r="AV152" s="2627" t="n"/>
      <c r="AW152" s="2627" t="n"/>
      <c r="AX152" s="2627" t="n"/>
      <c r="AY152" s="2627" t="n"/>
      <c r="AZ152" s="2627" t="n"/>
      <c r="BA152" s="2627" t="n"/>
      <c r="BB152" s="2627" t="n"/>
      <c r="BC152" s="2627" t="n"/>
      <c r="BD152" s="2627" t="n"/>
      <c r="BE152" s="2627" t="n"/>
      <c r="BF152" s="2627" t="n"/>
      <c r="BG152" s="2628">
        <f>SUM(AU152:BF152)</f>
        <v/>
      </c>
      <c r="BI152" s="2627" t="n"/>
      <c r="BJ152" s="2627" t="n"/>
      <c r="BK152" s="2627" t="n"/>
      <c r="BL152" s="2627" t="n"/>
      <c r="BM152" s="2627" t="n"/>
      <c r="BN152" s="2627" t="n"/>
      <c r="BO152" s="2627" t="n"/>
      <c r="BP152" s="2627" t="n"/>
      <c r="BQ152" s="2627" t="n"/>
      <c r="BR152" s="2627" t="n"/>
      <c r="BS152" s="2627" t="n"/>
      <c r="BT152" s="2627" t="n"/>
      <c r="BU152" s="2628">
        <f>SUM(BI152:BT152)</f>
        <v/>
      </c>
    </row>
    <row r="153" hidden="1" outlineLevel="1">
      <c r="A153" s="1436" t="n"/>
      <c r="B153" s="1480" t="inlineStr">
        <is>
          <t>매도가능금융자산감액손실</t>
        </is>
      </c>
      <c r="C153" s="1436" t="n"/>
      <c r="D153" s="2625" t="n"/>
      <c r="E153" s="2625" t="n"/>
      <c r="F153" s="2625" t="n"/>
      <c r="G153" s="2625" t="n"/>
      <c r="H153" s="2625" t="n"/>
      <c r="I153" s="2625" t="n"/>
      <c r="J153" s="2625" t="n"/>
      <c r="K153" s="2625" t="n"/>
      <c r="L153" s="2625" t="n">
        <v>0</v>
      </c>
      <c r="M153" s="2625" t="n">
        <v>0</v>
      </c>
      <c r="N153" s="2625" t="n">
        <v>0</v>
      </c>
      <c r="O153" s="2625" t="n">
        <v>0</v>
      </c>
      <c r="P153" s="2626">
        <f>SUM(D153:O153)</f>
        <v/>
      </c>
      <c r="Q153" s="1436" t="n"/>
      <c r="R153" s="1436" t="n"/>
      <c r="S153" s="2625" t="n">
        <v>0</v>
      </c>
      <c r="T153" s="2625" t="n">
        <v>0</v>
      </c>
      <c r="U153" s="2625" t="n">
        <v>0</v>
      </c>
      <c r="V153" s="2625" t="n">
        <v>0</v>
      </c>
      <c r="W153" s="2625" t="n">
        <v>0</v>
      </c>
      <c r="X153" s="2625" t="n">
        <v>0</v>
      </c>
      <c r="Y153" s="2625" t="n">
        <v>0</v>
      </c>
      <c r="Z153" s="2625" t="n">
        <v>0</v>
      </c>
      <c r="AA153" s="2625" t="n">
        <v>0</v>
      </c>
      <c r="AB153" s="2625" t="n">
        <v>0</v>
      </c>
      <c r="AC153" s="2625" t="n">
        <v>0</v>
      </c>
      <c r="AD153" s="2625" t="n">
        <v>0</v>
      </c>
      <c r="AE153" s="2626">
        <f>SUM(S153:AD153)</f>
        <v/>
      </c>
      <c r="AF153" s="1436" t="n"/>
      <c r="AG153" s="2625" t="n">
        <v>0</v>
      </c>
      <c r="AH153" s="2625" t="n">
        <v>0</v>
      </c>
      <c r="AI153" s="2625" t="n">
        <v>0</v>
      </c>
      <c r="AJ153" s="2625" t="n">
        <v>0</v>
      </c>
      <c r="AK153" s="2625" t="n">
        <v>0</v>
      </c>
      <c r="AL153" s="2625" t="n"/>
      <c r="AM153" s="2625" t="n">
        <v>0</v>
      </c>
      <c r="AN153" s="2625" t="n">
        <v>0</v>
      </c>
      <c r="AO153" s="2625" t="n"/>
      <c r="AP153" s="2625" t="n">
        <v>0</v>
      </c>
      <c r="AQ153" s="2625" t="n">
        <v>0</v>
      </c>
      <c r="AR153" s="2627" t="n">
        <v>0</v>
      </c>
      <c r="AS153" s="2626">
        <f>SUM(AG153:AR153)</f>
        <v/>
      </c>
      <c r="AT153" s="2615">
        <f>SUM(AG153:AP153)</f>
        <v/>
      </c>
      <c r="AU153" s="2627" t="n"/>
      <c r="AV153" s="2627" t="n"/>
      <c r="AW153" s="2627" t="n"/>
      <c r="AX153" s="2627" t="n"/>
      <c r="AY153" s="2627" t="n"/>
      <c r="AZ153" s="2627" t="n"/>
      <c r="BA153" s="2627" t="n"/>
      <c r="BB153" s="2627" t="n"/>
      <c r="BC153" s="2627" t="n"/>
      <c r="BD153" s="2627" t="n"/>
      <c r="BE153" s="2627" t="n"/>
      <c r="BF153" s="2627" t="n"/>
      <c r="BG153" s="2628">
        <f>SUM(AU153:BF153)</f>
        <v/>
      </c>
      <c r="BI153" s="2627" t="n"/>
      <c r="BJ153" s="2627" t="n"/>
      <c r="BK153" s="2627" t="n"/>
      <c r="BL153" s="2627" t="n"/>
      <c r="BM153" s="2627" t="n"/>
      <c r="BN153" s="2627" t="n"/>
      <c r="BO153" s="2627" t="n"/>
      <c r="BP153" s="2627" t="n"/>
      <c r="BQ153" s="2627" t="n"/>
      <c r="BR153" s="2627" t="n"/>
      <c r="BS153" s="2627" t="n"/>
      <c r="BT153" s="2627" t="n"/>
      <c r="BU153" s="2628">
        <f>SUM(BI153:BT153)</f>
        <v/>
      </c>
    </row>
    <row r="154" hidden="1" outlineLevel="1">
      <c r="A154" s="1436" t="n"/>
      <c r="B154" s="1480" t="inlineStr">
        <is>
          <t>매도가능금융자산손상차손</t>
        </is>
      </c>
      <c r="C154" s="1436" t="n"/>
      <c r="D154" s="2625" t="n"/>
      <c r="E154" s="2625" t="n"/>
      <c r="F154" s="2625" t="n"/>
      <c r="G154" s="2625" t="n"/>
      <c r="H154" s="2625" t="n"/>
      <c r="I154" s="2625" t="n">
        <v>0</v>
      </c>
      <c r="J154" s="2625" t="n">
        <v>0</v>
      </c>
      <c r="K154" s="2625" t="n">
        <v>0</v>
      </c>
      <c r="L154" s="2625" t="n">
        <v>0</v>
      </c>
      <c r="M154" s="2625" t="n">
        <v>0</v>
      </c>
      <c r="N154" s="2625" t="n">
        <v>0</v>
      </c>
      <c r="O154" s="2625" t="n">
        <v>0</v>
      </c>
      <c r="P154" s="2626">
        <f>SUM(D154:O154)</f>
        <v/>
      </c>
      <c r="Q154" s="1436" t="n"/>
      <c r="R154" s="1436" t="n"/>
      <c r="S154" s="2625" t="n">
        <v>0</v>
      </c>
      <c r="T154" s="2625" t="n">
        <v>0</v>
      </c>
      <c r="U154" s="2625" t="n">
        <v>0</v>
      </c>
      <c r="V154" s="2625" t="n">
        <v>0</v>
      </c>
      <c r="W154" s="2625" t="n">
        <v>0</v>
      </c>
      <c r="X154" s="2625" t="n">
        <v>0</v>
      </c>
      <c r="Y154" s="2625" t="n">
        <v>0</v>
      </c>
      <c r="Z154" s="2625" t="n">
        <v>0</v>
      </c>
      <c r="AA154" s="2625" t="n">
        <v>0</v>
      </c>
      <c r="AB154" s="2625" t="n">
        <v>0</v>
      </c>
      <c r="AC154" s="2625" t="n">
        <v>0</v>
      </c>
      <c r="AD154" s="2625" t="n">
        <v>0</v>
      </c>
      <c r="AE154" s="2626">
        <f>SUM(S154:AD154)</f>
        <v/>
      </c>
      <c r="AF154" s="1436" t="n"/>
      <c r="AG154" s="2625" t="n">
        <v>0</v>
      </c>
      <c r="AH154" s="2625" t="n">
        <v>0</v>
      </c>
      <c r="AI154" s="2625" t="n">
        <v>0</v>
      </c>
      <c r="AJ154" s="2625" t="n">
        <v>0</v>
      </c>
      <c r="AK154" s="2625" t="n">
        <v>0</v>
      </c>
      <c r="AL154" s="2625" t="n"/>
      <c r="AM154" s="2625" t="n">
        <v>0</v>
      </c>
      <c r="AN154" s="2625" t="n">
        <v>0</v>
      </c>
      <c r="AO154" s="2625" t="n"/>
      <c r="AP154" s="2625" t="n">
        <v>0</v>
      </c>
      <c r="AQ154" s="2625" t="n">
        <v>0</v>
      </c>
      <c r="AR154" s="2627" t="n">
        <v>0</v>
      </c>
      <c r="AS154" s="2626">
        <f>SUM(AG154:AR154)</f>
        <v/>
      </c>
      <c r="AT154" s="2615">
        <f>SUM(AG154:AP154)</f>
        <v/>
      </c>
      <c r="AU154" s="2627" t="n"/>
      <c r="AV154" s="2627" t="n"/>
      <c r="AW154" s="2627" t="n"/>
      <c r="AX154" s="2627" t="n"/>
      <c r="AY154" s="2627" t="n"/>
      <c r="AZ154" s="2627" t="n"/>
      <c r="BA154" s="2627" t="n"/>
      <c r="BB154" s="2627" t="n"/>
      <c r="BC154" s="2627" t="n"/>
      <c r="BD154" s="2627" t="n"/>
      <c r="BE154" s="2627" t="n"/>
      <c r="BF154" s="2627" t="n"/>
      <c r="BG154" s="2628">
        <f>SUM(AU154:BF154)</f>
        <v/>
      </c>
      <c r="BI154" s="2627" t="n"/>
      <c r="BJ154" s="2627" t="n"/>
      <c r="BK154" s="2627" t="n"/>
      <c r="BL154" s="2627" t="n"/>
      <c r="BM154" s="2627" t="n"/>
      <c r="BN154" s="2627" t="n"/>
      <c r="BO154" s="2627" t="n"/>
      <c r="BP154" s="2627" t="n"/>
      <c r="BQ154" s="2627" t="n"/>
      <c r="BR154" s="2627" t="n"/>
      <c r="BS154" s="2627" t="n"/>
      <c r="BT154" s="2627" t="n"/>
      <c r="BU154" s="2628">
        <f>SUM(BI154:BT154)</f>
        <v/>
      </c>
    </row>
    <row r="155" hidden="1" outlineLevel="1">
      <c r="A155" s="1436" t="n"/>
      <c r="B155" s="1480" t="inlineStr">
        <is>
          <t>단기매매비파생상품처분손실</t>
        </is>
      </c>
      <c r="C155" s="1436" t="n"/>
      <c r="D155" s="2625" t="n"/>
      <c r="E155" s="2625" t="n"/>
      <c r="F155" s="2625" t="n"/>
      <c r="G155" s="2625" t="n"/>
      <c r="H155" s="2625" t="n"/>
      <c r="I155" s="2625" t="n">
        <v>0</v>
      </c>
      <c r="J155" s="2625" t="n">
        <v>0</v>
      </c>
      <c r="K155" s="2625" t="n">
        <v>0</v>
      </c>
      <c r="L155" s="2625" t="n">
        <v>0</v>
      </c>
      <c r="M155" s="2625" t="n">
        <v>0</v>
      </c>
      <c r="N155" s="2625" t="n">
        <v>0</v>
      </c>
      <c r="O155" s="2625" t="n">
        <v>0</v>
      </c>
      <c r="P155" s="2626">
        <f>SUM(D155:O155)</f>
        <v/>
      </c>
      <c r="Q155" s="1436" t="n"/>
      <c r="R155" s="1436" t="n"/>
      <c r="S155" s="2625" t="n">
        <v>0</v>
      </c>
      <c r="T155" s="2625" t="n">
        <v>0</v>
      </c>
      <c r="U155" s="2625" t="n">
        <v>0</v>
      </c>
      <c r="V155" s="2625" t="n">
        <v>0</v>
      </c>
      <c r="W155" s="2625" t="n">
        <v>0</v>
      </c>
      <c r="X155" s="2625" t="n">
        <v>0</v>
      </c>
      <c r="Y155" s="2625" t="n">
        <v>0</v>
      </c>
      <c r="Z155" s="2625" t="n">
        <v>0</v>
      </c>
      <c r="AA155" s="2625" t="n">
        <v>0</v>
      </c>
      <c r="AB155" s="2625" t="n">
        <v>0</v>
      </c>
      <c r="AC155" s="2625" t="n">
        <v>0</v>
      </c>
      <c r="AD155" s="2625" t="n">
        <v>0</v>
      </c>
      <c r="AE155" s="2626">
        <f>SUM(S155:AD155)</f>
        <v/>
      </c>
      <c r="AF155" s="1436" t="n"/>
      <c r="AG155" s="2625" t="n">
        <v>0</v>
      </c>
      <c r="AH155" s="2625" t="n">
        <v>0</v>
      </c>
      <c r="AI155" s="2625" t="n">
        <v>0</v>
      </c>
      <c r="AJ155" s="2625" t="n">
        <v>0</v>
      </c>
      <c r="AK155" s="2625" t="n">
        <v>0</v>
      </c>
      <c r="AL155" s="2625" t="n"/>
      <c r="AM155" s="2625" t="n">
        <v>0</v>
      </c>
      <c r="AN155" s="2625" t="n">
        <v>0</v>
      </c>
      <c r="AO155" s="2625" t="n"/>
      <c r="AP155" s="2625" t="n">
        <v>0</v>
      </c>
      <c r="AQ155" s="2625" t="n">
        <v>0</v>
      </c>
      <c r="AR155" s="2627" t="n">
        <v>0</v>
      </c>
      <c r="AS155" s="2626">
        <f>SUM(AG155:AR155)</f>
        <v/>
      </c>
      <c r="AT155" s="2615">
        <f>SUM(AG155:AP155)</f>
        <v/>
      </c>
      <c r="AU155" s="2627" t="n"/>
      <c r="AV155" s="2627" t="n"/>
      <c r="AW155" s="2627" t="n"/>
      <c r="AX155" s="2627" t="n"/>
      <c r="AY155" s="2627" t="n"/>
      <c r="AZ155" s="2627" t="n"/>
      <c r="BA155" s="2627" t="n"/>
      <c r="BB155" s="2627" t="n"/>
      <c r="BC155" s="2627" t="n"/>
      <c r="BD155" s="2627" t="n"/>
      <c r="BE155" s="2627" t="n"/>
      <c r="BF155" s="2627" t="n"/>
      <c r="BG155" s="2628">
        <f>SUM(AU155:BF155)</f>
        <v/>
      </c>
      <c r="BI155" s="2627" t="n"/>
      <c r="BJ155" s="2627" t="n"/>
      <c r="BK155" s="2627" t="n"/>
      <c r="BL155" s="2627" t="n"/>
      <c r="BM155" s="2627" t="n"/>
      <c r="BN155" s="2627" t="n"/>
      <c r="BO155" s="2627" t="n"/>
      <c r="BP155" s="2627" t="n"/>
      <c r="BQ155" s="2627" t="n"/>
      <c r="BR155" s="2627" t="n"/>
      <c r="BS155" s="2627" t="n"/>
      <c r="BT155" s="2627" t="n"/>
      <c r="BU155" s="2628">
        <f>SUM(BI155:BT155)</f>
        <v/>
      </c>
    </row>
    <row r="156" hidden="1" outlineLevel="1">
      <c r="A156" s="1436" t="n"/>
      <c r="B156" s="1480" t="inlineStr">
        <is>
          <t>사채상환손실</t>
        </is>
      </c>
      <c r="C156" s="1436" t="n"/>
      <c r="D156" s="2625" t="n"/>
      <c r="E156" s="2625" t="n"/>
      <c r="F156" s="2625" t="n"/>
      <c r="G156" s="2625" t="n"/>
      <c r="H156" s="2625" t="n"/>
      <c r="I156" s="2625" t="n">
        <v>0</v>
      </c>
      <c r="J156" s="2625" t="n">
        <v>0</v>
      </c>
      <c r="K156" s="2625" t="n">
        <v>0</v>
      </c>
      <c r="L156" s="2625" t="n">
        <v>0</v>
      </c>
      <c r="M156" s="2625" t="n">
        <v>0</v>
      </c>
      <c r="N156" s="2625" t="n">
        <v>0</v>
      </c>
      <c r="O156" s="2625" t="n">
        <v>0</v>
      </c>
      <c r="P156" s="2626">
        <f>SUM(D156:O156)</f>
        <v/>
      </c>
      <c r="Q156" s="1436" t="n"/>
      <c r="R156" s="1436" t="n"/>
      <c r="S156" s="2625" t="n">
        <v>0</v>
      </c>
      <c r="T156" s="2625" t="n">
        <v>0</v>
      </c>
      <c r="U156" s="2625" t="n">
        <v>0</v>
      </c>
      <c r="V156" s="2625" t="n">
        <v>0</v>
      </c>
      <c r="W156" s="2625" t="n">
        <v>0</v>
      </c>
      <c r="X156" s="2625" t="n">
        <v>0</v>
      </c>
      <c r="Y156" s="2625" t="n">
        <v>0</v>
      </c>
      <c r="Z156" s="2625" t="n">
        <v>0</v>
      </c>
      <c r="AA156" s="2625" t="n">
        <v>0</v>
      </c>
      <c r="AB156" s="2625" t="n">
        <v>0</v>
      </c>
      <c r="AC156" s="2625" t="n">
        <v>0</v>
      </c>
      <c r="AD156" s="2625" t="n">
        <v>0</v>
      </c>
      <c r="AE156" s="2626">
        <f>SUM(S156:AD156)</f>
        <v/>
      </c>
      <c r="AF156" s="1436" t="n"/>
      <c r="AG156" s="2625" t="n">
        <v>0</v>
      </c>
      <c r="AH156" s="2625" t="n">
        <v>0</v>
      </c>
      <c r="AI156" s="2625" t="n">
        <v>0</v>
      </c>
      <c r="AJ156" s="2625" t="n">
        <v>0</v>
      </c>
      <c r="AK156" s="2625" t="n">
        <v>0</v>
      </c>
      <c r="AL156" s="2625" t="n"/>
      <c r="AM156" s="2625" t="n">
        <v>0</v>
      </c>
      <c r="AN156" s="2625" t="n">
        <v>0</v>
      </c>
      <c r="AO156" s="2625" t="n"/>
      <c r="AP156" s="2625" t="n">
        <v>0</v>
      </c>
      <c r="AQ156" s="2625" t="n">
        <v>0</v>
      </c>
      <c r="AR156" s="2627" t="n">
        <v>0</v>
      </c>
      <c r="AS156" s="2626">
        <f>SUM(AG156:AR156)</f>
        <v/>
      </c>
      <c r="AT156" s="2615">
        <f>SUM(AG156:AP156)</f>
        <v/>
      </c>
      <c r="AU156" s="2627" t="n"/>
      <c r="AV156" s="2627" t="n"/>
      <c r="AW156" s="2627" t="n"/>
      <c r="AX156" s="2627" t="n"/>
      <c r="AY156" s="2627" t="n"/>
      <c r="AZ156" s="2627" t="n"/>
      <c r="BA156" s="2627" t="n"/>
      <c r="BB156" s="2627" t="n"/>
      <c r="BC156" s="2627" t="n"/>
      <c r="BD156" s="2627" t="n"/>
      <c r="BE156" s="2627" t="n"/>
      <c r="BF156" s="2627" t="n"/>
      <c r="BG156" s="2628">
        <f>SUM(AU156:BF156)</f>
        <v/>
      </c>
      <c r="BI156" s="2627" t="n"/>
      <c r="BJ156" s="2627" t="n"/>
      <c r="BK156" s="2627" t="n"/>
      <c r="BL156" s="2627" t="n"/>
      <c r="BM156" s="2627" t="n"/>
      <c r="BN156" s="2627" t="n"/>
      <c r="BO156" s="2627" t="n"/>
      <c r="BP156" s="2627" t="n"/>
      <c r="BQ156" s="2627" t="n"/>
      <c r="BR156" s="2627" t="n"/>
      <c r="BS156" s="2627" t="n"/>
      <c r="BT156" s="2627" t="n"/>
      <c r="BU156" s="2628">
        <f>SUM(BI156:BT156)</f>
        <v/>
      </c>
    </row>
    <row r="157" hidden="1" outlineLevel="1">
      <c r="A157" s="1436" t="n"/>
      <c r="B157" s="1480" t="inlineStr">
        <is>
          <t>위험회피목적파생상품처분손실(재무활동)</t>
        </is>
      </c>
      <c r="C157" s="1436" t="n"/>
      <c r="D157" s="2625" t="n"/>
      <c r="E157" s="2625" t="n"/>
      <c r="F157" s="2625" t="n"/>
      <c r="G157" s="2625" t="n"/>
      <c r="H157" s="2625" t="n"/>
      <c r="I157" s="2625" t="n">
        <v>0</v>
      </c>
      <c r="J157" s="2625" t="n">
        <v>0</v>
      </c>
      <c r="K157" s="2625" t="n">
        <v>0</v>
      </c>
      <c r="L157" s="2625" t="n">
        <v>0</v>
      </c>
      <c r="M157" s="2625" t="n">
        <v>0</v>
      </c>
      <c r="N157" s="2625" t="n">
        <v>0</v>
      </c>
      <c r="O157" s="2625" t="n">
        <v>0</v>
      </c>
      <c r="P157" s="2626">
        <f>SUM(D157:O157)</f>
        <v/>
      </c>
      <c r="Q157" s="1436" t="n"/>
      <c r="R157" s="1436" t="n"/>
      <c r="S157" s="2625" t="n">
        <v>0</v>
      </c>
      <c r="T157" s="2625" t="n">
        <v>0</v>
      </c>
      <c r="U157" s="2625" t="n">
        <v>0</v>
      </c>
      <c r="V157" s="2625" t="n">
        <v>0</v>
      </c>
      <c r="W157" s="2625" t="n">
        <v>0</v>
      </c>
      <c r="X157" s="2625" t="n">
        <v>0</v>
      </c>
      <c r="Y157" s="2625" t="n">
        <v>0</v>
      </c>
      <c r="Z157" s="2625" t="n">
        <v>0</v>
      </c>
      <c r="AA157" s="2625" t="n">
        <v>0</v>
      </c>
      <c r="AB157" s="2625" t="n">
        <v>0</v>
      </c>
      <c r="AC157" s="2625" t="n">
        <v>0</v>
      </c>
      <c r="AD157" s="2625" t="n">
        <v>0</v>
      </c>
      <c r="AE157" s="2626">
        <f>SUM(S157:AD157)</f>
        <v/>
      </c>
      <c r="AF157" s="1436" t="n"/>
      <c r="AG157" s="2625" t="n">
        <v>0</v>
      </c>
      <c r="AH157" s="2625" t="n">
        <v>0</v>
      </c>
      <c r="AI157" s="2625" t="n">
        <v>0</v>
      </c>
      <c r="AJ157" s="2625" t="n">
        <v>0</v>
      </c>
      <c r="AK157" s="2625" t="n">
        <v>0</v>
      </c>
      <c r="AL157" s="2625" t="n"/>
      <c r="AM157" s="2625" t="n">
        <v>0</v>
      </c>
      <c r="AN157" s="2625" t="n">
        <v>0</v>
      </c>
      <c r="AO157" s="2625" t="n"/>
      <c r="AP157" s="2625" t="n">
        <v>0</v>
      </c>
      <c r="AQ157" s="2625" t="n">
        <v>0</v>
      </c>
      <c r="AR157" s="2627" t="n">
        <v>0</v>
      </c>
      <c r="AS157" s="2626">
        <f>SUM(AG157:AR157)</f>
        <v/>
      </c>
      <c r="AT157" s="2615">
        <f>SUM(AG157:AP157)</f>
        <v/>
      </c>
      <c r="AU157" s="2627" t="n"/>
      <c r="AV157" s="2627" t="n"/>
      <c r="AW157" s="2627" t="n"/>
      <c r="AX157" s="2627" t="n"/>
      <c r="AY157" s="2627" t="n"/>
      <c r="AZ157" s="2627" t="n"/>
      <c r="BA157" s="2627" t="n"/>
      <c r="BB157" s="2627" t="n"/>
      <c r="BC157" s="2627" t="n"/>
      <c r="BD157" s="2627" t="n"/>
      <c r="BE157" s="2627" t="n"/>
      <c r="BF157" s="2627" t="n"/>
      <c r="BG157" s="2628">
        <f>SUM(AU157:BF157)</f>
        <v/>
      </c>
      <c r="BI157" s="2627" t="n"/>
      <c r="BJ157" s="2627" t="n"/>
      <c r="BK157" s="2627" t="n"/>
      <c r="BL157" s="2627" t="n"/>
      <c r="BM157" s="2627" t="n"/>
      <c r="BN157" s="2627" t="n"/>
      <c r="BO157" s="2627" t="n"/>
      <c r="BP157" s="2627" t="n"/>
      <c r="BQ157" s="2627" t="n"/>
      <c r="BR157" s="2627" t="n"/>
      <c r="BS157" s="2627" t="n"/>
      <c r="BT157" s="2627" t="n"/>
      <c r="BU157" s="2628">
        <f>SUM(BI157:BT157)</f>
        <v/>
      </c>
    </row>
    <row r="158" hidden="1" outlineLevel="1">
      <c r="A158" s="1436" t="n"/>
      <c r="B158" s="1480" t="inlineStr">
        <is>
          <t>기타금융비용</t>
        </is>
      </c>
      <c r="C158" s="1436" t="n"/>
      <c r="D158" s="2625" t="n"/>
      <c r="E158" s="2625" t="n"/>
      <c r="F158" s="2625" t="n"/>
      <c r="G158" s="2625" t="n"/>
      <c r="H158" s="2625" t="n"/>
      <c r="I158" s="2625" t="n">
        <v>0</v>
      </c>
      <c r="J158" s="2625" t="n">
        <v>0</v>
      </c>
      <c r="K158" s="2625" t="n">
        <v>0</v>
      </c>
      <c r="L158" s="2625" t="n">
        <v>0</v>
      </c>
      <c r="M158" s="2625" t="n">
        <v>0</v>
      </c>
      <c r="N158" s="2625" t="n">
        <v>0</v>
      </c>
      <c r="O158" s="2625" t="n">
        <v>0</v>
      </c>
      <c r="P158" s="2626">
        <f>SUM(D158:O158)</f>
        <v/>
      </c>
      <c r="Q158" s="1436" t="n"/>
      <c r="R158" s="1436" t="n"/>
      <c r="S158" s="2625" t="n">
        <v>0</v>
      </c>
      <c r="T158" s="2625" t="n">
        <v>0</v>
      </c>
      <c r="U158" s="2625" t="n">
        <v>0</v>
      </c>
      <c r="V158" s="2625" t="n">
        <v>0</v>
      </c>
      <c r="W158" s="2625" t="n">
        <v>0</v>
      </c>
      <c r="X158" s="2625" t="n">
        <v>0</v>
      </c>
      <c r="Y158" s="2625" t="n">
        <v>0</v>
      </c>
      <c r="Z158" s="2625" t="n">
        <v>0</v>
      </c>
      <c r="AA158" s="2625" t="n">
        <v>0</v>
      </c>
      <c r="AB158" s="2625" t="n">
        <v>0</v>
      </c>
      <c r="AC158" s="2625" t="n">
        <v>0</v>
      </c>
      <c r="AD158" s="2625" t="n">
        <v>0</v>
      </c>
      <c r="AE158" s="2626">
        <f>SUM(S158:AD158)</f>
        <v/>
      </c>
      <c r="AF158" s="1436" t="n"/>
      <c r="AG158" s="2625" t="n">
        <v>0</v>
      </c>
      <c r="AH158" s="2625" t="n">
        <v>0</v>
      </c>
      <c r="AI158" s="2625" t="n">
        <v>0</v>
      </c>
      <c r="AJ158" s="2625" t="n">
        <v>0</v>
      </c>
      <c r="AK158" s="2625" t="n">
        <v>0</v>
      </c>
      <c r="AL158" s="2625" t="n"/>
      <c r="AM158" s="2625" t="n">
        <v>0</v>
      </c>
      <c r="AN158" s="2625" t="n">
        <v>0</v>
      </c>
      <c r="AO158" s="2625" t="n"/>
      <c r="AP158" s="2625" t="n">
        <v>0</v>
      </c>
      <c r="AQ158" s="2625" t="n">
        <v>0</v>
      </c>
      <c r="AR158" s="2627" t="n">
        <v>0</v>
      </c>
      <c r="AS158" s="2626">
        <f>SUM(AG158:AR158)</f>
        <v/>
      </c>
      <c r="AT158" s="2615">
        <f>SUM(AG158:AP158)</f>
        <v/>
      </c>
      <c r="AU158" s="2627" t="n"/>
      <c r="AV158" s="2627" t="n"/>
      <c r="AW158" s="2627" t="n"/>
      <c r="AX158" s="2627" t="n"/>
      <c r="AY158" s="2627" t="n"/>
      <c r="AZ158" s="2627" t="n"/>
      <c r="BA158" s="2627" t="n"/>
      <c r="BB158" s="2627" t="n"/>
      <c r="BC158" s="2627" t="n"/>
      <c r="BD158" s="2627" t="n"/>
      <c r="BE158" s="2627" t="n"/>
      <c r="BF158" s="2627" t="n"/>
      <c r="BG158" s="2628">
        <f>SUM(AU158:BF158)</f>
        <v/>
      </c>
      <c r="BI158" s="2627" t="n"/>
      <c r="BJ158" s="2627" t="n"/>
      <c r="BK158" s="2627" t="n"/>
      <c r="BL158" s="2627" t="n"/>
      <c r="BM158" s="2627" t="n"/>
      <c r="BN158" s="2627" t="n"/>
      <c r="BO158" s="2627" t="n"/>
      <c r="BP158" s="2627" t="n"/>
      <c r="BQ158" s="2627" t="n"/>
      <c r="BR158" s="2627" t="n"/>
      <c r="BS158" s="2627" t="n"/>
      <c r="BT158" s="2627" t="n"/>
      <c r="BU158" s="2628">
        <f>SUM(BI158:BT158)</f>
        <v/>
      </c>
    </row>
    <row r="159" collapsed="1">
      <c r="A159" s="1436" t="n"/>
      <c r="B159" s="1478" t="inlineStr">
        <is>
          <t>Ⅵ. 종속관계기업투자손익</t>
        </is>
      </c>
      <c r="C159" s="1436" t="inlineStr">
        <is>
          <t>관계기업투자손익</t>
        </is>
      </c>
      <c r="D159" s="2637">
        <f>-SUM(D160:D163)</f>
        <v/>
      </c>
      <c r="E159" s="2637">
        <f>-SUM(E160:E163)</f>
        <v/>
      </c>
      <c r="F159" s="2637">
        <f>-SUM(F160:F163)</f>
        <v/>
      </c>
      <c r="G159" s="2637">
        <f>-SUM(G160:G163)</f>
        <v/>
      </c>
      <c r="H159" s="2637">
        <f>-SUM(H160:H163)</f>
        <v/>
      </c>
      <c r="I159" s="2637">
        <f>-SUM(I160:I163)</f>
        <v/>
      </c>
      <c r="J159" s="2637">
        <f>-SUM(J160:J163)</f>
        <v/>
      </c>
      <c r="K159" s="2637">
        <f>-SUM(K160:K163)</f>
        <v/>
      </c>
      <c r="L159" s="2637">
        <f>-SUM(L160:L163)</f>
        <v/>
      </c>
      <c r="M159" s="2637">
        <f>-SUM(M160:M163)</f>
        <v/>
      </c>
      <c r="N159" s="2637">
        <f>-SUM(N160:N163)</f>
        <v/>
      </c>
      <c r="O159" s="2637">
        <f>-SUM(O160:O163)</f>
        <v/>
      </c>
      <c r="P159" s="2623">
        <f>SUM(D159:O159)</f>
        <v/>
      </c>
      <c r="Q159" s="1436" t="n"/>
      <c r="R159" s="1436" t="n"/>
      <c r="S159" s="2637">
        <f>-SUM(S160:S163)</f>
        <v/>
      </c>
      <c r="T159" s="2637">
        <f>-SUM(T160:T163)</f>
        <v/>
      </c>
      <c r="U159" s="2637">
        <f>-SUM(U160:U163)</f>
        <v/>
      </c>
      <c r="V159" s="2637">
        <f>-SUM(V160:V163)</f>
        <v/>
      </c>
      <c r="W159" s="2637">
        <f>-SUM(W160:W163)</f>
        <v/>
      </c>
      <c r="X159" s="2637">
        <f>-SUM(X160:X163)</f>
        <v/>
      </c>
      <c r="Y159" s="2637">
        <f>-SUM(Y160:Y163)</f>
        <v/>
      </c>
      <c r="Z159" s="2637">
        <f>-SUM(Z160:Z163)</f>
        <v/>
      </c>
      <c r="AA159" s="2637">
        <f>-SUM(AA160:AA163)</f>
        <v/>
      </c>
      <c r="AB159" s="2637">
        <f>-SUM(AB160:AB163)</f>
        <v/>
      </c>
      <c r="AC159" s="2637">
        <f>-SUM(AC160:AC163)</f>
        <v/>
      </c>
      <c r="AD159" s="2637">
        <f>-SUM(AD160:AD163)</f>
        <v/>
      </c>
      <c r="AE159" s="2623">
        <f>SUM(S159:AD159)</f>
        <v/>
      </c>
      <c r="AF159" s="1436" t="n"/>
      <c r="AG159" s="2637">
        <f>-SUM(AG160:AG163)</f>
        <v/>
      </c>
      <c r="AH159" s="2637">
        <f>-SUM(AH160:AH163)</f>
        <v/>
      </c>
      <c r="AI159" s="2637">
        <f>-SUM(AI160:AI163)</f>
        <v/>
      </c>
      <c r="AJ159" s="2637">
        <f>-SUM(AJ160:AJ163)</f>
        <v/>
      </c>
      <c r="AK159" s="2637">
        <f>-SUM(AK160:AK163)</f>
        <v/>
      </c>
      <c r="AL159" s="2637" t="n">
        <v>0</v>
      </c>
      <c r="AM159" s="2637">
        <f>-SUM(AM160:AM163)</f>
        <v/>
      </c>
      <c r="AN159" s="2637">
        <f>-SUM(AN160:AN163)</f>
        <v/>
      </c>
      <c r="AO159" s="2637">
        <f>-SUM(AO160:AO163)</f>
        <v/>
      </c>
      <c r="AP159" s="2637">
        <f>-SUM(AP160:AP163)</f>
        <v/>
      </c>
      <c r="AQ159" s="2637">
        <f>-SUM(AQ160:AQ163)</f>
        <v/>
      </c>
      <c r="AR159" s="2637">
        <f>-SUM(AR160:AR163)</f>
        <v/>
      </c>
      <c r="AS159" s="2623">
        <f>SUM(AG159:AR159)</f>
        <v/>
      </c>
      <c r="AT159" s="2615">
        <f>SUM(AG159:AP159)</f>
        <v/>
      </c>
      <c r="AU159" s="2637" t="n">
        <v>0</v>
      </c>
      <c r="AV159" s="2637" t="n">
        <v>0</v>
      </c>
      <c r="AW159" s="2637" t="n"/>
      <c r="AX159" s="2637" t="n"/>
      <c r="AY159" s="2637" t="n"/>
      <c r="AZ159" s="2637" t="n"/>
      <c r="BA159" s="2637" t="n"/>
      <c r="BB159" s="2637" t="n"/>
      <c r="BC159" s="2637" t="n"/>
      <c r="BD159" s="2637" t="n"/>
      <c r="BE159" s="2637" t="n"/>
      <c r="BF159" s="2637" t="n"/>
      <c r="BG159" s="2624">
        <f>SUM(AU159:BF159)</f>
        <v/>
      </c>
      <c r="BI159" s="2637" t="n"/>
      <c r="BJ159" s="2637" t="n"/>
      <c r="BK159" s="2637" t="n"/>
      <c r="BL159" s="2637" t="n"/>
      <c r="BM159" s="2637" t="n"/>
      <c r="BN159" s="2637" t="n"/>
      <c r="BO159" s="2637" t="n"/>
      <c r="BP159" s="2637" t="n"/>
      <c r="BQ159" s="2637" t="n"/>
      <c r="BR159" s="2637" t="n"/>
      <c r="BS159" s="2637" t="n"/>
      <c r="BT159" s="2637" t="n"/>
      <c r="BU159" s="2624">
        <f>SUM(BI159:BT159)</f>
        <v/>
      </c>
    </row>
    <row r="160" hidden="1" outlineLevel="1">
      <c r="A160" s="1436" t="n"/>
      <c r="B160" s="1480" t="inlineStr">
        <is>
          <t>지분법손실</t>
        </is>
      </c>
      <c r="C160" s="1436" t="n"/>
      <c r="D160" s="2625" t="n"/>
      <c r="E160" s="2625" t="n"/>
      <c r="F160" s="2625" t="n"/>
      <c r="G160" s="2625" t="n"/>
      <c r="H160" s="2625" t="n"/>
      <c r="I160" s="2625" t="n">
        <v>0</v>
      </c>
      <c r="J160" s="2625" t="n">
        <v>0</v>
      </c>
      <c r="K160" s="2625" t="n">
        <v>0</v>
      </c>
      <c r="L160" s="2625" t="n">
        <v>0</v>
      </c>
      <c r="M160" s="2625" t="n">
        <v>0</v>
      </c>
      <c r="N160" s="2625" t="n">
        <v>0</v>
      </c>
      <c r="O160" s="2625" t="n">
        <v>0</v>
      </c>
      <c r="P160" s="2626">
        <f>SUM(D160:O160)</f>
        <v/>
      </c>
      <c r="Q160" s="1436" t="n"/>
      <c r="R160" s="1436" t="n"/>
      <c r="S160" s="2625" t="n">
        <v>0</v>
      </c>
      <c r="T160" s="2625" t="n">
        <v>0</v>
      </c>
      <c r="U160" s="2625" t="n">
        <v>0</v>
      </c>
      <c r="V160" s="2625" t="n">
        <v>0</v>
      </c>
      <c r="W160" s="2625" t="n">
        <v>0</v>
      </c>
      <c r="X160" s="2625" t="n">
        <v>0</v>
      </c>
      <c r="Y160" s="2625" t="n">
        <v>0</v>
      </c>
      <c r="Z160" s="2625" t="n">
        <v>0</v>
      </c>
      <c r="AA160" s="2625" t="n">
        <v>0</v>
      </c>
      <c r="AB160" s="2625" t="n">
        <v>0</v>
      </c>
      <c r="AC160" s="2625" t="n">
        <v>0</v>
      </c>
      <c r="AD160" s="2625" t="n">
        <v>0</v>
      </c>
      <c r="AE160" s="2626">
        <f>SUM(S160:AD160)</f>
        <v/>
      </c>
      <c r="AF160" s="1436" t="n"/>
      <c r="AG160" s="2625" t="n">
        <v>0</v>
      </c>
      <c r="AH160" s="2625" t="n">
        <v>0</v>
      </c>
      <c r="AI160" s="2625" t="n">
        <v>0</v>
      </c>
      <c r="AJ160" s="2625" t="n">
        <v>0</v>
      </c>
      <c r="AK160" s="2625" t="n">
        <v>0</v>
      </c>
      <c r="AL160" s="2625" t="n"/>
      <c r="AM160" s="2625" t="n">
        <v>0</v>
      </c>
      <c r="AN160" s="2625" t="n">
        <v>0</v>
      </c>
      <c r="AO160" s="2625" t="n"/>
      <c r="AP160" s="2625" t="n">
        <v>0</v>
      </c>
      <c r="AQ160" s="2625" t="n">
        <v>0</v>
      </c>
      <c r="AR160" s="2627" t="n">
        <v>0</v>
      </c>
      <c r="AS160" s="2626">
        <f>SUM(AG160:AR160)</f>
        <v/>
      </c>
      <c r="AT160" s="2615">
        <f>SUM(AG160:AP160)</f>
        <v/>
      </c>
      <c r="AU160" s="2627" t="n"/>
      <c r="AV160" s="2627" t="n"/>
      <c r="AW160" s="2627" t="n"/>
      <c r="AX160" s="2627" t="n"/>
      <c r="AY160" s="2627" t="n"/>
      <c r="AZ160" s="2627" t="n"/>
      <c r="BA160" s="2627" t="n"/>
      <c r="BB160" s="2627" t="n"/>
      <c r="BC160" s="2627" t="n"/>
      <c r="BD160" s="2627" t="n"/>
      <c r="BE160" s="2627" t="n"/>
      <c r="BF160" s="2627" t="n"/>
      <c r="BG160" s="2628">
        <f>SUM(AU160:BF160)</f>
        <v/>
      </c>
      <c r="BI160" s="2627" t="n"/>
      <c r="BJ160" s="2627" t="n"/>
      <c r="BK160" s="2627" t="n"/>
      <c r="BL160" s="2627" t="n"/>
      <c r="BM160" s="2627" t="n"/>
      <c r="BN160" s="2627" t="n"/>
      <c r="BO160" s="2627" t="n"/>
      <c r="BP160" s="2627" t="n"/>
      <c r="BQ160" s="2627" t="n"/>
      <c r="BR160" s="2627" t="n"/>
      <c r="BS160" s="2627" t="n"/>
      <c r="BT160" s="2627" t="n"/>
      <c r="BU160" s="2628">
        <f>SUM(BI160:BT160)</f>
        <v/>
      </c>
    </row>
    <row r="161" hidden="1" outlineLevel="1">
      <c r="A161" s="1436" t="n"/>
      <c r="B161" s="1480" t="inlineStr">
        <is>
          <t>지분법적용투자주식처분손실</t>
        </is>
      </c>
      <c r="C161" s="1436" t="n"/>
      <c r="D161" s="2625" t="n"/>
      <c r="E161" s="2625" t="n"/>
      <c r="F161" s="2625" t="n"/>
      <c r="G161" s="2625" t="n"/>
      <c r="H161" s="2625" t="n"/>
      <c r="I161" s="2625" t="n">
        <v>0</v>
      </c>
      <c r="J161" s="2625" t="n">
        <v>0</v>
      </c>
      <c r="K161" s="2625" t="n">
        <v>0</v>
      </c>
      <c r="L161" s="2625" t="n">
        <v>0</v>
      </c>
      <c r="M161" s="2625" t="n">
        <v>0</v>
      </c>
      <c r="N161" s="2625" t="n">
        <v>0</v>
      </c>
      <c r="O161" s="2625" t="n">
        <v>0</v>
      </c>
      <c r="P161" s="2626">
        <f>SUM(D161:O161)</f>
        <v/>
      </c>
      <c r="Q161" s="1436" t="n"/>
      <c r="R161" s="1436" t="n"/>
      <c r="S161" s="2625" t="n">
        <v>0</v>
      </c>
      <c r="T161" s="2625" t="n">
        <v>0</v>
      </c>
      <c r="U161" s="2625" t="n">
        <v>0</v>
      </c>
      <c r="V161" s="2625" t="n">
        <v>0</v>
      </c>
      <c r="W161" s="2625" t="n">
        <v>0</v>
      </c>
      <c r="X161" s="2625" t="n">
        <v>0</v>
      </c>
      <c r="Y161" s="2625" t="n">
        <v>0</v>
      </c>
      <c r="Z161" s="2625" t="n">
        <v>0</v>
      </c>
      <c r="AA161" s="2625" t="n">
        <v>0</v>
      </c>
      <c r="AB161" s="2625" t="n">
        <v>0</v>
      </c>
      <c r="AC161" s="2625" t="n">
        <v>0</v>
      </c>
      <c r="AD161" s="2625" t="n">
        <v>0</v>
      </c>
      <c r="AE161" s="2626">
        <f>SUM(S161:AD161)</f>
        <v/>
      </c>
      <c r="AF161" s="1436" t="n"/>
      <c r="AG161" s="2625" t="n">
        <v>0</v>
      </c>
      <c r="AH161" s="2625" t="n">
        <v>0</v>
      </c>
      <c r="AI161" s="2625" t="n">
        <v>0</v>
      </c>
      <c r="AJ161" s="2625" t="n">
        <v>0</v>
      </c>
      <c r="AK161" s="2625" t="n">
        <v>0</v>
      </c>
      <c r="AL161" s="2625" t="n"/>
      <c r="AM161" s="2625" t="n">
        <v>0</v>
      </c>
      <c r="AN161" s="2625" t="n">
        <v>0</v>
      </c>
      <c r="AO161" s="2625" t="n"/>
      <c r="AP161" s="2625" t="n">
        <v>0</v>
      </c>
      <c r="AQ161" s="2625" t="n">
        <v>0</v>
      </c>
      <c r="AR161" s="2627" t="n">
        <v>0</v>
      </c>
      <c r="AS161" s="2626">
        <f>SUM(AG161:AR161)</f>
        <v/>
      </c>
      <c r="AT161" s="2615">
        <f>SUM(AG161:AP161)</f>
        <v/>
      </c>
      <c r="AU161" s="2627" t="n"/>
      <c r="AV161" s="2627" t="n"/>
      <c r="AW161" s="2627" t="n"/>
      <c r="AX161" s="2627" t="n"/>
      <c r="AY161" s="2627" t="n"/>
      <c r="AZ161" s="2627" t="n"/>
      <c r="BA161" s="2627" t="n"/>
      <c r="BB161" s="2627" t="n"/>
      <c r="BC161" s="2627" t="n"/>
      <c r="BD161" s="2627" t="n"/>
      <c r="BE161" s="2627" t="n"/>
      <c r="BF161" s="2627" t="n"/>
      <c r="BG161" s="2628">
        <f>SUM(AU161:BF161)</f>
        <v/>
      </c>
      <c r="BI161" s="2627" t="n"/>
      <c r="BJ161" s="2627" t="n"/>
      <c r="BK161" s="2627" t="n"/>
      <c r="BL161" s="2627" t="n"/>
      <c r="BM161" s="2627" t="n"/>
      <c r="BN161" s="2627" t="n"/>
      <c r="BO161" s="2627" t="n"/>
      <c r="BP161" s="2627" t="n"/>
      <c r="BQ161" s="2627" t="n"/>
      <c r="BR161" s="2627" t="n"/>
      <c r="BS161" s="2627" t="n"/>
      <c r="BT161" s="2627" t="n"/>
      <c r="BU161" s="2628">
        <f>SUM(BI161:BT161)</f>
        <v/>
      </c>
    </row>
    <row r="162" hidden="1" outlineLevel="1">
      <c r="A162" s="1436" t="n"/>
      <c r="B162" s="1480" t="inlineStr">
        <is>
          <t>지분법이익</t>
        </is>
      </c>
      <c r="C162" s="1436" t="n"/>
      <c r="D162" s="2625" t="n"/>
      <c r="E162" s="2625" t="n"/>
      <c r="F162" s="2625" t="n"/>
      <c r="G162" s="2625" t="n"/>
      <c r="H162" s="2625" t="n"/>
      <c r="I162" s="2625" t="n">
        <v>0</v>
      </c>
      <c r="J162" s="2625" t="n">
        <v>0</v>
      </c>
      <c r="K162" s="2625" t="n">
        <v>0</v>
      </c>
      <c r="L162" s="2625" t="n">
        <v>0</v>
      </c>
      <c r="M162" s="2625" t="n">
        <v>0</v>
      </c>
      <c r="N162" s="2625" t="n">
        <v>0</v>
      </c>
      <c r="O162" s="2625" t="n">
        <v>0</v>
      </c>
      <c r="P162" s="2626">
        <f>SUM(D162:O162)</f>
        <v/>
      </c>
      <c r="Q162" s="1436" t="n"/>
      <c r="R162" s="1436" t="n"/>
      <c r="S162" s="2625" t="n">
        <v>0</v>
      </c>
      <c r="T162" s="2625" t="n">
        <v>0</v>
      </c>
      <c r="U162" s="2625" t="n">
        <v>0</v>
      </c>
      <c r="V162" s="2625" t="n">
        <v>0</v>
      </c>
      <c r="W162" s="2625" t="n">
        <v>0</v>
      </c>
      <c r="X162" s="2625" t="n">
        <v>0</v>
      </c>
      <c r="Y162" s="2625" t="n">
        <v>0</v>
      </c>
      <c r="Z162" s="2625" t="n">
        <v>0</v>
      </c>
      <c r="AA162" s="2625" t="n">
        <v>0</v>
      </c>
      <c r="AB162" s="2625" t="n">
        <v>0</v>
      </c>
      <c r="AC162" s="2625" t="n">
        <v>0</v>
      </c>
      <c r="AD162" s="2625" t="n">
        <v>0</v>
      </c>
      <c r="AE162" s="2626">
        <f>SUM(S162:AD162)</f>
        <v/>
      </c>
      <c r="AF162" s="1436" t="n"/>
      <c r="AG162" s="2625" t="n">
        <v>0</v>
      </c>
      <c r="AH162" s="2625" t="n">
        <v>0</v>
      </c>
      <c r="AI162" s="2625" t="n">
        <v>0</v>
      </c>
      <c r="AJ162" s="2625" t="n">
        <v>0</v>
      </c>
      <c r="AK162" s="2625" t="n">
        <v>0</v>
      </c>
      <c r="AL162" s="2625" t="n"/>
      <c r="AM162" s="2625" t="n">
        <v>0</v>
      </c>
      <c r="AN162" s="2625" t="n">
        <v>0</v>
      </c>
      <c r="AO162" s="2625" t="n"/>
      <c r="AP162" s="2625" t="n">
        <v>0</v>
      </c>
      <c r="AQ162" s="2625" t="n">
        <v>0</v>
      </c>
      <c r="AR162" s="2627" t="n">
        <v>0</v>
      </c>
      <c r="AS162" s="2626">
        <f>SUM(AG162:AR162)</f>
        <v/>
      </c>
      <c r="AT162" s="2615">
        <f>SUM(AG162:AP162)</f>
        <v/>
      </c>
      <c r="AU162" s="2627" t="n"/>
      <c r="AV162" s="2627" t="n"/>
      <c r="AW162" s="2627" t="n"/>
      <c r="AX162" s="2627" t="n"/>
      <c r="AY162" s="2627" t="n"/>
      <c r="AZ162" s="2627" t="n"/>
      <c r="BA162" s="2627" t="n"/>
      <c r="BB162" s="2627" t="n"/>
      <c r="BC162" s="2627" t="n"/>
      <c r="BD162" s="2627" t="n"/>
      <c r="BE162" s="2627" t="n"/>
      <c r="BF162" s="2627" t="n"/>
      <c r="BG162" s="2628">
        <f>SUM(AU162:BF162)</f>
        <v/>
      </c>
      <c r="BI162" s="2627" t="n"/>
      <c r="BJ162" s="2627" t="n"/>
      <c r="BK162" s="2627" t="n"/>
      <c r="BL162" s="2627" t="n"/>
      <c r="BM162" s="2627" t="n"/>
      <c r="BN162" s="2627" t="n"/>
      <c r="BO162" s="2627" t="n"/>
      <c r="BP162" s="2627" t="n"/>
      <c r="BQ162" s="2627" t="n"/>
      <c r="BR162" s="2627" t="n"/>
      <c r="BS162" s="2627" t="n"/>
      <c r="BT162" s="2627" t="n"/>
      <c r="BU162" s="2628">
        <f>SUM(BI162:BT162)</f>
        <v/>
      </c>
    </row>
    <row r="163" hidden="1" outlineLevel="1">
      <c r="A163" s="1436" t="n"/>
      <c r="B163" s="1480" t="inlineStr">
        <is>
          <t>지분법적용투자주식처분이익</t>
        </is>
      </c>
      <c r="C163" s="1436" t="n"/>
      <c r="D163" s="2625" t="n"/>
      <c r="E163" s="2625" t="n"/>
      <c r="F163" s="2625" t="n"/>
      <c r="G163" s="2625" t="n"/>
      <c r="H163" s="2625" t="n"/>
      <c r="I163" s="2625" t="n">
        <v>0</v>
      </c>
      <c r="J163" s="2625" t="n">
        <v>0</v>
      </c>
      <c r="K163" s="2625" t="n">
        <v>0</v>
      </c>
      <c r="L163" s="2625" t="n">
        <v>0</v>
      </c>
      <c r="M163" s="2625" t="n">
        <v>0</v>
      </c>
      <c r="N163" s="2625" t="n">
        <v>0</v>
      </c>
      <c r="O163" s="2625" t="n">
        <v>0</v>
      </c>
      <c r="P163" s="2626">
        <f>SUM(D163:O163)</f>
        <v/>
      </c>
      <c r="Q163" s="1436" t="n"/>
      <c r="R163" s="1436" t="n"/>
      <c r="S163" s="2625" t="n">
        <v>0</v>
      </c>
      <c r="T163" s="2625" t="n">
        <v>0</v>
      </c>
      <c r="U163" s="2625" t="n">
        <v>0</v>
      </c>
      <c r="V163" s="2625" t="n">
        <v>0</v>
      </c>
      <c r="W163" s="2625" t="n">
        <v>0</v>
      </c>
      <c r="X163" s="2625" t="n">
        <v>0</v>
      </c>
      <c r="Y163" s="2625" t="n">
        <v>0</v>
      </c>
      <c r="Z163" s="2625" t="n">
        <v>0</v>
      </c>
      <c r="AA163" s="2625" t="n">
        <v>0</v>
      </c>
      <c r="AB163" s="2625" t="n">
        <v>0</v>
      </c>
      <c r="AC163" s="2625" t="n">
        <v>0</v>
      </c>
      <c r="AD163" s="2625" t="n">
        <v>0</v>
      </c>
      <c r="AE163" s="2626">
        <f>SUM(S163:AD163)</f>
        <v/>
      </c>
      <c r="AF163" s="1436" t="n"/>
      <c r="AG163" s="2625" t="n">
        <v>0</v>
      </c>
      <c r="AH163" s="2625" t="n">
        <v>0</v>
      </c>
      <c r="AI163" s="2625" t="n">
        <v>0</v>
      </c>
      <c r="AJ163" s="2625" t="n">
        <v>0</v>
      </c>
      <c r="AK163" s="2625" t="n">
        <v>0</v>
      </c>
      <c r="AL163" s="2625" t="n"/>
      <c r="AM163" s="2625" t="n">
        <v>0</v>
      </c>
      <c r="AN163" s="2625" t="n">
        <v>0</v>
      </c>
      <c r="AO163" s="2625" t="n"/>
      <c r="AP163" s="2625" t="n">
        <v>0</v>
      </c>
      <c r="AQ163" s="2625" t="n">
        <v>0</v>
      </c>
      <c r="AR163" s="2627" t="n">
        <v>0</v>
      </c>
      <c r="AS163" s="2626">
        <f>SUM(AG163:AR163)</f>
        <v/>
      </c>
      <c r="AT163" s="2615">
        <f>SUM(AG163:AP163)</f>
        <v/>
      </c>
      <c r="AU163" s="2627" t="n"/>
      <c r="AV163" s="2627" t="n"/>
      <c r="AW163" s="2627" t="n"/>
      <c r="AX163" s="2627" t="n"/>
      <c r="AY163" s="2627" t="n"/>
      <c r="AZ163" s="2627" t="n"/>
      <c r="BA163" s="2627" t="n"/>
      <c r="BB163" s="2627" t="n"/>
      <c r="BC163" s="2627" t="n"/>
      <c r="BD163" s="2627" t="n"/>
      <c r="BE163" s="2627" t="n"/>
      <c r="BF163" s="2627" t="n"/>
      <c r="BG163" s="2628">
        <f>SUM(AU163:BF163)</f>
        <v/>
      </c>
      <c r="BI163" s="2627" t="n"/>
      <c r="BJ163" s="2627" t="n"/>
      <c r="BK163" s="2627" t="n"/>
      <c r="BL163" s="2627" t="n"/>
      <c r="BM163" s="2627" t="n"/>
      <c r="BN163" s="2627" t="n"/>
      <c r="BO163" s="2627" t="n"/>
      <c r="BP163" s="2627" t="n"/>
      <c r="BQ163" s="2627" t="n"/>
      <c r="BR163" s="2627" t="n"/>
      <c r="BS163" s="2627" t="n"/>
      <c r="BT163" s="2627" t="n"/>
      <c r="BU163" s="2628">
        <f>SUM(BI163:BT163)</f>
        <v/>
      </c>
    </row>
    <row r="164" collapsed="1">
      <c r="A164" s="1436" t="n"/>
      <c r="B164" s="1478" t="inlineStr">
        <is>
          <t>Ⅶ. 기타영업외수익</t>
        </is>
      </c>
      <c r="C164" s="1436" t="inlineStr">
        <is>
          <t>기타영업외수익</t>
        </is>
      </c>
      <c r="D164" s="2637">
        <f>SUM(D165:D191)</f>
        <v/>
      </c>
      <c r="E164" s="2637">
        <f>SUM(E165:E191)</f>
        <v/>
      </c>
      <c r="F164" s="2637">
        <f>SUM(F165:F191)</f>
        <v/>
      </c>
      <c r="G164" s="2637">
        <f>SUM(G165:G191)</f>
        <v/>
      </c>
      <c r="H164" s="2637">
        <f>SUM(H165:H191)</f>
        <v/>
      </c>
      <c r="I164" s="2637">
        <f>SUM(I165:I191)</f>
        <v/>
      </c>
      <c r="J164" s="2637">
        <f>SUM(J165:J191)</f>
        <v/>
      </c>
      <c r="K164" s="2637">
        <f>SUM(K165:K191)</f>
        <v/>
      </c>
      <c r="L164" s="2637">
        <f>SUM(L165:L191)</f>
        <v/>
      </c>
      <c r="M164" s="2637">
        <f>SUM(M165:M191)</f>
        <v/>
      </c>
      <c r="N164" s="2637">
        <f>SUM(N165:N191)</f>
        <v/>
      </c>
      <c r="O164" s="2637">
        <f>SUM(O165:O191)</f>
        <v/>
      </c>
      <c r="P164" s="2623">
        <f>SUM(D164:O164)</f>
        <v/>
      </c>
      <c r="Q164" s="1436" t="n"/>
      <c r="R164" s="1436" t="n"/>
      <c r="S164" s="2637">
        <f>SUM(S165:S191)</f>
        <v/>
      </c>
      <c r="T164" s="2637">
        <f>SUM(T165:T191)</f>
        <v/>
      </c>
      <c r="U164" s="2637">
        <f>SUM(U165:U191)</f>
        <v/>
      </c>
      <c r="V164" s="2637">
        <f>SUM(V165:V191)</f>
        <v/>
      </c>
      <c r="W164" s="2637">
        <f>SUM(W165:W191)</f>
        <v/>
      </c>
      <c r="X164" s="2637">
        <f>SUM(X165:X191)</f>
        <v/>
      </c>
      <c r="Y164" s="2637">
        <f>SUM(Y165:Y191)</f>
        <v/>
      </c>
      <c r="Z164" s="2637">
        <f>SUM(Z165:Z191)</f>
        <v/>
      </c>
      <c r="AA164" s="2637">
        <f>SUM(AA165:AA191)</f>
        <v/>
      </c>
      <c r="AB164" s="2637">
        <f>SUM(AB165:AB191)</f>
        <v/>
      </c>
      <c r="AC164" s="2637">
        <f>SUM(AC165:AC191)</f>
        <v/>
      </c>
      <c r="AD164" s="2637">
        <f>SUM(AD165:AD191)</f>
        <v/>
      </c>
      <c r="AE164" s="2623">
        <f>SUM(S164:AD164)</f>
        <v/>
      </c>
      <c r="AF164" s="1436" t="n"/>
      <c r="AG164" s="2637">
        <f>SUM(AG165:AG191)</f>
        <v/>
      </c>
      <c r="AH164" s="2637">
        <f>SUM(AH165:AH191)</f>
        <v/>
      </c>
      <c r="AI164" s="2637">
        <f>SUM(AI165:AI191)</f>
        <v/>
      </c>
      <c r="AJ164" s="2637">
        <f>SUM(AJ165:AJ191)</f>
        <v/>
      </c>
      <c r="AK164" s="2637">
        <f>SUM(AK165:AK191)</f>
        <v/>
      </c>
      <c r="AL164" s="2637">
        <f>SUM(AL165:AL191)</f>
        <v/>
      </c>
      <c r="AM164" s="2637">
        <f>SUM(AM165:AM191)</f>
        <v/>
      </c>
      <c r="AN164" s="2637">
        <f>SUM(AN165:AN191)</f>
        <v/>
      </c>
      <c r="AO164" s="2637">
        <f>SUM(AO165:AO191)</f>
        <v/>
      </c>
      <c r="AP164" s="2637">
        <f>SUM(AP165:AP191)</f>
        <v/>
      </c>
      <c r="AQ164" s="2637">
        <f>SUM(AQ165:AQ191)</f>
        <v/>
      </c>
      <c r="AR164" s="2637">
        <f>SUM(AR165:AR191)</f>
        <v/>
      </c>
      <c r="AS164" s="2623">
        <f>SUM(AG164:AR164)</f>
        <v/>
      </c>
      <c r="AT164" s="2615">
        <f>SUM(AG164:AP164)</f>
        <v/>
      </c>
      <c r="AU164" s="2637" t="n">
        <v>707</v>
      </c>
      <c r="AV164" s="2637" t="n">
        <v>700</v>
      </c>
      <c r="AW164" s="2637" t="n">
        <v>700</v>
      </c>
      <c r="AX164" s="2637" t="n">
        <v>700</v>
      </c>
      <c r="AY164" s="2637" t="n">
        <v>4296572</v>
      </c>
      <c r="AZ164" s="2637" t="n">
        <v>820</v>
      </c>
      <c r="BA164" s="2637" t="n">
        <v>700</v>
      </c>
      <c r="BB164" s="2637" t="n">
        <v>10700</v>
      </c>
      <c r="BC164" s="2637" t="n">
        <v>700</v>
      </c>
      <c r="BD164" s="2637" t="n">
        <v>2187640</v>
      </c>
      <c r="BE164" s="2637" t="n">
        <v>700</v>
      </c>
      <c r="BF164" s="2637" t="n">
        <v>700</v>
      </c>
      <c r="BG164" s="2624">
        <f>SUM(AU164:BF164)</f>
        <v/>
      </c>
      <c r="BI164" s="2637" t="n"/>
      <c r="BJ164" s="2637" t="n"/>
      <c r="BK164" s="2637" t="n"/>
      <c r="BL164" s="2637" t="n"/>
      <c r="BM164" s="2637" t="n"/>
      <c r="BN164" s="2637" t="n"/>
      <c r="BO164" s="2637" t="n"/>
      <c r="BP164" s="2637" t="n"/>
      <c r="BQ164" s="2637" t="n"/>
      <c r="BR164" s="2637" t="n"/>
      <c r="BS164" s="2637" t="n"/>
      <c r="BT164" s="2637" t="n"/>
      <c r="BU164" s="2624">
        <f>SUM(BI164:BT164)</f>
        <v/>
      </c>
    </row>
    <row r="165" hidden="1" outlineLevel="1">
      <c r="A165" s="1436" t="n"/>
      <c r="B165" s="1480" t="inlineStr">
        <is>
          <t>외환차익</t>
        </is>
      </c>
      <c r="C165" s="1436" t="n"/>
      <c r="D165" s="2625" t="n"/>
      <c r="E165" s="2625" t="n"/>
      <c r="F165" s="2625" t="n"/>
      <c r="G165" s="2625" t="n"/>
      <c r="H165" s="2625" t="n"/>
      <c r="I165" s="2625" t="n">
        <v>0</v>
      </c>
      <c r="J165" s="2625" t="n">
        <v>0</v>
      </c>
      <c r="K165" s="2625" t="n">
        <v>821100</v>
      </c>
      <c r="L165" s="2625" t="n">
        <v>0</v>
      </c>
      <c r="M165" s="2625" t="n">
        <v>0</v>
      </c>
      <c r="N165" s="2625" t="n">
        <v>0</v>
      </c>
      <c r="O165" s="2625" t="n">
        <v>0</v>
      </c>
      <c r="P165" s="2626">
        <f>SUM(D165:O165)</f>
        <v/>
      </c>
      <c r="Q165" s="1436" t="n"/>
      <c r="R165" s="1436" t="n"/>
      <c r="S165" s="2625" t="n">
        <v>0</v>
      </c>
      <c r="T165" s="2625" t="n">
        <v>0</v>
      </c>
      <c r="U165" s="2625" t="n">
        <v>0</v>
      </c>
      <c r="V165" s="2625" t="n">
        <v>0</v>
      </c>
      <c r="W165" s="2625" t="n">
        <v>0</v>
      </c>
      <c r="X165" s="2625" t="n">
        <v>0</v>
      </c>
      <c r="Y165" s="2625" t="n">
        <v>33200</v>
      </c>
      <c r="Z165" s="2625" t="n">
        <v>0</v>
      </c>
      <c r="AA165" s="2625" t="n">
        <v>0</v>
      </c>
      <c r="AB165" s="2625" t="n">
        <v>28028</v>
      </c>
      <c r="AC165" s="2625" t="n">
        <v>120524</v>
      </c>
      <c r="AD165" s="2625" t="n">
        <v>177552</v>
      </c>
      <c r="AE165" s="2626">
        <f>SUM(S165:AD165)</f>
        <v/>
      </c>
      <c r="AF165" s="1436" t="n"/>
      <c r="AG165" s="2625" t="n">
        <v>0</v>
      </c>
      <c r="AH165" s="2625" t="n">
        <v>0</v>
      </c>
      <c r="AI165" s="2625" t="n">
        <v>0</v>
      </c>
      <c r="AJ165" s="2625" t="n">
        <v>0</v>
      </c>
      <c r="AK165" s="2625" t="n">
        <v>0</v>
      </c>
      <c r="AL165" s="2625" t="n"/>
      <c r="AM165" s="2625" t="n">
        <v>0</v>
      </c>
      <c r="AN165" s="2625" t="n">
        <v>0</v>
      </c>
      <c r="AO165" s="2625" t="n"/>
      <c r="AP165" s="2625" t="n">
        <v>0</v>
      </c>
      <c r="AQ165" s="2625" t="n">
        <v>0</v>
      </c>
      <c r="AR165" s="2627" t="n">
        <v>0</v>
      </c>
      <c r="AS165" s="2626">
        <f>SUM(AG165:AR165)</f>
        <v/>
      </c>
      <c r="AT165" s="2615">
        <f>SUM(AG165:AP165)</f>
        <v/>
      </c>
      <c r="AU165" s="2627" t="n"/>
      <c r="AV165" s="2627" t="n"/>
      <c r="AW165" s="2627" t="n"/>
      <c r="AX165" s="2627" t="n"/>
      <c r="AY165" s="2627" t="n"/>
      <c r="AZ165" s="2627" t="n"/>
      <c r="BA165" s="2627" t="n"/>
      <c r="BB165" s="2627" t="n"/>
      <c r="BC165" s="2627" t="n"/>
      <c r="BD165" s="2627" t="n"/>
      <c r="BE165" s="2627" t="n"/>
      <c r="BF165" s="2627" t="n"/>
      <c r="BG165" s="2628">
        <f>SUM(AU165:BF165)</f>
        <v/>
      </c>
      <c r="BI165" s="2627" t="n"/>
      <c r="BJ165" s="2627" t="n"/>
      <c r="BK165" s="2627" t="n"/>
      <c r="BL165" s="2627" t="n"/>
      <c r="BM165" s="2627" t="n"/>
      <c r="BN165" s="2627" t="n"/>
      <c r="BO165" s="2627" t="n"/>
      <c r="BP165" s="2627" t="n"/>
      <c r="BQ165" s="2627" t="n"/>
      <c r="BR165" s="2627" t="n"/>
      <c r="BS165" s="2627" t="n"/>
      <c r="BT165" s="2627" t="n"/>
      <c r="BU165" s="2628">
        <f>SUM(BI165:BT165)</f>
        <v/>
      </c>
    </row>
    <row r="166" hidden="1" outlineLevel="1">
      <c r="A166" s="1436" t="n"/>
      <c r="B166" s="1480" t="inlineStr">
        <is>
          <t>기타채권손상차손환입</t>
        </is>
      </c>
      <c r="C166" s="1436" t="n"/>
      <c r="D166" s="2625" t="n"/>
      <c r="E166" s="2625" t="n"/>
      <c r="F166" s="2625" t="n"/>
      <c r="G166" s="2625" t="n"/>
      <c r="H166" s="2625" t="n"/>
      <c r="I166" s="2625" t="n">
        <v>0</v>
      </c>
      <c r="J166" s="2625" t="n">
        <v>0</v>
      </c>
      <c r="K166" s="2625" t="n">
        <v>0</v>
      </c>
      <c r="L166" s="2625" t="n">
        <v>0</v>
      </c>
      <c r="M166" s="2625" t="n">
        <v>0</v>
      </c>
      <c r="N166" s="2625" t="n">
        <v>0</v>
      </c>
      <c r="O166" s="2625" t="n">
        <v>0</v>
      </c>
      <c r="P166" s="2626">
        <f>SUM(D166:O166)</f>
        <v/>
      </c>
      <c r="Q166" s="1436" t="n"/>
      <c r="R166" s="1436" t="n"/>
      <c r="S166" s="2625" t="n">
        <v>0</v>
      </c>
      <c r="T166" s="2625" t="n">
        <v>0</v>
      </c>
      <c r="U166" s="2625" t="n">
        <v>0</v>
      </c>
      <c r="V166" s="2625" t="n">
        <v>0</v>
      </c>
      <c r="W166" s="2625" t="n">
        <v>0</v>
      </c>
      <c r="X166" s="2625" t="n">
        <v>0</v>
      </c>
      <c r="Y166" s="2625" t="n">
        <v>0</v>
      </c>
      <c r="Z166" s="2625" t="n">
        <v>0</v>
      </c>
      <c r="AA166" s="2625" t="n">
        <v>0</v>
      </c>
      <c r="AB166" s="2625" t="n">
        <v>0</v>
      </c>
      <c r="AC166" s="2625" t="n">
        <v>0</v>
      </c>
      <c r="AD166" s="2625" t="n">
        <v>0</v>
      </c>
      <c r="AE166" s="2626">
        <f>SUM(S166:AD166)</f>
        <v/>
      </c>
      <c r="AF166" s="1436" t="n"/>
      <c r="AG166" s="2625" t="n">
        <v>0</v>
      </c>
      <c r="AH166" s="2625" t="n">
        <v>0</v>
      </c>
      <c r="AI166" s="2625" t="n">
        <v>0</v>
      </c>
      <c r="AJ166" s="2625" t="n">
        <v>0</v>
      </c>
      <c r="AK166" s="2625" t="n">
        <v>0</v>
      </c>
      <c r="AL166" s="2625" t="n"/>
      <c r="AM166" s="2625" t="n">
        <v>0</v>
      </c>
      <c r="AN166" s="2625" t="n">
        <v>0</v>
      </c>
      <c r="AO166" s="2625" t="n"/>
      <c r="AP166" s="2625" t="n">
        <v>0</v>
      </c>
      <c r="AQ166" s="2625" t="n">
        <v>0</v>
      </c>
      <c r="AR166" s="2627" t="n">
        <v>0</v>
      </c>
      <c r="AS166" s="2626">
        <f>SUM(AG166:AR166)</f>
        <v/>
      </c>
      <c r="AT166" s="2615">
        <f>SUM(AG166:AP166)</f>
        <v/>
      </c>
      <c r="AU166" s="2627" t="n"/>
      <c r="AV166" s="2627" t="n"/>
      <c r="AW166" s="2627" t="n"/>
      <c r="AX166" s="2627" t="n"/>
      <c r="AY166" s="2627" t="n"/>
      <c r="AZ166" s="2627" t="n"/>
      <c r="BA166" s="2627" t="n"/>
      <c r="BB166" s="2627" t="n"/>
      <c r="BC166" s="2627" t="n"/>
      <c r="BD166" s="2627" t="n"/>
      <c r="BE166" s="2627" t="n"/>
      <c r="BF166" s="2627" t="n"/>
      <c r="BG166" s="2628">
        <f>SUM(AU166:BF166)</f>
        <v/>
      </c>
      <c r="BI166" s="2627" t="n"/>
      <c r="BJ166" s="2627" t="n"/>
      <c r="BK166" s="2627" t="n"/>
      <c r="BL166" s="2627" t="n"/>
      <c r="BM166" s="2627" t="n"/>
      <c r="BN166" s="2627" t="n"/>
      <c r="BO166" s="2627" t="n"/>
      <c r="BP166" s="2627" t="n"/>
      <c r="BQ166" s="2627" t="n"/>
      <c r="BR166" s="2627" t="n"/>
      <c r="BS166" s="2627" t="n"/>
      <c r="BT166" s="2627" t="n"/>
      <c r="BU166" s="2628">
        <f>SUM(BI166:BT166)</f>
        <v/>
      </c>
    </row>
    <row r="167" hidden="1" outlineLevel="1">
      <c r="A167" s="1436" t="n"/>
      <c r="B167" s="1480" t="inlineStr">
        <is>
          <t>기타의대손상각비환입</t>
        </is>
      </c>
      <c r="C167" s="1436" t="n"/>
      <c r="D167" s="2625" t="n"/>
      <c r="E167" s="2625" t="n"/>
      <c r="F167" s="2625" t="n"/>
      <c r="G167" s="2625" t="n"/>
      <c r="H167" s="2625" t="n"/>
      <c r="I167" s="2625" t="n"/>
      <c r="J167" s="2625" t="n"/>
      <c r="K167" s="2625" t="n"/>
      <c r="L167" s="2625" t="n"/>
      <c r="M167" s="2625" t="n"/>
      <c r="N167" s="2625" t="n"/>
      <c r="O167" s="2625" t="n"/>
      <c r="P167" s="2626" t="n"/>
      <c r="Q167" s="1436" t="n"/>
      <c r="R167" s="1436" t="n"/>
      <c r="S167" s="2625" t="n"/>
      <c r="T167" s="2625" t="n"/>
      <c r="U167" s="2625" t="n"/>
      <c r="V167" s="2625" t="n"/>
      <c r="W167" s="2625" t="n"/>
      <c r="X167" s="2625" t="n"/>
      <c r="Y167" s="2625" t="n"/>
      <c r="Z167" s="2625" t="n"/>
      <c r="AA167" s="2625" t="n"/>
      <c r="AB167" s="2625" t="n"/>
      <c r="AC167" s="2625" t="n"/>
      <c r="AD167" s="2625" t="n"/>
      <c r="AE167" s="2626" t="n"/>
      <c r="AF167" s="1436" t="n"/>
      <c r="AG167" s="2625" t="n"/>
      <c r="AH167" s="2625" t="n"/>
      <c r="AI167" s="2625" t="n"/>
      <c r="AJ167" s="2625" t="n"/>
      <c r="AK167" s="2625" t="n"/>
      <c r="AL167" s="2625" t="n"/>
      <c r="AM167" s="2625" t="n"/>
      <c r="AN167" s="2625" t="n">
        <v>1267960</v>
      </c>
      <c r="AO167" s="2625" t="n"/>
      <c r="AP167" s="2625" t="n">
        <v>0</v>
      </c>
      <c r="AQ167" s="2625" t="n">
        <v>0</v>
      </c>
      <c r="AR167" s="2627" t="n">
        <v>0</v>
      </c>
      <c r="AS167" s="2626">
        <f>SUM(AG167:AR167)</f>
        <v/>
      </c>
      <c r="AT167" s="2615">
        <f>SUM(AG167:AP167)</f>
        <v/>
      </c>
      <c r="AU167" s="2627" t="n"/>
      <c r="AV167" s="2627" t="n"/>
      <c r="AW167" s="2627" t="n"/>
      <c r="AX167" s="2627" t="n"/>
      <c r="AY167" s="2627" t="n"/>
      <c r="AZ167" s="2627" t="n"/>
      <c r="BA167" s="2627" t="n"/>
      <c r="BB167" s="2627" t="n"/>
      <c r="BC167" s="2627" t="n"/>
      <c r="BD167" s="2627" t="n"/>
      <c r="BE167" s="2627" t="n"/>
      <c r="BF167" s="2627" t="n"/>
      <c r="BG167" s="2628" t="n"/>
      <c r="BI167" s="2627" t="n"/>
      <c r="BJ167" s="2627" t="n"/>
      <c r="BK167" s="2627" t="n"/>
      <c r="BL167" s="2627" t="n"/>
      <c r="BM167" s="2627" t="n"/>
      <c r="BN167" s="2627" t="n"/>
      <c r="BO167" s="2627" t="n"/>
      <c r="BP167" s="2627" t="n"/>
      <c r="BQ167" s="2627" t="n"/>
      <c r="BR167" s="2627" t="n"/>
      <c r="BS167" s="2627" t="n"/>
      <c r="BT167" s="2627" t="n"/>
      <c r="BU167" s="2628" t="n"/>
    </row>
    <row r="168" hidden="1" outlineLevel="1">
      <c r="A168" s="1436" t="n"/>
      <c r="B168" s="1480" t="inlineStr">
        <is>
          <t>수입수수료</t>
        </is>
      </c>
      <c r="C168" s="1436" t="n"/>
      <c r="D168" s="2625" t="n"/>
      <c r="E168" s="2625" t="n"/>
      <c r="F168" s="2625" t="n"/>
      <c r="G168" s="2625" t="n"/>
      <c r="H168" s="2625" t="n"/>
      <c r="I168" s="2625" t="n">
        <v>0</v>
      </c>
      <c r="J168" s="2625" t="n">
        <v>0</v>
      </c>
      <c r="K168" s="2625" t="n">
        <v>0</v>
      </c>
      <c r="L168" s="2625" t="n">
        <v>0</v>
      </c>
      <c r="M168" s="2625" t="n">
        <v>0</v>
      </c>
      <c r="N168" s="2625" t="n">
        <v>0</v>
      </c>
      <c r="O168" s="2625" t="n">
        <v>0</v>
      </c>
      <c r="P168" s="2626">
        <f>SUM(D168:O168)</f>
        <v/>
      </c>
      <c r="Q168" s="1436" t="n"/>
      <c r="R168" s="1436" t="n"/>
      <c r="S168" s="2625" t="n">
        <v>0</v>
      </c>
      <c r="T168" s="2625" t="n">
        <v>0</v>
      </c>
      <c r="U168" s="2625" t="n">
        <v>0</v>
      </c>
      <c r="V168" s="2625" t="n">
        <v>0</v>
      </c>
      <c r="W168" s="2625" t="n">
        <v>0</v>
      </c>
      <c r="X168" s="2625" t="n">
        <v>0</v>
      </c>
      <c r="Y168" s="2625" t="n">
        <v>0</v>
      </c>
      <c r="Z168" s="2625" t="n">
        <v>0</v>
      </c>
      <c r="AA168" s="2625" t="n">
        <v>0</v>
      </c>
      <c r="AB168" s="2625" t="n">
        <v>0</v>
      </c>
      <c r="AC168" s="2625" t="n">
        <v>0</v>
      </c>
      <c r="AD168" s="2625" t="n">
        <v>0</v>
      </c>
      <c r="AE168" s="2626">
        <f>SUM(S168:AD168)</f>
        <v/>
      </c>
      <c r="AF168" s="1436" t="n"/>
      <c r="AG168" s="2625" t="n">
        <v>0</v>
      </c>
      <c r="AH168" s="2625" t="n">
        <v>0</v>
      </c>
      <c r="AI168" s="2625" t="n">
        <v>0</v>
      </c>
      <c r="AJ168" s="2625" t="n">
        <v>0</v>
      </c>
      <c r="AK168" s="2625" t="n">
        <v>0</v>
      </c>
      <c r="AL168" s="2625" t="n"/>
      <c r="AM168" s="2625" t="n">
        <v>0</v>
      </c>
      <c r="AN168" s="2625" t="n">
        <v>0</v>
      </c>
      <c r="AO168" s="2625" t="n"/>
      <c r="AP168" s="2625" t="n">
        <v>0</v>
      </c>
      <c r="AQ168" s="2625" t="n">
        <v>0</v>
      </c>
      <c r="AR168" s="2627" t="n">
        <v>0</v>
      </c>
      <c r="AS168" s="2626">
        <f>SUM(AG168:AR168)</f>
        <v/>
      </c>
      <c r="AT168" s="2615">
        <f>SUM(AG168:AP168)</f>
        <v/>
      </c>
      <c r="AU168" s="2627" t="n"/>
      <c r="AV168" s="2627" t="n"/>
      <c r="AW168" s="2627" t="n"/>
      <c r="AX168" s="2627" t="n"/>
      <c r="AY168" s="2627" t="n"/>
      <c r="AZ168" s="2627" t="n"/>
      <c r="BA168" s="2627" t="n"/>
      <c r="BB168" s="2627" t="n"/>
      <c r="BC168" s="2627" t="n"/>
      <c r="BD168" s="2627" t="n"/>
      <c r="BE168" s="2627" t="n"/>
      <c r="BF168" s="2627" t="n"/>
      <c r="BG168" s="2628">
        <f>SUM(AU168:BF168)</f>
        <v/>
      </c>
      <c r="BI168" s="2627" t="n"/>
      <c r="BJ168" s="2627" t="n"/>
      <c r="BK168" s="2627" t="n"/>
      <c r="BL168" s="2627" t="n"/>
      <c r="BM168" s="2627" t="n"/>
      <c r="BN168" s="2627" t="n"/>
      <c r="BO168" s="2627" t="n"/>
      <c r="BP168" s="2627" t="n"/>
      <c r="BQ168" s="2627" t="n"/>
      <c r="BR168" s="2627" t="n"/>
      <c r="BS168" s="2627" t="n"/>
      <c r="BT168" s="2627" t="n"/>
      <c r="BU168" s="2628">
        <f>SUM(BI168:BT168)</f>
        <v/>
      </c>
    </row>
    <row r="169" hidden="1" outlineLevel="1">
      <c r="A169" s="1436" t="n"/>
      <c r="B169" s="1480" t="inlineStr">
        <is>
          <t>외화환산이익</t>
        </is>
      </c>
      <c r="C169" s="1436" t="n"/>
      <c r="D169" s="2625" t="n"/>
      <c r="E169" s="2625" t="n"/>
      <c r="F169" s="2625" t="n"/>
      <c r="G169" s="2625" t="n"/>
      <c r="H169" s="2625" t="n"/>
      <c r="I169" s="2625" t="n">
        <v>0</v>
      </c>
      <c r="J169" s="2625" t="n">
        <v>0</v>
      </c>
      <c r="K169" s="2625" t="n">
        <v>0</v>
      </c>
      <c r="L169" s="2625" t="n">
        <v>0</v>
      </c>
      <c r="M169" s="2625" t="n">
        <v>0</v>
      </c>
      <c r="N169" s="2625" t="n">
        <v>0</v>
      </c>
      <c r="O169" s="2625" t="n">
        <v>0</v>
      </c>
      <c r="P169" s="2626">
        <f>SUM(D169:O169)</f>
        <v/>
      </c>
      <c r="Q169" s="1436" t="n"/>
      <c r="R169" s="1436" t="n"/>
      <c r="S169" s="2625" t="n">
        <v>0</v>
      </c>
      <c r="T169" s="2625" t="n">
        <v>0</v>
      </c>
      <c r="U169" s="2625" t="n">
        <v>0</v>
      </c>
      <c r="V169" s="2625" t="n">
        <v>0</v>
      </c>
      <c r="W169" s="2625" t="n">
        <v>0</v>
      </c>
      <c r="X169" s="2625" t="n">
        <v>0</v>
      </c>
      <c r="Y169" s="2625" t="n">
        <v>0</v>
      </c>
      <c r="Z169" s="2625" t="n">
        <v>0</v>
      </c>
      <c r="AA169" s="2625" t="n">
        <v>0</v>
      </c>
      <c r="AB169" s="2625" t="n">
        <v>0</v>
      </c>
      <c r="AC169" s="2625" t="n">
        <v>0</v>
      </c>
      <c r="AD169" s="2625" t="n">
        <v>0</v>
      </c>
      <c r="AE169" s="2626">
        <f>SUM(S169:AD169)</f>
        <v/>
      </c>
      <c r="AF169" s="1436" t="n"/>
      <c r="AG169" s="2625" t="n">
        <v>0</v>
      </c>
      <c r="AH169" s="2625" t="n">
        <v>0</v>
      </c>
      <c r="AI169" s="2625" t="n">
        <v>0</v>
      </c>
      <c r="AJ169" s="2625" t="n">
        <v>0</v>
      </c>
      <c r="AK169" s="2625" t="n">
        <v>0</v>
      </c>
      <c r="AL169" s="2625" t="n"/>
      <c r="AM169" s="2625" t="n">
        <v>0</v>
      </c>
      <c r="AN169" s="2625" t="n">
        <v>0</v>
      </c>
      <c r="AO169" s="2625" t="n"/>
      <c r="AP169" s="2625" t="n">
        <v>0</v>
      </c>
      <c r="AQ169" s="2625" t="n">
        <v>0</v>
      </c>
      <c r="AR169" s="2627" t="n">
        <v>0</v>
      </c>
      <c r="AS169" s="2626">
        <f>SUM(AG169:AR169)</f>
        <v/>
      </c>
      <c r="AT169" s="2615">
        <f>SUM(AG169:AP169)</f>
        <v/>
      </c>
      <c r="AU169" s="2627" t="n"/>
      <c r="AV169" s="2627" t="n"/>
      <c r="AW169" s="2627" t="n"/>
      <c r="AX169" s="2627" t="n"/>
      <c r="AY169" s="2627" t="n"/>
      <c r="AZ169" s="2627" t="n"/>
      <c r="BA169" s="2627" t="n"/>
      <c r="BB169" s="2627" t="n"/>
      <c r="BC169" s="2627" t="n"/>
      <c r="BD169" s="2627" t="n"/>
      <c r="BE169" s="2627" t="n"/>
      <c r="BF169" s="2627" t="n"/>
      <c r="BG169" s="2628">
        <f>SUM(AU169:BF169)</f>
        <v/>
      </c>
      <c r="BI169" s="2627" t="n"/>
      <c r="BJ169" s="2627" t="n"/>
      <c r="BK169" s="2627" t="n"/>
      <c r="BL169" s="2627" t="n"/>
      <c r="BM169" s="2627" t="n"/>
      <c r="BN169" s="2627" t="n"/>
      <c r="BO169" s="2627" t="n"/>
      <c r="BP169" s="2627" t="n"/>
      <c r="BQ169" s="2627" t="n"/>
      <c r="BR169" s="2627" t="n"/>
      <c r="BS169" s="2627" t="n"/>
      <c r="BT169" s="2627" t="n"/>
      <c r="BU169" s="2628">
        <f>SUM(BI169:BT169)</f>
        <v/>
      </c>
    </row>
    <row r="170" hidden="1" outlineLevel="1">
      <c r="A170" s="1436" t="n"/>
      <c r="B170" s="1480" t="inlineStr">
        <is>
          <t>금융보증부채환입</t>
        </is>
      </c>
      <c r="C170" s="1436" t="n"/>
      <c r="D170" s="2625" t="n"/>
      <c r="E170" s="2625" t="n"/>
      <c r="F170" s="2625" t="n"/>
      <c r="G170" s="2625" t="n"/>
      <c r="H170" s="2625" t="n"/>
      <c r="I170" s="2625" t="n">
        <v>0</v>
      </c>
      <c r="J170" s="2625" t="n">
        <v>0</v>
      </c>
      <c r="K170" s="2625" t="n">
        <v>0</v>
      </c>
      <c r="L170" s="2625" t="n">
        <v>0</v>
      </c>
      <c r="M170" s="2625" t="n">
        <v>0</v>
      </c>
      <c r="N170" s="2625" t="n">
        <v>0</v>
      </c>
      <c r="O170" s="2625" t="n">
        <v>0</v>
      </c>
      <c r="P170" s="2626">
        <f>SUM(D170:O170)</f>
        <v/>
      </c>
      <c r="Q170" s="1436" t="n"/>
      <c r="R170" s="1436" t="n"/>
      <c r="S170" s="2625" t="n">
        <v>0</v>
      </c>
      <c r="T170" s="2625" t="n">
        <v>0</v>
      </c>
      <c r="U170" s="2625" t="n">
        <v>0</v>
      </c>
      <c r="V170" s="2625" t="n">
        <v>0</v>
      </c>
      <c r="W170" s="2625" t="n">
        <v>0</v>
      </c>
      <c r="X170" s="2625" t="n">
        <v>0</v>
      </c>
      <c r="Y170" s="2625" t="n">
        <v>0</v>
      </c>
      <c r="Z170" s="2625" t="n">
        <v>0</v>
      </c>
      <c r="AA170" s="2625" t="n">
        <v>0</v>
      </c>
      <c r="AB170" s="2625" t="n">
        <v>0</v>
      </c>
      <c r="AC170" s="2625" t="n">
        <v>0</v>
      </c>
      <c r="AD170" s="2625" t="n">
        <v>0</v>
      </c>
      <c r="AE170" s="2626">
        <f>SUM(S170:AD170)</f>
        <v/>
      </c>
      <c r="AF170" s="1436" t="n"/>
      <c r="AG170" s="2625" t="n">
        <v>0</v>
      </c>
      <c r="AH170" s="2625" t="n">
        <v>0</v>
      </c>
      <c r="AI170" s="2625" t="n">
        <v>0</v>
      </c>
      <c r="AJ170" s="2625" t="n">
        <v>0</v>
      </c>
      <c r="AK170" s="2625" t="n">
        <v>0</v>
      </c>
      <c r="AL170" s="2625" t="n"/>
      <c r="AM170" s="2625" t="n">
        <v>0</v>
      </c>
      <c r="AN170" s="2625" t="n">
        <v>0</v>
      </c>
      <c r="AO170" s="2625" t="n"/>
      <c r="AP170" s="2625" t="n">
        <v>0</v>
      </c>
      <c r="AQ170" s="2625" t="n">
        <v>0</v>
      </c>
      <c r="AR170" s="2627" t="n">
        <v>0</v>
      </c>
      <c r="AS170" s="2626">
        <f>SUM(AG170:AR170)</f>
        <v/>
      </c>
      <c r="AT170" s="2615">
        <f>SUM(AG170:AP170)</f>
        <v/>
      </c>
      <c r="AU170" s="2627" t="n"/>
      <c r="AV170" s="2627" t="n"/>
      <c r="AW170" s="2627" t="n"/>
      <c r="AX170" s="2627" t="n"/>
      <c r="AY170" s="2627" t="n"/>
      <c r="AZ170" s="2627" t="n"/>
      <c r="BA170" s="2627" t="n"/>
      <c r="BB170" s="2627" t="n"/>
      <c r="BC170" s="2627" t="n"/>
      <c r="BD170" s="2627" t="n"/>
      <c r="BE170" s="2627" t="n"/>
      <c r="BF170" s="2627" t="n"/>
      <c r="BG170" s="2628">
        <f>SUM(AU170:BF170)</f>
        <v/>
      </c>
      <c r="BI170" s="2627" t="n"/>
      <c r="BJ170" s="2627" t="n"/>
      <c r="BK170" s="2627" t="n"/>
      <c r="BL170" s="2627" t="n"/>
      <c r="BM170" s="2627" t="n"/>
      <c r="BN170" s="2627" t="n"/>
      <c r="BO170" s="2627" t="n"/>
      <c r="BP170" s="2627" t="n"/>
      <c r="BQ170" s="2627" t="n"/>
      <c r="BR170" s="2627" t="n"/>
      <c r="BS170" s="2627" t="n"/>
      <c r="BT170" s="2627" t="n"/>
      <c r="BU170" s="2628">
        <f>SUM(BI170:BT170)</f>
        <v/>
      </c>
    </row>
    <row r="171" hidden="1" outlineLevel="1">
      <c r="A171" s="1436" t="n"/>
      <c r="B171" s="1480" t="inlineStr">
        <is>
          <t>하자보수충당부채환입</t>
        </is>
      </c>
      <c r="C171" s="1436" t="n"/>
      <c r="D171" s="2625" t="n"/>
      <c r="E171" s="2625" t="n"/>
      <c r="F171" s="2625" t="n"/>
      <c r="G171" s="2625" t="n"/>
      <c r="H171" s="2625" t="n"/>
      <c r="I171" s="2625" t="n">
        <v>0</v>
      </c>
      <c r="J171" s="2625" t="n">
        <v>0</v>
      </c>
      <c r="K171" s="2625" t="n">
        <v>0</v>
      </c>
      <c r="L171" s="2625" t="n">
        <v>0</v>
      </c>
      <c r="M171" s="2625" t="n">
        <v>0</v>
      </c>
      <c r="N171" s="2625" t="n">
        <v>0</v>
      </c>
      <c r="O171" s="2625" t="n">
        <v>0</v>
      </c>
      <c r="P171" s="2626">
        <f>SUM(D171:O171)</f>
        <v/>
      </c>
      <c r="Q171" s="1436" t="n"/>
      <c r="R171" s="1436" t="n"/>
      <c r="S171" s="2625" t="n">
        <v>0</v>
      </c>
      <c r="T171" s="2625" t="n">
        <v>0</v>
      </c>
      <c r="U171" s="2625" t="n">
        <v>0</v>
      </c>
      <c r="V171" s="2625" t="n">
        <v>0</v>
      </c>
      <c r="W171" s="2625" t="n">
        <v>0</v>
      </c>
      <c r="X171" s="2625" t="n">
        <v>0</v>
      </c>
      <c r="Y171" s="2625" t="n">
        <v>0</v>
      </c>
      <c r="Z171" s="2625" t="n">
        <v>0</v>
      </c>
      <c r="AA171" s="2625" t="n">
        <v>0</v>
      </c>
      <c r="AB171" s="2625" t="n">
        <v>0</v>
      </c>
      <c r="AC171" s="2625" t="n">
        <v>0</v>
      </c>
      <c r="AD171" s="2625" t="n">
        <v>0</v>
      </c>
      <c r="AE171" s="2626">
        <f>SUM(S171:AD171)</f>
        <v/>
      </c>
      <c r="AF171" s="1436" t="n"/>
      <c r="AG171" s="2625" t="n">
        <v>0</v>
      </c>
      <c r="AH171" s="2625" t="n">
        <v>0</v>
      </c>
      <c r="AI171" s="2625" t="n">
        <v>0</v>
      </c>
      <c r="AJ171" s="2625" t="n">
        <v>0</v>
      </c>
      <c r="AK171" s="2625" t="n">
        <v>0</v>
      </c>
      <c r="AL171" s="2625" t="n"/>
      <c r="AM171" s="2625" t="n">
        <v>0</v>
      </c>
      <c r="AN171" s="2625" t="n">
        <v>0</v>
      </c>
      <c r="AO171" s="2625" t="n"/>
      <c r="AP171" s="2625" t="n">
        <v>0</v>
      </c>
      <c r="AQ171" s="2625" t="n">
        <v>0</v>
      </c>
      <c r="AR171" s="2627" t="n">
        <v>0</v>
      </c>
      <c r="AS171" s="2626">
        <f>SUM(AG171:AR171)</f>
        <v/>
      </c>
      <c r="AT171" s="2615">
        <f>SUM(AG171:AP171)</f>
        <v/>
      </c>
      <c r="AU171" s="2627" t="n"/>
      <c r="AV171" s="2627" t="n"/>
      <c r="AW171" s="2627" t="n"/>
      <c r="AX171" s="2627" t="n"/>
      <c r="AY171" s="2627" t="n"/>
      <c r="AZ171" s="2627" t="n"/>
      <c r="BA171" s="2627" t="n"/>
      <c r="BB171" s="2627" t="n"/>
      <c r="BC171" s="2627" t="n"/>
      <c r="BD171" s="2627" t="n"/>
      <c r="BE171" s="2627" t="n"/>
      <c r="BF171" s="2627" t="n"/>
      <c r="BG171" s="2628">
        <f>SUM(AU171:BF171)</f>
        <v/>
      </c>
      <c r="BI171" s="2627" t="n"/>
      <c r="BJ171" s="2627" t="n"/>
      <c r="BK171" s="2627" t="n"/>
      <c r="BL171" s="2627" t="n"/>
      <c r="BM171" s="2627" t="n"/>
      <c r="BN171" s="2627" t="n"/>
      <c r="BO171" s="2627" t="n"/>
      <c r="BP171" s="2627" t="n"/>
      <c r="BQ171" s="2627" t="n"/>
      <c r="BR171" s="2627" t="n"/>
      <c r="BS171" s="2627" t="n"/>
      <c r="BT171" s="2627" t="n"/>
      <c r="BU171" s="2628">
        <f>SUM(BI171:BT171)</f>
        <v/>
      </c>
    </row>
    <row r="172" hidden="1" outlineLevel="1">
      <c r="A172" s="1436" t="n"/>
      <c r="B172" s="1480" t="inlineStr">
        <is>
          <t>유형자산처분이익</t>
        </is>
      </c>
      <c r="C172" s="1436" t="n"/>
      <c r="D172" s="2625" t="n"/>
      <c r="E172" s="2625" t="n"/>
      <c r="F172" s="2625" t="n"/>
      <c r="G172" s="2625" t="n"/>
      <c r="H172" s="2625" t="n"/>
      <c r="I172" s="2625" t="n">
        <v>0</v>
      </c>
      <c r="J172" s="2625" t="n">
        <v>0</v>
      </c>
      <c r="K172" s="2625" t="n">
        <v>0</v>
      </c>
      <c r="L172" s="2625" t="n">
        <v>0</v>
      </c>
      <c r="M172" s="2625" t="n">
        <v>0</v>
      </c>
      <c r="N172" s="2625" t="n">
        <v>0</v>
      </c>
      <c r="O172" s="2625" t="n">
        <v>0</v>
      </c>
      <c r="P172" s="2626">
        <f>SUM(D172:O172)</f>
        <v/>
      </c>
      <c r="Q172" s="1436" t="n"/>
      <c r="R172" s="1436" t="n"/>
      <c r="S172" s="2625" t="n">
        <v>0</v>
      </c>
      <c r="T172" s="2625" t="n">
        <v>0</v>
      </c>
      <c r="U172" s="2625" t="n">
        <v>0</v>
      </c>
      <c r="V172" s="2625" t="n">
        <v>0</v>
      </c>
      <c r="W172" s="2625" t="n">
        <v>34583172</v>
      </c>
      <c r="X172" s="2625" t="n">
        <v>0</v>
      </c>
      <c r="Y172" s="2625" t="n">
        <v>0</v>
      </c>
      <c r="Z172" s="2625" t="n">
        <v>0</v>
      </c>
      <c r="AA172" s="2625" t="n">
        <v>0</v>
      </c>
      <c r="AB172" s="2625" t="n">
        <v>0</v>
      </c>
      <c r="AC172" s="2625" t="n">
        <v>85752815</v>
      </c>
      <c r="AD172" s="2625" t="n">
        <v>6029173</v>
      </c>
      <c r="AE172" s="2626">
        <f>SUM(S172:AD172)</f>
        <v/>
      </c>
      <c r="AF172" s="1436" t="n"/>
      <c r="AG172" s="2625" t="n">
        <v>0</v>
      </c>
      <c r="AH172" s="2625" t="n">
        <v>0</v>
      </c>
      <c r="AI172" s="2625" t="n">
        <v>0</v>
      </c>
      <c r="AJ172" s="2625" t="n">
        <v>0</v>
      </c>
      <c r="AK172" s="2625" t="n">
        <v>0</v>
      </c>
      <c r="AL172" s="2625" t="n"/>
      <c r="AM172" s="2625" t="n">
        <v>0</v>
      </c>
      <c r="AN172" s="2625" t="n">
        <v>1011382</v>
      </c>
      <c r="AO172" s="2625" t="n"/>
      <c r="AP172" s="2625" t="n">
        <v>998160</v>
      </c>
      <c r="AQ172" s="2625" t="n">
        <v>0</v>
      </c>
      <c r="AR172" s="2627" t="n">
        <v>0</v>
      </c>
      <c r="AS172" s="2626">
        <f>SUM(AG172:AR172)</f>
        <v/>
      </c>
      <c r="AT172" s="2615">
        <f>SUM(AG172:AP172)</f>
        <v/>
      </c>
      <c r="AU172" s="2627" t="n"/>
      <c r="AV172" s="2627" t="n"/>
      <c r="AW172" s="2627" t="n"/>
      <c r="AX172" s="2627" t="n"/>
      <c r="AY172" s="2627" t="n"/>
      <c r="AZ172" s="2627" t="n"/>
      <c r="BA172" s="2627" t="n"/>
      <c r="BB172" s="2627" t="n"/>
      <c r="BC172" s="2627" t="n"/>
      <c r="BD172" s="2627" t="n"/>
      <c r="BE172" s="2627" t="n"/>
      <c r="BF172" s="2627" t="n"/>
      <c r="BG172" s="2628">
        <f>SUM(AU172:BF172)</f>
        <v/>
      </c>
      <c r="BI172" s="2627" t="n"/>
      <c r="BJ172" s="2627" t="n"/>
      <c r="BK172" s="2627" t="n"/>
      <c r="BL172" s="2627" t="n"/>
      <c r="BM172" s="2627" t="n"/>
      <c r="BN172" s="2627" t="n"/>
      <c r="BO172" s="2627" t="n"/>
      <c r="BP172" s="2627" t="n"/>
      <c r="BQ172" s="2627" t="n"/>
      <c r="BR172" s="2627" t="n"/>
      <c r="BS172" s="2627" t="n"/>
      <c r="BT172" s="2627" t="n"/>
      <c r="BU172" s="2628">
        <f>SUM(BI172:BT172)</f>
        <v/>
      </c>
    </row>
    <row r="173" hidden="1" outlineLevel="1">
      <c r="A173" s="1436" t="n"/>
      <c r="B173" s="1480" t="inlineStr">
        <is>
          <t>무형자산처분이익</t>
        </is>
      </c>
      <c r="C173" s="1436" t="n"/>
      <c r="D173" s="2625" t="n"/>
      <c r="E173" s="2625" t="n"/>
      <c r="F173" s="2625" t="n"/>
      <c r="G173" s="2625" t="n"/>
      <c r="H173" s="2625" t="n"/>
      <c r="I173" s="2625" t="n">
        <v>0</v>
      </c>
      <c r="J173" s="2625" t="n">
        <v>0</v>
      </c>
      <c r="K173" s="2625" t="n">
        <v>0</v>
      </c>
      <c r="L173" s="2625" t="n">
        <v>0</v>
      </c>
      <c r="M173" s="2625" t="n">
        <v>0</v>
      </c>
      <c r="N173" s="2625" t="n">
        <v>0</v>
      </c>
      <c r="O173" s="2625" t="n">
        <v>0</v>
      </c>
      <c r="P173" s="2626">
        <f>SUM(D173:O173)</f>
        <v/>
      </c>
      <c r="Q173" s="1436" t="n"/>
      <c r="R173" s="1436" t="n"/>
      <c r="S173" s="2625" t="n">
        <v>0</v>
      </c>
      <c r="T173" s="2625" t="n">
        <v>0</v>
      </c>
      <c r="U173" s="2625" t="n">
        <v>0</v>
      </c>
      <c r="V173" s="2625" t="n">
        <v>0</v>
      </c>
      <c r="W173" s="2625" t="n">
        <v>0</v>
      </c>
      <c r="X173" s="2625" t="n">
        <v>0</v>
      </c>
      <c r="Y173" s="2625" t="n">
        <v>0</v>
      </c>
      <c r="Z173" s="2625" t="n">
        <v>0</v>
      </c>
      <c r="AA173" s="2625" t="n">
        <v>0</v>
      </c>
      <c r="AB173" s="2625" t="n">
        <v>0</v>
      </c>
      <c r="AC173" s="2625" t="n">
        <v>0</v>
      </c>
      <c r="AD173" s="2625" t="n">
        <v>0</v>
      </c>
      <c r="AE173" s="2626">
        <f>SUM(S173:AD173)</f>
        <v/>
      </c>
      <c r="AF173" s="1436" t="n"/>
      <c r="AG173" s="2625" t="n">
        <v>0</v>
      </c>
      <c r="AH173" s="2625" t="n">
        <v>0</v>
      </c>
      <c r="AI173" s="2625" t="n">
        <v>0</v>
      </c>
      <c r="AJ173" s="2625" t="n">
        <v>0</v>
      </c>
      <c r="AK173" s="2625" t="n">
        <v>0</v>
      </c>
      <c r="AL173" s="2625" t="n"/>
      <c r="AM173" s="2625" t="n">
        <v>0</v>
      </c>
      <c r="AN173" s="2625" t="n">
        <v>0</v>
      </c>
      <c r="AO173" s="2625" t="n"/>
      <c r="AP173" s="2625" t="n">
        <v>0</v>
      </c>
      <c r="AQ173" s="2625" t="n">
        <v>0</v>
      </c>
      <c r="AR173" s="2627" t="n">
        <v>0</v>
      </c>
      <c r="AS173" s="2626">
        <f>SUM(AG173:AR173)</f>
        <v/>
      </c>
      <c r="AT173" s="2615">
        <f>SUM(AG173:AP173)</f>
        <v/>
      </c>
      <c r="AU173" s="2627" t="n"/>
      <c r="AV173" s="2627" t="n"/>
      <c r="AW173" s="2627" t="n"/>
      <c r="AX173" s="2627" t="n"/>
      <c r="AY173" s="2627" t="n"/>
      <c r="AZ173" s="2627" t="n"/>
      <c r="BA173" s="2627" t="n"/>
      <c r="BB173" s="2627" t="n"/>
      <c r="BC173" s="2627" t="n"/>
      <c r="BD173" s="2627" t="n"/>
      <c r="BE173" s="2627" t="n"/>
      <c r="BF173" s="2627" t="n"/>
      <c r="BG173" s="2628">
        <f>SUM(AU173:BF173)</f>
        <v/>
      </c>
      <c r="BI173" s="2627" t="n"/>
      <c r="BJ173" s="2627" t="n"/>
      <c r="BK173" s="2627" t="n"/>
      <c r="BL173" s="2627" t="n"/>
      <c r="BM173" s="2627" t="n"/>
      <c r="BN173" s="2627" t="n"/>
      <c r="BO173" s="2627" t="n"/>
      <c r="BP173" s="2627" t="n"/>
      <c r="BQ173" s="2627" t="n"/>
      <c r="BR173" s="2627" t="n"/>
      <c r="BS173" s="2627" t="n"/>
      <c r="BT173" s="2627" t="n"/>
      <c r="BU173" s="2628">
        <f>SUM(BI173:BT173)</f>
        <v/>
      </c>
    </row>
    <row r="174" hidden="1" outlineLevel="1">
      <c r="A174" s="1436" t="n"/>
      <c r="B174" s="1480" t="inlineStr">
        <is>
          <t>매각예정비유동자산처분이익</t>
        </is>
      </c>
      <c r="C174" s="1436" t="n"/>
      <c r="D174" s="2625" t="n"/>
      <c r="E174" s="2625" t="n"/>
      <c r="F174" s="2625" t="n"/>
      <c r="G174" s="2625" t="n"/>
      <c r="H174" s="2625" t="n"/>
      <c r="I174" s="2625" t="n"/>
      <c r="J174" s="2625" t="n"/>
      <c r="K174" s="2625" t="n"/>
      <c r="L174" s="2625" t="n"/>
      <c r="M174" s="2625" t="n"/>
      <c r="N174" s="2625" t="n"/>
      <c r="O174" s="2625" t="n"/>
      <c r="P174" s="2626">
        <f>SUM(D174:O174)</f>
        <v/>
      </c>
      <c r="Q174" s="1436" t="n"/>
      <c r="R174" s="1436" t="n"/>
      <c r="S174" s="2625" t="n"/>
      <c r="T174" s="2625" t="n"/>
      <c r="U174" s="2625" t="n">
        <v>0</v>
      </c>
      <c r="V174" s="2625" t="n">
        <v>0</v>
      </c>
      <c r="W174" s="2625" t="n">
        <v>0</v>
      </c>
      <c r="X174" s="2625" t="n">
        <v>0</v>
      </c>
      <c r="Y174" s="2625" t="n">
        <v>0</v>
      </c>
      <c r="Z174" s="2625" t="n">
        <v>0</v>
      </c>
      <c r="AA174" s="2625" t="n">
        <v>0</v>
      </c>
      <c r="AB174" s="2625" t="n">
        <v>0</v>
      </c>
      <c r="AC174" s="2625" t="n">
        <v>0</v>
      </c>
      <c r="AD174" s="2625" t="n">
        <v>0</v>
      </c>
      <c r="AE174" s="2626">
        <f>SUM(S174:AD174)</f>
        <v/>
      </c>
      <c r="AF174" s="1436" t="n"/>
      <c r="AG174" s="2625" t="n">
        <v>0</v>
      </c>
      <c r="AH174" s="2625" t="n">
        <v>0</v>
      </c>
      <c r="AI174" s="2625" t="n">
        <v>0</v>
      </c>
      <c r="AJ174" s="2625" t="n">
        <v>0</v>
      </c>
      <c r="AK174" s="2625" t="n">
        <v>0</v>
      </c>
      <c r="AL174" s="2625" t="n"/>
      <c r="AM174" s="2625" t="n">
        <v>0</v>
      </c>
      <c r="AN174" s="2625" t="n">
        <v>0</v>
      </c>
      <c r="AO174" s="2625" t="n"/>
      <c r="AP174" s="2625" t="n">
        <v>0</v>
      </c>
      <c r="AQ174" s="2625" t="n">
        <v>0</v>
      </c>
      <c r="AR174" s="2627" t="n">
        <v>0</v>
      </c>
      <c r="AS174" s="2626">
        <f>SUM(AG174:AR174)</f>
        <v/>
      </c>
      <c r="AT174" s="2615">
        <f>SUM(AG174:AP174)</f>
        <v/>
      </c>
      <c r="AU174" s="2627" t="n"/>
      <c r="AV174" s="2627" t="n"/>
      <c r="AW174" s="2627" t="n"/>
      <c r="AX174" s="2627" t="n"/>
      <c r="AY174" s="2627" t="n"/>
      <c r="AZ174" s="2627" t="n"/>
      <c r="BA174" s="2627" t="n"/>
      <c r="BB174" s="2627" t="n"/>
      <c r="BC174" s="2627" t="n"/>
      <c r="BD174" s="2627" t="n"/>
      <c r="BE174" s="2627" t="n"/>
      <c r="BF174" s="2627" t="n"/>
      <c r="BG174" s="2628">
        <f>SUM(AU174:BF174)</f>
        <v/>
      </c>
      <c r="BI174" s="2627" t="n"/>
      <c r="BJ174" s="2627" t="n"/>
      <c r="BK174" s="2627" t="n"/>
      <c r="BL174" s="2627" t="n"/>
      <c r="BM174" s="2627" t="n"/>
      <c r="BN174" s="2627" t="n"/>
      <c r="BO174" s="2627" t="n"/>
      <c r="BP174" s="2627" t="n"/>
      <c r="BQ174" s="2627" t="n"/>
      <c r="BR174" s="2627" t="n"/>
      <c r="BS174" s="2627" t="n"/>
      <c r="BT174" s="2627" t="n"/>
      <c r="BU174" s="2628">
        <f>SUM(BI174:BT174)</f>
        <v/>
      </c>
    </row>
    <row r="175" hidden="1" outlineLevel="1">
      <c r="A175" s="1436" t="n"/>
      <c r="B175" s="1480" t="inlineStr">
        <is>
          <t>무형자산손상차손환입</t>
        </is>
      </c>
      <c r="C175" s="1436" t="n"/>
      <c r="D175" s="2625" t="n"/>
      <c r="E175" s="2625" t="n"/>
      <c r="F175" s="2625" t="n"/>
      <c r="G175" s="2625" t="n"/>
      <c r="H175" s="2625" t="n"/>
      <c r="I175" s="2625" t="n"/>
      <c r="J175" s="2625" t="n"/>
      <c r="K175" s="2625" t="n"/>
      <c r="L175" s="2625" t="n"/>
      <c r="M175" s="2625" t="n"/>
      <c r="N175" s="2625" t="n"/>
      <c r="O175" s="2625" t="n"/>
      <c r="P175" s="2626">
        <f>SUM(D175:O175)</f>
        <v/>
      </c>
      <c r="Q175" s="1436" t="n"/>
      <c r="R175" s="1436" t="n"/>
      <c r="S175" s="2625" t="n"/>
      <c r="T175" s="2625" t="n"/>
      <c r="U175" s="2625" t="n"/>
      <c r="V175" s="2625" t="n"/>
      <c r="W175" s="2625" t="n"/>
      <c r="X175" s="2625" t="n">
        <v>0</v>
      </c>
      <c r="Y175" s="2625" t="n">
        <v>0</v>
      </c>
      <c r="Z175" s="2625" t="n">
        <v>0</v>
      </c>
      <c r="AA175" s="2625" t="n">
        <v>0</v>
      </c>
      <c r="AB175" s="2625" t="n">
        <v>0</v>
      </c>
      <c r="AC175" s="2625" t="n">
        <v>0</v>
      </c>
      <c r="AD175" s="2625" t="n">
        <v>0</v>
      </c>
      <c r="AE175" s="2626">
        <f>SUM(S175:AD175)</f>
        <v/>
      </c>
      <c r="AF175" s="1436" t="n"/>
      <c r="AG175" s="2625" t="n">
        <v>0</v>
      </c>
      <c r="AH175" s="2625" t="n">
        <v>0</v>
      </c>
      <c r="AI175" s="2625" t="n">
        <v>0</v>
      </c>
      <c r="AJ175" s="2625" t="n">
        <v>0</v>
      </c>
      <c r="AK175" s="2625" t="n">
        <v>0</v>
      </c>
      <c r="AL175" s="2625" t="n"/>
      <c r="AM175" s="2625" t="n">
        <v>0</v>
      </c>
      <c r="AN175" s="2625" t="n">
        <v>0</v>
      </c>
      <c r="AO175" s="2625" t="n"/>
      <c r="AP175" s="2625" t="n">
        <v>0</v>
      </c>
      <c r="AQ175" s="2625" t="n">
        <v>0</v>
      </c>
      <c r="AR175" s="2627" t="n">
        <v>0</v>
      </c>
      <c r="AS175" s="2626">
        <f>SUM(AG175:AR175)</f>
        <v/>
      </c>
      <c r="AT175" s="2615">
        <f>SUM(AG175:AP175)</f>
        <v/>
      </c>
      <c r="AU175" s="2627" t="n"/>
      <c r="AV175" s="2627" t="n"/>
      <c r="AW175" s="2627" t="n"/>
      <c r="AX175" s="2627" t="n"/>
      <c r="AY175" s="2627" t="n"/>
      <c r="AZ175" s="2627" t="n"/>
      <c r="BA175" s="2627" t="n"/>
      <c r="BB175" s="2627" t="n"/>
      <c r="BC175" s="2627" t="n"/>
      <c r="BD175" s="2627" t="n"/>
      <c r="BE175" s="2627" t="n"/>
      <c r="BF175" s="2627" t="n"/>
      <c r="BG175" s="2628">
        <f>SUM(AU175:BF175)</f>
        <v/>
      </c>
      <c r="BI175" s="2627" t="n"/>
      <c r="BJ175" s="2627" t="n"/>
      <c r="BK175" s="2627" t="n"/>
      <c r="BL175" s="2627" t="n"/>
      <c r="BM175" s="2627" t="n"/>
      <c r="BN175" s="2627" t="n"/>
      <c r="BO175" s="2627" t="n"/>
      <c r="BP175" s="2627" t="n"/>
      <c r="BQ175" s="2627" t="n"/>
      <c r="BR175" s="2627" t="n"/>
      <c r="BS175" s="2627" t="n"/>
      <c r="BT175" s="2627" t="n"/>
      <c r="BU175" s="2628">
        <f>SUM(BI175:BT175)</f>
        <v/>
      </c>
    </row>
    <row r="176" hidden="1" outlineLevel="1">
      <c r="A176" s="1436" t="n"/>
      <c r="B176" s="1480" t="inlineStr">
        <is>
          <t>잡이익</t>
        </is>
      </c>
      <c r="C176" s="1436" t="n"/>
      <c r="D176" s="2625" t="n"/>
      <c r="E176" s="2625" t="n"/>
      <c r="F176" s="2625" t="n"/>
      <c r="G176" s="2625" t="n">
        <v>200</v>
      </c>
      <c r="H176" s="2625" t="n">
        <v>710</v>
      </c>
      <c r="I176" s="2625" t="n">
        <v>700</v>
      </c>
      <c r="J176" s="2625" t="n">
        <v>760</v>
      </c>
      <c r="K176" s="2625" t="n">
        <v>706</v>
      </c>
      <c r="L176" s="2625" t="n">
        <v>1050</v>
      </c>
      <c r="M176" s="2625" t="n">
        <v>1710</v>
      </c>
      <c r="N176" s="2625" t="n">
        <v>714</v>
      </c>
      <c r="O176" s="2625" t="n">
        <v>700</v>
      </c>
      <c r="P176" s="2626">
        <f>SUM(D176:O176)</f>
        <v/>
      </c>
      <c r="Q176" s="1436" t="n"/>
      <c r="R176" s="1436" t="n"/>
      <c r="S176" s="2625" t="n">
        <v>700</v>
      </c>
      <c r="T176" s="2625" t="n">
        <v>700</v>
      </c>
      <c r="U176" s="2625" t="n">
        <v>700</v>
      </c>
      <c r="V176" s="2625" t="n">
        <v>700</v>
      </c>
      <c r="W176" s="2625" t="n">
        <v>40246</v>
      </c>
      <c r="X176" s="2625" t="n">
        <v>13320</v>
      </c>
      <c r="Y176" s="2625" t="n">
        <v>700</v>
      </c>
      <c r="Z176" s="2625" t="n">
        <v>697180</v>
      </c>
      <c r="AA176" s="2625" t="n">
        <v>12147819</v>
      </c>
      <c r="AB176" s="2625" t="n">
        <v>4083</v>
      </c>
      <c r="AC176" s="2625" t="n">
        <v>700</v>
      </c>
      <c r="AD176" s="2625" t="n">
        <v>1507</v>
      </c>
      <c r="AE176" s="2626">
        <f>SUM(S176:AD176)</f>
        <v/>
      </c>
      <c r="AF176" s="1436" t="n"/>
      <c r="AG176" s="2625" t="n">
        <v>707</v>
      </c>
      <c r="AH176" s="2625" t="n">
        <v>706</v>
      </c>
      <c r="AI176" s="2625" t="n">
        <v>4612530</v>
      </c>
      <c r="AJ176" s="2625" t="n">
        <v>707</v>
      </c>
      <c r="AK176" s="2625" t="n">
        <v>78924</v>
      </c>
      <c r="AL176" s="2625">
        <f>14603365-SUM(AG176:AK176)</f>
        <v/>
      </c>
      <c r="AM176" s="2625" t="n">
        <v>7626427</v>
      </c>
      <c r="AN176" s="2625" t="n">
        <v>1400</v>
      </c>
      <c r="AO176" s="2625" t="n">
        <v>700</v>
      </c>
      <c r="AP176" s="2625" t="n">
        <v>22415102</v>
      </c>
      <c r="AQ176" s="2625" t="n">
        <v>700</v>
      </c>
      <c r="AR176" s="2627" t="n">
        <v>74810756</v>
      </c>
      <c r="AS176" s="2626">
        <f>SUM(AG176:AR176)</f>
        <v/>
      </c>
      <c r="AT176" s="2615" t="n"/>
      <c r="AU176" s="2627" t="n"/>
      <c r="AV176" s="2627" t="n"/>
      <c r="AW176" s="2627" t="n"/>
      <c r="AX176" s="2627" t="n"/>
      <c r="AY176" s="2627" t="n"/>
      <c r="AZ176" s="2627" t="n"/>
      <c r="BA176" s="2627" t="n"/>
      <c r="BB176" s="2627" t="n"/>
      <c r="BC176" s="2627" t="n"/>
      <c r="BD176" s="2627" t="n"/>
      <c r="BE176" s="2627" t="n"/>
      <c r="BF176" s="2627" t="n"/>
      <c r="BG176" s="2628">
        <f>SUM(AU176:BF176)</f>
        <v/>
      </c>
      <c r="BI176" s="2627" t="n"/>
      <c r="BJ176" s="2627" t="n"/>
      <c r="BK176" s="2627" t="n"/>
      <c r="BL176" s="2627" t="n"/>
      <c r="BM176" s="2627" t="n"/>
      <c r="BN176" s="2627" t="n"/>
      <c r="BO176" s="2627" t="n"/>
      <c r="BP176" s="2627" t="n"/>
      <c r="BQ176" s="2627" t="n"/>
      <c r="BR176" s="2627" t="n"/>
      <c r="BS176" s="2627" t="n"/>
      <c r="BT176" s="2627" t="n"/>
      <c r="BU176" s="2628">
        <f>SUM(BI176:BT176)</f>
        <v/>
      </c>
    </row>
    <row r="177" hidden="1" outlineLevel="1">
      <c r="A177" s="1436" t="n"/>
      <c r="B177" s="1482" t="inlineStr">
        <is>
          <t>지분법적용투자주식처분이익 (종속기업관계기업투자주식으로 계정 재분류)</t>
        </is>
      </c>
      <c r="C177" s="1436" t="n"/>
      <c r="D177" s="2625" t="n"/>
      <c r="E177" s="2625" t="n"/>
      <c r="F177" s="2625" t="n"/>
      <c r="G177" s="2625" t="n"/>
      <c r="H177" s="2625" t="n"/>
      <c r="I177" s="2625" t="n">
        <v>0</v>
      </c>
      <c r="J177" s="2625" t="n">
        <v>0</v>
      </c>
      <c r="K177" s="2625" t="n">
        <v>0</v>
      </c>
      <c r="L177" s="2625" t="n">
        <v>0</v>
      </c>
      <c r="M177" s="2625" t="n">
        <v>0</v>
      </c>
      <c r="N177" s="2625" t="n">
        <v>0</v>
      </c>
      <c r="O177" s="2625" t="n">
        <v>0</v>
      </c>
      <c r="P177" s="2626">
        <f>SUM(D177:O177)</f>
        <v/>
      </c>
      <c r="Q177" s="1436" t="n"/>
      <c r="R177" s="1436" t="n"/>
      <c r="S177" s="2625" t="n">
        <v>0</v>
      </c>
      <c r="T177" s="2625" t="n">
        <v>0</v>
      </c>
      <c r="U177" s="2625" t="n">
        <v>0</v>
      </c>
      <c r="V177" s="2625" t="n">
        <v>0</v>
      </c>
      <c r="W177" s="2625" t="n">
        <v>0</v>
      </c>
      <c r="X177" s="2625" t="n">
        <v>0</v>
      </c>
      <c r="Y177" s="2625" t="n">
        <v>0</v>
      </c>
      <c r="Z177" s="2625" t="n">
        <v>0</v>
      </c>
      <c r="AA177" s="2625" t="n">
        <v>0</v>
      </c>
      <c r="AB177" s="2625" t="n">
        <v>0</v>
      </c>
      <c r="AC177" s="2625" t="n">
        <v>0</v>
      </c>
      <c r="AD177" s="2625" t="n">
        <v>0</v>
      </c>
      <c r="AE177" s="2626">
        <f>SUM(S177:AD177)</f>
        <v/>
      </c>
      <c r="AF177" s="1436" t="n"/>
      <c r="AG177" s="2625" t="n">
        <v>0</v>
      </c>
      <c r="AH177" s="2625" t="n">
        <v>0</v>
      </c>
      <c r="AI177" s="2625" t="n">
        <v>0</v>
      </c>
      <c r="AJ177" s="2625" t="n">
        <v>0</v>
      </c>
      <c r="AK177" s="2625" t="n">
        <v>0</v>
      </c>
      <c r="AL177" s="2625" t="n"/>
      <c r="AM177" s="2625" t="n">
        <v>0</v>
      </c>
      <c r="AN177" s="2625" t="n">
        <v>0</v>
      </c>
      <c r="AO177" s="2625" t="n"/>
      <c r="AP177" s="2625" t="n">
        <v>0</v>
      </c>
      <c r="AQ177" s="2625" t="n">
        <v>0</v>
      </c>
      <c r="AR177" s="2627" t="n">
        <v>0</v>
      </c>
      <c r="AS177" s="2626">
        <f>SUM(AG177:AR177)</f>
        <v/>
      </c>
      <c r="AT177" s="2615">
        <f>SUM(AG177:AP177)</f>
        <v/>
      </c>
      <c r="AU177" s="2627" t="n"/>
      <c r="AV177" s="2627" t="n"/>
      <c r="AW177" s="2627" t="n"/>
      <c r="AX177" s="2627" t="n"/>
      <c r="AY177" s="2627" t="n"/>
      <c r="AZ177" s="2627" t="n"/>
      <c r="BA177" s="2627" t="n"/>
      <c r="BB177" s="2627" t="n"/>
      <c r="BC177" s="2627" t="n"/>
      <c r="BD177" s="2627" t="n"/>
      <c r="BE177" s="2627" t="n"/>
      <c r="BF177" s="2627" t="n"/>
      <c r="BG177" s="2628">
        <f>SUM(AU177:BF177)</f>
        <v/>
      </c>
      <c r="BI177" s="2627" t="n"/>
      <c r="BJ177" s="2627" t="n"/>
      <c r="BK177" s="2627" t="n"/>
      <c r="BL177" s="2627" t="n"/>
      <c r="BM177" s="2627" t="n"/>
      <c r="BN177" s="2627" t="n"/>
      <c r="BO177" s="2627" t="n"/>
      <c r="BP177" s="2627" t="n"/>
      <c r="BQ177" s="2627" t="n"/>
      <c r="BR177" s="2627" t="n"/>
      <c r="BS177" s="2627" t="n"/>
      <c r="BT177" s="2627" t="n"/>
      <c r="BU177" s="2628">
        <f>SUM(BI177:BT177)</f>
        <v/>
      </c>
    </row>
    <row r="178" hidden="1" outlineLevel="1">
      <c r="A178" s="1436" t="n"/>
      <c r="B178" s="1480" t="inlineStr">
        <is>
          <t>자산수증이익</t>
        </is>
      </c>
      <c r="C178" s="1436" t="n"/>
      <c r="D178" s="2625" t="n"/>
      <c r="E178" s="2625" t="n"/>
      <c r="F178" s="2625" t="n"/>
      <c r="G178" s="2625" t="n"/>
      <c r="H178" s="2625" t="n"/>
      <c r="I178" s="2625" t="n">
        <v>0</v>
      </c>
      <c r="J178" s="2625" t="n">
        <v>0</v>
      </c>
      <c r="K178" s="2625" t="n">
        <v>0</v>
      </c>
      <c r="L178" s="2625" t="n">
        <v>0</v>
      </c>
      <c r="M178" s="2625" t="n">
        <v>0</v>
      </c>
      <c r="N178" s="2625" t="n">
        <v>0</v>
      </c>
      <c r="O178" s="2625" t="n">
        <v>0</v>
      </c>
      <c r="P178" s="2626">
        <f>SUM(D178:O178)</f>
        <v/>
      </c>
      <c r="Q178" s="1436" t="n"/>
      <c r="R178" s="1436" t="n"/>
      <c r="S178" s="2625" t="n">
        <v>0</v>
      </c>
      <c r="T178" s="2625" t="n">
        <v>0</v>
      </c>
      <c r="U178" s="2625" t="n">
        <v>0</v>
      </c>
      <c r="V178" s="2625" t="n">
        <v>0</v>
      </c>
      <c r="W178" s="2625" t="n">
        <v>0</v>
      </c>
      <c r="X178" s="2625" t="n">
        <v>0</v>
      </c>
      <c r="Y178" s="2625" t="n">
        <v>0</v>
      </c>
      <c r="Z178" s="2625" t="n">
        <v>0</v>
      </c>
      <c r="AA178" s="2625" t="n">
        <v>0</v>
      </c>
      <c r="AB178" s="2625" t="n">
        <v>0</v>
      </c>
      <c r="AC178" s="2625" t="n">
        <v>0</v>
      </c>
      <c r="AD178" s="2625" t="n">
        <v>0</v>
      </c>
      <c r="AE178" s="2626">
        <f>SUM(S178:AD178)</f>
        <v/>
      </c>
      <c r="AF178" s="1436" t="n"/>
      <c r="AG178" s="2625" t="n">
        <v>0</v>
      </c>
      <c r="AH178" s="2625" t="n">
        <v>0</v>
      </c>
      <c r="AI178" s="2625" t="n">
        <v>0</v>
      </c>
      <c r="AJ178" s="2625" t="n">
        <v>0</v>
      </c>
      <c r="AK178" s="2625" t="n">
        <v>0</v>
      </c>
      <c r="AL178" s="2625" t="n"/>
      <c r="AM178" s="2625" t="n">
        <v>0</v>
      </c>
      <c r="AN178" s="2625" t="n">
        <v>0</v>
      </c>
      <c r="AO178" s="2625" t="n"/>
      <c r="AP178" s="2625" t="n">
        <v>0</v>
      </c>
      <c r="AQ178" s="2625" t="n">
        <v>0</v>
      </c>
      <c r="AR178" s="2627" t="n">
        <v>0</v>
      </c>
      <c r="AS178" s="2626">
        <f>SUM(AG178:AR178)</f>
        <v/>
      </c>
      <c r="AT178" s="2615">
        <f>SUM(AG178:AP178)</f>
        <v/>
      </c>
      <c r="AU178" s="2627" t="n"/>
      <c r="AV178" s="2627" t="n"/>
      <c r="AW178" s="2627" t="n"/>
      <c r="AX178" s="2627" t="n"/>
      <c r="AY178" s="2627" t="n"/>
      <c r="AZ178" s="2627" t="n"/>
      <c r="BA178" s="2627" t="n"/>
      <c r="BB178" s="2627" t="n"/>
      <c r="BC178" s="2627" t="n"/>
      <c r="BD178" s="2627" t="n"/>
      <c r="BE178" s="2627" t="n"/>
      <c r="BF178" s="2627" t="n"/>
      <c r="BG178" s="2628">
        <f>SUM(AU178:BF178)</f>
        <v/>
      </c>
      <c r="BI178" s="2627" t="n"/>
      <c r="BJ178" s="2627" t="n"/>
      <c r="BK178" s="2627" t="n"/>
      <c r="BL178" s="2627" t="n"/>
      <c r="BM178" s="2627" t="n"/>
      <c r="BN178" s="2627" t="n"/>
      <c r="BO178" s="2627" t="n"/>
      <c r="BP178" s="2627" t="n"/>
      <c r="BQ178" s="2627" t="n"/>
      <c r="BR178" s="2627" t="n"/>
      <c r="BS178" s="2627" t="n"/>
      <c r="BT178" s="2627" t="n"/>
      <c r="BU178" s="2628">
        <f>SUM(BI178:BT178)</f>
        <v/>
      </c>
    </row>
    <row r="179" hidden="1" outlineLevel="1">
      <c r="A179" s="1436" t="n"/>
      <c r="B179" s="1480" t="inlineStr">
        <is>
          <t>채무면제이익</t>
        </is>
      </c>
      <c r="C179" s="1436" t="n"/>
      <c r="D179" s="2625" t="n"/>
      <c r="E179" s="2625" t="n"/>
      <c r="F179" s="2625" t="n"/>
      <c r="G179" s="2625" t="n"/>
      <c r="H179" s="2625" t="n"/>
      <c r="I179" s="2625" t="n">
        <v>0</v>
      </c>
      <c r="J179" s="2625" t="n">
        <v>0</v>
      </c>
      <c r="K179" s="2625" t="n">
        <v>0</v>
      </c>
      <c r="L179" s="2625" t="n">
        <v>0</v>
      </c>
      <c r="M179" s="2625" t="n">
        <v>0</v>
      </c>
      <c r="N179" s="2625" t="n">
        <v>0</v>
      </c>
      <c r="O179" s="2625" t="n">
        <v>0</v>
      </c>
      <c r="P179" s="2626">
        <f>SUM(D179:O179)</f>
        <v/>
      </c>
      <c r="Q179" s="1436" t="n"/>
      <c r="R179" s="1436" t="n"/>
      <c r="S179" s="2625" t="n">
        <v>0</v>
      </c>
      <c r="T179" s="2625" t="n">
        <v>0</v>
      </c>
      <c r="U179" s="2625" t="n">
        <v>0</v>
      </c>
      <c r="V179" s="2625" t="n">
        <v>0</v>
      </c>
      <c r="W179" s="2625" t="n">
        <v>0</v>
      </c>
      <c r="X179" s="2625" t="n">
        <v>0</v>
      </c>
      <c r="Y179" s="2625" t="n">
        <v>0</v>
      </c>
      <c r="Z179" s="2625" t="n">
        <v>0</v>
      </c>
      <c r="AA179" s="2625" t="n">
        <v>0</v>
      </c>
      <c r="AB179" s="2625" t="n">
        <v>0</v>
      </c>
      <c r="AC179" s="2625" t="n">
        <v>0</v>
      </c>
      <c r="AD179" s="2625" t="n">
        <v>0</v>
      </c>
      <c r="AE179" s="2626">
        <f>SUM(S179:AD179)</f>
        <v/>
      </c>
      <c r="AF179" s="1436" t="n"/>
      <c r="AG179" s="2625" t="n">
        <v>0</v>
      </c>
      <c r="AH179" s="2625" t="n">
        <v>0</v>
      </c>
      <c r="AI179" s="2625" t="n">
        <v>0</v>
      </c>
      <c r="AJ179" s="2625" t="n">
        <v>0</v>
      </c>
      <c r="AK179" s="2625" t="n">
        <v>0</v>
      </c>
      <c r="AL179" s="2625" t="n"/>
      <c r="AM179" s="2625" t="n">
        <v>0</v>
      </c>
      <c r="AN179" s="2625" t="n">
        <v>0</v>
      </c>
      <c r="AO179" s="2625" t="n"/>
      <c r="AP179" s="2625" t="n">
        <v>0</v>
      </c>
      <c r="AQ179" s="2625" t="n">
        <v>0</v>
      </c>
      <c r="AR179" s="2627" t="n">
        <v>0</v>
      </c>
      <c r="AS179" s="2626">
        <f>SUM(AG179:AR179)</f>
        <v/>
      </c>
      <c r="AT179" s="2615">
        <f>SUM(AG179:AP179)</f>
        <v/>
      </c>
      <c r="AU179" s="2627" t="n"/>
      <c r="AV179" s="2627" t="n"/>
      <c r="AW179" s="2627" t="n"/>
      <c r="AX179" s="2627" t="n"/>
      <c r="AY179" s="2627" t="n"/>
      <c r="AZ179" s="2627" t="n"/>
      <c r="BA179" s="2627" t="n"/>
      <c r="BB179" s="2627" t="n"/>
      <c r="BC179" s="2627" t="n"/>
      <c r="BD179" s="2627" t="n"/>
      <c r="BE179" s="2627" t="n"/>
      <c r="BF179" s="2627" t="n"/>
      <c r="BG179" s="2628">
        <f>SUM(AU179:BF179)</f>
        <v/>
      </c>
      <c r="BI179" s="2627" t="n"/>
      <c r="BJ179" s="2627" t="n"/>
      <c r="BK179" s="2627" t="n"/>
      <c r="BL179" s="2627" t="n"/>
      <c r="BM179" s="2627" t="n"/>
      <c r="BN179" s="2627" t="n"/>
      <c r="BO179" s="2627" t="n"/>
      <c r="BP179" s="2627" t="n"/>
      <c r="BQ179" s="2627" t="n"/>
      <c r="BR179" s="2627" t="n"/>
      <c r="BS179" s="2627" t="n"/>
      <c r="BT179" s="2627" t="n"/>
      <c r="BU179" s="2628">
        <f>SUM(BI179:BT179)</f>
        <v/>
      </c>
    </row>
    <row r="180" hidden="1" outlineLevel="1">
      <c r="A180" s="1436" t="n"/>
      <c r="B180" s="1480" t="inlineStr">
        <is>
          <t>보험차익</t>
        </is>
      </c>
      <c r="C180" s="1436" t="n"/>
      <c r="D180" s="2625" t="n"/>
      <c r="E180" s="2625" t="n"/>
      <c r="F180" s="2625" t="n"/>
      <c r="G180" s="2625" t="n"/>
      <c r="H180" s="2625" t="n"/>
      <c r="I180" s="2625" t="n">
        <v>0</v>
      </c>
      <c r="J180" s="2625" t="n">
        <v>0</v>
      </c>
      <c r="K180" s="2625" t="n">
        <v>0</v>
      </c>
      <c r="L180" s="2625" t="n">
        <v>0</v>
      </c>
      <c r="M180" s="2625" t="n">
        <v>0</v>
      </c>
      <c r="N180" s="2625" t="n">
        <v>0</v>
      </c>
      <c r="O180" s="2625" t="n">
        <v>0</v>
      </c>
      <c r="P180" s="2626">
        <f>SUM(D180:O180)</f>
        <v/>
      </c>
      <c r="Q180" s="1436" t="n"/>
      <c r="R180" s="1436" t="n"/>
      <c r="S180" s="2625" t="n">
        <v>0</v>
      </c>
      <c r="T180" s="2625" t="n">
        <v>0</v>
      </c>
      <c r="U180" s="2625" t="n">
        <v>0</v>
      </c>
      <c r="V180" s="2625" t="n">
        <v>0</v>
      </c>
      <c r="W180" s="2625" t="n">
        <v>0</v>
      </c>
      <c r="X180" s="2625" t="n">
        <v>0</v>
      </c>
      <c r="Y180" s="2625" t="n">
        <v>0</v>
      </c>
      <c r="Z180" s="2625" t="n">
        <v>0</v>
      </c>
      <c r="AA180" s="2625" t="n">
        <v>0</v>
      </c>
      <c r="AB180" s="2625" t="n">
        <v>0</v>
      </c>
      <c r="AC180" s="2625" t="n">
        <v>0</v>
      </c>
      <c r="AD180" s="2625" t="n">
        <v>0</v>
      </c>
      <c r="AE180" s="2626">
        <f>SUM(S180:AD180)</f>
        <v/>
      </c>
      <c r="AF180" s="1436" t="n"/>
      <c r="AG180" s="2625" t="n">
        <v>0</v>
      </c>
      <c r="AH180" s="2625" t="n">
        <v>0</v>
      </c>
      <c r="AI180" s="2625" t="n">
        <v>0</v>
      </c>
      <c r="AJ180" s="2625" t="n">
        <v>0</v>
      </c>
      <c r="AK180" s="2625" t="n">
        <v>0</v>
      </c>
      <c r="AL180" s="2625" t="n"/>
      <c r="AM180" s="2625" t="n">
        <v>0</v>
      </c>
      <c r="AN180" s="2625" t="n">
        <v>0</v>
      </c>
      <c r="AO180" s="2625" t="n"/>
      <c r="AP180" s="2625" t="n">
        <v>0</v>
      </c>
      <c r="AQ180" s="2625" t="n">
        <v>0</v>
      </c>
      <c r="AR180" s="2627" t="n">
        <v>0</v>
      </c>
      <c r="AS180" s="2626">
        <f>SUM(AG180:AR180)</f>
        <v/>
      </c>
      <c r="AT180" s="2615">
        <f>SUM(AG180:AP180)</f>
        <v/>
      </c>
      <c r="AU180" s="2627" t="n"/>
      <c r="AV180" s="2627" t="n"/>
      <c r="AW180" s="2627" t="n"/>
      <c r="AX180" s="2627" t="n"/>
      <c r="AY180" s="2627" t="n"/>
      <c r="AZ180" s="2627" t="n"/>
      <c r="BA180" s="2627" t="n"/>
      <c r="BB180" s="2627" t="n"/>
      <c r="BC180" s="2627" t="n"/>
      <c r="BD180" s="2627" t="n"/>
      <c r="BE180" s="2627" t="n"/>
      <c r="BF180" s="2627" t="n"/>
      <c r="BG180" s="2628">
        <f>SUM(AU180:BF180)</f>
        <v/>
      </c>
      <c r="BI180" s="2627" t="n"/>
      <c r="BJ180" s="2627" t="n"/>
      <c r="BK180" s="2627" t="n"/>
      <c r="BL180" s="2627" t="n"/>
      <c r="BM180" s="2627" t="n"/>
      <c r="BN180" s="2627" t="n"/>
      <c r="BO180" s="2627" t="n"/>
      <c r="BP180" s="2627" t="n"/>
      <c r="BQ180" s="2627" t="n"/>
      <c r="BR180" s="2627" t="n"/>
      <c r="BS180" s="2627" t="n"/>
      <c r="BT180" s="2627" t="n"/>
      <c r="BU180" s="2628">
        <f>SUM(BI180:BT180)</f>
        <v/>
      </c>
    </row>
    <row r="181" hidden="1" outlineLevel="1">
      <c r="A181" s="1436" t="n"/>
      <c r="B181" s="1480" t="inlineStr">
        <is>
          <t>전기오류수정이익</t>
        </is>
      </c>
      <c r="C181" s="1436" t="n"/>
      <c r="D181" s="2625" t="n"/>
      <c r="E181" s="2625" t="n"/>
      <c r="F181" s="2625" t="n"/>
      <c r="G181" s="2625" t="n"/>
      <c r="H181" s="2625" t="n"/>
      <c r="I181" s="2625" t="n">
        <v>0</v>
      </c>
      <c r="J181" s="2625" t="n">
        <v>0</v>
      </c>
      <c r="K181" s="2625" t="n">
        <v>0</v>
      </c>
      <c r="L181" s="2625" t="n">
        <v>0</v>
      </c>
      <c r="M181" s="2625" t="n">
        <v>0</v>
      </c>
      <c r="N181" s="2625" t="n">
        <v>0</v>
      </c>
      <c r="O181" s="2625" t="n">
        <v>0</v>
      </c>
      <c r="P181" s="2626">
        <f>SUM(D181:O181)</f>
        <v/>
      </c>
      <c r="Q181" s="1436" t="n"/>
      <c r="R181" s="1436" t="n"/>
      <c r="S181" s="2625" t="n">
        <v>0</v>
      </c>
      <c r="T181" s="2625" t="n">
        <v>0</v>
      </c>
      <c r="U181" s="2625" t="n">
        <v>0</v>
      </c>
      <c r="V181" s="2625" t="n">
        <v>0</v>
      </c>
      <c r="W181" s="2625" t="n">
        <v>0</v>
      </c>
      <c r="X181" s="2625" t="n">
        <v>0</v>
      </c>
      <c r="Y181" s="2625" t="n">
        <v>0</v>
      </c>
      <c r="Z181" s="2625" t="n">
        <v>0</v>
      </c>
      <c r="AA181" s="2625" t="n">
        <v>0</v>
      </c>
      <c r="AB181" s="2625" t="n">
        <v>0</v>
      </c>
      <c r="AC181" s="2625" t="n">
        <v>0</v>
      </c>
      <c r="AD181" s="2625" t="n">
        <v>0</v>
      </c>
      <c r="AE181" s="2626">
        <f>SUM(S181:AD181)</f>
        <v/>
      </c>
      <c r="AF181" s="1436" t="n"/>
      <c r="AG181" s="2625" t="n">
        <v>0</v>
      </c>
      <c r="AH181" s="2625" t="n">
        <v>0</v>
      </c>
      <c r="AI181" s="2625" t="n">
        <v>0</v>
      </c>
      <c r="AJ181" s="2625" t="n">
        <v>0</v>
      </c>
      <c r="AK181" s="2625" t="n">
        <v>0</v>
      </c>
      <c r="AL181" s="2625" t="n"/>
      <c r="AM181" s="2625" t="n">
        <v>0</v>
      </c>
      <c r="AN181" s="2625" t="n">
        <v>0</v>
      </c>
      <c r="AO181" s="2625" t="n"/>
      <c r="AP181" s="2625" t="n">
        <v>0</v>
      </c>
      <c r="AQ181" s="2625" t="n">
        <v>0</v>
      </c>
      <c r="AR181" s="2627" t="n">
        <v>0</v>
      </c>
      <c r="AS181" s="2626">
        <f>SUM(AG181:AR181)</f>
        <v/>
      </c>
      <c r="AT181" s="2615">
        <f>SUM(AG181:AP181)</f>
        <v/>
      </c>
      <c r="AU181" s="2627" t="n"/>
      <c r="AV181" s="2627" t="n"/>
      <c r="AW181" s="2627" t="n"/>
      <c r="AX181" s="2627" t="n"/>
      <c r="AY181" s="2627" t="n"/>
      <c r="AZ181" s="2627" t="n"/>
      <c r="BA181" s="2627" t="n"/>
      <c r="BB181" s="2627" t="n"/>
      <c r="BC181" s="2627" t="n"/>
      <c r="BD181" s="2627" t="n"/>
      <c r="BE181" s="2627" t="n"/>
      <c r="BF181" s="2627" t="n"/>
      <c r="BG181" s="2628">
        <f>SUM(AU181:BF181)</f>
        <v/>
      </c>
      <c r="BI181" s="2627" t="n"/>
      <c r="BJ181" s="2627" t="n"/>
      <c r="BK181" s="2627" t="n"/>
      <c r="BL181" s="2627" t="n"/>
      <c r="BM181" s="2627" t="n"/>
      <c r="BN181" s="2627" t="n"/>
      <c r="BO181" s="2627" t="n"/>
      <c r="BP181" s="2627" t="n"/>
      <c r="BQ181" s="2627" t="n"/>
      <c r="BR181" s="2627" t="n"/>
      <c r="BS181" s="2627" t="n"/>
      <c r="BT181" s="2627" t="n"/>
      <c r="BU181" s="2628">
        <f>SUM(BI181:BT181)</f>
        <v/>
      </c>
    </row>
    <row r="182" hidden="1" outlineLevel="1">
      <c r="A182" s="1436" t="n"/>
      <c r="B182" s="1480" t="inlineStr">
        <is>
          <t>주식보상비용환입</t>
        </is>
      </c>
      <c r="C182" s="1436" t="n"/>
      <c r="D182" s="2625" t="n"/>
      <c r="E182" s="2625" t="n"/>
      <c r="F182" s="2625" t="n"/>
      <c r="G182" s="2625" t="n"/>
      <c r="H182" s="2625" t="n"/>
      <c r="I182" s="2625" t="n">
        <v>0</v>
      </c>
      <c r="J182" s="2625" t="n">
        <v>0</v>
      </c>
      <c r="K182" s="2625" t="n">
        <v>0</v>
      </c>
      <c r="L182" s="2625" t="n">
        <v>0</v>
      </c>
      <c r="M182" s="2625" t="n">
        <v>0</v>
      </c>
      <c r="N182" s="2625" t="n">
        <v>0</v>
      </c>
      <c r="O182" s="2625" t="n">
        <v>0</v>
      </c>
      <c r="P182" s="2626">
        <f>SUM(D182:O182)</f>
        <v/>
      </c>
      <c r="Q182" s="1436" t="n"/>
      <c r="R182" s="1436" t="n"/>
      <c r="S182" s="2625" t="n">
        <v>0</v>
      </c>
      <c r="T182" s="2625" t="n">
        <v>0</v>
      </c>
      <c r="U182" s="2625" t="n">
        <v>0</v>
      </c>
      <c r="V182" s="2625" t="n">
        <v>0</v>
      </c>
      <c r="W182" s="2625" t="n">
        <v>0</v>
      </c>
      <c r="X182" s="2625" t="n">
        <v>0</v>
      </c>
      <c r="Y182" s="2625" t="n">
        <v>0</v>
      </c>
      <c r="Z182" s="2625" t="n">
        <v>0</v>
      </c>
      <c r="AA182" s="2625" t="n">
        <v>0</v>
      </c>
      <c r="AB182" s="2625" t="n">
        <v>0</v>
      </c>
      <c r="AC182" s="2625" t="n">
        <v>0</v>
      </c>
      <c r="AD182" s="2625" t="n">
        <v>0</v>
      </c>
      <c r="AE182" s="2626">
        <f>SUM(S182:AD182)</f>
        <v/>
      </c>
      <c r="AF182" s="1436" t="n"/>
      <c r="AG182" s="2625" t="n">
        <v>0</v>
      </c>
      <c r="AH182" s="2625" t="n">
        <v>0</v>
      </c>
      <c r="AI182" s="2625" t="n">
        <v>0</v>
      </c>
      <c r="AJ182" s="2625" t="n">
        <v>0</v>
      </c>
      <c r="AK182" s="2625" t="n">
        <v>0</v>
      </c>
      <c r="AL182" s="2625" t="n"/>
      <c r="AM182" s="2625" t="n">
        <v>0</v>
      </c>
      <c r="AN182" s="2625" t="n">
        <v>0</v>
      </c>
      <c r="AO182" s="2625" t="n"/>
      <c r="AP182" s="2625" t="n">
        <v>0</v>
      </c>
      <c r="AQ182" s="2625" t="n">
        <v>0</v>
      </c>
      <c r="AR182" s="2627" t="n">
        <v>0</v>
      </c>
      <c r="AS182" s="2626">
        <f>SUM(AG182:AR182)</f>
        <v/>
      </c>
      <c r="AT182" s="2615">
        <f>SUM(AG182:AP182)</f>
        <v/>
      </c>
      <c r="AU182" s="2627" t="n"/>
      <c r="AV182" s="2627" t="n"/>
      <c r="AW182" s="2627" t="n"/>
      <c r="AX182" s="2627" t="n"/>
      <c r="AY182" s="2627" t="n"/>
      <c r="AZ182" s="2627" t="n"/>
      <c r="BA182" s="2627" t="n"/>
      <c r="BB182" s="2627" t="n"/>
      <c r="BC182" s="2627" t="n"/>
      <c r="BD182" s="2627" t="n"/>
      <c r="BE182" s="2627" t="n"/>
      <c r="BF182" s="2627" t="n"/>
      <c r="BG182" s="2628">
        <f>SUM(AU182:BF182)</f>
        <v/>
      </c>
      <c r="BI182" s="2627" t="n"/>
      <c r="BJ182" s="2627" t="n"/>
      <c r="BK182" s="2627" t="n"/>
      <c r="BL182" s="2627" t="n"/>
      <c r="BM182" s="2627" t="n"/>
      <c r="BN182" s="2627" t="n"/>
      <c r="BO182" s="2627" t="n"/>
      <c r="BP182" s="2627" t="n"/>
      <c r="BQ182" s="2627" t="n"/>
      <c r="BR182" s="2627" t="n"/>
      <c r="BS182" s="2627" t="n"/>
      <c r="BT182" s="2627" t="n"/>
      <c r="BU182" s="2628">
        <f>SUM(BI182:BT182)</f>
        <v/>
      </c>
    </row>
    <row r="183" hidden="1" outlineLevel="1">
      <c r="A183" s="1436" t="n"/>
      <c r="B183" s="1480" t="inlineStr">
        <is>
          <t>당기손익인식지정금융상품평가이익</t>
        </is>
      </c>
      <c r="C183" s="1436" t="n"/>
      <c r="D183" s="2625" t="n"/>
      <c r="E183" s="2625" t="n"/>
      <c r="F183" s="2625" t="n"/>
      <c r="G183" s="2625" t="n"/>
      <c r="H183" s="2625" t="n"/>
      <c r="I183" s="2625" t="n">
        <v>0</v>
      </c>
      <c r="J183" s="2625" t="n">
        <v>0</v>
      </c>
      <c r="K183" s="2625" t="n">
        <v>0</v>
      </c>
      <c r="L183" s="2625" t="n">
        <v>0</v>
      </c>
      <c r="M183" s="2625" t="n">
        <v>0</v>
      </c>
      <c r="N183" s="2625" t="n">
        <v>0</v>
      </c>
      <c r="O183" s="2625" t="n">
        <v>0</v>
      </c>
      <c r="P183" s="2626">
        <f>SUM(D183:O183)</f>
        <v/>
      </c>
      <c r="Q183" s="1436" t="n"/>
      <c r="R183" s="1436" t="n"/>
      <c r="S183" s="2625" t="n">
        <v>0</v>
      </c>
      <c r="T183" s="2625" t="n">
        <v>0</v>
      </c>
      <c r="U183" s="2625" t="n">
        <v>0</v>
      </c>
      <c r="V183" s="2625" t="n">
        <v>0</v>
      </c>
      <c r="W183" s="2625" t="n">
        <v>0</v>
      </c>
      <c r="X183" s="2625" t="n">
        <v>0</v>
      </c>
      <c r="Y183" s="2625" t="n">
        <v>0</v>
      </c>
      <c r="Z183" s="2625" t="n">
        <v>0</v>
      </c>
      <c r="AA183" s="2625" t="n">
        <v>0</v>
      </c>
      <c r="AB183" s="2625" t="n">
        <v>0</v>
      </c>
      <c r="AC183" s="2625" t="n">
        <v>0</v>
      </c>
      <c r="AD183" s="2625" t="n">
        <v>0</v>
      </c>
      <c r="AE183" s="2626">
        <f>SUM(S183:AD183)</f>
        <v/>
      </c>
      <c r="AF183" s="1436" t="n"/>
      <c r="AG183" s="2625" t="n">
        <v>0</v>
      </c>
      <c r="AH183" s="2625" t="n">
        <v>0</v>
      </c>
      <c r="AI183" s="2625" t="n">
        <v>0</v>
      </c>
      <c r="AJ183" s="2625" t="n">
        <v>0</v>
      </c>
      <c r="AK183" s="2625" t="n">
        <v>0</v>
      </c>
      <c r="AL183" s="2625" t="n"/>
      <c r="AM183" s="2625" t="n">
        <v>0</v>
      </c>
      <c r="AN183" s="2625" t="n">
        <v>0</v>
      </c>
      <c r="AO183" s="2625" t="n"/>
      <c r="AP183" s="2625" t="n">
        <v>0</v>
      </c>
      <c r="AQ183" s="2625" t="n">
        <v>0</v>
      </c>
      <c r="AR183" s="2627" t="n">
        <v>0</v>
      </c>
      <c r="AS183" s="2626">
        <f>SUM(AG183:AR183)</f>
        <v/>
      </c>
      <c r="AT183" s="2615">
        <f>SUM(AG183:AP183)</f>
        <v/>
      </c>
      <c r="AU183" s="2627" t="n"/>
      <c r="AV183" s="2627" t="n"/>
      <c r="AW183" s="2627" t="n"/>
      <c r="AX183" s="2627" t="n"/>
      <c r="AY183" s="2627" t="n"/>
      <c r="AZ183" s="2627" t="n"/>
      <c r="BA183" s="2627" t="n"/>
      <c r="BB183" s="2627" t="n"/>
      <c r="BC183" s="2627" t="n"/>
      <c r="BD183" s="2627" t="n"/>
      <c r="BE183" s="2627" t="n"/>
      <c r="BF183" s="2627" t="n"/>
      <c r="BG183" s="2628">
        <f>SUM(AU183:BF183)</f>
        <v/>
      </c>
      <c r="BI183" s="2627" t="n"/>
      <c r="BJ183" s="2627" t="n"/>
      <c r="BK183" s="2627" t="n"/>
      <c r="BL183" s="2627" t="n"/>
      <c r="BM183" s="2627" t="n"/>
      <c r="BN183" s="2627" t="n"/>
      <c r="BO183" s="2627" t="n"/>
      <c r="BP183" s="2627" t="n"/>
      <c r="BQ183" s="2627" t="n"/>
      <c r="BR183" s="2627" t="n"/>
      <c r="BS183" s="2627" t="n"/>
      <c r="BT183" s="2627" t="n"/>
      <c r="BU183" s="2628">
        <f>SUM(BI183:BT183)</f>
        <v/>
      </c>
    </row>
    <row r="184" hidden="1" outlineLevel="1">
      <c r="A184" s="1436" t="n"/>
      <c r="B184" s="1480" t="inlineStr">
        <is>
          <t>당기손익인식지정금융상품처분이익</t>
        </is>
      </c>
      <c r="C184" s="1436" t="n"/>
      <c r="D184" s="2625" t="n"/>
      <c r="E184" s="2625" t="n"/>
      <c r="F184" s="2625" t="n"/>
      <c r="G184" s="2625" t="n"/>
      <c r="H184" s="2625" t="n"/>
      <c r="I184" s="2625" t="n">
        <v>0</v>
      </c>
      <c r="J184" s="2625" t="n">
        <v>0</v>
      </c>
      <c r="K184" s="2625" t="n">
        <v>0</v>
      </c>
      <c r="L184" s="2625" t="n">
        <v>0</v>
      </c>
      <c r="M184" s="2625" t="n">
        <v>0</v>
      </c>
      <c r="N184" s="2625" t="n">
        <v>0</v>
      </c>
      <c r="O184" s="2625" t="n">
        <v>0</v>
      </c>
      <c r="P184" s="2626">
        <f>SUM(D184:O184)</f>
        <v/>
      </c>
      <c r="Q184" s="1436" t="n"/>
      <c r="R184" s="1436" t="n"/>
      <c r="S184" s="2625" t="n">
        <v>0</v>
      </c>
      <c r="T184" s="2625" t="n">
        <v>0</v>
      </c>
      <c r="U184" s="2625" t="n">
        <v>0</v>
      </c>
      <c r="V184" s="2625" t="n">
        <v>0</v>
      </c>
      <c r="W184" s="2625" t="n">
        <v>0</v>
      </c>
      <c r="X184" s="2625" t="n">
        <v>0</v>
      </c>
      <c r="Y184" s="2625" t="n">
        <v>0</v>
      </c>
      <c r="Z184" s="2625" t="n">
        <v>0</v>
      </c>
      <c r="AA184" s="2625" t="n">
        <v>0</v>
      </c>
      <c r="AB184" s="2625" t="n">
        <v>0</v>
      </c>
      <c r="AC184" s="2625" t="n">
        <v>0</v>
      </c>
      <c r="AD184" s="2625" t="n">
        <v>0</v>
      </c>
      <c r="AE184" s="2626">
        <f>SUM(S184:AD184)</f>
        <v/>
      </c>
      <c r="AF184" s="1436" t="n"/>
      <c r="AG184" s="2625" t="n">
        <v>0</v>
      </c>
      <c r="AH184" s="2625" t="n">
        <v>0</v>
      </c>
      <c r="AI184" s="2625" t="n">
        <v>0</v>
      </c>
      <c r="AJ184" s="2625" t="n">
        <v>0</v>
      </c>
      <c r="AK184" s="2625" t="n">
        <v>0</v>
      </c>
      <c r="AL184" s="2625" t="n"/>
      <c r="AM184" s="2625" t="n">
        <v>0</v>
      </c>
      <c r="AN184" s="2625" t="n">
        <v>0</v>
      </c>
      <c r="AO184" s="2625" t="n"/>
      <c r="AP184" s="2625" t="n">
        <v>0</v>
      </c>
      <c r="AQ184" s="2625" t="n">
        <v>0</v>
      </c>
      <c r="AR184" s="2627" t="n">
        <v>0</v>
      </c>
      <c r="AS184" s="2626">
        <f>SUM(AG184:AR184)</f>
        <v/>
      </c>
      <c r="AT184" s="2615">
        <f>SUM(AG184:AP184)</f>
        <v/>
      </c>
      <c r="AU184" s="2627" t="n"/>
      <c r="AV184" s="2627" t="n"/>
      <c r="AW184" s="2627" t="n"/>
      <c r="AX184" s="2627" t="n"/>
      <c r="AY184" s="2627" t="n"/>
      <c r="AZ184" s="2627" t="n"/>
      <c r="BA184" s="2627" t="n"/>
      <c r="BB184" s="2627" t="n"/>
      <c r="BC184" s="2627" t="n"/>
      <c r="BD184" s="2627" t="n"/>
      <c r="BE184" s="2627" t="n"/>
      <c r="BF184" s="2627" t="n"/>
      <c r="BG184" s="2628">
        <f>SUM(AU184:BF184)</f>
        <v/>
      </c>
      <c r="BI184" s="2627" t="n"/>
      <c r="BJ184" s="2627" t="n"/>
      <c r="BK184" s="2627" t="n"/>
      <c r="BL184" s="2627" t="n"/>
      <c r="BM184" s="2627" t="n"/>
      <c r="BN184" s="2627" t="n"/>
      <c r="BO184" s="2627" t="n"/>
      <c r="BP184" s="2627" t="n"/>
      <c r="BQ184" s="2627" t="n"/>
      <c r="BR184" s="2627" t="n"/>
      <c r="BS184" s="2627" t="n"/>
      <c r="BT184" s="2627" t="n"/>
      <c r="BU184" s="2628">
        <f>SUM(BI184:BT184)</f>
        <v/>
      </c>
    </row>
    <row r="185" hidden="1" outlineLevel="1">
      <c r="A185" s="1436" t="n"/>
      <c r="B185" s="1480" t="inlineStr">
        <is>
          <t>위험회피목적파생상품평가이익(재무활동외)</t>
        </is>
      </c>
      <c r="C185" s="1436" t="n"/>
      <c r="D185" s="2625" t="n"/>
      <c r="E185" s="2625" t="n"/>
      <c r="F185" s="2625" t="n"/>
      <c r="G185" s="2625" t="n"/>
      <c r="H185" s="2625" t="n"/>
      <c r="I185" s="2625" t="n">
        <v>0</v>
      </c>
      <c r="J185" s="2625" t="n">
        <v>0</v>
      </c>
      <c r="K185" s="2625" t="n">
        <v>0</v>
      </c>
      <c r="L185" s="2625" t="n">
        <v>0</v>
      </c>
      <c r="M185" s="2625" t="n">
        <v>0</v>
      </c>
      <c r="N185" s="2625" t="n">
        <v>0</v>
      </c>
      <c r="O185" s="2625" t="n">
        <v>0</v>
      </c>
      <c r="P185" s="2626">
        <f>SUM(D185:O185)</f>
        <v/>
      </c>
      <c r="Q185" s="1436" t="n"/>
      <c r="R185" s="1436" t="n"/>
      <c r="S185" s="2625" t="n">
        <v>0</v>
      </c>
      <c r="T185" s="2625" t="n">
        <v>0</v>
      </c>
      <c r="U185" s="2625" t="n">
        <v>0</v>
      </c>
      <c r="V185" s="2625" t="n">
        <v>0</v>
      </c>
      <c r="W185" s="2625" t="n">
        <v>0</v>
      </c>
      <c r="X185" s="2625" t="n">
        <v>0</v>
      </c>
      <c r="Y185" s="2625" t="n">
        <v>0</v>
      </c>
      <c r="Z185" s="2625" t="n">
        <v>0</v>
      </c>
      <c r="AA185" s="2625" t="n">
        <v>0</v>
      </c>
      <c r="AB185" s="2625" t="n">
        <v>0</v>
      </c>
      <c r="AC185" s="2625" t="n">
        <v>0</v>
      </c>
      <c r="AD185" s="2625" t="n">
        <v>0</v>
      </c>
      <c r="AE185" s="2626">
        <f>SUM(S185:AD185)</f>
        <v/>
      </c>
      <c r="AF185" s="1436" t="n"/>
      <c r="AG185" s="2625" t="n">
        <v>0</v>
      </c>
      <c r="AH185" s="2625" t="n">
        <v>0</v>
      </c>
      <c r="AI185" s="2625" t="n">
        <v>0</v>
      </c>
      <c r="AJ185" s="2625" t="n">
        <v>0</v>
      </c>
      <c r="AK185" s="2625" t="n">
        <v>0</v>
      </c>
      <c r="AL185" s="2625" t="n"/>
      <c r="AM185" s="2625" t="n">
        <v>0</v>
      </c>
      <c r="AN185" s="2625" t="n">
        <v>0</v>
      </c>
      <c r="AO185" s="2625" t="n"/>
      <c r="AP185" s="2625" t="n">
        <v>0</v>
      </c>
      <c r="AQ185" s="2625" t="n">
        <v>0</v>
      </c>
      <c r="AR185" s="2627" t="n">
        <v>0</v>
      </c>
      <c r="AS185" s="2626">
        <f>SUM(AG185:AR185)</f>
        <v/>
      </c>
      <c r="AT185" s="2615">
        <f>SUM(AG185:AP185)</f>
        <v/>
      </c>
      <c r="AU185" s="2627" t="n"/>
      <c r="AV185" s="2627" t="n"/>
      <c r="AW185" s="2627" t="n"/>
      <c r="AX185" s="2627" t="n"/>
      <c r="AY185" s="2627" t="n"/>
      <c r="AZ185" s="2627" t="n"/>
      <c r="BA185" s="2627" t="n"/>
      <c r="BB185" s="2627" t="n"/>
      <c r="BC185" s="2627" t="n"/>
      <c r="BD185" s="2627" t="n"/>
      <c r="BE185" s="2627" t="n"/>
      <c r="BF185" s="2627" t="n"/>
      <c r="BG185" s="2628">
        <f>SUM(AU185:BF185)</f>
        <v/>
      </c>
      <c r="BI185" s="2627" t="n"/>
      <c r="BJ185" s="2627" t="n"/>
      <c r="BK185" s="2627" t="n"/>
      <c r="BL185" s="2627" t="n"/>
      <c r="BM185" s="2627" t="n"/>
      <c r="BN185" s="2627" t="n"/>
      <c r="BO185" s="2627" t="n"/>
      <c r="BP185" s="2627" t="n"/>
      <c r="BQ185" s="2627" t="n"/>
      <c r="BR185" s="2627" t="n"/>
      <c r="BS185" s="2627" t="n"/>
      <c r="BT185" s="2627" t="n"/>
      <c r="BU185" s="2628">
        <f>SUM(BI185:BT185)</f>
        <v/>
      </c>
    </row>
    <row r="186" hidden="1" outlineLevel="1">
      <c r="A186" s="1436" t="n"/>
      <c r="B186" s="1480" t="inlineStr">
        <is>
          <t>위험회피목적파생상품처분이익(재무활동외)</t>
        </is>
      </c>
      <c r="C186" s="1436" t="n"/>
      <c r="D186" s="2625" t="n"/>
      <c r="E186" s="2625" t="n"/>
      <c r="F186" s="2625" t="n"/>
      <c r="G186" s="2625" t="n"/>
      <c r="H186" s="2625" t="n"/>
      <c r="I186" s="2625" t="n">
        <v>0</v>
      </c>
      <c r="J186" s="2625" t="n">
        <v>0</v>
      </c>
      <c r="K186" s="2625" t="n">
        <v>0</v>
      </c>
      <c r="L186" s="2625" t="n">
        <v>0</v>
      </c>
      <c r="M186" s="2625" t="n">
        <v>0</v>
      </c>
      <c r="N186" s="2625" t="n">
        <v>0</v>
      </c>
      <c r="O186" s="2625" t="n">
        <v>0</v>
      </c>
      <c r="P186" s="2626">
        <f>SUM(D186:O186)</f>
        <v/>
      </c>
      <c r="Q186" s="1436" t="n"/>
      <c r="R186" s="1436" t="n"/>
      <c r="S186" s="2625" t="n">
        <v>0</v>
      </c>
      <c r="T186" s="2625" t="n">
        <v>0</v>
      </c>
      <c r="U186" s="2625" t="n">
        <v>0</v>
      </c>
      <c r="V186" s="2625" t="n">
        <v>0</v>
      </c>
      <c r="W186" s="2625" t="n">
        <v>0</v>
      </c>
      <c r="X186" s="2625" t="n">
        <v>0</v>
      </c>
      <c r="Y186" s="2625" t="n">
        <v>0</v>
      </c>
      <c r="Z186" s="2625" t="n">
        <v>0</v>
      </c>
      <c r="AA186" s="2625" t="n">
        <v>0</v>
      </c>
      <c r="AB186" s="2625" t="n">
        <v>0</v>
      </c>
      <c r="AC186" s="2625" t="n">
        <v>0</v>
      </c>
      <c r="AD186" s="2625" t="n">
        <v>0</v>
      </c>
      <c r="AE186" s="2626">
        <f>SUM(S186:AD186)</f>
        <v/>
      </c>
      <c r="AF186" s="1436" t="n"/>
      <c r="AG186" s="2625" t="n">
        <v>0</v>
      </c>
      <c r="AH186" s="2625" t="n">
        <v>0</v>
      </c>
      <c r="AI186" s="2625" t="n">
        <v>0</v>
      </c>
      <c r="AJ186" s="2625" t="n">
        <v>0</v>
      </c>
      <c r="AK186" s="2625" t="n">
        <v>0</v>
      </c>
      <c r="AL186" s="2625" t="n"/>
      <c r="AM186" s="2625" t="n">
        <v>0</v>
      </c>
      <c r="AN186" s="2625" t="n">
        <v>0</v>
      </c>
      <c r="AO186" s="2625" t="n"/>
      <c r="AP186" s="2625" t="n">
        <v>0</v>
      </c>
      <c r="AQ186" s="2625" t="n">
        <v>0</v>
      </c>
      <c r="AR186" s="2627" t="n">
        <v>0</v>
      </c>
      <c r="AS186" s="2626">
        <f>SUM(AG186:AR186)</f>
        <v/>
      </c>
      <c r="AT186" s="2615">
        <f>SUM(AG186:AP186)</f>
        <v/>
      </c>
      <c r="AU186" s="2627" t="n"/>
      <c r="AV186" s="2627" t="n"/>
      <c r="AW186" s="2627" t="n"/>
      <c r="AX186" s="2627" t="n"/>
      <c r="AY186" s="2627" t="n"/>
      <c r="AZ186" s="2627" t="n"/>
      <c r="BA186" s="2627" t="n"/>
      <c r="BB186" s="2627" t="n"/>
      <c r="BC186" s="2627" t="n"/>
      <c r="BD186" s="2627" t="n"/>
      <c r="BE186" s="2627" t="n"/>
      <c r="BF186" s="2627" t="n"/>
      <c r="BG186" s="2628">
        <f>SUM(AU186:BF186)</f>
        <v/>
      </c>
      <c r="BI186" s="2627" t="n"/>
      <c r="BJ186" s="2627" t="n"/>
      <c r="BK186" s="2627" t="n"/>
      <c r="BL186" s="2627" t="n"/>
      <c r="BM186" s="2627" t="n"/>
      <c r="BN186" s="2627" t="n"/>
      <c r="BO186" s="2627" t="n"/>
      <c r="BP186" s="2627" t="n"/>
      <c r="BQ186" s="2627" t="n"/>
      <c r="BR186" s="2627" t="n"/>
      <c r="BS186" s="2627" t="n"/>
      <c r="BT186" s="2627" t="n"/>
      <c r="BU186" s="2628">
        <f>SUM(BI186:BT186)</f>
        <v/>
      </c>
    </row>
    <row r="187" hidden="1" outlineLevel="1">
      <c r="A187" s="1436" t="n"/>
      <c r="B187" s="1480" t="inlineStr">
        <is>
          <t>기타수익</t>
        </is>
      </c>
      <c r="C187" s="1436" t="n"/>
      <c r="D187" s="2625" t="n"/>
      <c r="E187" s="2625" t="n"/>
      <c r="F187" s="2625" t="n"/>
      <c r="G187" s="2625" t="n"/>
      <c r="H187" s="2625" t="n"/>
      <c r="I187" s="2625" t="n">
        <v>0</v>
      </c>
      <c r="J187" s="2625" t="n">
        <v>0</v>
      </c>
      <c r="K187" s="2625" t="n">
        <v>0</v>
      </c>
      <c r="L187" s="2625" t="n">
        <v>0</v>
      </c>
      <c r="M187" s="2625" t="n">
        <v>0</v>
      </c>
      <c r="N187" s="2625" t="n">
        <v>0</v>
      </c>
      <c r="O187" s="2625" t="n">
        <v>0</v>
      </c>
      <c r="P187" s="2626">
        <f>SUM(D187:O187)</f>
        <v/>
      </c>
      <c r="Q187" s="1436" t="n"/>
      <c r="R187" s="1436" t="n"/>
      <c r="S187" s="2625" t="n">
        <v>0</v>
      </c>
      <c r="T187" s="2625" t="n">
        <v>0</v>
      </c>
      <c r="U187" s="2625" t="n">
        <v>0</v>
      </c>
      <c r="V187" s="2625" t="n">
        <v>0</v>
      </c>
      <c r="W187" s="2625" t="n">
        <v>0</v>
      </c>
      <c r="X187" s="2625" t="n">
        <v>0</v>
      </c>
      <c r="Y187" s="2625" t="n">
        <v>0</v>
      </c>
      <c r="Z187" s="2625" t="n">
        <v>0</v>
      </c>
      <c r="AA187" s="2625" t="n">
        <v>0</v>
      </c>
      <c r="AB187" s="2625" t="n">
        <v>0</v>
      </c>
      <c r="AC187" s="2625" t="n">
        <v>0</v>
      </c>
      <c r="AD187" s="2625" t="n">
        <v>0</v>
      </c>
      <c r="AE187" s="2626">
        <f>SUM(S187:AD187)</f>
        <v/>
      </c>
      <c r="AF187" s="1436" t="n"/>
      <c r="AG187" s="2625" t="n">
        <v>0</v>
      </c>
      <c r="AH187" s="2625" t="n">
        <v>0</v>
      </c>
      <c r="AI187" s="2625" t="n">
        <v>0</v>
      </c>
      <c r="AJ187" s="2625" t="n">
        <v>0</v>
      </c>
      <c r="AK187" s="2625" t="n">
        <v>0</v>
      </c>
      <c r="AL187" s="2625" t="n"/>
      <c r="AM187" s="2625" t="n">
        <v>0</v>
      </c>
      <c r="AN187" s="2625" t="n">
        <v>0</v>
      </c>
      <c r="AO187" s="2625" t="n"/>
      <c r="AP187" s="2625" t="n">
        <v>0</v>
      </c>
      <c r="AQ187" s="2625" t="n">
        <v>0</v>
      </c>
      <c r="AR187" s="2627" t="n">
        <v>0</v>
      </c>
      <c r="AS187" s="2626">
        <f>SUM(AG187:AR187)</f>
        <v/>
      </c>
      <c r="AT187" s="2615">
        <f>SUM(AG187:AP187)</f>
        <v/>
      </c>
      <c r="AU187" s="2627" t="n"/>
      <c r="AV187" s="2627" t="n"/>
      <c r="AW187" s="2627" t="n"/>
      <c r="AX187" s="2627" t="n"/>
      <c r="AY187" s="2627" t="n"/>
      <c r="AZ187" s="2627" t="n"/>
      <c r="BA187" s="2627" t="n"/>
      <c r="BB187" s="2627" t="n"/>
      <c r="BC187" s="2627" t="n"/>
      <c r="BD187" s="2627" t="n"/>
      <c r="BE187" s="2627" t="n"/>
      <c r="BF187" s="2627" t="n"/>
      <c r="BG187" s="2628">
        <f>SUM(AU187:BF187)</f>
        <v/>
      </c>
      <c r="BI187" s="2627" t="n"/>
      <c r="BJ187" s="2627" t="n"/>
      <c r="BK187" s="2627" t="n"/>
      <c r="BL187" s="2627" t="n"/>
      <c r="BM187" s="2627" t="n"/>
      <c r="BN187" s="2627" t="n"/>
      <c r="BO187" s="2627" t="n"/>
      <c r="BP187" s="2627" t="n"/>
      <c r="BQ187" s="2627" t="n"/>
      <c r="BR187" s="2627" t="n"/>
      <c r="BS187" s="2627" t="n"/>
      <c r="BT187" s="2627" t="n"/>
      <c r="BU187" s="2628">
        <f>SUM(BI187:BT187)</f>
        <v/>
      </c>
    </row>
    <row r="188" hidden="1" outlineLevel="1">
      <c r="A188" s="1436" t="n"/>
      <c r="B188" s="1480" t="inlineStr">
        <is>
          <t>만기보유금융자산처분이익</t>
        </is>
      </c>
      <c r="C188" s="1436" t="n"/>
      <c r="D188" s="2625" t="n"/>
      <c r="E188" s="2625" t="n"/>
      <c r="F188" s="2625" t="n"/>
      <c r="G188" s="2625" t="n"/>
      <c r="H188" s="2625" t="n"/>
      <c r="I188" s="2625" t="n">
        <v>0</v>
      </c>
      <c r="J188" s="2625" t="n">
        <v>0</v>
      </c>
      <c r="K188" s="2625" t="n">
        <v>0</v>
      </c>
      <c r="L188" s="2625" t="n">
        <v>0</v>
      </c>
      <c r="M188" s="2625" t="n">
        <v>0</v>
      </c>
      <c r="N188" s="2625" t="n">
        <v>0</v>
      </c>
      <c r="O188" s="2625" t="n">
        <v>0</v>
      </c>
      <c r="P188" s="2626">
        <f>SUM(D188:O188)</f>
        <v/>
      </c>
      <c r="Q188" s="1436" t="n"/>
      <c r="R188" s="1436" t="n"/>
      <c r="S188" s="2625" t="n">
        <v>0</v>
      </c>
      <c r="T188" s="2625" t="n">
        <v>0</v>
      </c>
      <c r="U188" s="2625" t="n">
        <v>0</v>
      </c>
      <c r="V188" s="2625" t="n">
        <v>0</v>
      </c>
      <c r="W188" s="2625" t="n">
        <v>0</v>
      </c>
      <c r="X188" s="2625" t="n">
        <v>0</v>
      </c>
      <c r="Y188" s="2625" t="n">
        <v>0</v>
      </c>
      <c r="Z188" s="2625" t="n">
        <v>0</v>
      </c>
      <c r="AA188" s="2625" t="n">
        <v>0</v>
      </c>
      <c r="AB188" s="2625" t="n">
        <v>0</v>
      </c>
      <c r="AC188" s="2625" t="n">
        <v>0</v>
      </c>
      <c r="AD188" s="2625" t="n">
        <v>0</v>
      </c>
      <c r="AE188" s="2626">
        <f>SUM(S188:AD188)</f>
        <v/>
      </c>
      <c r="AF188" s="1436" t="n"/>
      <c r="AG188" s="2625" t="n">
        <v>0</v>
      </c>
      <c r="AH188" s="2625" t="n">
        <v>0</v>
      </c>
      <c r="AI188" s="2625" t="n">
        <v>0</v>
      </c>
      <c r="AJ188" s="2625" t="n">
        <v>0</v>
      </c>
      <c r="AK188" s="2625" t="n">
        <v>0</v>
      </c>
      <c r="AL188" s="2625" t="n"/>
      <c r="AM188" s="2625" t="n">
        <v>0</v>
      </c>
      <c r="AN188" s="2625" t="n">
        <v>0</v>
      </c>
      <c r="AO188" s="2625" t="n"/>
      <c r="AP188" s="2625" t="n">
        <v>0</v>
      </c>
      <c r="AQ188" s="2625" t="n">
        <v>0</v>
      </c>
      <c r="AR188" s="2627" t="n">
        <v>0</v>
      </c>
      <c r="AS188" s="2626">
        <f>SUM(AG188:AR188)</f>
        <v/>
      </c>
      <c r="AT188" s="2615">
        <f>SUM(AG188:AP188)</f>
        <v/>
      </c>
      <c r="AU188" s="2627" t="n"/>
      <c r="AV188" s="2627" t="n"/>
      <c r="AW188" s="2627" t="n"/>
      <c r="AX188" s="2627" t="n"/>
      <c r="AY188" s="2627" t="n"/>
      <c r="AZ188" s="2627" t="n"/>
      <c r="BA188" s="2627" t="n"/>
      <c r="BB188" s="2627" t="n"/>
      <c r="BC188" s="2627" t="n"/>
      <c r="BD188" s="2627" t="n"/>
      <c r="BE188" s="2627" t="n"/>
      <c r="BF188" s="2627" t="n"/>
      <c r="BG188" s="2628">
        <f>SUM(AU188:BF188)</f>
        <v/>
      </c>
      <c r="BI188" s="2627" t="n"/>
      <c r="BJ188" s="2627" t="n"/>
      <c r="BK188" s="2627" t="n"/>
      <c r="BL188" s="2627" t="n"/>
      <c r="BM188" s="2627" t="n"/>
      <c r="BN188" s="2627" t="n"/>
      <c r="BO188" s="2627" t="n"/>
      <c r="BP188" s="2627" t="n"/>
      <c r="BQ188" s="2627" t="n"/>
      <c r="BR188" s="2627" t="n"/>
      <c r="BS188" s="2627" t="n"/>
      <c r="BT188" s="2627" t="n"/>
      <c r="BU188" s="2628">
        <f>SUM(BI188:BT188)</f>
        <v/>
      </c>
    </row>
    <row r="189" hidden="1" outlineLevel="1">
      <c r="A189" s="1436" t="n"/>
      <c r="B189" s="1480" t="inlineStr">
        <is>
          <t>종속기업투자주식처분이익</t>
        </is>
      </c>
      <c r="C189" s="1436" t="n"/>
      <c r="D189" s="2625" t="n"/>
      <c r="E189" s="2625" t="n"/>
      <c r="F189" s="2625" t="n"/>
      <c r="G189" s="2625" t="n"/>
      <c r="H189" s="2625" t="n"/>
      <c r="I189" s="2625" t="n">
        <v>0</v>
      </c>
      <c r="J189" s="2625" t="n">
        <v>0</v>
      </c>
      <c r="K189" s="2625" t="n">
        <v>0</v>
      </c>
      <c r="L189" s="2625" t="n">
        <v>0</v>
      </c>
      <c r="M189" s="2625" t="n">
        <v>0</v>
      </c>
      <c r="N189" s="2625" t="n">
        <v>0</v>
      </c>
      <c r="O189" s="2625" t="n">
        <v>0</v>
      </c>
      <c r="P189" s="2626">
        <f>SUM(D189:O189)</f>
        <v/>
      </c>
      <c r="Q189" s="1436" t="n"/>
      <c r="R189" s="1436" t="n"/>
      <c r="S189" s="2625" t="n">
        <v>0</v>
      </c>
      <c r="T189" s="2625" t="n">
        <v>0</v>
      </c>
      <c r="U189" s="2625" t="n">
        <v>0</v>
      </c>
      <c r="V189" s="2625" t="n">
        <v>0</v>
      </c>
      <c r="W189" s="2625" t="n">
        <v>0</v>
      </c>
      <c r="X189" s="2625" t="n">
        <v>0</v>
      </c>
      <c r="Y189" s="2625" t="n">
        <v>0</v>
      </c>
      <c r="Z189" s="2625" t="n">
        <v>0</v>
      </c>
      <c r="AA189" s="2625" t="n">
        <v>0</v>
      </c>
      <c r="AB189" s="2625" t="n">
        <v>0</v>
      </c>
      <c r="AC189" s="2625" t="n">
        <v>0</v>
      </c>
      <c r="AD189" s="2625" t="n">
        <v>0</v>
      </c>
      <c r="AE189" s="2626">
        <f>SUM(S189:AD189)</f>
        <v/>
      </c>
      <c r="AF189" s="1436" t="n"/>
      <c r="AG189" s="2625" t="n">
        <v>0</v>
      </c>
      <c r="AH189" s="2625" t="n">
        <v>0</v>
      </c>
      <c r="AI189" s="2625" t="n">
        <v>0</v>
      </c>
      <c r="AJ189" s="2625" t="n">
        <v>0</v>
      </c>
      <c r="AK189" s="2625" t="n">
        <v>0</v>
      </c>
      <c r="AL189" s="2625" t="n"/>
      <c r="AM189" s="2625" t="n">
        <v>0</v>
      </c>
      <c r="AN189" s="2625" t="n">
        <v>0</v>
      </c>
      <c r="AO189" s="2625" t="n"/>
      <c r="AP189" s="2625" t="n">
        <v>0</v>
      </c>
      <c r="AQ189" s="2625" t="n">
        <v>0</v>
      </c>
      <c r="AR189" s="2627" t="n">
        <v>0</v>
      </c>
      <c r="AS189" s="2626">
        <f>SUM(AG189:AR189)</f>
        <v/>
      </c>
      <c r="AT189" s="2615">
        <f>SUM(AG189:AP189)</f>
        <v/>
      </c>
      <c r="AU189" s="2627" t="n"/>
      <c r="AV189" s="2627" t="n"/>
      <c r="AW189" s="2627" t="n"/>
      <c r="AX189" s="2627" t="n"/>
      <c r="AY189" s="2627" t="n"/>
      <c r="AZ189" s="2627" t="n"/>
      <c r="BA189" s="2627" t="n"/>
      <c r="BB189" s="2627" t="n"/>
      <c r="BC189" s="2627" t="n"/>
      <c r="BD189" s="2627" t="n"/>
      <c r="BE189" s="2627" t="n"/>
      <c r="BF189" s="2627" t="n"/>
      <c r="BG189" s="2628">
        <f>SUM(AU189:BF189)</f>
        <v/>
      </c>
      <c r="BI189" s="2627" t="n"/>
      <c r="BJ189" s="2627" t="n"/>
      <c r="BK189" s="2627" t="n"/>
      <c r="BL189" s="2627" t="n"/>
      <c r="BM189" s="2627" t="n"/>
      <c r="BN189" s="2627" t="n"/>
      <c r="BO189" s="2627" t="n"/>
      <c r="BP189" s="2627" t="n"/>
      <c r="BQ189" s="2627" t="n"/>
      <c r="BR189" s="2627" t="n"/>
      <c r="BS189" s="2627" t="n"/>
      <c r="BT189" s="2627" t="n"/>
      <c r="BU189" s="2628">
        <f>SUM(BI189:BT189)</f>
        <v/>
      </c>
    </row>
    <row r="190" hidden="1" outlineLevel="1">
      <c r="A190" s="1436" t="n"/>
      <c r="B190" s="1480" t="inlineStr">
        <is>
          <t>관계기업투자주식처분이익</t>
        </is>
      </c>
      <c r="C190" s="1436" t="n"/>
      <c r="D190" s="2625" t="n"/>
      <c r="E190" s="2625" t="n"/>
      <c r="F190" s="2625" t="n"/>
      <c r="G190" s="2625" t="n"/>
      <c r="H190" s="2625" t="n"/>
      <c r="I190" s="2625" t="n"/>
      <c r="J190" s="2625" t="n"/>
      <c r="K190" s="2625" t="n"/>
      <c r="L190" s="2625" t="n"/>
      <c r="M190" s="2625" t="n"/>
      <c r="N190" s="2625" t="n"/>
      <c r="O190" s="2625" t="n"/>
      <c r="P190" s="2626">
        <f>SUM(D190:O190)</f>
        <v/>
      </c>
      <c r="Q190" s="1436" t="n"/>
      <c r="R190" s="1436" t="n"/>
      <c r="S190" s="2625" t="n"/>
      <c r="T190" s="2625" t="n"/>
      <c r="U190" s="2625" t="n"/>
      <c r="V190" s="2625" t="n"/>
      <c r="W190" s="2625" t="n"/>
      <c r="X190" s="2625" t="n">
        <v>0</v>
      </c>
      <c r="Y190" s="2625" t="n">
        <v>0</v>
      </c>
      <c r="Z190" s="2625" t="n">
        <v>0</v>
      </c>
      <c r="AA190" s="2625" t="n">
        <v>0</v>
      </c>
      <c r="AB190" s="2625" t="n">
        <v>0</v>
      </c>
      <c r="AC190" s="2625" t="n">
        <v>0</v>
      </c>
      <c r="AD190" s="2625" t="n">
        <v>0</v>
      </c>
      <c r="AE190" s="2626">
        <f>SUM(S190:AD190)</f>
        <v/>
      </c>
      <c r="AF190" s="1436" t="n"/>
      <c r="AG190" s="2625" t="n">
        <v>0</v>
      </c>
      <c r="AH190" s="2625" t="n">
        <v>0</v>
      </c>
      <c r="AI190" s="2625" t="n">
        <v>0</v>
      </c>
      <c r="AJ190" s="2625" t="n">
        <v>0</v>
      </c>
      <c r="AK190" s="2625" t="n">
        <v>0</v>
      </c>
      <c r="AL190" s="2625" t="n"/>
      <c r="AM190" s="2625" t="n">
        <v>0</v>
      </c>
      <c r="AN190" s="2625" t="n">
        <v>0</v>
      </c>
      <c r="AO190" s="2625" t="n"/>
      <c r="AP190" s="2625" t="n">
        <v>0</v>
      </c>
      <c r="AQ190" s="2625" t="n">
        <v>0</v>
      </c>
      <c r="AR190" s="2627" t="n">
        <v>0</v>
      </c>
      <c r="AS190" s="2626">
        <f>SUM(AG190:AR190)</f>
        <v/>
      </c>
      <c r="AT190" s="2615">
        <f>SUM(AG190:AP190)</f>
        <v/>
      </c>
      <c r="AU190" s="2627" t="n"/>
      <c r="AV190" s="2627" t="n"/>
      <c r="AW190" s="2627" t="n"/>
      <c r="AX190" s="2627" t="n"/>
      <c r="AY190" s="2627" t="n"/>
      <c r="AZ190" s="2627" t="n"/>
      <c r="BA190" s="2627" t="n"/>
      <c r="BB190" s="2627" t="n"/>
      <c r="BC190" s="2627" t="n"/>
      <c r="BD190" s="2627" t="n"/>
      <c r="BE190" s="2627" t="n"/>
      <c r="BF190" s="2627" t="n"/>
      <c r="BG190" s="2628">
        <f>SUM(AU190:BF190)</f>
        <v/>
      </c>
      <c r="BI190" s="2627" t="n"/>
      <c r="BJ190" s="2627" t="n"/>
      <c r="BK190" s="2627" t="n"/>
      <c r="BL190" s="2627" t="n"/>
      <c r="BM190" s="2627" t="n"/>
      <c r="BN190" s="2627" t="n"/>
      <c r="BO190" s="2627" t="n"/>
      <c r="BP190" s="2627" t="n"/>
      <c r="BQ190" s="2627" t="n"/>
      <c r="BR190" s="2627" t="n"/>
      <c r="BS190" s="2627" t="n"/>
      <c r="BT190" s="2627" t="n"/>
      <c r="BU190" s="2628">
        <f>SUM(BI190:BT190)</f>
        <v/>
      </c>
    </row>
    <row r="191" hidden="1" outlineLevel="1">
      <c r="A191" s="1436" t="n"/>
      <c r="B191" s="1480" t="inlineStr">
        <is>
          <t>사채상환이익</t>
        </is>
      </c>
      <c r="C191" s="1436" t="n"/>
      <c r="D191" s="2625" t="n"/>
      <c r="E191" s="2625" t="n"/>
      <c r="F191" s="2625" t="n"/>
      <c r="G191" s="2625" t="n"/>
      <c r="H191" s="2625" t="n"/>
      <c r="I191" s="2625" t="n">
        <v>0</v>
      </c>
      <c r="J191" s="2625" t="n">
        <v>0</v>
      </c>
      <c r="K191" s="2625" t="n">
        <v>0</v>
      </c>
      <c r="L191" s="2625" t="n">
        <v>0</v>
      </c>
      <c r="M191" s="2625" t="n">
        <v>0</v>
      </c>
      <c r="N191" s="2625" t="n">
        <v>0</v>
      </c>
      <c r="O191" s="2625" t="n">
        <v>0</v>
      </c>
      <c r="P191" s="2626">
        <f>SUM(D191:O191)</f>
        <v/>
      </c>
      <c r="Q191" s="1436" t="n"/>
      <c r="R191" s="1436" t="n"/>
      <c r="S191" s="2625" t="n">
        <v>0</v>
      </c>
      <c r="T191" s="2625" t="n">
        <v>0</v>
      </c>
      <c r="U191" s="2625" t="n">
        <v>0</v>
      </c>
      <c r="V191" s="2625" t="n">
        <v>0</v>
      </c>
      <c r="W191" s="2625" t="n">
        <v>0</v>
      </c>
      <c r="X191" s="2625" t="n">
        <v>0</v>
      </c>
      <c r="Y191" s="2625" t="n">
        <v>0</v>
      </c>
      <c r="Z191" s="2625" t="n">
        <v>0</v>
      </c>
      <c r="AA191" s="2625" t="n">
        <v>0</v>
      </c>
      <c r="AB191" s="2625" t="n">
        <v>0</v>
      </c>
      <c r="AC191" s="2625" t="n">
        <v>0</v>
      </c>
      <c r="AD191" s="2625" t="n">
        <v>0</v>
      </c>
      <c r="AE191" s="2626">
        <f>SUM(S191:AD191)</f>
        <v/>
      </c>
      <c r="AF191" s="1436" t="n"/>
      <c r="AG191" s="2625" t="n">
        <v>0</v>
      </c>
      <c r="AH191" s="2625" t="n">
        <v>0</v>
      </c>
      <c r="AI191" s="2625" t="n">
        <v>0</v>
      </c>
      <c r="AJ191" s="2625" t="n">
        <v>0</v>
      </c>
      <c r="AK191" s="2625" t="n">
        <v>0</v>
      </c>
      <c r="AL191" s="2625" t="n"/>
      <c r="AM191" s="2625" t="n">
        <v>0</v>
      </c>
      <c r="AN191" s="2625" t="n">
        <v>0</v>
      </c>
      <c r="AO191" s="2625" t="n"/>
      <c r="AP191" s="2625" t="n">
        <v>0</v>
      </c>
      <c r="AQ191" s="2625" t="n">
        <v>0</v>
      </c>
      <c r="AR191" s="2627" t="n">
        <v>0</v>
      </c>
      <c r="AS191" s="2626">
        <f>SUM(AG191:AR191)</f>
        <v/>
      </c>
      <c r="AT191" s="2615">
        <f>SUM(AG191:AP191)</f>
        <v/>
      </c>
      <c r="AU191" s="2627" t="n"/>
      <c r="AV191" s="2627" t="n"/>
      <c r="AW191" s="2627" t="n"/>
      <c r="AX191" s="2627" t="n"/>
      <c r="AY191" s="2627" t="n"/>
      <c r="AZ191" s="2627" t="n"/>
      <c r="BA191" s="2627" t="n"/>
      <c r="BB191" s="2627" t="n"/>
      <c r="BC191" s="2627" t="n"/>
      <c r="BD191" s="2627" t="n"/>
      <c r="BE191" s="2627" t="n"/>
      <c r="BF191" s="2627" t="n"/>
      <c r="BG191" s="2628">
        <f>SUM(AU191:BF191)</f>
        <v/>
      </c>
      <c r="BI191" s="2627" t="n"/>
      <c r="BJ191" s="2627" t="n"/>
      <c r="BK191" s="2627" t="n"/>
      <c r="BL191" s="2627" t="n"/>
      <c r="BM191" s="2627" t="n"/>
      <c r="BN191" s="2627" t="n"/>
      <c r="BO191" s="2627" t="n"/>
      <c r="BP191" s="2627" t="n"/>
      <c r="BQ191" s="2627" t="n"/>
      <c r="BR191" s="2627" t="n"/>
      <c r="BS191" s="2627" t="n"/>
      <c r="BT191" s="2627" t="n"/>
      <c r="BU191" s="2628">
        <f>SUM(BI191:BT191)</f>
        <v/>
      </c>
    </row>
    <row r="192" collapsed="1">
      <c r="A192" s="1436" t="n"/>
      <c r="B192" s="1478" t="inlineStr">
        <is>
          <t>Ⅷ. 기타영업외비용</t>
        </is>
      </c>
      <c r="C192" s="1436" t="inlineStr">
        <is>
          <t>기타영업외비용</t>
        </is>
      </c>
      <c r="D192" s="2637">
        <f>SUM(D193:D221)</f>
        <v/>
      </c>
      <c r="E192" s="2637">
        <f>SUM(E193:E221)</f>
        <v/>
      </c>
      <c r="F192" s="2637">
        <f>SUM(F193:F221)</f>
        <v/>
      </c>
      <c r="G192" s="2637">
        <f>SUM(G193:G221)</f>
        <v/>
      </c>
      <c r="H192" s="2637">
        <f>SUM(H193:H221)</f>
        <v/>
      </c>
      <c r="I192" s="2637">
        <f>SUM(I193:I221)</f>
        <v/>
      </c>
      <c r="J192" s="2637">
        <f>SUM(J193:J221)</f>
        <v/>
      </c>
      <c r="K192" s="2637">
        <f>SUM(K193:K221)</f>
        <v/>
      </c>
      <c r="L192" s="2637">
        <f>SUM(L193:L221)</f>
        <v/>
      </c>
      <c r="M192" s="2637">
        <f>SUM(M193:M221)</f>
        <v/>
      </c>
      <c r="N192" s="2637">
        <f>SUM(N193:N221)</f>
        <v/>
      </c>
      <c r="O192" s="2637">
        <f>SUM(O193:O221)</f>
        <v/>
      </c>
      <c r="P192" s="2623">
        <f>SUM(D192:O192)</f>
        <v/>
      </c>
      <c r="Q192" s="1436" t="n"/>
      <c r="R192" s="1436" t="n"/>
      <c r="S192" s="2637">
        <f>SUM(S193:S221)</f>
        <v/>
      </c>
      <c r="T192" s="2637">
        <f>SUM(T193:T221)</f>
        <v/>
      </c>
      <c r="U192" s="2637">
        <f>SUM(U193:U221)</f>
        <v/>
      </c>
      <c r="V192" s="2637">
        <f>SUM(V193:V221)</f>
        <v/>
      </c>
      <c r="W192" s="2637">
        <f>SUM(W193:W221)</f>
        <v/>
      </c>
      <c r="X192" s="2637">
        <f>SUM(X193:X221)</f>
        <v/>
      </c>
      <c r="Y192" s="2637">
        <f>SUM(Y193:Y221)</f>
        <v/>
      </c>
      <c r="Z192" s="2637">
        <f>SUM(Z193:Z221)</f>
        <v/>
      </c>
      <c r="AA192" s="2637">
        <f>SUM(AA193:AA221)</f>
        <v/>
      </c>
      <c r="AB192" s="2637">
        <f>SUM(AB193:AB221)</f>
        <v/>
      </c>
      <c r="AC192" s="2637">
        <f>SUM(AC193:AC221)</f>
        <v/>
      </c>
      <c r="AD192" s="2637">
        <f>SUM(AD193:AD221)</f>
        <v/>
      </c>
      <c r="AE192" s="2623">
        <f>SUM(S192:AD192)</f>
        <v/>
      </c>
      <c r="AF192" s="1436" t="n"/>
      <c r="AG192" s="2637">
        <f>SUM(AG193:AG221)</f>
        <v/>
      </c>
      <c r="AH192" s="2637">
        <f>SUM(AH193:AH221)</f>
        <v/>
      </c>
      <c r="AI192" s="2637">
        <f>SUM(AI193:AI221)</f>
        <v/>
      </c>
      <c r="AJ192" s="2637">
        <f>SUM(AJ193:AJ221)</f>
        <v/>
      </c>
      <c r="AK192" s="2637">
        <f>SUM(AK193:AK221)</f>
        <v/>
      </c>
      <c r="AL192" s="2637" t="n">
        <v>6191112</v>
      </c>
      <c r="AM192" s="2637">
        <f>SUM(AM193:AM221)</f>
        <v/>
      </c>
      <c r="AN192" s="2637">
        <f>SUM(AN193:AN221)</f>
        <v/>
      </c>
      <c r="AO192" s="2637">
        <f>SUM(AO193:AO221)</f>
        <v/>
      </c>
      <c r="AP192" s="2637">
        <f>SUM(AP193:AP221)</f>
        <v/>
      </c>
      <c r="AQ192" s="2637">
        <f>SUM(AQ193:AQ221)</f>
        <v/>
      </c>
      <c r="AR192" s="2637">
        <f>SUM(AR193:AR221)</f>
        <v/>
      </c>
      <c r="AS192" s="2623">
        <f>SUM(AG192:AR192)</f>
        <v/>
      </c>
      <c r="AT192" s="2615">
        <f>SUM(AG192:AP192)</f>
        <v/>
      </c>
      <c r="AU192" s="2637" t="n">
        <v>0</v>
      </c>
      <c r="AV192" s="2637" t="n">
        <v>0</v>
      </c>
      <c r="AW192" s="2637" t="n"/>
      <c r="AX192" s="2637" t="n"/>
      <c r="AY192" s="2637" t="n"/>
      <c r="AZ192" s="2637" t="n"/>
      <c r="BA192" s="2637" t="n"/>
      <c r="BB192" s="2637" t="n"/>
      <c r="BC192" s="2637" t="n"/>
      <c r="BD192" s="2637" t="n"/>
      <c r="BE192" s="2637" t="n"/>
      <c r="BF192" s="2637" t="n"/>
      <c r="BG192" s="2624">
        <f>SUM(AU192:BF192)</f>
        <v/>
      </c>
      <c r="BI192" s="2637" t="n"/>
      <c r="BJ192" s="2637" t="n"/>
      <c r="BK192" s="2637" t="n"/>
      <c r="BL192" s="2637" t="n"/>
      <c r="BM192" s="2637" t="n"/>
      <c r="BN192" s="2637" t="n"/>
      <c r="BO192" s="2637" t="n"/>
      <c r="BP192" s="2637" t="n"/>
      <c r="BQ192" s="2637" t="n"/>
      <c r="BR192" s="2637" t="n"/>
      <c r="BS192" s="2637" t="n"/>
      <c r="BT192" s="2637" t="n"/>
      <c r="BU192" s="2624">
        <f>SUM(BI192:BT192)</f>
        <v/>
      </c>
    </row>
    <row r="193" hidden="1" outlineLevel="1">
      <c r="A193" s="1436" t="n"/>
      <c r="B193" s="1480" t="inlineStr">
        <is>
          <t>기타채권손상차손</t>
        </is>
      </c>
      <c r="C193" s="1436" t="n"/>
      <c r="D193" s="2625" t="n"/>
      <c r="E193" s="2625" t="n"/>
      <c r="F193" s="2625" t="n"/>
      <c r="G193" s="2625" t="n"/>
      <c r="H193" s="2625" t="n"/>
      <c r="I193" s="2625" t="n">
        <v>0</v>
      </c>
      <c r="J193" s="2625" t="n">
        <v>0</v>
      </c>
      <c r="K193" s="2625" t="n">
        <v>0</v>
      </c>
      <c r="L193" s="2625" t="n">
        <v>0</v>
      </c>
      <c r="M193" s="2625" t="n">
        <v>0</v>
      </c>
      <c r="N193" s="2625" t="n">
        <v>0</v>
      </c>
      <c r="O193" s="2625" t="n">
        <v>0</v>
      </c>
      <c r="P193" s="2626">
        <f>SUM(D193:O193)</f>
        <v/>
      </c>
      <c r="Q193" s="1436" t="n"/>
      <c r="R193" s="1436" t="n"/>
      <c r="S193" s="2625" t="n">
        <v>0</v>
      </c>
      <c r="T193" s="2625" t="n">
        <v>0</v>
      </c>
      <c r="U193" s="2625" t="n">
        <v>0</v>
      </c>
      <c r="V193" s="2625" t="n">
        <v>0</v>
      </c>
      <c r="W193" s="2625" t="n">
        <v>0</v>
      </c>
      <c r="X193" s="2625" t="n">
        <v>0</v>
      </c>
      <c r="Y193" s="2625" t="n">
        <v>0</v>
      </c>
      <c r="Z193" s="2625" t="n">
        <v>0</v>
      </c>
      <c r="AA193" s="2625" t="n">
        <v>0</v>
      </c>
      <c r="AB193" s="2625" t="n">
        <v>0</v>
      </c>
      <c r="AC193" s="2625" t="n">
        <v>0</v>
      </c>
      <c r="AD193" s="2625" t="n">
        <v>0</v>
      </c>
      <c r="AE193" s="2626">
        <f>SUM(S193:AD193)</f>
        <v/>
      </c>
      <c r="AF193" s="1436" t="n"/>
      <c r="AG193" s="2625" t="n">
        <v>0</v>
      </c>
      <c r="AH193" s="2625" t="n">
        <v>0</v>
      </c>
      <c r="AI193" s="2625" t="n">
        <v>0</v>
      </c>
      <c r="AJ193" s="2625" t="n">
        <v>0</v>
      </c>
      <c r="AK193" s="2625" t="n">
        <v>0</v>
      </c>
      <c r="AL193" s="2625" t="n"/>
      <c r="AM193" s="2625" t="n">
        <v>0</v>
      </c>
      <c r="AN193" s="2625" t="n">
        <v>0</v>
      </c>
      <c r="AO193" s="2625" t="n"/>
      <c r="AP193" s="2625" t="n">
        <v>0</v>
      </c>
      <c r="AQ193" s="2625" t="n">
        <v>0</v>
      </c>
      <c r="AR193" s="2627" t="n">
        <v>0</v>
      </c>
      <c r="AS193" s="2626">
        <f>SUM(AG193:AR193)</f>
        <v/>
      </c>
      <c r="AT193" s="2615">
        <f>SUM(AG193:AP193)</f>
        <v/>
      </c>
      <c r="AU193" s="2627" t="n"/>
      <c r="AV193" s="2627" t="n"/>
      <c r="AW193" s="2627" t="n"/>
      <c r="AX193" s="2627" t="n"/>
      <c r="AY193" s="2627" t="n"/>
      <c r="AZ193" s="2627" t="n"/>
      <c r="BA193" s="2627" t="n"/>
      <c r="BB193" s="2627" t="n"/>
      <c r="BC193" s="2627" t="n"/>
      <c r="BD193" s="2627" t="n"/>
      <c r="BE193" s="2627" t="n"/>
      <c r="BF193" s="2627" t="n"/>
      <c r="BG193" s="2628">
        <f>SUM(AU193:BF193)</f>
        <v/>
      </c>
      <c r="BI193" s="2627" t="n"/>
      <c r="BJ193" s="2627" t="n"/>
      <c r="BK193" s="2627" t="n"/>
      <c r="BL193" s="2627" t="n"/>
      <c r="BM193" s="2627" t="n"/>
      <c r="BN193" s="2627" t="n"/>
      <c r="BO193" s="2627" t="n"/>
      <c r="BP193" s="2627" t="n"/>
      <c r="BQ193" s="2627" t="n"/>
      <c r="BR193" s="2627" t="n"/>
      <c r="BS193" s="2627" t="n"/>
      <c r="BT193" s="2627" t="n"/>
      <c r="BU193" s="2628">
        <f>SUM(BI193:BT193)</f>
        <v/>
      </c>
    </row>
    <row r="194" hidden="1" outlineLevel="1">
      <c r="A194" s="1436" t="n"/>
      <c r="B194" s="1481" t="inlineStr">
        <is>
          <t>매출채권처분손실</t>
        </is>
      </c>
      <c r="C194" s="1436" t="n"/>
      <c r="D194" s="2625" t="n"/>
      <c r="E194" s="2625" t="n"/>
      <c r="F194" s="2625" t="n"/>
      <c r="G194" s="2625" t="n"/>
      <c r="H194" s="2625" t="n"/>
      <c r="I194" s="2625" t="n">
        <v>0</v>
      </c>
      <c r="J194" s="2625" t="n">
        <v>0</v>
      </c>
      <c r="K194" s="2625" t="n">
        <v>0</v>
      </c>
      <c r="L194" s="2625" t="n">
        <v>0</v>
      </c>
      <c r="M194" s="2625" t="n">
        <v>0</v>
      </c>
      <c r="N194" s="2625" t="n">
        <v>0</v>
      </c>
      <c r="O194" s="2625" t="n">
        <v>0</v>
      </c>
      <c r="P194" s="2626">
        <f>SUM(D194:O194)</f>
        <v/>
      </c>
      <c r="Q194" s="1436" t="n"/>
      <c r="R194" s="1436" t="n"/>
      <c r="S194" s="2625" t="n">
        <v>0</v>
      </c>
      <c r="T194" s="2625" t="n">
        <v>0</v>
      </c>
      <c r="U194" s="2625" t="n">
        <v>0</v>
      </c>
      <c r="V194" s="2625" t="n">
        <v>0</v>
      </c>
      <c r="W194" s="2625" t="n">
        <v>0</v>
      </c>
      <c r="X194" s="2625" t="n">
        <v>0</v>
      </c>
      <c r="Y194" s="2625" t="n">
        <v>0</v>
      </c>
      <c r="Z194" s="2625" t="n">
        <v>0</v>
      </c>
      <c r="AA194" s="2625" t="n">
        <v>0</v>
      </c>
      <c r="AB194" s="2625" t="n">
        <v>0</v>
      </c>
      <c r="AC194" s="2625" t="n">
        <v>0</v>
      </c>
      <c r="AD194" s="2625" t="n">
        <v>0</v>
      </c>
      <c r="AE194" s="2626">
        <f>SUM(S194:AD194)</f>
        <v/>
      </c>
      <c r="AF194" s="1436" t="n"/>
      <c r="AG194" s="2625" t="n">
        <v>0</v>
      </c>
      <c r="AH194" s="2625" t="n">
        <v>0</v>
      </c>
      <c r="AI194" s="2625" t="n">
        <v>0</v>
      </c>
      <c r="AJ194" s="2625" t="n">
        <v>0</v>
      </c>
      <c r="AK194" s="2625" t="n">
        <v>0</v>
      </c>
      <c r="AL194" s="2625" t="n"/>
      <c r="AM194" s="2625" t="n">
        <v>0</v>
      </c>
      <c r="AN194" s="2625" t="n">
        <v>0</v>
      </c>
      <c r="AO194" s="2625" t="n"/>
      <c r="AP194" s="2625" t="n">
        <v>0</v>
      </c>
      <c r="AQ194" s="2625" t="n">
        <v>0</v>
      </c>
      <c r="AR194" s="2627" t="n">
        <v>0</v>
      </c>
      <c r="AS194" s="2626">
        <f>SUM(AG194:AR194)</f>
        <v/>
      </c>
      <c r="AT194" s="2615">
        <f>SUM(AG194:AP194)</f>
        <v/>
      </c>
      <c r="AU194" s="2627" t="n"/>
      <c r="AV194" s="2627" t="n"/>
      <c r="AW194" s="2627" t="n"/>
      <c r="AX194" s="2627" t="n"/>
      <c r="AY194" s="2627" t="n"/>
      <c r="AZ194" s="2627" t="n"/>
      <c r="BA194" s="2627" t="n"/>
      <c r="BB194" s="2627" t="n"/>
      <c r="BC194" s="2627" t="n"/>
      <c r="BD194" s="2627" t="n"/>
      <c r="BE194" s="2627" t="n"/>
      <c r="BF194" s="2627" t="n"/>
      <c r="BG194" s="2628">
        <f>SUM(AU194:BF194)</f>
        <v/>
      </c>
      <c r="BI194" s="2627" t="n"/>
      <c r="BJ194" s="2627" t="n"/>
      <c r="BK194" s="2627" t="n"/>
      <c r="BL194" s="2627" t="n"/>
      <c r="BM194" s="2627" t="n"/>
      <c r="BN194" s="2627" t="n"/>
      <c r="BO194" s="2627" t="n"/>
      <c r="BP194" s="2627" t="n"/>
      <c r="BQ194" s="2627" t="n"/>
      <c r="BR194" s="2627" t="n"/>
      <c r="BS194" s="2627" t="n"/>
      <c r="BT194" s="2627" t="n"/>
      <c r="BU194" s="2628">
        <f>SUM(BI194:BT194)</f>
        <v/>
      </c>
    </row>
    <row r="195" hidden="1" outlineLevel="1">
      <c r="A195" s="1436" t="n"/>
      <c r="B195" s="1480" t="inlineStr">
        <is>
          <t>기부금</t>
        </is>
      </c>
      <c r="C195" s="1436" t="n"/>
      <c r="D195" s="2625" t="n"/>
      <c r="E195" s="2625" t="n"/>
      <c r="F195" s="2625" t="n"/>
      <c r="G195" s="2625" t="n"/>
      <c r="H195" s="2625" t="n"/>
      <c r="I195" s="2625" t="n">
        <v>0</v>
      </c>
      <c r="J195" s="2625" t="n">
        <v>0</v>
      </c>
      <c r="K195" s="2625" t="n">
        <v>0</v>
      </c>
      <c r="L195" s="2625" t="n">
        <v>0</v>
      </c>
      <c r="M195" s="2625" t="n">
        <v>0</v>
      </c>
      <c r="N195" s="2625" t="n">
        <v>0</v>
      </c>
      <c r="O195" s="2625" t="n">
        <v>0</v>
      </c>
      <c r="P195" s="2626">
        <f>SUM(D195:O195)</f>
        <v/>
      </c>
      <c r="Q195" s="1436" t="n"/>
      <c r="R195" s="1436" t="n"/>
      <c r="S195" s="2625" t="n">
        <v>0</v>
      </c>
      <c r="T195" s="2625" t="n">
        <v>0</v>
      </c>
      <c r="U195" s="2625" t="n">
        <v>0</v>
      </c>
      <c r="V195" s="2625" t="n">
        <v>0</v>
      </c>
      <c r="W195" s="2625" t="n">
        <v>0</v>
      </c>
      <c r="X195" s="2625" t="n">
        <v>0</v>
      </c>
      <c r="Y195" s="2625" t="n">
        <v>0</v>
      </c>
      <c r="Z195" s="2625" t="n">
        <v>0</v>
      </c>
      <c r="AA195" s="2625" t="n">
        <v>0</v>
      </c>
      <c r="AB195" s="2625" t="n">
        <v>0</v>
      </c>
      <c r="AC195" s="2625" t="n">
        <v>0</v>
      </c>
      <c r="AD195" s="2625" t="n">
        <v>0</v>
      </c>
      <c r="AE195" s="2626">
        <f>SUM(S195:AD195)</f>
        <v/>
      </c>
      <c r="AF195" s="1436" t="n"/>
      <c r="AG195" s="2625" t="n">
        <v>0</v>
      </c>
      <c r="AH195" s="2625" t="n">
        <v>0</v>
      </c>
      <c r="AI195" s="2625" t="n">
        <v>0</v>
      </c>
      <c r="AJ195" s="2625" t="n">
        <v>0</v>
      </c>
      <c r="AK195" s="2625" t="n">
        <v>0</v>
      </c>
      <c r="AL195" s="2625" t="n"/>
      <c r="AM195" s="2625" t="n">
        <v>0</v>
      </c>
      <c r="AN195" s="2625" t="n">
        <v>0</v>
      </c>
      <c r="AO195" s="2625" t="n"/>
      <c r="AP195" s="2625" t="n">
        <v>0</v>
      </c>
      <c r="AQ195" s="2625" t="n">
        <v>0</v>
      </c>
      <c r="AR195" s="2627" t="n">
        <v>0</v>
      </c>
      <c r="AS195" s="2626">
        <f>SUM(AG195:AR195)</f>
        <v/>
      </c>
      <c r="AT195" s="2615">
        <f>SUM(AG195:AP195)</f>
        <v/>
      </c>
      <c r="AU195" s="2627" t="n"/>
      <c r="AV195" s="2627" t="n"/>
      <c r="AW195" s="2627" t="n"/>
      <c r="AX195" s="2627" t="n"/>
      <c r="AY195" s="2627" t="n"/>
      <c r="AZ195" s="2627" t="n"/>
      <c r="BA195" s="2627" t="n"/>
      <c r="BB195" s="2627" t="n"/>
      <c r="BC195" s="2627" t="n"/>
      <c r="BD195" s="2627" t="n"/>
      <c r="BE195" s="2627" t="n"/>
      <c r="BF195" s="2627" t="n"/>
      <c r="BG195" s="2628">
        <f>SUM(AU195:BF195)</f>
        <v/>
      </c>
      <c r="BI195" s="2627" t="n"/>
      <c r="BJ195" s="2627" t="n"/>
      <c r="BK195" s="2627" t="n"/>
      <c r="BL195" s="2627" t="n"/>
      <c r="BM195" s="2627" t="n"/>
      <c r="BN195" s="2627" t="n"/>
      <c r="BO195" s="2627" t="n"/>
      <c r="BP195" s="2627" t="n"/>
      <c r="BQ195" s="2627" t="n"/>
      <c r="BR195" s="2627" t="n"/>
      <c r="BS195" s="2627" t="n"/>
      <c r="BT195" s="2627" t="n"/>
      <c r="BU195" s="2628">
        <f>SUM(BI195:BT195)</f>
        <v/>
      </c>
    </row>
    <row r="196" hidden="1" outlineLevel="1">
      <c r="A196" s="1436" t="n"/>
      <c r="B196" s="1480" t="inlineStr">
        <is>
          <t>기타의대손상각비</t>
        </is>
      </c>
      <c r="C196" s="1436" t="n"/>
      <c r="D196" s="2625" t="n"/>
      <c r="E196" s="2625" t="n"/>
      <c r="F196" s="2625" t="n"/>
      <c r="G196" s="2625" t="n"/>
      <c r="H196" s="2625" t="n"/>
      <c r="I196" s="2625" t="n">
        <v>0</v>
      </c>
      <c r="J196" s="2625" t="n">
        <v>0</v>
      </c>
      <c r="K196" s="2625" t="n">
        <v>0</v>
      </c>
      <c r="L196" s="2625" t="n">
        <v>0</v>
      </c>
      <c r="M196" s="2625" t="n">
        <v>0</v>
      </c>
      <c r="N196" s="2625" t="n">
        <v>0</v>
      </c>
      <c r="O196" s="2625" t="n">
        <v>0</v>
      </c>
      <c r="P196" s="2626">
        <f>SUM(D196:O196)</f>
        <v/>
      </c>
      <c r="Q196" s="1436" t="n"/>
      <c r="R196" s="1436" t="n"/>
      <c r="S196" s="2625" t="n">
        <v>0</v>
      </c>
      <c r="T196" s="2625" t="n">
        <v>0</v>
      </c>
      <c r="U196" s="2625" t="n">
        <v>0</v>
      </c>
      <c r="V196" s="2625" t="n">
        <v>0</v>
      </c>
      <c r="W196" s="2625" t="n">
        <v>0</v>
      </c>
      <c r="X196" s="2625" t="n">
        <v>0</v>
      </c>
      <c r="Y196" s="2625" t="n">
        <v>0</v>
      </c>
      <c r="Z196" s="2625" t="n">
        <v>0</v>
      </c>
      <c r="AA196" s="2625" t="n">
        <v>174295678</v>
      </c>
      <c r="AB196" s="2625" t="n">
        <v>0</v>
      </c>
      <c r="AC196" s="2625" t="n">
        <v>0</v>
      </c>
      <c r="AD196" s="2625" t="n">
        <v>0</v>
      </c>
      <c r="AE196" s="2626">
        <f>SUM(S196:AD196)</f>
        <v/>
      </c>
      <c r="AF196" s="1436" t="n"/>
      <c r="AG196" s="2625" t="n">
        <v>0</v>
      </c>
      <c r="AH196" s="2625" t="n">
        <v>0</v>
      </c>
      <c r="AI196" s="2625" t="n">
        <v>0</v>
      </c>
      <c r="AJ196" s="2625" t="n">
        <v>0</v>
      </c>
      <c r="AK196" s="2625" t="n">
        <v>0</v>
      </c>
      <c r="AL196" s="2625" t="n"/>
      <c r="AM196" s="2625" t="n">
        <v>0</v>
      </c>
      <c r="AN196" s="2625" t="n">
        <v>0</v>
      </c>
      <c r="AO196" s="2625" t="n"/>
      <c r="AP196" s="2625" t="n">
        <v>0</v>
      </c>
      <c r="AQ196" s="2625" t="n">
        <v>0</v>
      </c>
      <c r="AR196" s="2627" t="n">
        <v>0</v>
      </c>
      <c r="AS196" s="2626">
        <f>SUM(AG196:AR196)</f>
        <v/>
      </c>
      <c r="AT196" s="2615">
        <f>SUM(AG196:AP196)</f>
        <v/>
      </c>
      <c r="AU196" s="2627" t="n"/>
      <c r="AV196" s="2627" t="n"/>
      <c r="AW196" s="2627" t="n"/>
      <c r="AX196" s="2627" t="n"/>
      <c r="AY196" s="2627" t="n"/>
      <c r="AZ196" s="2627" t="n"/>
      <c r="BA196" s="2627" t="n"/>
      <c r="BB196" s="2627" t="n"/>
      <c r="BC196" s="2627" t="n"/>
      <c r="BD196" s="2627" t="n"/>
      <c r="BE196" s="2627" t="n"/>
      <c r="BF196" s="2627" t="n"/>
      <c r="BG196" s="2628">
        <f>SUM(AU196:BF196)</f>
        <v/>
      </c>
      <c r="BI196" s="2627" t="n"/>
      <c r="BJ196" s="2627" t="n"/>
      <c r="BK196" s="2627" t="n"/>
      <c r="BL196" s="2627" t="n"/>
      <c r="BM196" s="2627" t="n"/>
      <c r="BN196" s="2627" t="n"/>
      <c r="BO196" s="2627" t="n"/>
      <c r="BP196" s="2627" t="n"/>
      <c r="BQ196" s="2627" t="n"/>
      <c r="BR196" s="2627" t="n"/>
      <c r="BS196" s="2627" t="n"/>
      <c r="BT196" s="2627" t="n"/>
      <c r="BU196" s="2628">
        <f>SUM(BI196:BT196)</f>
        <v/>
      </c>
    </row>
    <row r="197" hidden="1" outlineLevel="1">
      <c r="A197" s="1436" t="n"/>
      <c r="B197" s="1480" t="inlineStr">
        <is>
          <t>외환차손</t>
        </is>
      </c>
      <c r="C197" s="1436" t="n"/>
      <c r="D197" s="2625" t="n"/>
      <c r="E197" s="2625" t="n"/>
      <c r="F197" s="2625" t="n"/>
      <c r="G197" s="2625" t="n"/>
      <c r="H197" s="2625" t="n"/>
      <c r="I197" s="2625" t="n">
        <v>0</v>
      </c>
      <c r="J197" s="2625" t="n">
        <v>0</v>
      </c>
      <c r="K197" s="2625" t="n">
        <v>7759395</v>
      </c>
      <c r="L197" s="2625" t="n">
        <v>0</v>
      </c>
      <c r="M197" s="2625" t="n">
        <v>0</v>
      </c>
      <c r="N197" s="2625" t="n">
        <v>0</v>
      </c>
      <c r="O197" s="2625" t="n">
        <v>0</v>
      </c>
      <c r="P197" s="2626">
        <f>SUM(D197:O197)</f>
        <v/>
      </c>
      <c r="Q197" s="1436" t="n"/>
      <c r="R197" s="1436" t="n"/>
      <c r="S197" s="2625" t="n">
        <v>0</v>
      </c>
      <c r="T197" s="2625" t="n">
        <v>0</v>
      </c>
      <c r="U197" s="2625" t="n">
        <v>0</v>
      </c>
      <c r="V197" s="2625" t="n">
        <v>0</v>
      </c>
      <c r="W197" s="2625" t="n">
        <v>0</v>
      </c>
      <c r="X197" s="2625" t="n">
        <v>0</v>
      </c>
      <c r="Y197" s="2625" t="n">
        <v>0</v>
      </c>
      <c r="Z197" s="2625" t="n">
        <v>65225</v>
      </c>
      <c r="AA197" s="2625" t="n">
        <v>32014</v>
      </c>
      <c r="AB197" s="2625" t="n">
        <v>143583</v>
      </c>
      <c r="AC197" s="2625" t="n">
        <v>22297</v>
      </c>
      <c r="AD197" s="2625" t="n">
        <v>8531</v>
      </c>
      <c r="AE197" s="2626">
        <f>SUM(S197:AD197)</f>
        <v/>
      </c>
      <c r="AF197" s="1436" t="n"/>
      <c r="AG197" s="2625" t="n">
        <v>109005</v>
      </c>
      <c r="AH197" s="2625" t="n">
        <v>0</v>
      </c>
      <c r="AI197" s="2625" t="n">
        <v>0</v>
      </c>
      <c r="AJ197" s="2625" t="n">
        <v>0</v>
      </c>
      <c r="AK197" s="2625" t="n">
        <v>0</v>
      </c>
      <c r="AL197" s="2625" t="n">
        <v>0</v>
      </c>
      <c r="AM197" s="2625" t="n">
        <v>0</v>
      </c>
      <c r="AN197" s="2625" t="n">
        <v>0</v>
      </c>
      <c r="AO197" s="2625" t="n"/>
      <c r="AP197" s="2625" t="n">
        <v>0</v>
      </c>
      <c r="AQ197" s="2625" t="n">
        <v>0</v>
      </c>
      <c r="AR197" s="2627" t="n">
        <v>0</v>
      </c>
      <c r="AS197" s="2626">
        <f>SUM(AG197:AR197)</f>
        <v/>
      </c>
      <c r="AT197" s="2615" t="n"/>
      <c r="AU197" s="2627" t="n"/>
      <c r="AV197" s="2627" t="n"/>
      <c r="AW197" s="2627" t="n"/>
      <c r="AX197" s="2627" t="n"/>
      <c r="AY197" s="2627" t="n">
        <v>1000</v>
      </c>
      <c r="AZ197" s="2627" t="n"/>
      <c r="BA197" s="2627" t="n"/>
      <c r="BB197" s="2627" t="n"/>
      <c r="BC197" s="2627" t="n"/>
      <c r="BD197" s="2627" t="n"/>
      <c r="BE197" s="2627" t="n"/>
      <c r="BF197" s="2627" t="n"/>
      <c r="BG197" s="2628">
        <f>SUM(AU197:BF197)</f>
        <v/>
      </c>
      <c r="BI197" s="2627" t="n"/>
      <c r="BJ197" s="2627" t="n"/>
      <c r="BK197" s="2627" t="n"/>
      <c r="BL197" s="2627" t="n"/>
      <c r="BM197" s="2627" t="n"/>
      <c r="BN197" s="2627" t="n"/>
      <c r="BO197" s="2627" t="n"/>
      <c r="BP197" s="2627" t="n"/>
      <c r="BQ197" s="2627" t="n"/>
      <c r="BR197" s="2627" t="n"/>
      <c r="BS197" s="2627" t="n"/>
      <c r="BT197" s="2627" t="n"/>
      <c r="BU197" s="2628">
        <f>SUM(BI197:BT197)</f>
        <v/>
      </c>
    </row>
    <row r="198" hidden="1" outlineLevel="1">
      <c r="A198" s="1436" t="n"/>
      <c r="B198" s="1480" t="inlineStr">
        <is>
          <t>외화환산손실</t>
        </is>
      </c>
      <c r="C198" s="1436" t="n"/>
      <c r="D198" s="2625" t="n"/>
      <c r="E198" s="2625" t="n"/>
      <c r="F198" s="2625" t="n"/>
      <c r="G198" s="2625" t="n"/>
      <c r="H198" s="2625" t="n"/>
      <c r="I198" s="2625" t="n">
        <v>0</v>
      </c>
      <c r="J198" s="2625" t="n">
        <v>0</v>
      </c>
      <c r="K198" s="2625" t="n">
        <v>0</v>
      </c>
      <c r="L198" s="2625" t="n">
        <v>0</v>
      </c>
      <c r="M198" s="2625" t="n">
        <v>0</v>
      </c>
      <c r="N198" s="2625" t="n">
        <v>0</v>
      </c>
      <c r="O198" s="2625" t="n">
        <v>0</v>
      </c>
      <c r="P198" s="2626">
        <f>SUM(D198:O198)</f>
        <v/>
      </c>
      <c r="Q198" s="1436" t="n"/>
      <c r="R198" s="1436" t="n"/>
      <c r="S198" s="2625" t="n">
        <v>0</v>
      </c>
      <c r="T198" s="2625" t="n">
        <v>0</v>
      </c>
      <c r="U198" s="2625" t="n">
        <v>0</v>
      </c>
      <c r="V198" s="2625" t="n">
        <v>0</v>
      </c>
      <c r="W198" s="2625" t="n">
        <v>0</v>
      </c>
      <c r="X198" s="2625" t="n">
        <v>0</v>
      </c>
      <c r="Y198" s="2625" t="n">
        <v>0</v>
      </c>
      <c r="Z198" s="2625" t="n">
        <v>0</v>
      </c>
      <c r="AA198" s="2625" t="n">
        <v>0</v>
      </c>
      <c r="AB198" s="2625" t="n">
        <v>0</v>
      </c>
      <c r="AC198" s="2625" t="n">
        <v>0</v>
      </c>
      <c r="AD198" s="2625" t="n">
        <v>0</v>
      </c>
      <c r="AE198" s="2626">
        <f>SUM(S198:AD198)</f>
        <v/>
      </c>
      <c r="AF198" s="1436" t="n"/>
      <c r="AG198" s="2625" t="n">
        <v>0</v>
      </c>
      <c r="AH198" s="2625" t="n">
        <v>0</v>
      </c>
      <c r="AI198" s="2625" t="n">
        <v>0</v>
      </c>
      <c r="AJ198" s="2625" t="n">
        <v>0</v>
      </c>
      <c r="AK198" s="2625" t="n">
        <v>0</v>
      </c>
      <c r="AL198" s="2625" t="n"/>
      <c r="AM198" s="2625" t="n">
        <v>0</v>
      </c>
      <c r="AN198" s="2625" t="n">
        <v>0</v>
      </c>
      <c r="AO198" s="2625" t="n"/>
      <c r="AP198" s="2625" t="n">
        <v>0</v>
      </c>
      <c r="AQ198" s="2625" t="n">
        <v>0</v>
      </c>
      <c r="AR198" s="2627" t="n">
        <v>0</v>
      </c>
      <c r="AS198" s="2626">
        <f>SUM(AG198:AR198)</f>
        <v/>
      </c>
      <c r="AT198" s="2615">
        <f>SUM(AG198:AP198)</f>
        <v/>
      </c>
      <c r="AU198" s="2627" t="n"/>
      <c r="AV198" s="2627" t="n"/>
      <c r="AW198" s="2627" t="n"/>
      <c r="AX198" s="2627" t="n"/>
      <c r="AY198" s="2627" t="n"/>
      <c r="AZ198" s="2627" t="n"/>
      <c r="BA198" s="2627" t="n"/>
      <c r="BB198" s="2627" t="n"/>
      <c r="BC198" s="2627" t="n"/>
      <c r="BD198" s="2627" t="n"/>
      <c r="BE198" s="2627" t="n"/>
      <c r="BF198" s="2627" t="n"/>
      <c r="BG198" s="2628">
        <f>SUM(AU198:BF198)</f>
        <v/>
      </c>
      <c r="BI198" s="2627" t="n"/>
      <c r="BJ198" s="2627" t="n"/>
      <c r="BK198" s="2627" t="n"/>
      <c r="BL198" s="2627" t="n"/>
      <c r="BM198" s="2627" t="n"/>
      <c r="BN198" s="2627" t="n"/>
      <c r="BO198" s="2627" t="n"/>
      <c r="BP198" s="2627" t="n"/>
      <c r="BQ198" s="2627" t="n"/>
      <c r="BR198" s="2627" t="n"/>
      <c r="BS198" s="2627" t="n"/>
      <c r="BT198" s="2627" t="n"/>
      <c r="BU198" s="2628">
        <f>SUM(BI198:BT198)</f>
        <v/>
      </c>
    </row>
    <row r="199" hidden="1" outlineLevel="1">
      <c r="A199" s="1436" t="n"/>
      <c r="B199" s="1480" t="inlineStr">
        <is>
          <t>금융보증비용</t>
        </is>
      </c>
      <c r="C199" s="1436" t="n"/>
      <c r="D199" s="2625" t="n"/>
      <c r="E199" s="2625" t="n"/>
      <c r="F199" s="2625" t="n"/>
      <c r="G199" s="2625" t="n"/>
      <c r="H199" s="2625" t="n"/>
      <c r="I199" s="2625" t="n">
        <v>0</v>
      </c>
      <c r="J199" s="2625" t="n">
        <v>0</v>
      </c>
      <c r="K199" s="2625" t="n">
        <v>0</v>
      </c>
      <c r="L199" s="2625" t="n">
        <v>0</v>
      </c>
      <c r="M199" s="2625" t="n">
        <v>0</v>
      </c>
      <c r="N199" s="2625" t="n">
        <v>0</v>
      </c>
      <c r="O199" s="2625" t="n">
        <v>0</v>
      </c>
      <c r="P199" s="2626">
        <f>SUM(D199:O199)</f>
        <v/>
      </c>
      <c r="Q199" s="1436" t="n"/>
      <c r="R199" s="1436" t="n"/>
      <c r="S199" s="2625" t="n">
        <v>0</v>
      </c>
      <c r="T199" s="2625" t="n">
        <v>0</v>
      </c>
      <c r="U199" s="2625" t="n">
        <v>0</v>
      </c>
      <c r="V199" s="2625" t="n">
        <v>0</v>
      </c>
      <c r="W199" s="2625" t="n">
        <v>0</v>
      </c>
      <c r="X199" s="2625" t="n">
        <v>0</v>
      </c>
      <c r="Y199" s="2625" t="n">
        <v>0</v>
      </c>
      <c r="Z199" s="2625" t="n">
        <v>0</v>
      </c>
      <c r="AA199" s="2625" t="n">
        <v>0</v>
      </c>
      <c r="AB199" s="2625" t="n">
        <v>0</v>
      </c>
      <c r="AC199" s="2625" t="n">
        <v>0</v>
      </c>
      <c r="AD199" s="2625" t="n">
        <v>0</v>
      </c>
      <c r="AE199" s="2626">
        <f>SUM(S199:AD199)</f>
        <v/>
      </c>
      <c r="AF199" s="1436" t="n"/>
      <c r="AG199" s="2625" t="n">
        <v>0</v>
      </c>
      <c r="AH199" s="2625" t="n">
        <v>0</v>
      </c>
      <c r="AI199" s="2625" t="n">
        <v>0</v>
      </c>
      <c r="AJ199" s="2625" t="n">
        <v>0</v>
      </c>
      <c r="AK199" s="2625" t="n">
        <v>0</v>
      </c>
      <c r="AL199" s="2625" t="n"/>
      <c r="AM199" s="2625" t="n">
        <v>0</v>
      </c>
      <c r="AN199" s="2625" t="n">
        <v>0</v>
      </c>
      <c r="AO199" s="2625" t="n"/>
      <c r="AP199" s="2625" t="n">
        <v>0</v>
      </c>
      <c r="AQ199" s="2625" t="n">
        <v>0</v>
      </c>
      <c r="AR199" s="2627" t="n">
        <v>0</v>
      </c>
      <c r="AS199" s="2626">
        <f>SUM(AG199:AR199)</f>
        <v/>
      </c>
      <c r="AT199" s="2615">
        <f>SUM(AG199:AP199)</f>
        <v/>
      </c>
      <c r="AU199" s="2627" t="n"/>
      <c r="AV199" s="2627" t="n"/>
      <c r="AW199" s="2627" t="n"/>
      <c r="AX199" s="2627" t="n"/>
      <c r="AY199" s="2627" t="n"/>
      <c r="AZ199" s="2627" t="n"/>
      <c r="BA199" s="2627" t="n"/>
      <c r="BB199" s="2627" t="n"/>
      <c r="BC199" s="2627" t="n"/>
      <c r="BD199" s="2627" t="n"/>
      <c r="BE199" s="2627" t="n"/>
      <c r="BF199" s="2627" t="n"/>
      <c r="BG199" s="2628">
        <f>SUM(AU199:BF199)</f>
        <v/>
      </c>
      <c r="BI199" s="2627" t="n"/>
      <c r="BJ199" s="2627" t="n"/>
      <c r="BK199" s="2627" t="n"/>
      <c r="BL199" s="2627" t="n"/>
      <c r="BM199" s="2627" t="n"/>
      <c r="BN199" s="2627" t="n"/>
      <c r="BO199" s="2627" t="n"/>
      <c r="BP199" s="2627" t="n"/>
      <c r="BQ199" s="2627" t="n"/>
      <c r="BR199" s="2627" t="n"/>
      <c r="BS199" s="2627" t="n"/>
      <c r="BT199" s="2627" t="n"/>
      <c r="BU199" s="2628">
        <f>SUM(BI199:BT199)</f>
        <v/>
      </c>
    </row>
    <row r="200" hidden="1" outlineLevel="1">
      <c r="A200" s="1436" t="n"/>
      <c r="B200" s="1480" t="inlineStr">
        <is>
          <t>유형자산처분손실</t>
        </is>
      </c>
      <c r="C200" s="1436" t="n"/>
      <c r="D200" s="2625" t="n"/>
      <c r="E200" s="2625" t="n"/>
      <c r="F200" s="2625" t="n"/>
      <c r="G200" s="2625" t="n"/>
      <c r="H200" s="2625" t="n"/>
      <c r="I200" s="2625" t="n">
        <v>0</v>
      </c>
      <c r="J200" s="2625" t="n">
        <v>0</v>
      </c>
      <c r="K200" s="2625" t="n">
        <v>0</v>
      </c>
      <c r="L200" s="2625" t="n">
        <v>0</v>
      </c>
      <c r="M200" s="2625" t="n">
        <v>0</v>
      </c>
      <c r="N200" s="2625" t="n">
        <v>0</v>
      </c>
      <c r="O200" s="2625" t="n">
        <v>0</v>
      </c>
      <c r="P200" s="2626">
        <f>SUM(D200:O200)</f>
        <v/>
      </c>
      <c r="Q200" s="1436" t="n"/>
      <c r="R200" s="1436" t="n"/>
      <c r="S200" s="2625" t="n">
        <v>0</v>
      </c>
      <c r="T200" s="2625" t="n">
        <v>0</v>
      </c>
      <c r="U200" s="2625" t="n">
        <v>0</v>
      </c>
      <c r="V200" s="2625" t="n">
        <v>0</v>
      </c>
      <c r="W200" s="2625" t="n">
        <v>0</v>
      </c>
      <c r="X200" s="2625" t="n">
        <v>0</v>
      </c>
      <c r="Y200" s="2625" t="n">
        <v>0</v>
      </c>
      <c r="Z200" s="2625" t="n">
        <v>0</v>
      </c>
      <c r="AA200" s="2625" t="n">
        <v>0</v>
      </c>
      <c r="AB200" s="2625" t="n">
        <v>0</v>
      </c>
      <c r="AC200" s="2625" t="n">
        <v>10329</v>
      </c>
      <c r="AD200" s="2625" t="n">
        <v>0</v>
      </c>
      <c r="AE200" s="2626">
        <f>SUM(S200:AD200)</f>
        <v/>
      </c>
      <c r="AF200" s="1436" t="n"/>
      <c r="AG200" s="2625" t="n">
        <v>0</v>
      </c>
      <c r="AH200" s="2625" t="n">
        <v>0</v>
      </c>
      <c r="AI200" s="2625" t="n">
        <v>0</v>
      </c>
      <c r="AJ200" s="2625" t="n">
        <v>0</v>
      </c>
      <c r="AK200" s="2625" t="n">
        <v>0</v>
      </c>
      <c r="AL200" s="2625" t="n">
        <v>6191112</v>
      </c>
      <c r="AM200" s="2625" t="n">
        <v>0</v>
      </c>
      <c r="AN200" s="2625" t="n">
        <v>0</v>
      </c>
      <c r="AO200" s="2625" t="n"/>
      <c r="AP200" s="2625" t="n">
        <v>0</v>
      </c>
      <c r="AQ200" s="2625" t="n">
        <v>0</v>
      </c>
      <c r="AR200" s="2627" t="n">
        <v>0</v>
      </c>
      <c r="AS200" s="2626">
        <f>SUM(AG200:AR200)</f>
        <v/>
      </c>
      <c r="AT200" s="2615">
        <f>SUM(AG200:AP200)</f>
        <v/>
      </c>
      <c r="AU200" s="2627" t="n"/>
      <c r="AV200" s="2627" t="n"/>
      <c r="AW200" s="2627" t="n"/>
      <c r="AX200" s="2627" t="n"/>
      <c r="AY200" s="2627" t="n"/>
      <c r="AZ200" s="2627" t="n"/>
      <c r="BA200" s="2627" t="n"/>
      <c r="BB200" s="2627" t="n"/>
      <c r="BC200" s="2627" t="n"/>
      <c r="BD200" s="2627" t="n"/>
      <c r="BE200" s="2627" t="n"/>
      <c r="BF200" s="2627" t="n"/>
      <c r="BG200" s="2628">
        <f>SUM(AU200:BF200)</f>
        <v/>
      </c>
      <c r="BI200" s="2627" t="n"/>
      <c r="BJ200" s="2627" t="n"/>
      <c r="BK200" s="2627" t="n"/>
      <c r="BL200" s="2627" t="n"/>
      <c r="BM200" s="2627" t="n"/>
      <c r="BN200" s="2627" t="n"/>
      <c r="BO200" s="2627" t="n"/>
      <c r="BP200" s="2627" t="n"/>
      <c r="BQ200" s="2627" t="n"/>
      <c r="BR200" s="2627" t="n"/>
      <c r="BS200" s="2627" t="n"/>
      <c r="BT200" s="2627" t="n"/>
      <c r="BU200" s="2628">
        <f>SUM(BI200:BT200)</f>
        <v/>
      </c>
    </row>
    <row r="201" hidden="1" outlineLevel="1">
      <c r="A201" s="1436" t="n"/>
      <c r="B201" s="1480" t="inlineStr">
        <is>
          <t>무형자산처분손실</t>
        </is>
      </c>
      <c r="C201" s="1436" t="n"/>
      <c r="D201" s="2625" t="n"/>
      <c r="E201" s="2625" t="n"/>
      <c r="F201" s="2625" t="n"/>
      <c r="G201" s="2625" t="n"/>
      <c r="H201" s="2625" t="n"/>
      <c r="I201" s="2625" t="n">
        <v>0</v>
      </c>
      <c r="J201" s="2625" t="n">
        <v>0</v>
      </c>
      <c r="K201" s="2625" t="n">
        <v>0</v>
      </c>
      <c r="L201" s="2625" t="n">
        <v>0</v>
      </c>
      <c r="M201" s="2625" t="n">
        <v>0</v>
      </c>
      <c r="N201" s="2625" t="n">
        <v>0</v>
      </c>
      <c r="O201" s="2625" t="n">
        <v>0</v>
      </c>
      <c r="P201" s="2626">
        <f>SUM(D201:O201)</f>
        <v/>
      </c>
      <c r="Q201" s="1436" t="n"/>
      <c r="R201" s="1436" t="n"/>
      <c r="S201" s="2625" t="n">
        <v>0</v>
      </c>
      <c r="T201" s="2625" t="n">
        <v>0</v>
      </c>
      <c r="U201" s="2625" t="n">
        <v>0</v>
      </c>
      <c r="V201" s="2625" t="n">
        <v>0</v>
      </c>
      <c r="W201" s="2625" t="n">
        <v>0</v>
      </c>
      <c r="X201" s="2625" t="n">
        <v>0</v>
      </c>
      <c r="Y201" s="2625" t="n">
        <v>0</v>
      </c>
      <c r="Z201" s="2625" t="n">
        <v>0</v>
      </c>
      <c r="AA201" s="2625" t="n">
        <v>0</v>
      </c>
      <c r="AB201" s="2625" t="n">
        <v>0</v>
      </c>
      <c r="AC201" s="2625" t="n">
        <v>0</v>
      </c>
      <c r="AD201" s="2625" t="n">
        <v>0</v>
      </c>
      <c r="AE201" s="2626">
        <f>SUM(S201:AD201)</f>
        <v/>
      </c>
      <c r="AF201" s="1436" t="n"/>
      <c r="AG201" s="2625" t="n">
        <v>0</v>
      </c>
      <c r="AH201" s="2625" t="n">
        <v>0</v>
      </c>
      <c r="AI201" s="2625" t="n">
        <v>0</v>
      </c>
      <c r="AJ201" s="2625" t="n">
        <v>0</v>
      </c>
      <c r="AK201" s="2625" t="n">
        <v>0</v>
      </c>
      <c r="AL201" s="2625" t="n"/>
      <c r="AM201" s="2625" t="n">
        <v>0</v>
      </c>
      <c r="AN201" s="2625" t="n">
        <v>0</v>
      </c>
      <c r="AO201" s="2625" t="n"/>
      <c r="AP201" s="2625" t="n">
        <v>0</v>
      </c>
      <c r="AQ201" s="2625" t="n">
        <v>0</v>
      </c>
      <c r="AR201" s="2627" t="n">
        <v>0</v>
      </c>
      <c r="AS201" s="2626">
        <f>SUM(AG201:AR201)</f>
        <v/>
      </c>
      <c r="AT201" s="2615">
        <f>SUM(AG201:AP201)</f>
        <v/>
      </c>
      <c r="AU201" s="2627" t="n"/>
      <c r="AV201" s="2627" t="n"/>
      <c r="AW201" s="2627" t="n"/>
      <c r="AX201" s="2627" t="n"/>
      <c r="AY201" s="2627" t="n"/>
      <c r="AZ201" s="2627" t="n"/>
      <c r="BA201" s="2627" t="n"/>
      <c r="BB201" s="2627" t="n"/>
      <c r="BC201" s="2627" t="n"/>
      <c r="BD201" s="2627" t="n"/>
      <c r="BE201" s="2627" t="n"/>
      <c r="BF201" s="2627" t="n"/>
      <c r="BG201" s="2628">
        <f>SUM(AU201:BF201)</f>
        <v/>
      </c>
      <c r="BI201" s="2627" t="n"/>
      <c r="BJ201" s="2627" t="n"/>
      <c r="BK201" s="2627" t="n"/>
      <c r="BL201" s="2627" t="n"/>
      <c r="BM201" s="2627" t="n"/>
      <c r="BN201" s="2627" t="n"/>
      <c r="BO201" s="2627" t="n"/>
      <c r="BP201" s="2627" t="n"/>
      <c r="BQ201" s="2627" t="n"/>
      <c r="BR201" s="2627" t="n"/>
      <c r="BS201" s="2627" t="n"/>
      <c r="BT201" s="2627" t="n"/>
      <c r="BU201" s="2628">
        <f>SUM(BI201:BT201)</f>
        <v/>
      </c>
    </row>
    <row r="202" hidden="1" outlineLevel="1">
      <c r="A202" s="1436" t="n"/>
      <c r="B202" s="1480" t="inlineStr">
        <is>
          <t>유형자산손상차손</t>
        </is>
      </c>
      <c r="C202" s="1436" t="n"/>
      <c r="D202" s="2625" t="n"/>
      <c r="E202" s="2625" t="n"/>
      <c r="F202" s="2625" t="n"/>
      <c r="G202" s="2625" t="n"/>
      <c r="H202" s="2625" t="n"/>
      <c r="I202" s="2625" t="n">
        <v>0</v>
      </c>
      <c r="J202" s="2625" t="n">
        <v>0</v>
      </c>
      <c r="K202" s="2625" t="n">
        <v>0</v>
      </c>
      <c r="L202" s="2625" t="n">
        <v>0</v>
      </c>
      <c r="M202" s="2625" t="n">
        <v>0</v>
      </c>
      <c r="N202" s="2625" t="n">
        <v>0</v>
      </c>
      <c r="O202" s="2625" t="n">
        <v>0</v>
      </c>
      <c r="P202" s="2626">
        <f>SUM(D202:O202)</f>
        <v/>
      </c>
      <c r="Q202" s="1436" t="n"/>
      <c r="R202" s="1436" t="n"/>
      <c r="S202" s="2625" t="n">
        <v>0</v>
      </c>
      <c r="T202" s="2625" t="n">
        <v>0</v>
      </c>
      <c r="U202" s="2625" t="n">
        <v>0</v>
      </c>
      <c r="V202" s="2625" t="n">
        <v>0</v>
      </c>
      <c r="W202" s="2625" t="n">
        <v>0</v>
      </c>
      <c r="X202" s="2625" t="n">
        <v>0</v>
      </c>
      <c r="Y202" s="2625" t="n">
        <v>0</v>
      </c>
      <c r="Z202" s="2625" t="n">
        <v>0</v>
      </c>
      <c r="AA202" s="2625" t="n">
        <v>0</v>
      </c>
      <c r="AB202" s="2625" t="n">
        <v>0</v>
      </c>
      <c r="AC202" s="2625" t="n">
        <v>0</v>
      </c>
      <c r="AD202" s="2625" t="n">
        <v>0</v>
      </c>
      <c r="AE202" s="2626">
        <f>SUM(S202:AD202)</f>
        <v/>
      </c>
      <c r="AF202" s="1436" t="n"/>
      <c r="AG202" s="2625" t="n">
        <v>0</v>
      </c>
      <c r="AH202" s="2625" t="n">
        <v>0</v>
      </c>
      <c r="AI202" s="2625" t="n">
        <v>0</v>
      </c>
      <c r="AJ202" s="2625" t="n">
        <v>0</v>
      </c>
      <c r="AK202" s="2625" t="n">
        <v>0</v>
      </c>
      <c r="AL202" s="2625" t="n"/>
      <c r="AM202" s="2625" t="n">
        <v>0</v>
      </c>
      <c r="AN202" s="2625" t="n">
        <v>0</v>
      </c>
      <c r="AO202" s="2625" t="n"/>
      <c r="AP202" s="2625" t="n">
        <v>0</v>
      </c>
      <c r="AQ202" s="2625" t="n">
        <v>0</v>
      </c>
      <c r="AR202" s="2627" t="n">
        <v>0</v>
      </c>
      <c r="AS202" s="2626">
        <f>SUM(AG202:AR202)</f>
        <v/>
      </c>
      <c r="AT202" s="2615">
        <f>SUM(AG202:AP202)</f>
        <v/>
      </c>
      <c r="AU202" s="2627" t="n"/>
      <c r="AV202" s="2627" t="n"/>
      <c r="AW202" s="2627" t="n"/>
      <c r="AX202" s="2627" t="n"/>
      <c r="AY202" s="2627" t="n"/>
      <c r="AZ202" s="2627" t="n"/>
      <c r="BA202" s="2627" t="n"/>
      <c r="BB202" s="2627" t="n"/>
      <c r="BC202" s="2627" t="n"/>
      <c r="BD202" s="2627" t="n"/>
      <c r="BE202" s="2627" t="n"/>
      <c r="BF202" s="2627" t="n"/>
      <c r="BG202" s="2628">
        <f>SUM(AU202:BF202)</f>
        <v/>
      </c>
      <c r="BI202" s="2627" t="n"/>
      <c r="BJ202" s="2627" t="n"/>
      <c r="BK202" s="2627" t="n"/>
      <c r="BL202" s="2627" t="n"/>
      <c r="BM202" s="2627" t="n"/>
      <c r="BN202" s="2627" t="n"/>
      <c r="BO202" s="2627" t="n"/>
      <c r="BP202" s="2627" t="n"/>
      <c r="BQ202" s="2627" t="n"/>
      <c r="BR202" s="2627" t="n"/>
      <c r="BS202" s="2627" t="n"/>
      <c r="BT202" s="2627" t="n"/>
      <c r="BU202" s="2628">
        <f>SUM(BI202:BT202)</f>
        <v/>
      </c>
    </row>
    <row r="203" hidden="1" outlineLevel="1">
      <c r="A203" s="1436" t="n"/>
      <c r="B203" s="1480" t="inlineStr">
        <is>
          <t>무형자산손상차손</t>
        </is>
      </c>
      <c r="C203" s="1436" t="n"/>
      <c r="D203" s="2625" t="n"/>
      <c r="E203" s="2625" t="n"/>
      <c r="F203" s="2625" t="n"/>
      <c r="G203" s="2625" t="n"/>
      <c r="H203" s="2625" t="n"/>
      <c r="I203" s="2625" t="n">
        <v>0</v>
      </c>
      <c r="J203" s="2625" t="n">
        <v>0</v>
      </c>
      <c r="K203" s="2625" t="n">
        <v>0</v>
      </c>
      <c r="L203" s="2625" t="n">
        <v>0</v>
      </c>
      <c r="M203" s="2625" t="n">
        <v>0</v>
      </c>
      <c r="N203" s="2625" t="n">
        <v>0</v>
      </c>
      <c r="O203" s="2625" t="n">
        <v>0</v>
      </c>
      <c r="P203" s="2626">
        <f>SUM(D203:O203)</f>
        <v/>
      </c>
      <c r="Q203" s="1436" t="n"/>
      <c r="R203" s="1436" t="n"/>
      <c r="S203" s="2625" t="n">
        <v>0</v>
      </c>
      <c r="T203" s="2625" t="n">
        <v>0</v>
      </c>
      <c r="U203" s="2625" t="n">
        <v>0</v>
      </c>
      <c r="V203" s="2625" t="n">
        <v>0</v>
      </c>
      <c r="W203" s="2625" t="n">
        <v>0</v>
      </c>
      <c r="X203" s="2625" t="n">
        <v>0</v>
      </c>
      <c r="Y203" s="2625" t="n">
        <v>0</v>
      </c>
      <c r="Z203" s="2625" t="n">
        <v>0</v>
      </c>
      <c r="AA203" s="2625" t="n">
        <v>951254929</v>
      </c>
      <c r="AB203" s="2625" t="n">
        <v>0</v>
      </c>
      <c r="AC203" s="2625" t="n">
        <v>0</v>
      </c>
      <c r="AD203" s="2625" t="n">
        <v>0</v>
      </c>
      <c r="AE203" s="2626">
        <f>SUM(S203:AD203)</f>
        <v/>
      </c>
      <c r="AF203" s="1436" t="n"/>
      <c r="AG203" s="2625" t="n">
        <v>0</v>
      </c>
      <c r="AH203" s="2625" t="n">
        <v>0</v>
      </c>
      <c r="AI203" s="2625" t="n">
        <v>0</v>
      </c>
      <c r="AJ203" s="2625" t="n">
        <v>0</v>
      </c>
      <c r="AK203" s="2625" t="n">
        <v>0</v>
      </c>
      <c r="AL203" s="2625" t="n"/>
      <c r="AM203" s="2625" t="n">
        <v>0</v>
      </c>
      <c r="AN203" s="2625" t="n">
        <v>0</v>
      </c>
      <c r="AO203" s="2625" t="n"/>
      <c r="AP203" s="2625" t="n">
        <v>0</v>
      </c>
      <c r="AQ203" s="2625" t="n">
        <v>0</v>
      </c>
      <c r="AR203" s="2627" t="n">
        <v>0</v>
      </c>
      <c r="AS203" s="2626">
        <f>SUM(AG203:AR203)</f>
        <v/>
      </c>
      <c r="AT203" s="2615">
        <f>SUM(AG203:AP203)</f>
        <v/>
      </c>
      <c r="AU203" s="2627" t="n"/>
      <c r="AV203" s="2627" t="n"/>
      <c r="AW203" s="2627" t="n"/>
      <c r="AX203" s="2627" t="n"/>
      <c r="AY203" s="2627" t="n"/>
      <c r="AZ203" s="2627" t="n"/>
      <c r="BA203" s="2627" t="n"/>
      <c r="BB203" s="2627" t="n"/>
      <c r="BC203" s="2627" t="n"/>
      <c r="BD203" s="2627" t="n"/>
      <c r="BE203" s="2627" t="n"/>
      <c r="BF203" s="2627" t="n"/>
      <c r="BG203" s="2628">
        <f>SUM(AU203:BF203)</f>
        <v/>
      </c>
      <c r="BI203" s="2627" t="n"/>
      <c r="BJ203" s="2627" t="n"/>
      <c r="BK203" s="2627" t="n"/>
      <c r="BL203" s="2627" t="n"/>
      <c r="BM203" s="2627" t="n"/>
      <c r="BN203" s="2627" t="n"/>
      <c r="BO203" s="2627" t="n"/>
      <c r="BP203" s="2627" t="n"/>
      <c r="BQ203" s="2627" t="n"/>
      <c r="BR203" s="2627" t="n"/>
      <c r="BS203" s="2627" t="n"/>
      <c r="BT203" s="2627" t="n"/>
      <c r="BU203" s="2628">
        <f>SUM(BI203:BT203)</f>
        <v/>
      </c>
    </row>
    <row r="204" hidden="1" outlineLevel="1">
      <c r="A204" s="1436" t="n"/>
      <c r="B204" s="1480" t="inlineStr">
        <is>
          <t>기타자산손상차손</t>
        </is>
      </c>
      <c r="C204" s="1436" t="n"/>
      <c r="D204" s="2625" t="n"/>
      <c r="E204" s="2625" t="n"/>
      <c r="F204" s="2625" t="n"/>
      <c r="G204" s="2625" t="n"/>
      <c r="H204" s="2625" t="n"/>
      <c r="I204" s="2625" t="n">
        <v>0</v>
      </c>
      <c r="J204" s="2625" t="n">
        <v>0</v>
      </c>
      <c r="K204" s="2625" t="n">
        <v>0</v>
      </c>
      <c r="L204" s="2625" t="n">
        <v>0</v>
      </c>
      <c r="M204" s="2625" t="n">
        <v>0</v>
      </c>
      <c r="N204" s="2625" t="n">
        <v>0</v>
      </c>
      <c r="O204" s="2625" t="n">
        <v>0</v>
      </c>
      <c r="P204" s="2626">
        <f>SUM(D204:O204)</f>
        <v/>
      </c>
      <c r="Q204" s="1436" t="n"/>
      <c r="R204" s="1436" t="n"/>
      <c r="S204" s="2625" t="n">
        <v>0</v>
      </c>
      <c r="T204" s="2625" t="n">
        <v>0</v>
      </c>
      <c r="U204" s="2625" t="n">
        <v>0</v>
      </c>
      <c r="V204" s="2625" t="n">
        <v>0</v>
      </c>
      <c r="W204" s="2625" t="n">
        <v>0</v>
      </c>
      <c r="X204" s="2625" t="n">
        <v>0</v>
      </c>
      <c r="Y204" s="2625" t="n">
        <v>0</v>
      </c>
      <c r="Z204" s="2625" t="n">
        <v>0</v>
      </c>
      <c r="AA204" s="2625" t="n">
        <v>0</v>
      </c>
      <c r="AB204" s="2625" t="n">
        <v>0</v>
      </c>
      <c r="AC204" s="2625" t="n">
        <v>0</v>
      </c>
      <c r="AD204" s="2625" t="n">
        <v>0</v>
      </c>
      <c r="AE204" s="2626">
        <f>SUM(S204:AD204)</f>
        <v/>
      </c>
      <c r="AF204" s="1436" t="n"/>
      <c r="AG204" s="2625" t="n">
        <v>0</v>
      </c>
      <c r="AH204" s="2625" t="n">
        <v>0</v>
      </c>
      <c r="AI204" s="2625" t="n">
        <v>0</v>
      </c>
      <c r="AJ204" s="2625" t="n">
        <v>0</v>
      </c>
      <c r="AK204" s="2625" t="n">
        <v>0</v>
      </c>
      <c r="AL204" s="2625" t="n"/>
      <c r="AM204" s="2625" t="n">
        <v>0</v>
      </c>
      <c r="AN204" s="2625" t="n">
        <v>0</v>
      </c>
      <c r="AO204" s="2625" t="n"/>
      <c r="AP204" s="2625" t="n">
        <v>0</v>
      </c>
      <c r="AQ204" s="2625" t="n">
        <v>0</v>
      </c>
      <c r="AR204" s="2627" t="n">
        <v>0</v>
      </c>
      <c r="AS204" s="2626">
        <f>SUM(AG204:AR204)</f>
        <v/>
      </c>
      <c r="AT204" s="2615">
        <f>SUM(AG204:AP204)</f>
        <v/>
      </c>
      <c r="AU204" s="2627" t="n"/>
      <c r="AV204" s="2627" t="n"/>
      <c r="AW204" s="2627" t="n"/>
      <c r="AX204" s="2627" t="n"/>
      <c r="AY204" s="2627" t="n"/>
      <c r="AZ204" s="2627" t="n"/>
      <c r="BA204" s="2627" t="n"/>
      <c r="BB204" s="2627" t="n"/>
      <c r="BC204" s="2627" t="n"/>
      <c r="BD204" s="2627" t="n"/>
      <c r="BE204" s="2627" t="n"/>
      <c r="BF204" s="2627" t="n"/>
      <c r="BG204" s="2628">
        <f>SUM(AU204:BF204)</f>
        <v/>
      </c>
      <c r="BI204" s="2627" t="n"/>
      <c r="BJ204" s="2627" t="n"/>
      <c r="BK204" s="2627" t="n"/>
      <c r="BL204" s="2627" t="n"/>
      <c r="BM204" s="2627" t="n"/>
      <c r="BN204" s="2627" t="n"/>
      <c r="BO204" s="2627" t="n"/>
      <c r="BP204" s="2627" t="n"/>
      <c r="BQ204" s="2627" t="n"/>
      <c r="BR204" s="2627" t="n"/>
      <c r="BS204" s="2627" t="n"/>
      <c r="BT204" s="2627" t="n"/>
      <c r="BU204" s="2628">
        <f>SUM(BI204:BT204)</f>
        <v/>
      </c>
    </row>
    <row r="205" hidden="1" outlineLevel="1">
      <c r="A205" s="1436" t="n"/>
      <c r="B205" s="1480" t="inlineStr">
        <is>
          <t>잡손실</t>
        </is>
      </c>
      <c r="C205" s="1436" t="n"/>
      <c r="D205" s="2625" t="n"/>
      <c r="E205" s="2625" t="n"/>
      <c r="F205" s="2625" t="n"/>
      <c r="G205" s="2625" t="n"/>
      <c r="H205" s="2625" t="n"/>
      <c r="I205" s="2625" t="n">
        <v>0</v>
      </c>
      <c r="J205" s="2625" t="n">
        <v>0</v>
      </c>
      <c r="K205" s="2625" t="n">
        <v>0</v>
      </c>
      <c r="L205" s="2625" t="n">
        <v>0</v>
      </c>
      <c r="M205" s="2625" t="n">
        <v>0</v>
      </c>
      <c r="N205" s="2625" t="n">
        <v>0</v>
      </c>
      <c r="O205" s="2625" t="n">
        <v>70</v>
      </c>
      <c r="P205" s="2626">
        <f>SUM(D205:O205)</f>
        <v/>
      </c>
      <c r="Q205" s="1436" t="n"/>
      <c r="R205" s="1436" t="n"/>
      <c r="S205" s="2625" t="n">
        <v>0</v>
      </c>
      <c r="T205" s="2625" t="n">
        <v>5</v>
      </c>
      <c r="U205" s="2625" t="n">
        <v>0</v>
      </c>
      <c r="V205" s="2625" t="n">
        <v>0</v>
      </c>
      <c r="W205" s="2625" t="n">
        <v>0</v>
      </c>
      <c r="X205" s="2625" t="n">
        <v>0</v>
      </c>
      <c r="Y205" s="2625" t="n">
        <v>0</v>
      </c>
      <c r="Z205" s="2625" t="n">
        <v>0</v>
      </c>
      <c r="AA205" s="2625" t="n">
        <v>0</v>
      </c>
      <c r="AB205" s="2625" t="n">
        <v>0</v>
      </c>
      <c r="AC205" s="2625" t="n">
        <v>0</v>
      </c>
      <c r="AD205" s="2625" t="n">
        <v>14441347</v>
      </c>
      <c r="AE205" s="2626">
        <f>SUM(S205:AD205)</f>
        <v/>
      </c>
      <c r="AF205" s="1436" t="n"/>
      <c r="AG205" s="2625" t="n">
        <v>0</v>
      </c>
      <c r="AH205" s="2625" t="n">
        <v>5</v>
      </c>
      <c r="AI205" s="2625" t="n">
        <v>0</v>
      </c>
      <c r="AJ205" s="2625" t="n">
        <v>0</v>
      </c>
      <c r="AK205" s="2625" t="n">
        <v>1191743</v>
      </c>
      <c r="AL205" s="2625" t="n">
        <v>0</v>
      </c>
      <c r="AM205" s="2625" t="n">
        <v>268848667</v>
      </c>
      <c r="AN205" s="2625" t="n">
        <v>0</v>
      </c>
      <c r="AO205" s="2625" t="n"/>
      <c r="AP205" s="2625" t="n">
        <v>0</v>
      </c>
      <c r="AQ205" s="2625" t="n">
        <v>50784</v>
      </c>
      <c r="AR205" s="2627" t="n">
        <v>-50780</v>
      </c>
      <c r="AS205" s="2626">
        <f>SUM(AG205:AR205)</f>
        <v/>
      </c>
      <c r="AT205" s="2615">
        <f>SUM(AG205:AP205)</f>
        <v/>
      </c>
      <c r="AU205" s="2627" t="n"/>
      <c r="AV205" s="2627" t="n"/>
      <c r="AW205" s="2627" t="n"/>
      <c r="AX205" s="2627" t="n"/>
      <c r="AY205" s="2627" t="n">
        <v>3</v>
      </c>
      <c r="AZ205" s="2627" t="n"/>
      <c r="BA205" s="2627" t="n"/>
      <c r="BB205" s="2627" t="n">
        <v>5</v>
      </c>
      <c r="BC205" s="2627" t="n"/>
      <c r="BD205" s="2627" t="n"/>
      <c r="BE205" s="2627" t="n">
        <v>9</v>
      </c>
      <c r="BF205" s="2627" t="n"/>
      <c r="BG205" s="2628">
        <f>SUM(AU205:BF205)</f>
        <v/>
      </c>
      <c r="BI205" s="2627" t="n"/>
      <c r="BJ205" s="2627" t="n"/>
      <c r="BK205" s="2627" t="n"/>
      <c r="BL205" s="2627" t="n"/>
      <c r="BM205" s="2627" t="n"/>
      <c r="BN205" s="2627" t="n"/>
      <c r="BO205" s="2627" t="n"/>
      <c r="BP205" s="2627" t="n"/>
      <c r="BQ205" s="2627" t="n"/>
      <c r="BR205" s="2627" t="n"/>
      <c r="BS205" s="2627" t="n"/>
      <c r="BT205" s="2627" t="n"/>
      <c r="BU205" s="2628">
        <f>SUM(BI205:BT205)</f>
        <v/>
      </c>
    </row>
    <row r="206" hidden="1" outlineLevel="1">
      <c r="A206" s="1436" t="n"/>
      <c r="B206" s="1480" t="inlineStr">
        <is>
          <t>재해손실</t>
        </is>
      </c>
      <c r="C206" s="1436" t="n"/>
      <c r="D206" s="2625" t="n"/>
      <c r="E206" s="2625" t="n"/>
      <c r="F206" s="2625" t="n"/>
      <c r="G206" s="2625" t="n"/>
      <c r="H206" s="2625" t="n"/>
      <c r="I206" s="2625" t="n">
        <v>0</v>
      </c>
      <c r="J206" s="2625" t="n">
        <v>0</v>
      </c>
      <c r="K206" s="2625" t="n">
        <v>0</v>
      </c>
      <c r="L206" s="2625" t="n">
        <v>0</v>
      </c>
      <c r="M206" s="2625" t="n">
        <v>0</v>
      </c>
      <c r="N206" s="2625" t="n">
        <v>0</v>
      </c>
      <c r="O206" s="2625" t="n">
        <v>0</v>
      </c>
      <c r="P206" s="2626">
        <f>SUM(D206:O206)</f>
        <v/>
      </c>
      <c r="Q206" s="1436" t="n"/>
      <c r="R206" s="1436" t="n"/>
      <c r="S206" s="2625" t="n">
        <v>0</v>
      </c>
      <c r="T206" s="2625" t="n">
        <v>0</v>
      </c>
      <c r="U206" s="2625" t="n">
        <v>0</v>
      </c>
      <c r="V206" s="2625" t="n">
        <v>0</v>
      </c>
      <c r="W206" s="2625" t="n">
        <v>0</v>
      </c>
      <c r="X206" s="2625" t="n">
        <v>0</v>
      </c>
      <c r="Y206" s="2625" t="n">
        <v>0</v>
      </c>
      <c r="Z206" s="2625" t="n">
        <v>0</v>
      </c>
      <c r="AA206" s="2625" t="n">
        <v>0</v>
      </c>
      <c r="AB206" s="2625" t="n">
        <v>0</v>
      </c>
      <c r="AC206" s="2625" t="n">
        <v>0</v>
      </c>
      <c r="AD206" s="2625" t="n">
        <v>0</v>
      </c>
      <c r="AE206" s="2626">
        <f>SUM(S206:AD206)</f>
        <v/>
      </c>
      <c r="AF206" s="1436" t="n"/>
      <c r="AG206" s="2625" t="n">
        <v>0</v>
      </c>
      <c r="AH206" s="2625" t="n">
        <v>0</v>
      </c>
      <c r="AI206" s="2625" t="n">
        <v>0</v>
      </c>
      <c r="AJ206" s="2625" t="n">
        <v>0</v>
      </c>
      <c r="AK206" s="2625" t="n">
        <v>0</v>
      </c>
      <c r="AL206" s="2625" t="n"/>
      <c r="AM206" s="2625" t="n">
        <v>0</v>
      </c>
      <c r="AN206" s="2625" t="n">
        <v>0</v>
      </c>
      <c r="AO206" s="2625" t="n"/>
      <c r="AP206" s="2625" t="n">
        <v>0</v>
      </c>
      <c r="AQ206" s="2625" t="n">
        <v>0</v>
      </c>
      <c r="AR206" s="2627" t="n">
        <v>0</v>
      </c>
      <c r="AS206" s="2626">
        <f>SUM(AG206:AR206)</f>
        <v/>
      </c>
      <c r="AT206" s="2615">
        <f>SUM(AG206:AP206)</f>
        <v/>
      </c>
      <c r="AU206" s="2627" t="n"/>
      <c r="AV206" s="2627" t="n"/>
      <c r="AW206" s="2627" t="n"/>
      <c r="AX206" s="2627" t="n"/>
      <c r="AY206" s="2627" t="n"/>
      <c r="AZ206" s="2627" t="n"/>
      <c r="BA206" s="2627" t="n"/>
      <c r="BB206" s="2627" t="n"/>
      <c r="BC206" s="2627" t="n"/>
      <c r="BD206" s="2627" t="n"/>
      <c r="BE206" s="2627" t="n"/>
      <c r="BF206" s="2627" t="n"/>
      <c r="BG206" s="2628">
        <f>SUM(AU206:BF206)</f>
        <v/>
      </c>
      <c r="BI206" s="2627" t="n"/>
      <c r="BJ206" s="2627" t="n"/>
      <c r="BK206" s="2627" t="n"/>
      <c r="BL206" s="2627" t="n"/>
      <c r="BM206" s="2627" t="n"/>
      <c r="BN206" s="2627" t="n"/>
      <c r="BO206" s="2627" t="n"/>
      <c r="BP206" s="2627" t="n"/>
      <c r="BQ206" s="2627" t="n"/>
      <c r="BR206" s="2627" t="n"/>
      <c r="BS206" s="2627" t="n"/>
      <c r="BT206" s="2627" t="n"/>
      <c r="BU206" s="2628">
        <f>SUM(BI206:BT206)</f>
        <v/>
      </c>
    </row>
    <row r="207" hidden="1" outlineLevel="1">
      <c r="A207" s="1436" t="n"/>
      <c r="B207" s="1480" t="inlineStr">
        <is>
          <t>전기오류수정손실</t>
        </is>
      </c>
      <c r="C207" s="1436" t="n"/>
      <c r="D207" s="2625" t="n"/>
      <c r="E207" s="2625" t="n"/>
      <c r="F207" s="2625" t="n"/>
      <c r="G207" s="2625" t="n"/>
      <c r="H207" s="2625" t="n"/>
      <c r="I207" s="2625" t="n">
        <v>0</v>
      </c>
      <c r="J207" s="2625" t="n">
        <v>0</v>
      </c>
      <c r="K207" s="2625" t="n">
        <v>0</v>
      </c>
      <c r="L207" s="2625" t="n">
        <v>0</v>
      </c>
      <c r="M207" s="2625" t="n">
        <v>0</v>
      </c>
      <c r="N207" s="2625" t="n">
        <v>0</v>
      </c>
      <c r="O207" s="2625" t="n">
        <v>0</v>
      </c>
      <c r="P207" s="2626">
        <f>SUM(D207:O207)</f>
        <v/>
      </c>
      <c r="Q207" s="1436" t="n"/>
      <c r="R207" s="1436" t="n"/>
      <c r="S207" s="2625" t="n">
        <v>0</v>
      </c>
      <c r="T207" s="2625" t="n">
        <v>0</v>
      </c>
      <c r="U207" s="2625" t="n">
        <v>0</v>
      </c>
      <c r="V207" s="2625" t="n">
        <v>0</v>
      </c>
      <c r="W207" s="2625" t="n">
        <v>0</v>
      </c>
      <c r="X207" s="2625" t="n">
        <v>0</v>
      </c>
      <c r="Y207" s="2625" t="n">
        <v>0</v>
      </c>
      <c r="Z207" s="2625" t="n">
        <v>0</v>
      </c>
      <c r="AA207" s="2625" t="n">
        <v>0</v>
      </c>
      <c r="AB207" s="2625" t="n">
        <v>0</v>
      </c>
      <c r="AC207" s="2625" t="n">
        <v>0</v>
      </c>
      <c r="AD207" s="2625" t="n">
        <v>0</v>
      </c>
      <c r="AE207" s="2626">
        <f>SUM(S207:AD207)</f>
        <v/>
      </c>
      <c r="AF207" s="1436" t="n"/>
      <c r="AG207" s="2625" t="n">
        <v>0</v>
      </c>
      <c r="AH207" s="2625" t="n">
        <v>0</v>
      </c>
      <c r="AI207" s="2625" t="n">
        <v>0</v>
      </c>
      <c r="AJ207" s="2625" t="n">
        <v>0</v>
      </c>
      <c r="AK207" s="2625" t="n">
        <v>0</v>
      </c>
      <c r="AL207" s="2625" t="n"/>
      <c r="AM207" s="2625" t="n">
        <v>0</v>
      </c>
      <c r="AN207" s="2625" t="n">
        <v>0</v>
      </c>
      <c r="AO207" s="2625" t="n"/>
      <c r="AP207" s="2625" t="n">
        <v>0</v>
      </c>
      <c r="AQ207" s="2625" t="n">
        <v>0</v>
      </c>
      <c r="AR207" s="2627" t="n">
        <v>0</v>
      </c>
      <c r="AS207" s="2626">
        <f>SUM(AG207:AR207)</f>
        <v/>
      </c>
      <c r="AT207" s="2615">
        <f>SUM(AG207:AP207)</f>
        <v/>
      </c>
      <c r="AU207" s="2627" t="n"/>
      <c r="AV207" s="2627" t="n"/>
      <c r="AW207" s="2627" t="n"/>
      <c r="AX207" s="2627" t="n"/>
      <c r="AY207" s="2627" t="n"/>
      <c r="AZ207" s="2627" t="n"/>
      <c r="BA207" s="2627" t="n"/>
      <c r="BB207" s="2627" t="n"/>
      <c r="BC207" s="2627" t="n"/>
      <c r="BD207" s="2627" t="n"/>
      <c r="BE207" s="2627" t="n"/>
      <c r="BF207" s="2627" t="n"/>
      <c r="BG207" s="2628">
        <f>SUM(AU207:BF207)</f>
        <v/>
      </c>
      <c r="BI207" s="2627" t="n"/>
      <c r="BJ207" s="2627" t="n"/>
      <c r="BK207" s="2627" t="n"/>
      <c r="BL207" s="2627" t="n"/>
      <c r="BM207" s="2627" t="n"/>
      <c r="BN207" s="2627" t="n"/>
      <c r="BO207" s="2627" t="n"/>
      <c r="BP207" s="2627" t="n"/>
      <c r="BQ207" s="2627" t="n"/>
      <c r="BR207" s="2627" t="n"/>
      <c r="BS207" s="2627" t="n"/>
      <c r="BT207" s="2627" t="n"/>
      <c r="BU207" s="2628">
        <f>SUM(BI207:BT207)</f>
        <v/>
      </c>
    </row>
    <row r="208" hidden="1" outlineLevel="1">
      <c r="A208" s="1436" t="n"/>
      <c r="B208" s="1480" t="inlineStr">
        <is>
          <t>관계기업투자주식처분손실</t>
        </is>
      </c>
      <c r="C208" s="1436" t="n"/>
      <c r="D208" s="2625" t="n"/>
      <c r="E208" s="2625" t="n"/>
      <c r="F208" s="2625" t="n"/>
      <c r="G208" s="2625" t="n"/>
      <c r="H208" s="2625" t="n"/>
      <c r="I208" s="2625" t="n">
        <v>0</v>
      </c>
      <c r="J208" s="2625" t="n">
        <v>0</v>
      </c>
      <c r="K208" s="2625" t="n">
        <v>0</v>
      </c>
      <c r="L208" s="2625" t="n">
        <v>0</v>
      </c>
      <c r="M208" s="2625" t="n">
        <v>0</v>
      </c>
      <c r="N208" s="2625" t="n">
        <v>0</v>
      </c>
      <c r="O208" s="2625" t="n">
        <v>0</v>
      </c>
      <c r="P208" s="2626">
        <f>SUM(D208:O208)</f>
        <v/>
      </c>
      <c r="Q208" s="1436" t="n"/>
      <c r="R208" s="1436" t="n"/>
      <c r="S208" s="2625" t="n">
        <v>0</v>
      </c>
      <c r="T208" s="2625" t="n">
        <v>0</v>
      </c>
      <c r="U208" s="2625" t="n">
        <v>0</v>
      </c>
      <c r="V208" s="2625" t="n">
        <v>0</v>
      </c>
      <c r="W208" s="2625" t="n">
        <v>0</v>
      </c>
      <c r="X208" s="2625" t="n">
        <v>0</v>
      </c>
      <c r="Y208" s="2625" t="n">
        <v>0</v>
      </c>
      <c r="Z208" s="2625" t="n">
        <v>0</v>
      </c>
      <c r="AA208" s="2625" t="n">
        <v>0</v>
      </c>
      <c r="AB208" s="2625" t="n">
        <v>0</v>
      </c>
      <c r="AC208" s="2625" t="n">
        <v>0</v>
      </c>
      <c r="AD208" s="2625" t="n">
        <v>0</v>
      </c>
      <c r="AE208" s="2626">
        <f>SUM(S208:AD208)</f>
        <v/>
      </c>
      <c r="AF208" s="1436" t="n"/>
      <c r="AG208" s="2625" t="n">
        <v>0</v>
      </c>
      <c r="AH208" s="2625" t="n">
        <v>0</v>
      </c>
      <c r="AI208" s="2625" t="n">
        <v>0</v>
      </c>
      <c r="AJ208" s="2625" t="n">
        <v>0</v>
      </c>
      <c r="AK208" s="2625" t="n">
        <v>0</v>
      </c>
      <c r="AL208" s="2625" t="n"/>
      <c r="AM208" s="2625" t="n">
        <v>0</v>
      </c>
      <c r="AN208" s="2625" t="n">
        <v>0</v>
      </c>
      <c r="AO208" s="2625" t="n"/>
      <c r="AP208" s="2625" t="n">
        <v>0</v>
      </c>
      <c r="AQ208" s="2625" t="n">
        <v>0</v>
      </c>
      <c r="AR208" s="2627" t="n">
        <v>0</v>
      </c>
      <c r="AS208" s="2626">
        <f>SUM(AG208:AR208)</f>
        <v/>
      </c>
      <c r="AT208" s="2615">
        <f>SUM(AG208:AP208)</f>
        <v/>
      </c>
      <c r="AU208" s="2627" t="n"/>
      <c r="AV208" s="2627" t="n"/>
      <c r="AW208" s="2627" t="n"/>
      <c r="AX208" s="2627" t="n"/>
      <c r="AY208" s="2627" t="n"/>
      <c r="AZ208" s="2627" t="n"/>
      <c r="BA208" s="2627" t="n"/>
      <c r="BB208" s="2627" t="n"/>
      <c r="BC208" s="2627" t="n"/>
      <c r="BD208" s="2627" t="n"/>
      <c r="BE208" s="2627" t="n"/>
      <c r="BF208" s="2627" t="n"/>
      <c r="BG208" s="2628">
        <f>SUM(AU208:BF208)</f>
        <v/>
      </c>
      <c r="BI208" s="2627" t="n"/>
      <c r="BJ208" s="2627" t="n"/>
      <c r="BK208" s="2627" t="n"/>
      <c r="BL208" s="2627" t="n"/>
      <c r="BM208" s="2627" t="n"/>
      <c r="BN208" s="2627" t="n"/>
      <c r="BO208" s="2627" t="n"/>
      <c r="BP208" s="2627" t="n"/>
      <c r="BQ208" s="2627" t="n"/>
      <c r="BR208" s="2627" t="n"/>
      <c r="BS208" s="2627" t="n"/>
      <c r="BT208" s="2627" t="n"/>
      <c r="BU208" s="2628">
        <f>SUM(BI208:BT208)</f>
        <v/>
      </c>
    </row>
    <row r="209" hidden="1" outlineLevel="1">
      <c r="A209" s="1436" t="n"/>
      <c r="B209" s="1480" t="inlineStr">
        <is>
          <t>종속기업투자주식처분손실</t>
        </is>
      </c>
      <c r="C209" s="1436" t="n"/>
      <c r="D209" s="2625" t="n"/>
      <c r="E209" s="2625" t="n"/>
      <c r="F209" s="2625" t="n"/>
      <c r="G209" s="2625" t="n"/>
      <c r="H209" s="2625" t="n"/>
      <c r="I209" s="2625" t="n"/>
      <c r="J209" s="2625" t="n"/>
      <c r="K209" s="2625" t="n"/>
      <c r="L209" s="2625" t="n"/>
      <c r="M209" s="2625" t="n"/>
      <c r="N209" s="2625" t="n"/>
      <c r="O209" s="2625" t="n"/>
      <c r="P209" s="2626" t="n"/>
      <c r="Q209" s="1436" t="n"/>
      <c r="R209" s="1436" t="n"/>
      <c r="S209" s="2625" t="n"/>
      <c r="T209" s="2625" t="n"/>
      <c r="U209" s="2625" t="n"/>
      <c r="V209" s="2625" t="n"/>
      <c r="W209" s="2625" t="n"/>
      <c r="X209" s="2625" t="n"/>
      <c r="Y209" s="2625" t="n"/>
      <c r="Z209" s="2625" t="n"/>
      <c r="AA209" s="2625" t="n"/>
      <c r="AB209" s="2625" t="n"/>
      <c r="AC209" s="2625" t="n"/>
      <c r="AD209" s="2625" t="n"/>
      <c r="AE209" s="2626">
        <f>SUM(S209:AD209)</f>
        <v/>
      </c>
      <c r="AF209" s="1436" t="n"/>
      <c r="AG209" s="2625" t="n">
        <v>0</v>
      </c>
      <c r="AH209" s="2625" t="n">
        <v>0</v>
      </c>
      <c r="AI209" s="2625" t="n">
        <v>0</v>
      </c>
      <c r="AJ209" s="2625" t="n">
        <v>0</v>
      </c>
      <c r="AK209" s="2625" t="n">
        <v>0</v>
      </c>
      <c r="AL209" s="2625" t="n"/>
      <c r="AM209" s="2625" t="n">
        <v>0</v>
      </c>
      <c r="AN209" s="2625" t="n">
        <v>0</v>
      </c>
      <c r="AO209" s="2625" t="n"/>
      <c r="AP209" s="2625" t="n">
        <v>0</v>
      </c>
      <c r="AQ209" s="2625" t="n">
        <v>0</v>
      </c>
      <c r="AR209" s="2627" t="n">
        <v>0</v>
      </c>
      <c r="AS209" s="2626">
        <f>SUM(AG209:AR209)</f>
        <v/>
      </c>
      <c r="AT209" s="2615">
        <f>SUM(AG209:AP209)</f>
        <v/>
      </c>
      <c r="AU209" s="2627" t="n"/>
      <c r="AV209" s="2627" t="n"/>
      <c r="AW209" s="2627" t="n"/>
      <c r="AX209" s="2627" t="n"/>
      <c r="AY209" s="2627" t="n"/>
      <c r="AZ209" s="2627" t="n"/>
      <c r="BA209" s="2627" t="n"/>
      <c r="BB209" s="2627" t="n"/>
      <c r="BC209" s="2627" t="n"/>
      <c r="BD209" s="2627" t="n"/>
      <c r="BE209" s="2627" t="n"/>
      <c r="BF209" s="2627" t="n"/>
      <c r="BG209" s="2628">
        <f>SUM(AU209:BF209)</f>
        <v/>
      </c>
      <c r="BI209" s="2627" t="n"/>
      <c r="BJ209" s="2627" t="n"/>
      <c r="BK209" s="2627" t="n"/>
      <c r="BL209" s="2627" t="n"/>
      <c r="BM209" s="2627" t="n"/>
      <c r="BN209" s="2627" t="n"/>
      <c r="BO209" s="2627" t="n"/>
      <c r="BP209" s="2627" t="n"/>
      <c r="BQ209" s="2627" t="n"/>
      <c r="BR209" s="2627" t="n"/>
      <c r="BS209" s="2627" t="n"/>
      <c r="BT209" s="2627" t="n"/>
      <c r="BU209" s="2628">
        <f>SUM(BI209:BT209)</f>
        <v/>
      </c>
    </row>
    <row r="210" hidden="1" outlineLevel="1">
      <c r="A210" s="1436" t="n"/>
      <c r="B210" s="1480" t="inlineStr">
        <is>
          <t>관계기업주식손상차손</t>
        </is>
      </c>
      <c r="C210" s="1436" t="n"/>
      <c r="D210" s="2625" t="n"/>
      <c r="E210" s="2625" t="n"/>
      <c r="F210" s="2625" t="n"/>
      <c r="G210" s="2625" t="n"/>
      <c r="H210" s="2625" t="n"/>
      <c r="I210" s="2625" t="n">
        <v>0</v>
      </c>
      <c r="J210" s="2625" t="n">
        <v>0</v>
      </c>
      <c r="K210" s="2625" t="n">
        <v>0</v>
      </c>
      <c r="L210" s="2625" t="n">
        <v>0</v>
      </c>
      <c r="M210" s="2625" t="n">
        <v>0</v>
      </c>
      <c r="N210" s="2625" t="n">
        <v>0</v>
      </c>
      <c r="O210" s="2625" t="n">
        <v>0</v>
      </c>
      <c r="P210" s="2626">
        <f>SUM(D210:O210)</f>
        <v/>
      </c>
      <c r="Q210" s="1436" t="n"/>
      <c r="R210" s="1436" t="n"/>
      <c r="S210" s="2625" t="n">
        <v>0</v>
      </c>
      <c r="T210" s="2625" t="n">
        <v>0</v>
      </c>
      <c r="U210" s="2625" t="n">
        <v>0</v>
      </c>
      <c r="V210" s="2625" t="n">
        <v>0</v>
      </c>
      <c r="W210" s="2625" t="n">
        <v>0</v>
      </c>
      <c r="X210" s="2625" t="n">
        <v>0</v>
      </c>
      <c r="Y210" s="2625" t="n">
        <v>0</v>
      </c>
      <c r="Z210" s="2625" t="n">
        <v>0</v>
      </c>
      <c r="AA210" s="2625" t="n">
        <v>0</v>
      </c>
      <c r="AB210" s="2625" t="n">
        <v>0</v>
      </c>
      <c r="AC210" s="2625" t="n">
        <v>0</v>
      </c>
      <c r="AD210" s="2625" t="n">
        <v>0</v>
      </c>
      <c r="AE210" s="2626">
        <f>SUM(S210:AD210)</f>
        <v/>
      </c>
      <c r="AF210" s="1436" t="n"/>
      <c r="AG210" s="2625" t="n">
        <v>0</v>
      </c>
      <c r="AH210" s="2625" t="n">
        <v>0</v>
      </c>
      <c r="AI210" s="2625" t="n">
        <v>0</v>
      </c>
      <c r="AJ210" s="2625" t="n">
        <v>0</v>
      </c>
      <c r="AK210" s="2625" t="n">
        <v>0</v>
      </c>
      <c r="AL210" s="2625" t="n"/>
      <c r="AM210" s="2625" t="n">
        <v>0</v>
      </c>
      <c r="AN210" s="2625" t="n">
        <v>0</v>
      </c>
      <c r="AO210" s="2625" t="n"/>
      <c r="AP210" s="2625" t="n">
        <v>0</v>
      </c>
      <c r="AQ210" s="2625" t="n">
        <v>0</v>
      </c>
      <c r="AR210" s="2627" t="n">
        <v>0</v>
      </c>
      <c r="AS210" s="2626">
        <f>SUM(AG210:AR210)</f>
        <v/>
      </c>
      <c r="AT210" s="2615">
        <f>SUM(AG210:AP210)</f>
        <v/>
      </c>
      <c r="AU210" s="2627" t="n"/>
      <c r="AV210" s="2627" t="n"/>
      <c r="AW210" s="2627" t="n"/>
      <c r="AX210" s="2627" t="n"/>
      <c r="AY210" s="2627" t="n"/>
      <c r="AZ210" s="2627" t="n"/>
      <c r="BA210" s="2627" t="n"/>
      <c r="BB210" s="2627" t="n"/>
      <c r="BC210" s="2627" t="n"/>
      <c r="BD210" s="2627" t="n"/>
      <c r="BE210" s="2627" t="n"/>
      <c r="BF210" s="2627" t="n"/>
      <c r="BG210" s="2628">
        <f>SUM(AU210:BF210)</f>
        <v/>
      </c>
      <c r="BI210" s="2627" t="n"/>
      <c r="BJ210" s="2627" t="n"/>
      <c r="BK210" s="2627" t="n"/>
      <c r="BL210" s="2627" t="n"/>
      <c r="BM210" s="2627" t="n"/>
      <c r="BN210" s="2627" t="n"/>
      <c r="BO210" s="2627" t="n"/>
      <c r="BP210" s="2627" t="n"/>
      <c r="BQ210" s="2627" t="n"/>
      <c r="BR210" s="2627" t="n"/>
      <c r="BS210" s="2627" t="n"/>
      <c r="BT210" s="2627" t="n"/>
      <c r="BU210" s="2628">
        <f>SUM(BI210:BT210)</f>
        <v/>
      </c>
    </row>
    <row r="211" hidden="1" outlineLevel="1">
      <c r="A211" s="1436" t="n"/>
      <c r="B211" s="1480" t="inlineStr">
        <is>
          <t>종속기업주식손상차손</t>
        </is>
      </c>
      <c r="C211" s="1436" t="n"/>
      <c r="D211" s="2625" t="n"/>
      <c r="E211" s="2625" t="n"/>
      <c r="F211" s="2625" t="n"/>
      <c r="G211" s="2625" t="n"/>
      <c r="H211" s="2625" t="n"/>
      <c r="I211" s="2625" t="n">
        <v>0</v>
      </c>
      <c r="J211" s="2625" t="n">
        <v>0</v>
      </c>
      <c r="K211" s="2625" t="n">
        <v>0</v>
      </c>
      <c r="L211" s="2625" t="n">
        <v>0</v>
      </c>
      <c r="M211" s="2625" t="n">
        <v>0</v>
      </c>
      <c r="N211" s="2625" t="n">
        <v>0</v>
      </c>
      <c r="O211" s="2625" t="n">
        <v>0</v>
      </c>
      <c r="P211" s="2626">
        <f>SUM(D211:O211)</f>
        <v/>
      </c>
      <c r="Q211" s="1436" t="n"/>
      <c r="R211" s="1436" t="n"/>
      <c r="S211" s="2625" t="n">
        <v>0</v>
      </c>
      <c r="T211" s="2625" t="n">
        <v>0</v>
      </c>
      <c r="U211" s="2625" t="n">
        <v>0</v>
      </c>
      <c r="V211" s="2625" t="n">
        <v>0</v>
      </c>
      <c r="W211" s="2625" t="n">
        <v>0</v>
      </c>
      <c r="X211" s="2625" t="n">
        <v>0</v>
      </c>
      <c r="Y211" s="2625" t="n">
        <v>0</v>
      </c>
      <c r="Z211" s="2625" t="n">
        <v>0</v>
      </c>
      <c r="AA211" s="2625" t="n">
        <v>0</v>
      </c>
      <c r="AB211" s="2625" t="n">
        <v>0</v>
      </c>
      <c r="AC211" s="2625" t="n">
        <v>0</v>
      </c>
      <c r="AD211" s="2625" t="n">
        <v>0</v>
      </c>
      <c r="AE211" s="2626">
        <f>SUM(S211:AD211)</f>
        <v/>
      </c>
      <c r="AF211" s="1436" t="n"/>
      <c r="AG211" s="2625" t="n">
        <v>0</v>
      </c>
      <c r="AH211" s="2625" t="n">
        <v>0</v>
      </c>
      <c r="AI211" s="2625" t="n">
        <v>0</v>
      </c>
      <c r="AJ211" s="2625" t="n">
        <v>0</v>
      </c>
      <c r="AK211" s="2625" t="n">
        <v>0</v>
      </c>
      <c r="AL211" s="2625" t="n"/>
      <c r="AM211" s="2625" t="n">
        <v>0</v>
      </c>
      <c r="AN211" s="2625" t="n">
        <v>0</v>
      </c>
      <c r="AO211" s="2625" t="n"/>
      <c r="AP211" s="2625" t="n">
        <v>0</v>
      </c>
      <c r="AQ211" s="2625" t="n">
        <v>0</v>
      </c>
      <c r="AR211" s="2627" t="n">
        <v>0</v>
      </c>
      <c r="AS211" s="2626">
        <f>SUM(AG211:AR211)</f>
        <v/>
      </c>
      <c r="AT211" s="2615">
        <f>SUM(AG211:AP211)</f>
        <v/>
      </c>
      <c r="AU211" s="2627" t="n"/>
      <c r="AV211" s="2627" t="n"/>
      <c r="AW211" s="2627" t="n"/>
      <c r="AX211" s="2627" t="n"/>
      <c r="AY211" s="2627" t="n"/>
      <c r="AZ211" s="2627" t="n"/>
      <c r="BA211" s="2627" t="n"/>
      <c r="BB211" s="2627" t="n"/>
      <c r="BC211" s="2627" t="n"/>
      <c r="BD211" s="2627" t="n"/>
      <c r="BE211" s="2627" t="n"/>
      <c r="BF211" s="2627" t="n"/>
      <c r="BG211" s="2628">
        <f>SUM(AU211:BF211)</f>
        <v/>
      </c>
      <c r="BI211" s="2627" t="n"/>
      <c r="BJ211" s="2627" t="n"/>
      <c r="BK211" s="2627" t="n"/>
      <c r="BL211" s="2627" t="n"/>
      <c r="BM211" s="2627" t="n"/>
      <c r="BN211" s="2627" t="n"/>
      <c r="BO211" s="2627" t="n"/>
      <c r="BP211" s="2627" t="n"/>
      <c r="BQ211" s="2627" t="n"/>
      <c r="BR211" s="2627" t="n"/>
      <c r="BS211" s="2627" t="n"/>
      <c r="BT211" s="2627" t="n"/>
      <c r="BU211" s="2628">
        <f>SUM(BI211:BT211)</f>
        <v/>
      </c>
    </row>
    <row r="212" hidden="1" outlineLevel="1">
      <c r="A212" s="1436" t="n"/>
      <c r="B212" s="1480" t="inlineStr">
        <is>
          <t>당기손익인식지정금융상품평가손실</t>
        </is>
      </c>
      <c r="C212" s="1436" t="n"/>
      <c r="D212" s="2625" t="n"/>
      <c r="E212" s="2625" t="n"/>
      <c r="F212" s="2625" t="n"/>
      <c r="G212" s="2625" t="n"/>
      <c r="H212" s="2625" t="n"/>
      <c r="I212" s="2625" t="n">
        <v>0</v>
      </c>
      <c r="J212" s="2625" t="n">
        <v>0</v>
      </c>
      <c r="K212" s="2625" t="n">
        <v>0</v>
      </c>
      <c r="L212" s="2625" t="n">
        <v>0</v>
      </c>
      <c r="M212" s="2625" t="n">
        <v>0</v>
      </c>
      <c r="N212" s="2625" t="n">
        <v>0</v>
      </c>
      <c r="O212" s="2625" t="n">
        <v>0</v>
      </c>
      <c r="P212" s="2626">
        <f>SUM(D212:O212)</f>
        <v/>
      </c>
      <c r="Q212" s="1436" t="n"/>
      <c r="R212" s="1436" t="n"/>
      <c r="S212" s="2625" t="n">
        <v>0</v>
      </c>
      <c r="T212" s="2625" t="n">
        <v>0</v>
      </c>
      <c r="U212" s="2625" t="n">
        <v>0</v>
      </c>
      <c r="V212" s="2625" t="n">
        <v>0</v>
      </c>
      <c r="W212" s="2625" t="n">
        <v>0</v>
      </c>
      <c r="X212" s="2625" t="n">
        <v>0</v>
      </c>
      <c r="Y212" s="2625" t="n">
        <v>0</v>
      </c>
      <c r="Z212" s="2625" t="n">
        <v>0</v>
      </c>
      <c r="AA212" s="2625" t="n">
        <v>0</v>
      </c>
      <c r="AB212" s="2625" t="n">
        <v>0</v>
      </c>
      <c r="AC212" s="2625" t="n">
        <v>0</v>
      </c>
      <c r="AD212" s="2625" t="n">
        <v>0</v>
      </c>
      <c r="AE212" s="2626">
        <f>SUM(S212:AD212)</f>
        <v/>
      </c>
      <c r="AF212" s="1436" t="n"/>
      <c r="AG212" s="2625" t="n">
        <v>0</v>
      </c>
      <c r="AH212" s="2625" t="n">
        <v>0</v>
      </c>
      <c r="AI212" s="2625" t="n">
        <v>0</v>
      </c>
      <c r="AJ212" s="2625" t="n">
        <v>0</v>
      </c>
      <c r="AK212" s="2625" t="n">
        <v>0</v>
      </c>
      <c r="AL212" s="2625" t="n"/>
      <c r="AM212" s="2625" t="n">
        <v>0</v>
      </c>
      <c r="AN212" s="2625" t="n">
        <v>0</v>
      </c>
      <c r="AO212" s="2625" t="n"/>
      <c r="AP212" s="2625" t="n">
        <v>0</v>
      </c>
      <c r="AQ212" s="2625" t="n">
        <v>0</v>
      </c>
      <c r="AR212" s="2627" t="n">
        <v>0</v>
      </c>
      <c r="AS212" s="2626">
        <f>SUM(AG212:AR212)</f>
        <v/>
      </c>
      <c r="AT212" s="2615">
        <f>SUM(AG212:AP212)</f>
        <v/>
      </c>
      <c r="AU212" s="2627" t="n"/>
      <c r="AV212" s="2627" t="n"/>
      <c r="AW212" s="2627" t="n"/>
      <c r="AX212" s="2627" t="n"/>
      <c r="AY212" s="2627" t="n"/>
      <c r="AZ212" s="2627" t="n"/>
      <c r="BA212" s="2627" t="n"/>
      <c r="BB212" s="2627" t="n"/>
      <c r="BC212" s="2627" t="n"/>
      <c r="BD212" s="2627" t="n"/>
      <c r="BE212" s="2627" t="n"/>
      <c r="BF212" s="2627" t="n"/>
      <c r="BG212" s="2628">
        <f>SUM(AU212:BF212)</f>
        <v/>
      </c>
      <c r="BI212" s="2627" t="n"/>
      <c r="BJ212" s="2627" t="n"/>
      <c r="BK212" s="2627" t="n"/>
      <c r="BL212" s="2627" t="n"/>
      <c r="BM212" s="2627" t="n"/>
      <c r="BN212" s="2627" t="n"/>
      <c r="BO212" s="2627" t="n"/>
      <c r="BP212" s="2627" t="n"/>
      <c r="BQ212" s="2627" t="n"/>
      <c r="BR212" s="2627" t="n"/>
      <c r="BS212" s="2627" t="n"/>
      <c r="BT212" s="2627" t="n"/>
      <c r="BU212" s="2628">
        <f>SUM(BI212:BT212)</f>
        <v/>
      </c>
    </row>
    <row r="213" hidden="1" outlineLevel="1">
      <c r="A213" s="1436" t="n"/>
      <c r="B213" s="1480" t="inlineStr">
        <is>
          <t>당기손익인식지정금융상품처분손실</t>
        </is>
      </c>
      <c r="C213" s="1436" t="n"/>
      <c r="D213" s="2625" t="n"/>
      <c r="E213" s="2625" t="n"/>
      <c r="F213" s="2625" t="n"/>
      <c r="G213" s="2625" t="n"/>
      <c r="H213" s="2625" t="n"/>
      <c r="I213" s="2625" t="n">
        <v>0</v>
      </c>
      <c r="J213" s="2625" t="n">
        <v>0</v>
      </c>
      <c r="K213" s="2625" t="n">
        <v>0</v>
      </c>
      <c r="L213" s="2625" t="n">
        <v>0</v>
      </c>
      <c r="M213" s="2625" t="n">
        <v>0</v>
      </c>
      <c r="N213" s="2625" t="n">
        <v>0</v>
      </c>
      <c r="O213" s="2625" t="n">
        <v>0</v>
      </c>
      <c r="P213" s="2626">
        <f>SUM(D213:O213)</f>
        <v/>
      </c>
      <c r="Q213" s="1436" t="n"/>
      <c r="R213" s="1436" t="n"/>
      <c r="S213" s="2625" t="n">
        <v>0</v>
      </c>
      <c r="T213" s="2625" t="n">
        <v>0</v>
      </c>
      <c r="U213" s="2625" t="n">
        <v>0</v>
      </c>
      <c r="V213" s="2625" t="n">
        <v>0</v>
      </c>
      <c r="W213" s="2625" t="n">
        <v>0</v>
      </c>
      <c r="X213" s="2625" t="n">
        <v>0</v>
      </c>
      <c r="Y213" s="2625" t="n">
        <v>0</v>
      </c>
      <c r="Z213" s="2625" t="n">
        <v>0</v>
      </c>
      <c r="AA213" s="2625" t="n">
        <v>0</v>
      </c>
      <c r="AB213" s="2625" t="n">
        <v>0</v>
      </c>
      <c r="AC213" s="2625" t="n">
        <v>0</v>
      </c>
      <c r="AD213" s="2625" t="n">
        <v>0</v>
      </c>
      <c r="AE213" s="2626">
        <f>SUM(S213:AD213)</f>
        <v/>
      </c>
      <c r="AF213" s="1436" t="n"/>
      <c r="AG213" s="2625" t="n">
        <v>0</v>
      </c>
      <c r="AH213" s="2625" t="n">
        <v>0</v>
      </c>
      <c r="AI213" s="2625" t="n">
        <v>0</v>
      </c>
      <c r="AJ213" s="2625" t="n">
        <v>0</v>
      </c>
      <c r="AK213" s="2625" t="n">
        <v>0</v>
      </c>
      <c r="AL213" s="2625" t="n"/>
      <c r="AM213" s="2625" t="n">
        <v>0</v>
      </c>
      <c r="AN213" s="2625" t="n">
        <v>0</v>
      </c>
      <c r="AO213" s="2625" t="n"/>
      <c r="AP213" s="2625" t="n">
        <v>0</v>
      </c>
      <c r="AQ213" s="2625" t="n">
        <v>0</v>
      </c>
      <c r="AR213" s="2627" t="n">
        <v>0</v>
      </c>
      <c r="AS213" s="2626">
        <f>SUM(AG213:AR213)</f>
        <v/>
      </c>
      <c r="AT213" s="2615">
        <f>SUM(AG213:AP213)</f>
        <v/>
      </c>
      <c r="AU213" s="2627" t="n"/>
      <c r="AV213" s="2627" t="n"/>
      <c r="AW213" s="2627" t="n"/>
      <c r="AX213" s="2627" t="n"/>
      <c r="AY213" s="2627" t="n"/>
      <c r="AZ213" s="2627" t="n"/>
      <c r="BA213" s="2627" t="n"/>
      <c r="BB213" s="2627" t="n"/>
      <c r="BC213" s="2627" t="n"/>
      <c r="BD213" s="2627" t="n"/>
      <c r="BE213" s="2627" t="n"/>
      <c r="BF213" s="2627" t="n"/>
      <c r="BG213" s="2628">
        <f>SUM(AU213:BF213)</f>
        <v/>
      </c>
      <c r="BI213" s="2627" t="n"/>
      <c r="BJ213" s="2627" t="n"/>
      <c r="BK213" s="2627" t="n"/>
      <c r="BL213" s="2627" t="n"/>
      <c r="BM213" s="2627" t="n"/>
      <c r="BN213" s="2627" t="n"/>
      <c r="BO213" s="2627" t="n"/>
      <c r="BP213" s="2627" t="n"/>
      <c r="BQ213" s="2627" t="n"/>
      <c r="BR213" s="2627" t="n"/>
      <c r="BS213" s="2627" t="n"/>
      <c r="BT213" s="2627" t="n"/>
      <c r="BU213" s="2628">
        <f>SUM(BI213:BT213)</f>
        <v/>
      </c>
    </row>
    <row r="214" hidden="1" outlineLevel="1">
      <c r="A214" s="1436" t="n"/>
      <c r="B214" s="1480" t="inlineStr">
        <is>
          <t>위험회피목적파생상품평가손실(재무활동외)</t>
        </is>
      </c>
      <c r="C214" s="1436" t="n"/>
      <c r="D214" s="2625" t="n"/>
      <c r="E214" s="2625" t="n"/>
      <c r="F214" s="2625" t="n"/>
      <c r="G214" s="2625" t="n"/>
      <c r="H214" s="2625" t="n"/>
      <c r="I214" s="2625" t="n">
        <v>0</v>
      </c>
      <c r="J214" s="2625" t="n">
        <v>0</v>
      </c>
      <c r="K214" s="2625" t="n">
        <v>0</v>
      </c>
      <c r="L214" s="2625" t="n">
        <v>0</v>
      </c>
      <c r="M214" s="2625" t="n">
        <v>0</v>
      </c>
      <c r="N214" s="2625" t="n">
        <v>0</v>
      </c>
      <c r="O214" s="2625" t="n">
        <v>0</v>
      </c>
      <c r="P214" s="2626">
        <f>SUM(D214:O214)</f>
        <v/>
      </c>
      <c r="Q214" s="1436" t="n"/>
      <c r="R214" s="1436" t="n"/>
      <c r="S214" s="2625" t="n">
        <v>0</v>
      </c>
      <c r="T214" s="2625" t="n">
        <v>0</v>
      </c>
      <c r="U214" s="2625" t="n">
        <v>0</v>
      </c>
      <c r="V214" s="2625" t="n">
        <v>0</v>
      </c>
      <c r="W214" s="2625" t="n">
        <v>0</v>
      </c>
      <c r="X214" s="2625" t="n">
        <v>0</v>
      </c>
      <c r="Y214" s="2625" t="n">
        <v>0</v>
      </c>
      <c r="Z214" s="2625" t="n">
        <v>0</v>
      </c>
      <c r="AA214" s="2625" t="n">
        <v>0</v>
      </c>
      <c r="AB214" s="2625" t="n">
        <v>0</v>
      </c>
      <c r="AC214" s="2625" t="n">
        <v>0</v>
      </c>
      <c r="AD214" s="2625" t="n">
        <v>0</v>
      </c>
      <c r="AE214" s="2626">
        <f>SUM(S214:AD214)</f>
        <v/>
      </c>
      <c r="AF214" s="1436" t="n"/>
      <c r="AG214" s="2625" t="n">
        <v>0</v>
      </c>
      <c r="AH214" s="2625" t="n">
        <v>0</v>
      </c>
      <c r="AI214" s="2625" t="n">
        <v>0</v>
      </c>
      <c r="AJ214" s="2625" t="n">
        <v>0</v>
      </c>
      <c r="AK214" s="2625" t="n">
        <v>0</v>
      </c>
      <c r="AL214" s="2625" t="n"/>
      <c r="AM214" s="2625" t="n">
        <v>0</v>
      </c>
      <c r="AN214" s="2625" t="n">
        <v>0</v>
      </c>
      <c r="AO214" s="2625" t="n"/>
      <c r="AP214" s="2625" t="n">
        <v>0</v>
      </c>
      <c r="AQ214" s="2625" t="n">
        <v>0</v>
      </c>
      <c r="AR214" s="2627" t="n">
        <v>0</v>
      </c>
      <c r="AS214" s="2626">
        <f>SUM(AG214:AR214)</f>
        <v/>
      </c>
      <c r="AT214" s="2615">
        <f>SUM(AG214:AP214)</f>
        <v/>
      </c>
      <c r="AU214" s="2627" t="n"/>
      <c r="AV214" s="2627" t="n"/>
      <c r="AW214" s="2627" t="n"/>
      <c r="AX214" s="2627" t="n"/>
      <c r="AY214" s="2627" t="n"/>
      <c r="AZ214" s="2627" t="n"/>
      <c r="BA214" s="2627" t="n"/>
      <c r="BB214" s="2627" t="n"/>
      <c r="BC214" s="2627" t="n"/>
      <c r="BD214" s="2627" t="n"/>
      <c r="BE214" s="2627" t="n"/>
      <c r="BF214" s="2627" t="n"/>
      <c r="BG214" s="2628">
        <f>SUM(AU214:BF214)</f>
        <v/>
      </c>
      <c r="BI214" s="2627" t="n"/>
      <c r="BJ214" s="2627" t="n"/>
      <c r="BK214" s="2627" t="n"/>
      <c r="BL214" s="2627" t="n"/>
      <c r="BM214" s="2627" t="n"/>
      <c r="BN214" s="2627" t="n"/>
      <c r="BO214" s="2627" t="n"/>
      <c r="BP214" s="2627" t="n"/>
      <c r="BQ214" s="2627" t="n"/>
      <c r="BR214" s="2627" t="n"/>
      <c r="BS214" s="2627" t="n"/>
      <c r="BT214" s="2627" t="n"/>
      <c r="BU214" s="2628">
        <f>SUM(BI214:BT214)</f>
        <v/>
      </c>
    </row>
    <row r="215" hidden="1" outlineLevel="1">
      <c r="A215" s="1436" t="n"/>
      <c r="B215" s="1480" t="inlineStr">
        <is>
          <t>위험회피목적파생상품처분손실(재무활동외)</t>
        </is>
      </c>
      <c r="C215" s="1436" t="n"/>
      <c r="D215" s="2625" t="n"/>
      <c r="E215" s="2625" t="n"/>
      <c r="F215" s="2625" t="n"/>
      <c r="G215" s="2625" t="n"/>
      <c r="H215" s="2625" t="n"/>
      <c r="I215" s="2625" t="n">
        <v>0</v>
      </c>
      <c r="J215" s="2625" t="n">
        <v>0</v>
      </c>
      <c r="K215" s="2625" t="n">
        <v>0</v>
      </c>
      <c r="L215" s="2625" t="n">
        <v>0</v>
      </c>
      <c r="M215" s="2625" t="n">
        <v>0</v>
      </c>
      <c r="N215" s="2625" t="n">
        <v>0</v>
      </c>
      <c r="O215" s="2625" t="n">
        <v>0</v>
      </c>
      <c r="P215" s="2626">
        <f>SUM(D215:O215)</f>
        <v/>
      </c>
      <c r="Q215" s="1436" t="n"/>
      <c r="R215" s="1436" t="n"/>
      <c r="S215" s="2625" t="n">
        <v>0</v>
      </c>
      <c r="T215" s="2625" t="n">
        <v>0</v>
      </c>
      <c r="U215" s="2625" t="n">
        <v>0</v>
      </c>
      <c r="V215" s="2625" t="n">
        <v>0</v>
      </c>
      <c r="W215" s="2625" t="n">
        <v>0</v>
      </c>
      <c r="X215" s="2625" t="n">
        <v>0</v>
      </c>
      <c r="Y215" s="2625" t="n">
        <v>0</v>
      </c>
      <c r="Z215" s="2625" t="n">
        <v>0</v>
      </c>
      <c r="AA215" s="2625" t="n">
        <v>0</v>
      </c>
      <c r="AB215" s="2625" t="n">
        <v>0</v>
      </c>
      <c r="AC215" s="2625" t="n">
        <v>0</v>
      </c>
      <c r="AD215" s="2625" t="n">
        <v>0</v>
      </c>
      <c r="AE215" s="2626">
        <f>SUM(S215:AD215)</f>
        <v/>
      </c>
      <c r="AF215" s="1436" t="n"/>
      <c r="AG215" s="2625" t="n">
        <v>0</v>
      </c>
      <c r="AH215" s="2625" t="n">
        <v>0</v>
      </c>
      <c r="AI215" s="2625" t="n">
        <v>0</v>
      </c>
      <c r="AJ215" s="2625" t="n">
        <v>0</v>
      </c>
      <c r="AK215" s="2625" t="n">
        <v>0</v>
      </c>
      <c r="AL215" s="2625" t="n"/>
      <c r="AM215" s="2625" t="n">
        <v>0</v>
      </c>
      <c r="AN215" s="2625" t="n">
        <v>0</v>
      </c>
      <c r="AO215" s="2625" t="n"/>
      <c r="AP215" s="2625" t="n">
        <v>0</v>
      </c>
      <c r="AQ215" s="2625" t="n">
        <v>0</v>
      </c>
      <c r="AR215" s="2627" t="n">
        <v>0</v>
      </c>
      <c r="AS215" s="2626">
        <f>SUM(AG215:AR215)</f>
        <v/>
      </c>
      <c r="AT215" s="2615">
        <f>SUM(AG215:AP215)</f>
        <v/>
      </c>
      <c r="AU215" s="2627" t="n"/>
      <c r="AV215" s="2627" t="n"/>
      <c r="AW215" s="2627" t="n"/>
      <c r="AX215" s="2627" t="n"/>
      <c r="AY215" s="2627" t="n"/>
      <c r="AZ215" s="2627" t="n"/>
      <c r="BA215" s="2627" t="n"/>
      <c r="BB215" s="2627" t="n"/>
      <c r="BC215" s="2627" t="n"/>
      <c r="BD215" s="2627" t="n"/>
      <c r="BE215" s="2627" t="n"/>
      <c r="BF215" s="2627" t="n"/>
      <c r="BG215" s="2628">
        <f>SUM(AU215:BF215)</f>
        <v/>
      </c>
      <c r="BI215" s="2627" t="n"/>
      <c r="BJ215" s="2627" t="n"/>
      <c r="BK215" s="2627" t="n"/>
      <c r="BL215" s="2627" t="n"/>
      <c r="BM215" s="2627" t="n"/>
      <c r="BN215" s="2627" t="n"/>
      <c r="BO215" s="2627" t="n"/>
      <c r="BP215" s="2627" t="n"/>
      <c r="BQ215" s="2627" t="n"/>
      <c r="BR215" s="2627" t="n"/>
      <c r="BS215" s="2627" t="n"/>
      <c r="BT215" s="2627" t="n"/>
      <c r="BU215" s="2628">
        <f>SUM(BI215:BT215)</f>
        <v/>
      </c>
    </row>
    <row r="216" hidden="1" outlineLevel="1">
      <c r="A216" s="1436" t="n"/>
      <c r="B216" s="1480" t="inlineStr">
        <is>
          <t>기타비용</t>
        </is>
      </c>
      <c r="C216" s="1436" t="n"/>
      <c r="D216" s="2625" t="n"/>
      <c r="E216" s="2625" t="n"/>
      <c r="F216" s="2625" t="n"/>
      <c r="G216" s="2625" t="n"/>
      <c r="H216" s="2625" t="n"/>
      <c r="I216" s="2625" t="n">
        <v>0</v>
      </c>
      <c r="J216" s="2625" t="n">
        <v>0</v>
      </c>
      <c r="K216" s="2625" t="n">
        <v>0</v>
      </c>
      <c r="L216" s="2625" t="n">
        <v>0</v>
      </c>
      <c r="M216" s="2625" t="n">
        <v>0</v>
      </c>
      <c r="N216" s="2625" t="n">
        <v>0</v>
      </c>
      <c r="O216" s="2625" t="n">
        <v>0</v>
      </c>
      <c r="P216" s="2626">
        <f>SUM(D216:O216)</f>
        <v/>
      </c>
      <c r="Q216" s="1436" t="n"/>
      <c r="R216" s="1436" t="n"/>
      <c r="S216" s="2625" t="n">
        <v>0</v>
      </c>
      <c r="T216" s="2625" t="n">
        <v>0</v>
      </c>
      <c r="U216" s="2625" t="n">
        <v>0</v>
      </c>
      <c r="V216" s="2625" t="n">
        <v>0</v>
      </c>
      <c r="W216" s="2625" t="n">
        <v>0</v>
      </c>
      <c r="X216" s="2625" t="n">
        <v>0</v>
      </c>
      <c r="Y216" s="2625" t="n">
        <v>0</v>
      </c>
      <c r="Z216" s="2625" t="n">
        <v>0</v>
      </c>
      <c r="AA216" s="2625" t="n">
        <v>0</v>
      </c>
      <c r="AB216" s="2625" t="n">
        <v>0</v>
      </c>
      <c r="AC216" s="2625" t="n">
        <v>0</v>
      </c>
      <c r="AD216" s="2625" t="n">
        <v>0</v>
      </c>
      <c r="AE216" s="2626">
        <f>SUM(S216:AD216)</f>
        <v/>
      </c>
      <c r="AF216" s="1436" t="n"/>
      <c r="AG216" s="2625" t="n">
        <v>0</v>
      </c>
      <c r="AH216" s="2625" t="n">
        <v>0</v>
      </c>
      <c r="AI216" s="2625" t="n">
        <v>0</v>
      </c>
      <c r="AJ216" s="2625" t="n">
        <v>0</v>
      </c>
      <c r="AK216" s="2625" t="n">
        <v>0</v>
      </c>
      <c r="AL216" s="2625" t="n"/>
      <c r="AM216" s="2625" t="n">
        <v>0</v>
      </c>
      <c r="AN216" s="2625" t="n">
        <v>0</v>
      </c>
      <c r="AO216" s="2625" t="n"/>
      <c r="AP216" s="2625" t="n">
        <v>0</v>
      </c>
      <c r="AQ216" s="2625" t="n">
        <v>0</v>
      </c>
      <c r="AR216" s="2627" t="n">
        <v>0</v>
      </c>
      <c r="AS216" s="2626">
        <f>SUM(AG216:AR216)</f>
        <v/>
      </c>
      <c r="AT216" s="2615">
        <f>SUM(AG216:AP216)</f>
        <v/>
      </c>
      <c r="AU216" s="2627" t="n"/>
      <c r="AV216" s="2627" t="n"/>
      <c r="AW216" s="2627" t="n"/>
      <c r="AX216" s="2627" t="n"/>
      <c r="AY216" s="2627" t="n"/>
      <c r="AZ216" s="2627" t="n"/>
      <c r="BA216" s="2627" t="n"/>
      <c r="BB216" s="2627" t="n"/>
      <c r="BC216" s="2627" t="n"/>
      <c r="BD216" s="2627" t="n"/>
      <c r="BE216" s="2627" t="n"/>
      <c r="BF216" s="2627" t="n"/>
      <c r="BG216" s="2628">
        <f>SUM(AU216:BF216)</f>
        <v/>
      </c>
      <c r="BI216" s="2627" t="n"/>
      <c r="BJ216" s="2627" t="n"/>
      <c r="BK216" s="2627" t="n"/>
      <c r="BL216" s="2627" t="n"/>
      <c r="BM216" s="2627" t="n"/>
      <c r="BN216" s="2627" t="n"/>
      <c r="BO216" s="2627" t="n"/>
      <c r="BP216" s="2627" t="n"/>
      <c r="BQ216" s="2627" t="n"/>
      <c r="BR216" s="2627" t="n"/>
      <c r="BS216" s="2627" t="n"/>
      <c r="BT216" s="2627" t="n"/>
      <c r="BU216" s="2628">
        <f>SUM(BI216:BT216)</f>
        <v/>
      </c>
    </row>
    <row r="217" hidden="1" outlineLevel="1">
      <c r="A217" s="1436" t="n"/>
      <c r="B217" s="1480" t="inlineStr">
        <is>
          <t>만기보유금융자산처분손실</t>
        </is>
      </c>
      <c r="C217" s="1436" t="n"/>
      <c r="D217" s="2625" t="n"/>
      <c r="E217" s="2625" t="n"/>
      <c r="F217" s="2625" t="n"/>
      <c r="G217" s="2625" t="n"/>
      <c r="H217" s="2625" t="n"/>
      <c r="I217" s="2625" t="n">
        <v>0</v>
      </c>
      <c r="J217" s="2625" t="n">
        <v>0</v>
      </c>
      <c r="K217" s="2625" t="n">
        <v>0</v>
      </c>
      <c r="L217" s="2625" t="n">
        <v>0</v>
      </c>
      <c r="M217" s="2625" t="n">
        <v>0</v>
      </c>
      <c r="N217" s="2625" t="n">
        <v>0</v>
      </c>
      <c r="O217" s="2625" t="n">
        <v>0</v>
      </c>
      <c r="P217" s="2626">
        <f>SUM(D217:O217)</f>
        <v/>
      </c>
      <c r="Q217" s="1436" t="n"/>
      <c r="R217" s="1436" t="n"/>
      <c r="S217" s="2625" t="n">
        <v>0</v>
      </c>
      <c r="T217" s="2625" t="n">
        <v>0</v>
      </c>
      <c r="U217" s="2625" t="n">
        <v>0</v>
      </c>
      <c r="V217" s="2625" t="n">
        <v>0</v>
      </c>
      <c r="W217" s="2625" t="n">
        <v>0</v>
      </c>
      <c r="X217" s="2625" t="n">
        <v>0</v>
      </c>
      <c r="Y217" s="2625" t="n">
        <v>0</v>
      </c>
      <c r="Z217" s="2625" t="n">
        <v>0</v>
      </c>
      <c r="AA217" s="2625" t="n">
        <v>0</v>
      </c>
      <c r="AB217" s="2625" t="n">
        <v>0</v>
      </c>
      <c r="AC217" s="2625" t="n">
        <v>0</v>
      </c>
      <c r="AD217" s="2625" t="n">
        <v>0</v>
      </c>
      <c r="AE217" s="2626">
        <f>SUM(S217:AD217)</f>
        <v/>
      </c>
      <c r="AF217" s="1436" t="n"/>
      <c r="AG217" s="2625" t="n">
        <v>0</v>
      </c>
      <c r="AH217" s="2625" t="n">
        <v>0</v>
      </c>
      <c r="AI217" s="2625" t="n">
        <v>0</v>
      </c>
      <c r="AJ217" s="2625" t="n">
        <v>0</v>
      </c>
      <c r="AK217" s="2625" t="n">
        <v>0</v>
      </c>
      <c r="AL217" s="2625" t="n"/>
      <c r="AM217" s="2625" t="n">
        <v>0</v>
      </c>
      <c r="AN217" s="2625" t="n">
        <v>0</v>
      </c>
      <c r="AO217" s="2625" t="n"/>
      <c r="AP217" s="2625" t="n">
        <v>0</v>
      </c>
      <c r="AQ217" s="2625" t="n">
        <v>0</v>
      </c>
      <c r="AR217" s="2627" t="n">
        <v>0</v>
      </c>
      <c r="AS217" s="2626">
        <f>SUM(AG217:AR217)</f>
        <v/>
      </c>
      <c r="AT217" s="2615">
        <f>SUM(AG217:AP217)</f>
        <v/>
      </c>
      <c r="AU217" s="2627" t="n"/>
      <c r="AV217" s="2627" t="n"/>
      <c r="AW217" s="2627" t="n"/>
      <c r="AX217" s="2627" t="n"/>
      <c r="AY217" s="2627" t="n"/>
      <c r="AZ217" s="2627" t="n"/>
      <c r="BA217" s="2627" t="n"/>
      <c r="BB217" s="2627" t="n"/>
      <c r="BC217" s="2627" t="n"/>
      <c r="BD217" s="2627" t="n"/>
      <c r="BE217" s="2627" t="n"/>
      <c r="BF217" s="2627" t="n"/>
      <c r="BG217" s="2628">
        <f>SUM(AU217:BF217)</f>
        <v/>
      </c>
      <c r="BI217" s="2627" t="n"/>
      <c r="BJ217" s="2627" t="n"/>
      <c r="BK217" s="2627" t="n"/>
      <c r="BL217" s="2627" t="n"/>
      <c r="BM217" s="2627" t="n"/>
      <c r="BN217" s="2627" t="n"/>
      <c r="BO217" s="2627" t="n"/>
      <c r="BP217" s="2627" t="n"/>
      <c r="BQ217" s="2627" t="n"/>
      <c r="BR217" s="2627" t="n"/>
      <c r="BS217" s="2627" t="n"/>
      <c r="BT217" s="2627" t="n"/>
      <c r="BU217" s="2628">
        <f>SUM(BI217:BT217)</f>
        <v/>
      </c>
    </row>
    <row r="218" hidden="1" outlineLevel="1">
      <c r="A218" s="1436" t="n"/>
      <c r="B218" s="1480" t="inlineStr">
        <is>
          <t>기타의 대손상각비</t>
        </is>
      </c>
      <c r="C218" s="1436" t="n"/>
      <c r="D218" s="2625" t="n"/>
      <c r="E218" s="2625" t="n"/>
      <c r="F218" s="2625" t="n"/>
      <c r="G218" s="2625" t="n"/>
      <c r="H218" s="2625" t="n"/>
      <c r="I218" s="2625" t="n">
        <v>0</v>
      </c>
      <c r="J218" s="2625" t="n">
        <v>0</v>
      </c>
      <c r="K218" s="2625" t="n">
        <v>0</v>
      </c>
      <c r="L218" s="2625" t="n">
        <v>0</v>
      </c>
      <c r="M218" s="2625" t="n">
        <v>0</v>
      </c>
      <c r="N218" s="2625" t="n">
        <v>0</v>
      </c>
      <c r="O218" s="2625" t="n">
        <v>0</v>
      </c>
      <c r="P218" s="2626">
        <f>SUM(D218:O218)</f>
        <v/>
      </c>
      <c r="Q218" s="1436" t="n"/>
      <c r="R218" s="1436" t="n"/>
      <c r="S218" s="2625" t="n">
        <v>0</v>
      </c>
      <c r="T218" s="2625" t="n">
        <v>0</v>
      </c>
      <c r="U218" s="2625" t="n">
        <v>0</v>
      </c>
      <c r="V218" s="2625" t="n">
        <v>0</v>
      </c>
      <c r="W218" s="2625" t="n">
        <v>0</v>
      </c>
      <c r="X218" s="2625" t="n">
        <v>0</v>
      </c>
      <c r="Y218" s="2625" t="n">
        <v>0</v>
      </c>
      <c r="Z218" s="2625" t="n">
        <v>0</v>
      </c>
      <c r="AA218" s="2625" t="n">
        <v>0</v>
      </c>
      <c r="AB218" s="2625" t="n">
        <v>0</v>
      </c>
      <c r="AC218" s="2625" t="n">
        <v>0</v>
      </c>
      <c r="AD218" s="2625" t="n">
        <v>0</v>
      </c>
      <c r="AE218" s="2626">
        <f>SUM(S218:AD218)</f>
        <v/>
      </c>
      <c r="AF218" s="1436" t="n"/>
      <c r="AG218" s="2625" t="n">
        <v>0</v>
      </c>
      <c r="AH218" s="2625" t="n">
        <v>0</v>
      </c>
      <c r="AI218" s="2625" t="n">
        <v>0</v>
      </c>
      <c r="AJ218" s="2625" t="n">
        <v>0</v>
      </c>
      <c r="AK218" s="2625" t="n">
        <v>0</v>
      </c>
      <c r="AL218" s="2625" t="n"/>
      <c r="AM218" s="2625" t="n">
        <v>0</v>
      </c>
      <c r="AN218" s="2625" t="n">
        <v>0</v>
      </c>
      <c r="AO218" s="2625" t="n"/>
      <c r="AP218" s="2625" t="n">
        <v>0</v>
      </c>
      <c r="AQ218" s="2625" t="n">
        <v>0</v>
      </c>
      <c r="AR218" s="2627" t="n">
        <v>0</v>
      </c>
      <c r="AS218" s="2626">
        <f>SUM(AG218:AR218)</f>
        <v/>
      </c>
      <c r="AT218" s="2615">
        <f>SUM(AG218:AP218)</f>
        <v/>
      </c>
      <c r="AU218" s="2627" t="n"/>
      <c r="AV218" s="2627" t="n"/>
      <c r="AW218" s="2627" t="n"/>
      <c r="AX218" s="2627" t="n"/>
      <c r="AY218" s="2627" t="n"/>
      <c r="AZ218" s="2627" t="n"/>
      <c r="BA218" s="2627" t="n"/>
      <c r="BB218" s="2627" t="n"/>
      <c r="BC218" s="2627" t="n"/>
      <c r="BD218" s="2627" t="n"/>
      <c r="BE218" s="2627" t="n"/>
      <c r="BF218" s="2627" t="n"/>
      <c r="BG218" s="2628">
        <f>SUM(AU218:BF218)</f>
        <v/>
      </c>
      <c r="BI218" s="2627" t="n"/>
      <c r="BJ218" s="2627" t="n"/>
      <c r="BK218" s="2627" t="n"/>
      <c r="BL218" s="2627" t="n"/>
      <c r="BM218" s="2627" t="n"/>
      <c r="BN218" s="2627" t="n"/>
      <c r="BO218" s="2627" t="n"/>
      <c r="BP218" s="2627" t="n"/>
      <c r="BQ218" s="2627" t="n"/>
      <c r="BR218" s="2627" t="n"/>
      <c r="BS218" s="2627" t="n"/>
      <c r="BT218" s="2627" t="n"/>
      <c r="BU218" s="2628">
        <f>SUM(BI218:BT218)</f>
        <v/>
      </c>
    </row>
    <row r="219" hidden="1" outlineLevel="1">
      <c r="A219" s="1436" t="n"/>
      <c r="B219" s="1480" t="inlineStr">
        <is>
          <t>기타지급수수료</t>
        </is>
      </c>
      <c r="C219" s="1436" t="n"/>
      <c r="D219" s="2625" t="n"/>
      <c r="E219" s="2625" t="n"/>
      <c r="F219" s="2625" t="n"/>
      <c r="G219" s="2625" t="n"/>
      <c r="H219" s="2625" t="n"/>
      <c r="I219" s="2625" t="n">
        <v>0</v>
      </c>
      <c r="J219" s="2625" t="n">
        <v>0</v>
      </c>
      <c r="K219" s="2625" t="n">
        <v>0</v>
      </c>
      <c r="L219" s="2625" t="n">
        <v>0</v>
      </c>
      <c r="M219" s="2625" t="n">
        <v>0</v>
      </c>
      <c r="N219" s="2625" t="n">
        <v>0</v>
      </c>
      <c r="O219" s="2625" t="n">
        <v>0</v>
      </c>
      <c r="P219" s="2626">
        <f>SUM(D219:O219)</f>
        <v/>
      </c>
      <c r="Q219" s="1436" t="n"/>
      <c r="R219" s="1436" t="n"/>
      <c r="S219" s="2625" t="n">
        <v>0</v>
      </c>
      <c r="T219" s="2625" t="n">
        <v>0</v>
      </c>
      <c r="U219" s="2625" t="n">
        <v>0</v>
      </c>
      <c r="V219" s="2625" t="n">
        <v>0</v>
      </c>
      <c r="W219" s="2625" t="n">
        <v>0</v>
      </c>
      <c r="X219" s="2625" t="n">
        <v>0</v>
      </c>
      <c r="Y219" s="2625" t="n">
        <v>0</v>
      </c>
      <c r="Z219" s="2625" t="n">
        <v>0</v>
      </c>
      <c r="AA219" s="2625" t="n">
        <v>0</v>
      </c>
      <c r="AB219" s="2625" t="n">
        <v>0</v>
      </c>
      <c r="AC219" s="2625" t="n">
        <v>0</v>
      </c>
      <c r="AD219" s="2625" t="n">
        <v>0</v>
      </c>
      <c r="AE219" s="2626">
        <f>SUM(S219:AD219)</f>
        <v/>
      </c>
      <c r="AF219" s="1436" t="n"/>
      <c r="AG219" s="2625" t="n">
        <v>0</v>
      </c>
      <c r="AH219" s="2625" t="n">
        <v>0</v>
      </c>
      <c r="AI219" s="2625" t="n">
        <v>0</v>
      </c>
      <c r="AJ219" s="2625" t="n">
        <v>0</v>
      </c>
      <c r="AK219" s="2625" t="n">
        <v>0</v>
      </c>
      <c r="AL219" s="2625" t="n"/>
      <c r="AM219" s="2625" t="n">
        <v>0</v>
      </c>
      <c r="AN219" s="2625" t="n">
        <v>0</v>
      </c>
      <c r="AO219" s="2625" t="n"/>
      <c r="AP219" s="2625" t="n">
        <v>0</v>
      </c>
      <c r="AQ219" s="2625" t="n">
        <v>0</v>
      </c>
      <c r="AR219" s="2627" t="n">
        <v>0</v>
      </c>
      <c r="AS219" s="2626">
        <f>SUM(AG219:AR219)</f>
        <v/>
      </c>
      <c r="AT219" s="2615">
        <f>SUM(AG219:AP219)</f>
        <v/>
      </c>
      <c r="AU219" s="2627" t="n"/>
      <c r="AV219" s="2627" t="n"/>
      <c r="AW219" s="2627" t="n"/>
      <c r="AX219" s="2627" t="n"/>
      <c r="AY219" s="2627" t="n"/>
      <c r="AZ219" s="2627" t="n"/>
      <c r="BA219" s="2627" t="n"/>
      <c r="BB219" s="2627" t="n"/>
      <c r="BC219" s="2627" t="n"/>
      <c r="BD219" s="2627" t="n"/>
      <c r="BE219" s="2627" t="n"/>
      <c r="BF219" s="2627" t="n"/>
      <c r="BG219" s="2628">
        <f>SUM(AU219:BF219)</f>
        <v/>
      </c>
      <c r="BI219" s="2627" t="n"/>
      <c r="BJ219" s="2627" t="n"/>
      <c r="BK219" s="2627" t="n"/>
      <c r="BL219" s="2627" t="n"/>
      <c r="BM219" s="2627" t="n"/>
      <c r="BN219" s="2627" t="n"/>
      <c r="BO219" s="2627" t="n"/>
      <c r="BP219" s="2627" t="n"/>
      <c r="BQ219" s="2627" t="n"/>
      <c r="BR219" s="2627" t="n"/>
      <c r="BS219" s="2627" t="n"/>
      <c r="BT219" s="2627" t="n"/>
      <c r="BU219" s="2628">
        <f>SUM(BI219:BT219)</f>
        <v/>
      </c>
    </row>
    <row r="220" hidden="1" outlineLevel="1">
      <c r="A220" s="1436" t="n"/>
      <c r="B220" s="1481" t="inlineStr">
        <is>
          <t>합병비용</t>
        </is>
      </c>
      <c r="C220" s="1436" t="n"/>
      <c r="D220" s="2625" t="n"/>
      <c r="E220" s="2625" t="n"/>
      <c r="F220" s="2625" t="n"/>
      <c r="G220" s="2625" t="n"/>
      <c r="H220" s="2625" t="n"/>
      <c r="I220" s="2625" t="n">
        <v>0</v>
      </c>
      <c r="J220" s="2625" t="n">
        <v>0</v>
      </c>
      <c r="K220" s="2625" t="n">
        <v>0</v>
      </c>
      <c r="L220" s="2625" t="n">
        <v>0</v>
      </c>
      <c r="M220" s="2625" t="n">
        <v>0</v>
      </c>
      <c r="N220" s="2625" t="n">
        <v>0</v>
      </c>
      <c r="O220" s="2625" t="n">
        <v>0</v>
      </c>
      <c r="P220" s="2626">
        <f>SUM(D220:O220)</f>
        <v/>
      </c>
      <c r="Q220" s="1436" t="n"/>
      <c r="R220" s="1436" t="n"/>
      <c r="S220" s="2625" t="n">
        <v>0</v>
      </c>
      <c r="T220" s="2625" t="n">
        <v>0</v>
      </c>
      <c r="U220" s="2625" t="n">
        <v>0</v>
      </c>
      <c r="V220" s="2625" t="n">
        <v>0</v>
      </c>
      <c r="W220" s="2625" t="n">
        <v>0</v>
      </c>
      <c r="X220" s="2625" t="n">
        <v>0</v>
      </c>
      <c r="Y220" s="2625" t="n">
        <v>0</v>
      </c>
      <c r="Z220" s="2625" t="n">
        <v>0</v>
      </c>
      <c r="AA220" s="2625" t="n">
        <v>0</v>
      </c>
      <c r="AB220" s="2625" t="n">
        <v>0</v>
      </c>
      <c r="AC220" s="2625" t="n">
        <v>0</v>
      </c>
      <c r="AD220" s="2625" t="n">
        <v>0</v>
      </c>
      <c r="AE220" s="2626">
        <f>SUM(S220:AD220)</f>
        <v/>
      </c>
      <c r="AF220" s="1436" t="n"/>
      <c r="AG220" s="2625" t="n">
        <v>0</v>
      </c>
      <c r="AH220" s="2625" t="n">
        <v>0</v>
      </c>
      <c r="AI220" s="2625" t="n">
        <v>0</v>
      </c>
      <c r="AJ220" s="2625" t="n">
        <v>0</v>
      </c>
      <c r="AK220" s="2625" t="n">
        <v>0</v>
      </c>
      <c r="AL220" s="2625" t="n"/>
      <c r="AM220" s="2625" t="n">
        <v>0</v>
      </c>
      <c r="AN220" s="2625" t="n">
        <v>0</v>
      </c>
      <c r="AO220" s="2625" t="n"/>
      <c r="AP220" s="2625" t="n">
        <v>0</v>
      </c>
      <c r="AQ220" s="2625" t="n">
        <v>0</v>
      </c>
      <c r="AR220" s="2627" t="n">
        <v>0</v>
      </c>
      <c r="AS220" s="2626">
        <f>SUM(AG220:AR220)</f>
        <v/>
      </c>
      <c r="AT220" s="2615">
        <f>SUM(AG220:AP220)</f>
        <v/>
      </c>
      <c r="AU220" s="2627" t="n"/>
      <c r="AV220" s="2627" t="n"/>
      <c r="AW220" s="2627" t="n"/>
      <c r="AX220" s="2627" t="n"/>
      <c r="AY220" s="2627" t="n"/>
      <c r="AZ220" s="2627" t="n"/>
      <c r="BA220" s="2627" t="n"/>
      <c r="BB220" s="2627" t="n"/>
      <c r="BC220" s="2627" t="n"/>
      <c r="BD220" s="2627" t="n"/>
      <c r="BE220" s="2627" t="n"/>
      <c r="BF220" s="2627" t="n"/>
      <c r="BG220" s="2628">
        <f>SUM(AU220:BF220)</f>
        <v/>
      </c>
      <c r="BI220" s="2627" t="n"/>
      <c r="BJ220" s="2627" t="n"/>
      <c r="BK220" s="2627" t="n"/>
      <c r="BL220" s="2627" t="n"/>
      <c r="BM220" s="2627" t="n"/>
      <c r="BN220" s="2627" t="n"/>
      <c r="BO220" s="2627" t="n"/>
      <c r="BP220" s="2627" t="n"/>
      <c r="BQ220" s="2627" t="n"/>
      <c r="BR220" s="2627" t="n"/>
      <c r="BS220" s="2627" t="n"/>
      <c r="BT220" s="2627" t="n"/>
      <c r="BU220" s="2628">
        <f>SUM(BI220:BT220)</f>
        <v/>
      </c>
    </row>
    <row r="221" hidden="1" outlineLevel="1">
      <c r="A221" s="1436" t="n"/>
      <c r="B221" s="1480" t="inlineStr">
        <is>
          <t>종속기업주식처분손실</t>
        </is>
      </c>
      <c r="C221" s="1436" t="n"/>
      <c r="D221" s="2625" t="n"/>
      <c r="E221" s="2625" t="n"/>
      <c r="F221" s="2625" t="n"/>
      <c r="G221" s="2625" t="n"/>
      <c r="H221" s="2625" t="n"/>
      <c r="I221" s="2625" t="n">
        <v>0</v>
      </c>
      <c r="J221" s="2625" t="n">
        <v>0</v>
      </c>
      <c r="K221" s="2625" t="n">
        <v>0</v>
      </c>
      <c r="L221" s="2625" t="n">
        <v>0</v>
      </c>
      <c r="M221" s="2625" t="n">
        <v>0</v>
      </c>
      <c r="N221" s="2625" t="n">
        <v>0</v>
      </c>
      <c r="O221" s="2625" t="n">
        <v>0</v>
      </c>
      <c r="P221" s="2626">
        <f>SUM(D221:O221)</f>
        <v/>
      </c>
      <c r="Q221" s="1436" t="n"/>
      <c r="R221" s="1436" t="n"/>
      <c r="S221" s="2625" t="n">
        <v>0</v>
      </c>
      <c r="T221" s="2625" t="n">
        <v>0</v>
      </c>
      <c r="U221" s="2625" t="n">
        <v>0</v>
      </c>
      <c r="V221" s="2625" t="n">
        <v>0</v>
      </c>
      <c r="W221" s="2625" t="n">
        <v>0</v>
      </c>
      <c r="X221" s="2625" t="n">
        <v>0</v>
      </c>
      <c r="Y221" s="2625" t="n">
        <v>0</v>
      </c>
      <c r="Z221" s="2625" t="n">
        <v>0</v>
      </c>
      <c r="AA221" s="2625" t="n">
        <v>0</v>
      </c>
      <c r="AB221" s="2625" t="n">
        <v>0</v>
      </c>
      <c r="AC221" s="2625" t="n">
        <v>0</v>
      </c>
      <c r="AD221" s="2625" t="n">
        <v>0</v>
      </c>
      <c r="AE221" s="2626">
        <f>SUM(S221:AD221)</f>
        <v/>
      </c>
      <c r="AF221" s="1436" t="n"/>
      <c r="AG221" s="2625" t="n">
        <v>0</v>
      </c>
      <c r="AH221" s="2625" t="n">
        <v>0</v>
      </c>
      <c r="AI221" s="2625" t="n">
        <v>0</v>
      </c>
      <c r="AJ221" s="2625" t="n">
        <v>0</v>
      </c>
      <c r="AK221" s="2625" t="n">
        <v>0</v>
      </c>
      <c r="AL221" s="2625" t="n"/>
      <c r="AM221" s="2625" t="n">
        <v>0</v>
      </c>
      <c r="AN221" s="2625" t="n">
        <v>0</v>
      </c>
      <c r="AO221" s="2625" t="n"/>
      <c r="AP221" s="2625" t="n">
        <v>0</v>
      </c>
      <c r="AQ221" s="2625" t="n">
        <v>0</v>
      </c>
      <c r="AR221" s="2627" t="n">
        <v>0</v>
      </c>
      <c r="AS221" s="2626">
        <f>SUM(AG221:AR221)</f>
        <v/>
      </c>
      <c r="AT221" s="2615">
        <f>SUM(AG221:AP221)</f>
        <v/>
      </c>
      <c r="AU221" s="2627" t="n"/>
      <c r="AV221" s="2627" t="n"/>
      <c r="AW221" s="2627" t="n"/>
      <c r="AX221" s="2627" t="n"/>
      <c r="AY221" s="2627" t="n"/>
      <c r="AZ221" s="2627" t="n"/>
      <c r="BA221" s="2627" t="n"/>
      <c r="BB221" s="2627" t="n"/>
      <c r="BC221" s="2627" t="n"/>
      <c r="BD221" s="2627" t="n"/>
      <c r="BE221" s="2627" t="n"/>
      <c r="BF221" s="2627" t="n"/>
      <c r="BG221" s="2628">
        <f>SUM(AU221:BF221)</f>
        <v/>
      </c>
      <c r="BI221" s="2627" t="n"/>
      <c r="BJ221" s="2627" t="n"/>
      <c r="BK221" s="2627" t="n"/>
      <c r="BL221" s="2627" t="n"/>
      <c r="BM221" s="2627" t="n"/>
      <c r="BN221" s="2627" t="n"/>
      <c r="BO221" s="2627" t="n"/>
      <c r="BP221" s="2627" t="n"/>
      <c r="BQ221" s="2627" t="n"/>
      <c r="BR221" s="2627" t="n"/>
      <c r="BS221" s="2627" t="n"/>
      <c r="BT221" s="2627" t="n"/>
      <c r="BU221" s="2628">
        <f>SUM(BI221:BT221)</f>
        <v/>
      </c>
    </row>
    <row r="222" collapsed="1">
      <c r="A222" s="1436" t="n"/>
      <c r="B222" s="1478" t="inlineStr">
        <is>
          <t>Ⅸ. 법인세차감전순손익</t>
        </is>
      </c>
      <c r="C222" s="1436" t="inlineStr">
        <is>
          <t>세전이익</t>
        </is>
      </c>
      <c r="D222" s="2637">
        <f>D122+D124-D141+D159+D164-D192</f>
        <v/>
      </c>
      <c r="E222" s="2637">
        <f>E122+E124-E141+E159+E164-E192</f>
        <v/>
      </c>
      <c r="F222" s="2637">
        <f>F122+F124-F141+F159+F164-F192</f>
        <v/>
      </c>
      <c r="G222" s="2637">
        <f>G122+G124-G141+G159+G164-G192</f>
        <v/>
      </c>
      <c r="H222" s="2637">
        <f>H122+H124-H141+H159+H164-H192</f>
        <v/>
      </c>
      <c r="I222" s="2637">
        <f>I122+I124-I141+I159+I164-I192</f>
        <v/>
      </c>
      <c r="J222" s="2637">
        <f>J122+J124-J141+J159+J164-J192</f>
        <v/>
      </c>
      <c r="K222" s="2637">
        <f>K122+K124-K141+K159+K164-K192</f>
        <v/>
      </c>
      <c r="L222" s="2637">
        <f>L122+L124-L141+L159+L164-L192</f>
        <v/>
      </c>
      <c r="M222" s="2637">
        <f>M122+M124-M141+M159+M164-M192</f>
        <v/>
      </c>
      <c r="N222" s="2637">
        <f>N122+N124-N141+N159+N164-N192</f>
        <v/>
      </c>
      <c r="O222" s="2637">
        <f>O122+O124-O141+O159+O164-O192</f>
        <v/>
      </c>
      <c r="P222" s="2623">
        <f>SUM(D222:O222)</f>
        <v/>
      </c>
      <c r="Q222" s="1436" t="n"/>
      <c r="R222" s="1436" t="n"/>
      <c r="S222" s="2637">
        <f>S122+S124-S141+S159+S164-S192</f>
        <v/>
      </c>
      <c r="T222" s="2637">
        <f>T122+T124-T141+T159+T164-T192</f>
        <v/>
      </c>
      <c r="U222" s="2637">
        <f>U122+U124-U141+U159+U164-U192</f>
        <v/>
      </c>
      <c r="V222" s="2637">
        <f>V122+V124-V141+V159+V164-V192</f>
        <v/>
      </c>
      <c r="W222" s="2637">
        <f>W122+W124-W141+W159+W164-W192</f>
        <v/>
      </c>
      <c r="X222" s="2637">
        <f>X122+X124-X141+X159+X164-X192</f>
        <v/>
      </c>
      <c r="Y222" s="2637">
        <f>Y122+Y124-Y141+Y159+Y164-Y192</f>
        <v/>
      </c>
      <c r="Z222" s="2637">
        <f>Z122+Z124-Z141+Z159+Z164-Z192</f>
        <v/>
      </c>
      <c r="AA222" s="2637">
        <f>AA122+AA124-AA141+AA159+AA164-AA192</f>
        <v/>
      </c>
      <c r="AB222" s="2637">
        <f>AB122+AB124-AB141+AB159+AB164-AB192</f>
        <v/>
      </c>
      <c r="AC222" s="2637">
        <f>AC122+AC124-AC141+AC159+AC164-AC192</f>
        <v/>
      </c>
      <c r="AD222" s="2637">
        <f>AD122+AD124-AD141+AD159+AD164-AD192</f>
        <v/>
      </c>
      <c r="AE222" s="2623">
        <f>SUM(S222:AD222)</f>
        <v/>
      </c>
      <c r="AF222" s="1436" t="n"/>
      <c r="AG222" s="2637">
        <f>AG122+AG124-AG141+AG159+AG164-AG192</f>
        <v/>
      </c>
      <c r="AH222" s="2637">
        <f>AH122+AH124-AH141+AH159+AH164-AH192</f>
        <v/>
      </c>
      <c r="AI222" s="2637">
        <f>AI122+AI124-AI141+AI159+AI164-AI192</f>
        <v/>
      </c>
      <c r="AJ222" s="2637">
        <f>AJ122+AJ124-AJ141+AJ159+AJ164-AJ192</f>
        <v/>
      </c>
      <c r="AK222" s="2637">
        <f>AK122+AK124-AK141+AK159+AK164-AK192</f>
        <v/>
      </c>
      <c r="AL222" s="2637">
        <f>AL122+AL124-AL141+AL159+AL164-AL192</f>
        <v/>
      </c>
      <c r="AM222" s="2637">
        <f>AM122+AM124-AM141+AM159+AM164-AM192</f>
        <v/>
      </c>
      <c r="AN222" s="2637">
        <f>AN122+AN124-AN141+AN159+AN164-AN192</f>
        <v/>
      </c>
      <c r="AO222" s="2637">
        <f>AO122+AO124-AO141+AO159+AO164-AO192</f>
        <v/>
      </c>
      <c r="AP222" s="2637">
        <f>AP122+AP124-AP141+AP159+AP164-AP192</f>
        <v/>
      </c>
      <c r="AQ222" s="2637">
        <f>AQ122+AQ124-AQ141+AQ159+AQ164-AQ192</f>
        <v/>
      </c>
      <c r="AR222" s="2637">
        <f>AR122+AR124-AR141+AR159+AR164-AR192</f>
        <v/>
      </c>
      <c r="AS222" s="2623">
        <f>SUM(AG222:AR222)</f>
        <v/>
      </c>
      <c r="AT222" s="2615">
        <f>SUM(AG222:AP222)</f>
        <v/>
      </c>
      <c r="AU222" s="2637" t="n">
        <v>-69395009</v>
      </c>
      <c r="AV222" s="2637" t="n">
        <v>-65772197</v>
      </c>
      <c r="AW222" s="2637" t="n">
        <v>-33414534</v>
      </c>
      <c r="AX222" s="2637" t="n">
        <v>-69901296</v>
      </c>
      <c r="AY222" s="2637" t="n">
        <v>-59985241</v>
      </c>
      <c r="AZ222" s="2637" t="n">
        <v>-39631849</v>
      </c>
      <c r="BA222" s="2637" t="n">
        <v>-61999727</v>
      </c>
      <c r="BB222" s="2637" t="n">
        <v>-62802587</v>
      </c>
      <c r="BC222" s="2637" t="n">
        <v>-41671753</v>
      </c>
      <c r="BD222" s="2637" t="n">
        <v>-60642686</v>
      </c>
      <c r="BE222" s="2637" t="n">
        <v>-61891208</v>
      </c>
      <c r="BF222" s="2637" t="n">
        <v>-46780156</v>
      </c>
      <c r="BG222" s="2624">
        <f>SUM(AU222:BF222)</f>
        <v/>
      </c>
      <c r="BI222" s="2637" t="n"/>
      <c r="BJ222" s="2637" t="n"/>
      <c r="BK222" s="2637" t="n"/>
      <c r="BL222" s="2637" t="n"/>
      <c r="BM222" s="2637" t="n"/>
      <c r="BN222" s="2637" t="n"/>
      <c r="BO222" s="2637" t="n"/>
      <c r="BP222" s="2637" t="n"/>
      <c r="BQ222" s="2637" t="n"/>
      <c r="BR222" s="2637" t="n"/>
      <c r="BS222" s="2637" t="n"/>
      <c r="BT222" s="2637" t="n"/>
      <c r="BU222" s="2624">
        <f>SUM(BI222:BT222)</f>
        <v/>
      </c>
    </row>
    <row r="223">
      <c r="A223" s="1436" t="n"/>
      <c r="B223" s="1478" t="inlineStr">
        <is>
          <t>Ⅹ. 법인세비용</t>
        </is>
      </c>
      <c r="C223" s="1436" t="inlineStr">
        <is>
          <t>법인세비용</t>
        </is>
      </c>
      <c r="D223" s="2637">
        <f>SUM(D224)</f>
        <v/>
      </c>
      <c r="E223" s="2637">
        <f>SUM(E224)</f>
        <v/>
      </c>
      <c r="F223" s="2637">
        <f>SUM(F224)</f>
        <v/>
      </c>
      <c r="G223" s="2637">
        <f>SUM(G224)</f>
        <v/>
      </c>
      <c r="H223" s="2637">
        <f>SUM(H224)</f>
        <v/>
      </c>
      <c r="I223" s="2637">
        <f>SUM(I224)</f>
        <v/>
      </c>
      <c r="J223" s="2637">
        <f>SUM(J224)</f>
        <v/>
      </c>
      <c r="K223" s="2637">
        <f>SUM(K224)</f>
        <v/>
      </c>
      <c r="L223" s="2637">
        <f>SUM(L224)</f>
        <v/>
      </c>
      <c r="M223" s="2637">
        <f>SUM(M224)</f>
        <v/>
      </c>
      <c r="N223" s="2637">
        <f>SUM(N224)</f>
        <v/>
      </c>
      <c r="O223" s="2637">
        <f>SUM(O224)</f>
        <v/>
      </c>
      <c r="P223" s="2623">
        <f>SUM(D223:O223)</f>
        <v/>
      </c>
      <c r="Q223" s="1436" t="n"/>
      <c r="R223" s="1436" t="n"/>
      <c r="S223" s="2637">
        <f>SUM(S224)</f>
        <v/>
      </c>
      <c r="T223" s="2637">
        <f>SUM(T224)</f>
        <v/>
      </c>
      <c r="U223" s="2637">
        <f>SUM(U224)</f>
        <v/>
      </c>
      <c r="V223" s="2637">
        <f>SUM(V224)</f>
        <v/>
      </c>
      <c r="W223" s="2637">
        <f>SUM(W224)</f>
        <v/>
      </c>
      <c r="X223" s="2637">
        <f>SUM(X224)</f>
        <v/>
      </c>
      <c r="Y223" s="2637">
        <f>SUM(Y224)</f>
        <v/>
      </c>
      <c r="Z223" s="2637">
        <f>SUM(Z224)</f>
        <v/>
      </c>
      <c r="AA223" s="2637">
        <f>SUM(AA224)</f>
        <v/>
      </c>
      <c r="AB223" s="2637">
        <f>SUM(AB224)</f>
        <v/>
      </c>
      <c r="AC223" s="2637">
        <f>SUM(AC224)</f>
        <v/>
      </c>
      <c r="AD223" s="2637">
        <f>SUM(AD224)</f>
        <v/>
      </c>
      <c r="AE223" s="2623">
        <f>SUM(S223:AD223)</f>
        <v/>
      </c>
      <c r="AF223" s="1436" t="n"/>
      <c r="AG223" s="2637">
        <f>SUM(AG224)</f>
        <v/>
      </c>
      <c r="AH223" s="2637">
        <f>SUM(AH224)</f>
        <v/>
      </c>
      <c r="AI223" s="2637">
        <f>SUM(AI224)</f>
        <v/>
      </c>
      <c r="AJ223" s="2637">
        <f>SUM(AJ224)</f>
        <v/>
      </c>
      <c r="AK223" s="2637">
        <f>SUM(AK224)</f>
        <v/>
      </c>
      <c r="AL223" s="2637" t="n">
        <v>0</v>
      </c>
      <c r="AM223" s="2637">
        <f>SUM(AM224)</f>
        <v/>
      </c>
      <c r="AN223" s="2637">
        <f>SUM(AN224)</f>
        <v/>
      </c>
      <c r="AO223" s="2637">
        <f>SUM(AO224)</f>
        <v/>
      </c>
      <c r="AP223" s="2637">
        <f>SUM(AP224)</f>
        <v/>
      </c>
      <c r="AQ223" s="2637" t="n">
        <v>0</v>
      </c>
      <c r="AR223" s="2637">
        <f>SUM(AR224)</f>
        <v/>
      </c>
      <c r="AS223" s="2623">
        <f>SUM(AG223:AR223)</f>
        <v/>
      </c>
      <c r="AT223" s="2615">
        <f>SUM(AG223:AP223)</f>
        <v/>
      </c>
      <c r="AU223" s="2637" t="n">
        <v>0</v>
      </c>
      <c r="AV223" s="2637" t="n">
        <v>0</v>
      </c>
      <c r="AW223" s="2637" t="n"/>
      <c r="AX223" s="2637" t="n"/>
      <c r="AY223" s="2637" t="n"/>
      <c r="AZ223" s="2637" t="n"/>
      <c r="BA223" s="2637" t="n"/>
      <c r="BB223" s="2637" t="n"/>
      <c r="BC223" s="2637" t="n"/>
      <c r="BD223" s="2637" t="n"/>
      <c r="BE223" s="2637" t="n"/>
      <c r="BF223" s="2637" t="n"/>
      <c r="BG223" s="2624">
        <f>SUM(AU223:BF223)</f>
        <v/>
      </c>
      <c r="BI223" s="2637" t="n"/>
      <c r="BJ223" s="2637" t="n"/>
      <c r="BK223" s="2637" t="n"/>
      <c r="BL223" s="2637" t="n"/>
      <c r="BM223" s="2637" t="n"/>
      <c r="BN223" s="2637" t="n"/>
      <c r="BO223" s="2637" t="n"/>
      <c r="BP223" s="2637" t="n"/>
      <c r="BQ223" s="2637" t="n"/>
      <c r="BR223" s="2637" t="n"/>
      <c r="BS223" s="2637" t="n"/>
      <c r="BT223" s="2637" t="n"/>
      <c r="BU223" s="2624">
        <f>SUM(BI223:BT223)</f>
        <v/>
      </c>
    </row>
    <row r="224" hidden="1" outlineLevel="1">
      <c r="A224" s="1436" t="n"/>
      <c r="B224" s="1480" t="inlineStr">
        <is>
          <t>법인세비용</t>
        </is>
      </c>
      <c r="C224" s="1436" t="n"/>
      <c r="D224" s="2625" t="n"/>
      <c r="E224" s="2625" t="n"/>
      <c r="F224" s="2625" t="n"/>
      <c r="G224" s="2625" t="n"/>
      <c r="H224" s="2625" t="n"/>
      <c r="I224" s="2625" t="n">
        <v>0</v>
      </c>
      <c r="J224" s="2625" t="n">
        <v>0</v>
      </c>
      <c r="K224" s="2625" t="n">
        <v>0</v>
      </c>
      <c r="L224" s="2625" t="n">
        <v>0</v>
      </c>
      <c r="M224" s="2625" t="n">
        <v>0</v>
      </c>
      <c r="N224" s="2625" t="n">
        <v>0</v>
      </c>
      <c r="O224" s="2625" t="n">
        <v>0</v>
      </c>
      <c r="P224" s="2626">
        <f>SUM(D224:O224)</f>
        <v/>
      </c>
      <c r="Q224" s="1436" t="n"/>
      <c r="R224" s="1436" t="n"/>
      <c r="S224" s="2625" t="n">
        <v>0</v>
      </c>
      <c r="T224" s="2625" t="n">
        <v>0</v>
      </c>
      <c r="U224" s="2625" t="n">
        <v>0</v>
      </c>
      <c r="V224" s="2625" t="n">
        <v>0</v>
      </c>
      <c r="W224" s="2625" t="n">
        <v>0</v>
      </c>
      <c r="X224" s="2625" t="n">
        <v>0</v>
      </c>
      <c r="Y224" s="2625" t="n">
        <v>0</v>
      </c>
      <c r="Z224" s="2625" t="n">
        <v>0</v>
      </c>
      <c r="AA224" s="2625" t="n">
        <v>0</v>
      </c>
      <c r="AB224" s="2625" t="n">
        <v>0</v>
      </c>
      <c r="AC224" s="2625" t="n">
        <v>0</v>
      </c>
      <c r="AD224" s="2625" t="n">
        <v>0</v>
      </c>
      <c r="AE224" s="2626">
        <f>SUM(S224:AD224)</f>
        <v/>
      </c>
      <c r="AF224" s="1436" t="n"/>
      <c r="AG224" s="2625" t="n">
        <v>0</v>
      </c>
      <c r="AH224" s="2625" t="n">
        <v>0</v>
      </c>
      <c r="AI224" s="2625" t="n">
        <v>0</v>
      </c>
      <c r="AJ224" s="2625" t="n">
        <v>0</v>
      </c>
      <c r="AK224" s="2625" t="n">
        <v>0</v>
      </c>
      <c r="AL224" s="2625" t="n"/>
      <c r="AM224" s="2625" t="n">
        <v>0</v>
      </c>
      <c r="AN224" s="2625" t="n">
        <v>0</v>
      </c>
      <c r="AO224" s="2625" t="n"/>
      <c r="AP224" s="2625" t="n">
        <v>0</v>
      </c>
      <c r="AQ224" s="2625" t="n">
        <v>0</v>
      </c>
      <c r="AR224" s="2627" t="n"/>
      <c r="AS224" s="2626">
        <f>SUM(AG224:AR224)</f>
        <v/>
      </c>
      <c r="AT224" s="2615">
        <f>SUM(AG224:AP224)</f>
        <v/>
      </c>
      <c r="AU224" s="2627" t="n"/>
      <c r="AV224" s="2627" t="n"/>
      <c r="AW224" s="2627" t="n"/>
      <c r="AX224" s="2627" t="n"/>
      <c r="AY224" s="2627" t="n"/>
      <c r="AZ224" s="2627" t="n"/>
      <c r="BA224" s="2627" t="n"/>
      <c r="BB224" s="2627" t="n"/>
      <c r="BC224" s="2627" t="n"/>
      <c r="BD224" s="2627" t="n"/>
      <c r="BE224" s="2627" t="n"/>
      <c r="BF224" s="2627" t="n"/>
      <c r="BG224" s="2628">
        <f>SUM(AU224:BF224)</f>
        <v/>
      </c>
      <c r="BI224" s="2627" t="n"/>
      <c r="BJ224" s="2627" t="n"/>
      <c r="BK224" s="2627" t="n"/>
      <c r="BL224" s="2627" t="n"/>
      <c r="BM224" s="2627" t="n"/>
      <c r="BN224" s="2627" t="n"/>
      <c r="BO224" s="2627" t="n"/>
      <c r="BP224" s="2627" t="n"/>
      <c r="BQ224" s="2627" t="n"/>
      <c r="BR224" s="2627" t="n"/>
      <c r="BS224" s="2627" t="n"/>
      <c r="BT224" s="2627" t="n"/>
      <c r="BU224" s="2628">
        <f>SUM(BI224:BT224)</f>
        <v/>
      </c>
    </row>
    <row r="225" collapsed="1">
      <c r="A225" s="1436" t="n"/>
      <c r="B225" s="1478" t="inlineStr">
        <is>
          <t>XI. 당기순이익</t>
        </is>
      </c>
      <c r="C225" s="1436" t="inlineStr">
        <is>
          <t>당기순이익</t>
        </is>
      </c>
      <c r="D225" s="2637">
        <f>+D222-D223</f>
        <v/>
      </c>
      <c r="E225" s="2637">
        <f>+E222-E223</f>
        <v/>
      </c>
      <c r="F225" s="2637">
        <f>+F222-F223</f>
        <v/>
      </c>
      <c r="G225" s="2637">
        <f>+G222-G223</f>
        <v/>
      </c>
      <c r="H225" s="2637">
        <f>+H222-H223</f>
        <v/>
      </c>
      <c r="I225" s="2637">
        <f>+I222-I223</f>
        <v/>
      </c>
      <c r="J225" s="2637">
        <f>+J222-J223</f>
        <v/>
      </c>
      <c r="K225" s="2637">
        <f>+K222-K223</f>
        <v/>
      </c>
      <c r="L225" s="2637">
        <f>+L222-L223</f>
        <v/>
      </c>
      <c r="M225" s="2637">
        <f>+M222-M223</f>
        <v/>
      </c>
      <c r="N225" s="2637">
        <f>+N222-N223</f>
        <v/>
      </c>
      <c r="O225" s="2637">
        <f>+O222-O223</f>
        <v/>
      </c>
      <c r="P225" s="2623">
        <f>SUM(D225:O225)</f>
        <v/>
      </c>
      <c r="Q225" s="1436" t="n"/>
      <c r="R225" s="1436" t="n"/>
      <c r="S225" s="2637">
        <f>+S222-S223</f>
        <v/>
      </c>
      <c r="T225" s="2637">
        <f>+T222-T223</f>
        <v/>
      </c>
      <c r="U225" s="2637">
        <f>+U222-U223</f>
        <v/>
      </c>
      <c r="V225" s="2637">
        <f>+V222-V223</f>
        <v/>
      </c>
      <c r="W225" s="2637">
        <f>+W222-W223</f>
        <v/>
      </c>
      <c r="X225" s="2637">
        <f>+X222-X223</f>
        <v/>
      </c>
      <c r="Y225" s="2637">
        <f>+Y222-Y223</f>
        <v/>
      </c>
      <c r="Z225" s="2637">
        <f>+Z222-Z223</f>
        <v/>
      </c>
      <c r="AA225" s="2637">
        <f>+AA222-AA223</f>
        <v/>
      </c>
      <c r="AB225" s="2637">
        <f>+AB222-AB223</f>
        <v/>
      </c>
      <c r="AC225" s="2637">
        <f>+AC222-AC223</f>
        <v/>
      </c>
      <c r="AD225" s="2637">
        <f>+AD222-AD223</f>
        <v/>
      </c>
      <c r="AE225" s="2623">
        <f>SUM(S225:AD225)</f>
        <v/>
      </c>
      <c r="AF225" s="1436" t="n"/>
      <c r="AG225" s="2637">
        <f>+AG222-AG223</f>
        <v/>
      </c>
      <c r="AH225" s="2637">
        <f>+AH222-AH223</f>
        <v/>
      </c>
      <c r="AI225" s="2637">
        <f>+AI222-AI223</f>
        <v/>
      </c>
      <c r="AJ225" s="2637">
        <f>+AJ222-AJ223</f>
        <v/>
      </c>
      <c r="AK225" s="2637">
        <f>+AK222-AK223</f>
        <v/>
      </c>
      <c r="AL225" s="2637">
        <f>+AL222-AL223</f>
        <v/>
      </c>
      <c r="AM225" s="2637">
        <f>+AM222-AM223</f>
        <v/>
      </c>
      <c r="AN225" s="2637">
        <f>+AN222-AN223</f>
        <v/>
      </c>
      <c r="AO225" s="2637">
        <f>+AO222-AO223</f>
        <v/>
      </c>
      <c r="AP225" s="2637">
        <f>+AP222-AP223</f>
        <v/>
      </c>
      <c r="AQ225" s="2637">
        <f>+AQ222-AQ223</f>
        <v/>
      </c>
      <c r="AR225" s="2637">
        <f>+AR222-AR223</f>
        <v/>
      </c>
      <c r="AS225" s="2623">
        <f>SUM(AG225:AR225)</f>
        <v/>
      </c>
      <c r="AT225" s="2615">
        <f>SUM(AG225:AP225)</f>
        <v/>
      </c>
      <c r="AU225" s="2637" t="n">
        <v>-69395009</v>
      </c>
      <c r="AV225" s="2637" t="n">
        <v>-65772197</v>
      </c>
      <c r="AW225" s="2637">
        <f>AW222-AW223</f>
        <v/>
      </c>
      <c r="AX225" s="2637">
        <f>AX222-AX223</f>
        <v/>
      </c>
      <c r="AY225" s="2637">
        <f>AY222-AY223</f>
        <v/>
      </c>
      <c r="AZ225" s="2637">
        <f>AZ222-AZ223</f>
        <v/>
      </c>
      <c r="BA225" s="2637">
        <f>BA222-BA223</f>
        <v/>
      </c>
      <c r="BB225" s="2637">
        <f>BB222-BB223</f>
        <v/>
      </c>
      <c r="BC225" s="2637">
        <f>BC222-BC223</f>
        <v/>
      </c>
      <c r="BD225" s="2637">
        <f>BD222-BD223</f>
        <v/>
      </c>
      <c r="BE225" s="2637">
        <f>BE222-BE223</f>
        <v/>
      </c>
      <c r="BF225" s="2637">
        <f>BF222-BF223</f>
        <v/>
      </c>
      <c r="BG225" s="2624">
        <f>SUM(AU225:BF225)</f>
        <v/>
      </c>
      <c r="BI225" s="2637" t="n"/>
      <c r="BJ225" s="2637" t="n"/>
      <c r="BK225" s="2637" t="n"/>
      <c r="BL225" s="2637" t="n"/>
      <c r="BM225" s="2637" t="n"/>
      <c r="BN225" s="2637" t="n"/>
      <c r="BO225" s="2637" t="n"/>
      <c r="BP225" s="2637" t="n"/>
      <c r="BQ225" s="2637" t="n"/>
      <c r="BR225" s="2637" t="n"/>
      <c r="BS225" s="2637" t="n"/>
      <c r="BT225" s="2637" t="n"/>
      <c r="BU225" s="2624">
        <f>SUM(BI225:BT225)</f>
        <v/>
      </c>
    </row>
    <row r="226" hidden="1" outlineLevel="1">
      <c r="A226" s="1436" t="n"/>
      <c r="B226" s="1480" t="inlineStr">
        <is>
          <t>비지배주주지분순이익</t>
        </is>
      </c>
      <c r="C226" s="1436" t="n"/>
      <c r="D226" s="2625" t="n"/>
      <c r="E226" s="2625" t="n"/>
      <c r="F226" s="2625" t="n"/>
      <c r="G226" s="2625" t="n"/>
      <c r="H226" s="2625" t="n"/>
      <c r="I226" s="2625" t="n">
        <v>0</v>
      </c>
      <c r="J226" s="2625" t="n">
        <v>0</v>
      </c>
      <c r="K226" s="2625" t="n">
        <v>0</v>
      </c>
      <c r="L226" s="2625" t="n">
        <v>0</v>
      </c>
      <c r="M226" s="2625" t="n">
        <v>0</v>
      </c>
      <c r="N226" s="2625" t="n">
        <v>0</v>
      </c>
      <c r="O226" s="2625" t="n">
        <v>0</v>
      </c>
      <c r="P226" s="2626">
        <f>SUM(D226:O226)</f>
        <v/>
      </c>
      <c r="Q226" s="1436" t="n"/>
      <c r="R226" s="1436" t="n"/>
      <c r="S226" s="2625" t="n">
        <v>0</v>
      </c>
      <c r="T226" s="2625" t="n">
        <v>0</v>
      </c>
      <c r="U226" s="2625" t="n">
        <v>0</v>
      </c>
      <c r="V226" s="2625" t="n">
        <v>0</v>
      </c>
      <c r="W226" s="2625" t="n">
        <v>0</v>
      </c>
      <c r="X226" s="2625" t="n">
        <v>0</v>
      </c>
      <c r="Y226" s="2625" t="n">
        <v>0</v>
      </c>
      <c r="Z226" s="2625" t="n">
        <v>0</v>
      </c>
      <c r="AA226" s="2625" t="n">
        <v>0</v>
      </c>
      <c r="AB226" s="2625" t="n">
        <v>0</v>
      </c>
      <c r="AC226" s="2625" t="n">
        <v>0</v>
      </c>
      <c r="AD226" s="2625" t="n">
        <v>0</v>
      </c>
      <c r="AE226" s="2626">
        <f>SUM(S226:AD226)</f>
        <v/>
      </c>
      <c r="AF226" s="1436" t="n"/>
      <c r="AG226" s="2625" t="n">
        <v>0</v>
      </c>
      <c r="AH226" s="2625" t="n">
        <v>0</v>
      </c>
      <c r="AI226" s="2625" t="n">
        <v>0</v>
      </c>
      <c r="AJ226" s="2625" t="n">
        <v>0</v>
      </c>
      <c r="AK226" s="2625" t="n">
        <v>0</v>
      </c>
      <c r="AL226" s="2625" t="n"/>
      <c r="AM226" s="2625" t="n">
        <v>0</v>
      </c>
      <c r="AN226" s="2625" t="n">
        <v>0</v>
      </c>
      <c r="AO226" s="2625" t="n"/>
      <c r="AP226" s="2625" t="n">
        <v>0</v>
      </c>
      <c r="AQ226" s="2625" t="n">
        <v>0</v>
      </c>
      <c r="AR226" s="2627" t="n"/>
      <c r="AS226" s="2626">
        <f>SUM(AG226:AR226)</f>
        <v/>
      </c>
      <c r="AT226" s="2615">
        <f>SUM(AG226:AP226)</f>
        <v/>
      </c>
      <c r="AU226" s="2627" t="n"/>
      <c r="AV226" s="2627" t="n"/>
      <c r="AW226" s="2627" t="n"/>
      <c r="AX226" s="2627" t="n"/>
      <c r="AY226" s="2627" t="n"/>
      <c r="AZ226" s="2627" t="n"/>
      <c r="BA226" s="2627" t="n"/>
      <c r="BB226" s="2627" t="n"/>
      <c r="BC226" s="2627" t="n"/>
      <c r="BD226" s="2627" t="n"/>
      <c r="BE226" s="2627" t="n"/>
      <c r="BF226" s="2627" t="n"/>
      <c r="BG226" s="2628">
        <f>SUM(AU226:BF226)</f>
        <v/>
      </c>
      <c r="BI226" s="2627" t="n"/>
      <c r="BJ226" s="2627" t="n"/>
      <c r="BK226" s="2627" t="n"/>
      <c r="BL226" s="2627" t="n"/>
      <c r="BM226" s="2627" t="n"/>
      <c r="BN226" s="2627" t="n"/>
      <c r="BO226" s="2627" t="n"/>
      <c r="BP226" s="2627" t="n"/>
      <c r="BQ226" s="2627" t="n"/>
      <c r="BR226" s="2627" t="n"/>
      <c r="BS226" s="2627" t="n"/>
      <c r="BT226" s="2627" t="n"/>
      <c r="BU226" s="2628">
        <f>SUM(BI226:BT226)</f>
        <v/>
      </c>
    </row>
    <row r="227" collapsed="1">
      <c r="A227" s="1436" t="n"/>
      <c r="B227" s="1478" t="inlineStr">
        <is>
          <t>XII. 지배주주지분순이익</t>
        </is>
      </c>
      <c r="C227" s="1436" t="inlineStr">
        <is>
          <t>지배주주지분순이익</t>
        </is>
      </c>
      <c r="D227" s="2637">
        <f>+D225-D226</f>
        <v/>
      </c>
      <c r="E227" s="2637">
        <f>+E225-E226</f>
        <v/>
      </c>
      <c r="F227" s="2637">
        <f>+F225-F226</f>
        <v/>
      </c>
      <c r="G227" s="2637">
        <f>+G225-G226</f>
        <v/>
      </c>
      <c r="H227" s="2637">
        <f>+H225-H226</f>
        <v/>
      </c>
      <c r="I227" s="2637">
        <f>+I225-I226</f>
        <v/>
      </c>
      <c r="J227" s="2637">
        <f>+J225-J226</f>
        <v/>
      </c>
      <c r="K227" s="2637">
        <f>+K225-K226</f>
        <v/>
      </c>
      <c r="L227" s="2637">
        <f>+L225-L226</f>
        <v/>
      </c>
      <c r="M227" s="2637">
        <f>+M225-M226</f>
        <v/>
      </c>
      <c r="N227" s="2637">
        <f>+N225-N226</f>
        <v/>
      </c>
      <c r="O227" s="2637">
        <f>+O225-O226</f>
        <v/>
      </c>
      <c r="P227" s="2623">
        <f>SUM(D227:O227)</f>
        <v/>
      </c>
      <c r="Q227" s="1436" t="n"/>
      <c r="R227" s="1436" t="n"/>
      <c r="S227" s="2637">
        <f>+S225-S226</f>
        <v/>
      </c>
      <c r="T227" s="2637">
        <f>+T225-T226</f>
        <v/>
      </c>
      <c r="U227" s="2637">
        <f>+U225-U226</f>
        <v/>
      </c>
      <c r="V227" s="2637">
        <f>+V225-V226</f>
        <v/>
      </c>
      <c r="W227" s="2637">
        <f>+W225-W226</f>
        <v/>
      </c>
      <c r="X227" s="2637">
        <f>+X225-X226</f>
        <v/>
      </c>
      <c r="Y227" s="2637">
        <f>+Y225-Y226</f>
        <v/>
      </c>
      <c r="Z227" s="2637">
        <f>+Z225-Z226</f>
        <v/>
      </c>
      <c r="AA227" s="2637">
        <f>+AA225-AA226</f>
        <v/>
      </c>
      <c r="AB227" s="2637">
        <f>+AB225-AB226</f>
        <v/>
      </c>
      <c r="AC227" s="2637">
        <f>+AC225-AC226</f>
        <v/>
      </c>
      <c r="AD227" s="2637">
        <f>+AD225-AD226</f>
        <v/>
      </c>
      <c r="AE227" s="2623">
        <f>SUM(S227:AD227)</f>
        <v/>
      </c>
      <c r="AF227" s="1436" t="n"/>
      <c r="AG227" s="2637">
        <f>+AG225-AG226</f>
        <v/>
      </c>
      <c r="AH227" s="2637">
        <f>+AH225-AH226</f>
        <v/>
      </c>
      <c r="AI227" s="2637">
        <f>+AI225-AI226</f>
        <v/>
      </c>
      <c r="AJ227" s="2637">
        <f>+AJ225-AJ226</f>
        <v/>
      </c>
      <c r="AK227" s="2637">
        <f>+AK225-AK226</f>
        <v/>
      </c>
      <c r="AL227" s="2637">
        <f>+AL225-AL226</f>
        <v/>
      </c>
      <c r="AM227" s="2637">
        <f>+AM225-AM226</f>
        <v/>
      </c>
      <c r="AN227" s="2637">
        <f>+AN225-AN226</f>
        <v/>
      </c>
      <c r="AO227" s="2637">
        <f>+AO225-AO226</f>
        <v/>
      </c>
      <c r="AP227" s="2637">
        <f>+AP225-AP226</f>
        <v/>
      </c>
      <c r="AQ227" s="2637">
        <f>+AQ225-AQ226</f>
        <v/>
      </c>
      <c r="AR227" s="2637">
        <f>+AR225-AR226</f>
        <v/>
      </c>
      <c r="AS227" s="2623">
        <f>SUM(AG227:AR227)</f>
        <v/>
      </c>
      <c r="AT227" s="2615">
        <f>SUM(AG227:AP227)</f>
        <v/>
      </c>
      <c r="AU227" s="2637" t="n">
        <v>-69395009</v>
      </c>
      <c r="AV227" s="2637" t="n">
        <v>-65772197</v>
      </c>
      <c r="AW227" s="2637" t="n"/>
      <c r="AX227" s="2637" t="n"/>
      <c r="AY227" s="2637" t="n"/>
      <c r="AZ227" s="2637" t="n"/>
      <c r="BA227" s="2637" t="n"/>
      <c r="BB227" s="2637" t="n"/>
      <c r="BC227" s="2637" t="n"/>
      <c r="BD227" s="2637" t="n"/>
      <c r="BE227" s="2637" t="n"/>
      <c r="BF227" s="2637" t="n"/>
      <c r="BG227" s="2624">
        <f>SUM(AU227:BF227)</f>
        <v/>
      </c>
      <c r="BI227" s="2637" t="n"/>
      <c r="BJ227" s="2637" t="n"/>
      <c r="BK227" s="2637" t="n"/>
      <c r="BL227" s="2637" t="n"/>
      <c r="BM227" s="2637" t="n"/>
      <c r="BN227" s="2637" t="n"/>
      <c r="BO227" s="2637" t="n"/>
      <c r="BP227" s="2637" t="n"/>
      <c r="BQ227" s="2637" t="n"/>
      <c r="BR227" s="2637" t="n"/>
      <c r="BS227" s="2637" t="n"/>
      <c r="BT227" s="2637" t="n"/>
      <c r="BU227" s="2624">
        <f>SUM(BI227:BT227)</f>
        <v/>
      </c>
    </row>
    <row r="228">
      <c r="A228" s="1436" t="n"/>
      <c r="B228" s="1436" t="n"/>
      <c r="C228" s="1436" t="n"/>
      <c r="D228" s="2614" t="n"/>
      <c r="E228" s="2614" t="n"/>
      <c r="F228" s="2614" t="n"/>
      <c r="G228" s="2614" t="n">
        <v>0</v>
      </c>
      <c r="H228" s="2614" t="n">
        <v>0</v>
      </c>
      <c r="I228" s="2614" t="n">
        <v>0</v>
      </c>
      <c r="J228" s="2614" t="n">
        <v>0</v>
      </c>
      <c r="K228" s="2614" t="n"/>
      <c r="L228" s="2614" t="n"/>
      <c r="M228" s="2614" t="n"/>
      <c r="N228" s="2614" t="n"/>
      <c r="O228" s="2614" t="n"/>
      <c r="P228" s="2614" t="n"/>
      <c r="Q228" s="1436" t="n"/>
      <c r="R228" s="1436" t="n"/>
      <c r="S228" s="2614" t="n"/>
      <c r="T228" s="2614" t="n"/>
      <c r="U228" s="2614" t="n"/>
      <c r="V228" s="1436" t="n"/>
      <c r="W228" s="1436" t="n"/>
      <c r="X228" s="1436" t="n"/>
      <c r="Y228" s="1436" t="n"/>
      <c r="Z228" s="1436" t="n"/>
      <c r="AA228" s="1436" t="n"/>
      <c r="AB228" s="1436" t="n"/>
      <c r="AC228" s="1436" t="n"/>
      <c r="AD228" s="1436" t="n"/>
      <c r="AE228" s="2614" t="n"/>
      <c r="AF228" s="1436" t="n"/>
      <c r="AG228" s="1436" t="n"/>
      <c r="AH228" s="1436" t="n"/>
      <c r="AI228" s="1436" t="n"/>
      <c r="AJ228" s="1436" t="n"/>
      <c r="AK228" s="1436" t="n"/>
      <c r="AL228" s="1436" t="n"/>
      <c r="AM228" s="1436" t="n"/>
      <c r="AN228" s="1436" t="n"/>
      <c r="AO228" s="2614">
        <f>-2821604629-SUM(AG227:AO227)</f>
        <v/>
      </c>
      <c r="AP228" s="2614">
        <f>-2906400059-SUM(AG227:AP227)</f>
        <v/>
      </c>
      <c r="AQ228" s="1436" t="n"/>
      <c r="AR228" s="1436" t="n"/>
      <c r="AS228" s="2614" t="n"/>
      <c r="AU228" s="1436" t="n"/>
      <c r="AV228" s="1436" t="n"/>
      <c r="AW228" s="1436" t="n"/>
      <c r="AX228" s="1436" t="n"/>
      <c r="AY228" s="1436" t="n"/>
      <c r="AZ228" s="1436" t="n"/>
      <c r="BA228" s="1436" t="n"/>
      <c r="BB228" s="1436" t="n"/>
      <c r="BC228" s="1436" t="n"/>
      <c r="BD228" s="1436" t="n"/>
      <c r="BE228" s="1436" t="n"/>
      <c r="BF228" s="1436" t="n"/>
      <c r="BG228" s="2614" t="n"/>
      <c r="BI228" s="1436" t="n"/>
      <c r="BJ228" s="1436" t="n"/>
      <c r="BK228" s="1436" t="n"/>
      <c r="BL228" s="1436" t="n"/>
      <c r="BM228" s="1436" t="n"/>
      <c r="BN228" s="1436" t="n"/>
      <c r="BO228" s="1436" t="n"/>
      <c r="BP228" s="1436" t="n"/>
      <c r="BQ228" s="1436" t="n"/>
      <c r="BR228" s="1436" t="n"/>
      <c r="BS228" s="1436" t="n"/>
      <c r="BT228" s="1436" t="n"/>
      <c r="BU228" s="2614" t="n"/>
    </row>
    <row r="229">
      <c r="A229" s="1436" t="n"/>
      <c r="B229" s="1483" t="inlineStr">
        <is>
          <t>보고장표용 계정 대분류</t>
        </is>
      </c>
      <c r="C229" s="1436" t="n"/>
      <c r="D229" s="2614" t="n"/>
      <c r="E229" s="2614" t="n"/>
      <c r="F229" s="2614" t="n"/>
      <c r="G229" s="1436" t="n"/>
      <c r="H229" s="1436" t="n"/>
      <c r="I229" s="2614" t="n"/>
      <c r="J229" s="2614" t="n"/>
      <c r="K229" s="2614" t="n"/>
      <c r="L229" s="2614" t="n"/>
      <c r="M229" s="2614" t="n"/>
      <c r="N229" s="2614" t="n"/>
      <c r="O229" s="2614" t="n"/>
      <c r="P229" s="2614" t="n"/>
      <c r="Q229" s="1436" t="n"/>
      <c r="R229" s="1436" t="n"/>
      <c r="S229" s="2614" t="n"/>
      <c r="T229" s="2614" t="n"/>
      <c r="U229" s="1436" t="n"/>
      <c r="V229" s="1436" t="n"/>
      <c r="W229" s="1436" t="n"/>
      <c r="X229" s="1436" t="n"/>
      <c r="Y229" s="1436" t="n"/>
      <c r="Z229" s="1436" t="n"/>
      <c r="AA229" s="1436" t="n"/>
      <c r="AB229" s="1436" t="n"/>
      <c r="AC229" s="1436" t="n"/>
      <c r="AD229" s="1436" t="n"/>
      <c r="AE229" s="2614" t="n"/>
      <c r="AF229" s="1436" t="n"/>
      <c r="AG229" s="2614" t="n"/>
      <c r="AH229" s="1436" t="n"/>
      <c r="AI229" s="1436" t="n"/>
      <c r="AJ229" s="1436" t="n"/>
      <c r="AK229" s="1436" t="n"/>
      <c r="AL229" s="1436" t="n"/>
      <c r="AM229" s="1436" t="n"/>
      <c r="AN229" s="1436" t="n"/>
      <c r="AO229" s="1436" t="n"/>
      <c r="AP229" s="1436" t="n"/>
      <c r="AQ229" s="1436" t="n"/>
      <c r="AR229" s="1436" t="n"/>
      <c r="AS229" s="2614" t="n"/>
      <c r="AU229" s="1436" t="n"/>
      <c r="AV229" s="1436" t="n"/>
      <c r="AW229" s="1436" t="n"/>
      <c r="AX229" s="1436" t="n"/>
      <c r="AY229" s="1436" t="n"/>
      <c r="AZ229" s="1436" t="n"/>
      <c r="BA229" s="1436" t="n"/>
      <c r="BB229" s="1436" t="n"/>
      <c r="BC229" s="1436" t="n"/>
      <c r="BD229" s="1436" t="n"/>
      <c r="BE229" s="1436" t="n"/>
      <c r="BF229" s="1436" t="n"/>
      <c r="BG229" s="2614" t="n"/>
      <c r="BI229" s="1436" t="n"/>
      <c r="BJ229" s="1436" t="n"/>
      <c r="BK229" s="1436" t="n"/>
      <c r="BL229" s="1436" t="n"/>
      <c r="BM229" s="1436" t="n"/>
      <c r="BN229" s="1436" t="n"/>
      <c r="BO229" s="1436" t="n"/>
      <c r="BP229" s="1436" t="n"/>
      <c r="BQ229" s="1436" t="n"/>
      <c r="BR229" s="1436" t="n"/>
      <c r="BS229" s="1436" t="n"/>
      <c r="BT229" s="1436" t="n"/>
      <c r="BU229" s="2614" t="n"/>
    </row>
    <row r="230" outlineLevel="1">
      <c r="A230" s="1436" t="n"/>
      <c r="B230" s="1484" t="inlineStr">
        <is>
          <t>인건비</t>
        </is>
      </c>
      <c r="C230" s="1484" t="inlineStr">
        <is>
          <t>인건비 등</t>
        </is>
      </c>
      <c r="D230" s="2627">
        <f>SUMIFS(D$5:D$120,$C$5:$C$120,$C230)</f>
        <v/>
      </c>
      <c r="E230" s="2627">
        <f>SUMIFS(E$5:E$120,$C$5:$C$120,$C230)</f>
        <v/>
      </c>
      <c r="F230" s="2627">
        <f>SUMIFS(F$5:F$120,$C$5:$C$120,$C230)</f>
        <v/>
      </c>
      <c r="G230" s="2627">
        <f>SUMIFS(G$5:G$120,$C$5:$C$120,$C230)</f>
        <v/>
      </c>
      <c r="H230" s="2627">
        <f>SUMIFS(H$5:H$120,$C$5:$C$120,$C230)</f>
        <v/>
      </c>
      <c r="I230" s="2627">
        <f>SUMIFS(I$5:I$120,$C$5:$C$120,$C230)</f>
        <v/>
      </c>
      <c r="J230" s="2627">
        <f>SUMIFS(J$5:J$120,$C$5:$C$120,$C230)</f>
        <v/>
      </c>
      <c r="K230" s="2627">
        <f>SUMIFS(K$5:K$120,$C$5:$C$120,$C230)</f>
        <v/>
      </c>
      <c r="L230" s="2627">
        <f>SUMIFS(L$5:L$120,$C$5:$C$120,$C230)</f>
        <v/>
      </c>
      <c r="M230" s="2627">
        <f>SUMIFS(M$5:M$120,$C$5:$C$120,$C230)</f>
        <v/>
      </c>
      <c r="N230" s="2627">
        <f>SUMIFS(N$5:N$120,$C$5:$C$120,$C230)</f>
        <v/>
      </c>
      <c r="O230" s="2627">
        <f>SUMIFS(O$5:O$120,$C$5:$C$120,$C230)</f>
        <v/>
      </c>
      <c r="P230" s="2626">
        <f>SUM(D230:O230)</f>
        <v/>
      </c>
      <c r="Q230" s="1436" t="n"/>
      <c r="R230" s="1436" t="n"/>
      <c r="S230" s="2627">
        <f>SUMIFS(S$5:S$120,$C$5:$C$120,$C230)</f>
        <v/>
      </c>
      <c r="T230" s="2627">
        <f>SUMIFS(T$5:T$120,$C$5:$C$120,$C230)</f>
        <v/>
      </c>
      <c r="U230" s="2627">
        <f>SUMIFS(U$5:U$120,$C$5:$C$120,$C230)</f>
        <v/>
      </c>
      <c r="V230" s="2627">
        <f>SUMIFS(V$5:V$120,$C$5:$C$120,$C230)</f>
        <v/>
      </c>
      <c r="W230" s="2627">
        <f>SUMIFS(W$5:W$120,$C$5:$C$120,$C230)</f>
        <v/>
      </c>
      <c r="X230" s="2627">
        <f>SUMIFS(X$5:X$120,$C$5:$C$120,$C230)</f>
        <v/>
      </c>
      <c r="Y230" s="2627">
        <f>SUMIFS(Y$5:Y$120,$C$5:$C$120,$C230)</f>
        <v/>
      </c>
      <c r="Z230" s="2627">
        <f>SUMIFS(Z$5:Z$120,$C$5:$C$120,$C230)</f>
        <v/>
      </c>
      <c r="AA230" s="2627">
        <f>SUMIFS(AA$5:AA$120,$C$5:$C$120,$C230)</f>
        <v/>
      </c>
      <c r="AB230" s="2627">
        <f>SUMIFS(AB$5:AB$120,$C$5:$C$120,$C230)</f>
        <v/>
      </c>
      <c r="AC230" s="2627">
        <f>SUMIFS(AC$5:AC$120,$C$5:$C$120,$C230)</f>
        <v/>
      </c>
      <c r="AD230" s="2627">
        <f>SUMIFS(AD$5:AD$120,$C$5:$C$120,$C230)</f>
        <v/>
      </c>
      <c r="AE230" s="2626">
        <f>SUM(S230:AD230)</f>
        <v/>
      </c>
      <c r="AF230" s="1436" t="n"/>
      <c r="AG230" s="2627">
        <f>SUMIFS(AG$5:AG$120,$C$5:$C$120,$C230)</f>
        <v/>
      </c>
      <c r="AH230" s="2627">
        <f>SUMIFS(AH$5:AH$120,$C$5:$C$120,$C230)</f>
        <v/>
      </c>
      <c r="AI230" s="2627">
        <f>SUMIFS(AI$5:AI$120,$C$5:$C$120,$C230)</f>
        <v/>
      </c>
      <c r="AJ230" s="2627">
        <f>SUMIFS(AJ$5:AJ$120,$C$5:$C$120,$C230)</f>
        <v/>
      </c>
      <c r="AK230" s="2627">
        <f>SUMIFS(AK$5:AK$120,$C$5:$C$120,$C230)</f>
        <v/>
      </c>
      <c r="AL230" s="2627">
        <f>SUMIFS(AL$5:AL$120,$C$5:$C$120,$C230)</f>
        <v/>
      </c>
      <c r="AM230" s="2627">
        <f>SUMIFS(AM$5:AM$120,$C$5:$C$120,$C230)</f>
        <v/>
      </c>
      <c r="AN230" s="2627">
        <f>SUMIFS(AN$5:AN$120,$C$5:$C$120,$C230)</f>
        <v/>
      </c>
      <c r="AO230" s="2627">
        <f>SUMIFS(AO$5:AO$120,$C$5:$C$120,$C230)</f>
        <v/>
      </c>
      <c r="AP230" s="2627">
        <f>SUMIFS(AP$5:AP$120,$C$5:$C$120,$C230)</f>
        <v/>
      </c>
      <c r="AQ230" s="2627">
        <f>SUMIFS(AQ$5:AQ$120,$C$5:$C$120,$C230)</f>
        <v/>
      </c>
      <c r="AR230" s="2627">
        <f>SUMIFS(AR$5:AR$120,$C$5:$C$120,$C230)</f>
        <v/>
      </c>
      <c r="AS230" s="2626">
        <f>SUM(AG230:AR230)</f>
        <v/>
      </c>
      <c r="AU230" s="2627">
        <f>SUMIFS(AU$5:AU$120,$C$5:$C$120,$C230)</f>
        <v/>
      </c>
      <c r="AV230" s="2627">
        <f>SUMIFS(AV$5:AV$120,$C$5:$C$120,$C230)</f>
        <v/>
      </c>
      <c r="AW230" s="2627">
        <f>SUMIFS(AW$5:AW$120,$C$5:$C$120,$C230)</f>
        <v/>
      </c>
      <c r="AX230" s="2627">
        <f>SUMIFS(AX$5:AX$120,$C$5:$C$120,$C230)</f>
        <v/>
      </c>
      <c r="AY230" s="2627">
        <f>SUMIFS(AY$5:AY$120,$C$5:$C$120,$C230)</f>
        <v/>
      </c>
      <c r="AZ230" s="2627">
        <f>SUMIFS(AZ$5:AZ$120,$C$5:$C$120,$C230)</f>
        <v/>
      </c>
      <c r="BA230" s="2627">
        <f>SUMIFS(BA$5:BA$120,$C$5:$C$120,$C230)</f>
        <v/>
      </c>
      <c r="BB230" s="2627">
        <f>SUMIFS(BB$5:BB$120,$C$5:$C$120,$C230)</f>
        <v/>
      </c>
      <c r="BC230" s="2627">
        <f>SUMIFS(BC$5:BC$120,$C$5:$C$120,$C230)</f>
        <v/>
      </c>
      <c r="BD230" s="2627">
        <f>SUMIFS(BD$5:BD$120,$C$5:$C$120,$C230)</f>
        <v/>
      </c>
      <c r="BE230" s="2627">
        <f>SUMIFS(BE$5:BE$120,$C$5:$C$120,$C230)</f>
        <v/>
      </c>
      <c r="BF230" s="2627">
        <f>SUMIFS(BF$5:BF$120,$C$5:$C$120,$C230)</f>
        <v/>
      </c>
      <c r="BG230" s="2628">
        <f>SUM(AU230:BF230)</f>
        <v/>
      </c>
      <c r="BI230" s="2627">
        <f>SUMIFS(BI$5:BI$120,$C$5:$C$120,$C230)</f>
        <v/>
      </c>
      <c r="BJ230" s="2627">
        <f>SUMIFS(BJ$5:BJ$120,$C$5:$C$120,$C230)</f>
        <v/>
      </c>
      <c r="BK230" s="2627">
        <f>SUMIFS(BK$5:BK$120,$C$5:$C$120,$C230)</f>
        <v/>
      </c>
      <c r="BL230" s="2627">
        <f>SUMIFS(BL$5:BL$120,$C$5:$C$120,$C230)</f>
        <v/>
      </c>
      <c r="BM230" s="2627">
        <f>SUMIFS(BM$5:BM$120,$C$5:$C$120,$C230)</f>
        <v/>
      </c>
      <c r="BN230" s="2627">
        <f>SUMIFS(BN$5:BN$120,$C$5:$C$120,$C230)</f>
        <v/>
      </c>
      <c r="BO230" s="2627">
        <f>SUMIFS(BO$5:BO$120,$C$5:$C$120,$C230)</f>
        <v/>
      </c>
      <c r="BP230" s="2627">
        <f>SUMIFS(BP$5:BP$120,$C$5:$C$120,$C230)</f>
        <v/>
      </c>
      <c r="BQ230" s="2627">
        <f>SUMIFS(BQ$5:BQ$120,$C$5:$C$120,$C230)</f>
        <v/>
      </c>
      <c r="BR230" s="2627">
        <f>SUMIFS(BR$5:BR$120,$C$5:$C$120,$C230)</f>
        <v/>
      </c>
      <c r="BS230" s="2627">
        <f>SUMIFS(BS$5:BS$120,$C$5:$C$120,$C230)</f>
        <v/>
      </c>
      <c r="BT230" s="2627">
        <f>SUMIFS(BT$5:BT$120,$C$5:$C$120,$C230)</f>
        <v/>
      </c>
      <c r="BU230" s="2628">
        <f>SUM(BI230:BT230)</f>
        <v/>
      </c>
    </row>
    <row r="231" outlineLevel="1">
      <c r="A231" s="1436" t="n"/>
      <c r="B231" s="1485" t="inlineStr">
        <is>
          <t>로열티</t>
        </is>
      </c>
      <c r="C231" s="1485" t="inlineStr">
        <is>
          <t>로열티&amp;기타</t>
        </is>
      </c>
      <c r="D231" s="2627">
        <f>SUMIFS(D$5:D$120,$C$5:$C$120,$C231)</f>
        <v/>
      </c>
      <c r="E231" s="2627">
        <f>SUMIFS(E$5:E$120,$C$5:$C$120,$C231)</f>
        <v/>
      </c>
      <c r="F231" s="2627">
        <f>SUMIFS(F$5:F$120,$C$5:$C$120,$C231)</f>
        <v/>
      </c>
      <c r="G231" s="2627">
        <f>SUMIFS(G$5:G$120,$C$5:$C$120,$C231)</f>
        <v/>
      </c>
      <c r="H231" s="2627">
        <f>SUMIFS(H$5:H$120,$C$5:$C$120,$C231)</f>
        <v/>
      </c>
      <c r="I231" s="2627">
        <f>SUMIFS(I$5:I$120,$C$5:$C$120,$C231)</f>
        <v/>
      </c>
      <c r="J231" s="2627">
        <f>SUMIFS(J$5:J$120,$C$5:$C$120,$C231)</f>
        <v/>
      </c>
      <c r="K231" s="2627">
        <f>SUMIFS(K$5:K$120,$C$5:$C$120,$C231)</f>
        <v/>
      </c>
      <c r="L231" s="2627">
        <f>SUMIFS(L$5:L$120,$C$5:$C$120,$C231)</f>
        <v/>
      </c>
      <c r="M231" s="2627">
        <f>SUMIFS(M$5:M$120,$C$5:$C$120,$C231)</f>
        <v/>
      </c>
      <c r="N231" s="2627">
        <f>SUMIFS(N$5:N$120,$C$5:$C$120,$C231)</f>
        <v/>
      </c>
      <c r="O231" s="2627">
        <f>SUMIFS(O$5:O$120,$C$5:$C$120,$C231)</f>
        <v/>
      </c>
      <c r="P231" s="2626">
        <f>SUM(D231:O231)</f>
        <v/>
      </c>
      <c r="Q231" s="1436" t="n"/>
      <c r="R231" s="1436" t="n"/>
      <c r="S231" s="2627">
        <f>SUMIFS(S$5:S$120,$C$5:$C$120,$C231)</f>
        <v/>
      </c>
      <c r="T231" s="2627">
        <f>SUMIFS(T$5:T$120,$C$5:$C$120,$C231)</f>
        <v/>
      </c>
      <c r="U231" s="2627">
        <f>SUMIFS(U$5:U$120,$C$5:$C$120,$C231)</f>
        <v/>
      </c>
      <c r="V231" s="2627">
        <f>SUMIFS(V$5:V$120,$C$5:$C$120,$C231)</f>
        <v/>
      </c>
      <c r="W231" s="2627">
        <f>SUMIFS(W$5:W$120,$C$5:$C$120,$C231)</f>
        <v/>
      </c>
      <c r="X231" s="2627">
        <f>SUMIFS(X$5:X$120,$C$5:$C$120,$C231)</f>
        <v/>
      </c>
      <c r="Y231" s="2627">
        <f>SUMIFS(Y$5:Y$120,$C$5:$C$120,$C231)</f>
        <v/>
      </c>
      <c r="Z231" s="2627">
        <f>SUMIFS(Z$5:Z$120,$C$5:$C$120,$C231)</f>
        <v/>
      </c>
      <c r="AA231" s="2627">
        <f>SUMIFS(AA$5:AA$120,$C$5:$C$120,$C231)</f>
        <v/>
      </c>
      <c r="AB231" s="2627">
        <f>SUMIFS(AB$5:AB$120,$C$5:$C$120,$C231)</f>
        <v/>
      </c>
      <c r="AC231" s="2627">
        <f>SUMIFS(AC$5:AC$120,$C$5:$C$120,$C231)</f>
        <v/>
      </c>
      <c r="AD231" s="2627">
        <f>SUMIFS(AD$5:AD$120,$C$5:$C$120,$C231)</f>
        <v/>
      </c>
      <c r="AE231" s="2626">
        <f>SUM(S231:AD231)</f>
        <v/>
      </c>
      <c r="AF231" s="1436" t="n"/>
      <c r="AG231" s="2627">
        <f>SUMIFS(AG$5:AG$120,$C$5:$C$120,$C231)</f>
        <v/>
      </c>
      <c r="AH231" s="2627">
        <f>SUMIFS(AH$5:AH$120,$C$5:$C$120,$C231)</f>
        <v/>
      </c>
      <c r="AI231" s="2627">
        <f>SUMIFS(AI$5:AI$120,$C$5:$C$120,$C231)</f>
        <v/>
      </c>
      <c r="AJ231" s="2627">
        <f>SUMIFS(AJ$5:AJ$120,$C$5:$C$120,$C231)</f>
        <v/>
      </c>
      <c r="AK231" s="2627">
        <f>SUMIFS(AK$5:AK$120,$C$5:$C$120,$C231)</f>
        <v/>
      </c>
      <c r="AL231" s="2627">
        <f>SUMIFS(AL$5:AL$120,$C$5:$C$120,$C231)</f>
        <v/>
      </c>
      <c r="AM231" s="2627">
        <f>SUMIFS(AM$5:AM$120,$C$5:$C$120,$C231)</f>
        <v/>
      </c>
      <c r="AN231" s="2627">
        <f>SUMIFS(AN$5:AN$120,$C$5:$C$120,$C231)</f>
        <v/>
      </c>
      <c r="AO231" s="2627">
        <f>SUMIFS(AO$5:AO$120,$C$5:$C$120,$C231)</f>
        <v/>
      </c>
      <c r="AP231" s="2627">
        <f>SUMIFS(AP$5:AP$120,$C$5:$C$120,$C231)</f>
        <v/>
      </c>
      <c r="AQ231" s="2627">
        <f>SUMIFS(AQ$5:AQ$120,$C$5:$C$120,$C231)</f>
        <v/>
      </c>
      <c r="AR231" s="2627">
        <f>SUMIFS(AR$5:AR$120,$C$5:$C$120,$C231)</f>
        <v/>
      </c>
      <c r="AS231" s="2626">
        <f>SUM(AG231:AR231)</f>
        <v/>
      </c>
      <c r="AU231" s="2627">
        <f>SUMIFS(AU$5:AU$120,$C$5:$C$120,$C231)</f>
        <v/>
      </c>
      <c r="AV231" s="2627">
        <f>SUMIFS(AV$5:AV$120,$C$5:$C$120,$C231)</f>
        <v/>
      </c>
      <c r="AW231" s="2627">
        <f>SUMIFS(AW$5:AW$120,$C$5:$C$120,$C231)</f>
        <v/>
      </c>
      <c r="AX231" s="2627">
        <f>SUMIFS(AX$5:AX$120,$C$5:$C$120,$C231)</f>
        <v/>
      </c>
      <c r="AY231" s="2627">
        <f>SUMIFS(AY$5:AY$120,$C$5:$C$120,$C231)</f>
        <v/>
      </c>
      <c r="AZ231" s="2627">
        <f>SUMIFS(AZ$5:AZ$120,$C$5:$C$120,$C231)</f>
        <v/>
      </c>
      <c r="BA231" s="2627">
        <f>SUMIFS(BA$5:BA$120,$C$5:$C$120,$C231)</f>
        <v/>
      </c>
      <c r="BB231" s="2627">
        <f>SUMIFS(BB$5:BB$120,$C$5:$C$120,$C231)</f>
        <v/>
      </c>
      <c r="BC231" s="2627">
        <f>SUMIFS(BC$5:BC$120,$C$5:$C$120,$C231)</f>
        <v/>
      </c>
      <c r="BD231" s="2627">
        <f>SUMIFS(BD$5:BD$120,$C$5:$C$120,$C231)</f>
        <v/>
      </c>
      <c r="BE231" s="2627">
        <f>SUMIFS(BE$5:BE$120,$C$5:$C$120,$C231)</f>
        <v/>
      </c>
      <c r="BF231" s="2627">
        <f>SUMIFS(BF$5:BF$120,$C$5:$C$120,$C231)</f>
        <v/>
      </c>
      <c r="BG231" s="2628">
        <f>SUM(AU231:BF231)</f>
        <v/>
      </c>
      <c r="BI231" s="2627">
        <f>SUMIFS(BI$5:BI$120,$C$5:$C$120,$C231)</f>
        <v/>
      </c>
      <c r="BJ231" s="2627">
        <f>SUMIFS(BJ$5:BJ$120,$C$5:$C$120,$C231)</f>
        <v/>
      </c>
      <c r="BK231" s="2627">
        <f>SUMIFS(BK$5:BK$120,$C$5:$C$120,$C231)</f>
        <v/>
      </c>
      <c r="BL231" s="2627">
        <f>SUMIFS(BL$5:BL$120,$C$5:$C$120,$C231)</f>
        <v/>
      </c>
      <c r="BM231" s="2627">
        <f>SUMIFS(BM$5:BM$120,$C$5:$C$120,$C231)</f>
        <v/>
      </c>
      <c r="BN231" s="2627">
        <f>SUMIFS(BN$5:BN$120,$C$5:$C$120,$C231)</f>
        <v/>
      </c>
      <c r="BO231" s="2627">
        <f>SUMIFS(BO$5:BO$120,$C$5:$C$120,$C231)</f>
        <v/>
      </c>
      <c r="BP231" s="2627">
        <f>SUMIFS(BP$5:BP$120,$C$5:$C$120,$C231)</f>
        <v/>
      </c>
      <c r="BQ231" s="2627">
        <f>SUMIFS(BQ$5:BQ$120,$C$5:$C$120,$C231)</f>
        <v/>
      </c>
      <c r="BR231" s="2627">
        <f>SUMIFS(BR$5:BR$120,$C$5:$C$120,$C231)</f>
        <v/>
      </c>
      <c r="BS231" s="2627">
        <f>SUMIFS(BS$5:BS$120,$C$5:$C$120,$C231)</f>
        <v/>
      </c>
      <c r="BT231" s="2627">
        <f>SUMIFS(BT$5:BT$120,$C$5:$C$120,$C231)</f>
        <v/>
      </c>
      <c r="BU231" s="2628">
        <f>SUM(BI231:BT231)</f>
        <v/>
      </c>
    </row>
    <row r="232" outlineLevel="1">
      <c r="A232" s="1436" t="n"/>
      <c r="B232" s="1485" t="inlineStr">
        <is>
          <t>마케팅비</t>
        </is>
      </c>
      <c r="C232" s="1485" t="inlineStr">
        <is>
          <t>마케팅</t>
        </is>
      </c>
      <c r="D232" s="2627">
        <f>SUMIFS(D$5:D$120,$C$5:$C$120,$C232)</f>
        <v/>
      </c>
      <c r="E232" s="2627">
        <f>SUMIFS(E$5:E$120,$C$5:$C$120,$C232)</f>
        <v/>
      </c>
      <c r="F232" s="2627">
        <f>SUMIFS(F$5:F$120,$C$5:$C$120,$C232)</f>
        <v/>
      </c>
      <c r="G232" s="2627">
        <f>SUMIFS(G$5:G$120,$C$5:$C$120,$C232)</f>
        <v/>
      </c>
      <c r="H232" s="2627">
        <f>SUMIFS(H$5:H$120,$C$5:$C$120,$C232)</f>
        <v/>
      </c>
      <c r="I232" s="2627">
        <f>SUMIFS(I$5:I$120,$C$5:$C$120,$C232)</f>
        <v/>
      </c>
      <c r="J232" s="2627">
        <f>SUMIFS(J$5:J$120,$C$5:$C$120,$C232)</f>
        <v/>
      </c>
      <c r="K232" s="2627">
        <f>SUMIFS(K$5:K$120,$C$5:$C$120,$C232)</f>
        <v/>
      </c>
      <c r="L232" s="2627">
        <f>SUMIFS(L$5:L$120,$C$5:$C$120,$C232)</f>
        <v/>
      </c>
      <c r="M232" s="2627">
        <f>SUMIFS(M$5:M$120,$C$5:$C$120,$C232)</f>
        <v/>
      </c>
      <c r="N232" s="2627">
        <f>SUMIFS(N$5:N$120,$C$5:$C$120,$C232)</f>
        <v/>
      </c>
      <c r="O232" s="2627">
        <f>SUMIFS(O$5:O$120,$C$5:$C$120,$C232)</f>
        <v/>
      </c>
      <c r="P232" s="2626">
        <f>SUM(D232:O232)</f>
        <v/>
      </c>
      <c r="Q232" s="1436" t="n"/>
      <c r="R232" s="1436" t="n"/>
      <c r="S232" s="2627">
        <f>SUMIFS(S$5:S$120,$C$5:$C$120,$C232)</f>
        <v/>
      </c>
      <c r="T232" s="2627">
        <f>SUMIFS(T$5:T$120,$C$5:$C$120,$C232)</f>
        <v/>
      </c>
      <c r="U232" s="2627">
        <f>SUMIFS(U$5:U$120,$C$5:$C$120,$C232)</f>
        <v/>
      </c>
      <c r="V232" s="2627">
        <f>SUMIFS(V$5:V$120,$C$5:$C$120,$C232)</f>
        <v/>
      </c>
      <c r="W232" s="2627">
        <f>SUMIFS(W$5:W$120,$C$5:$C$120,$C232)</f>
        <v/>
      </c>
      <c r="X232" s="2627">
        <f>SUMIFS(X$5:X$120,$C$5:$C$120,$C232)</f>
        <v/>
      </c>
      <c r="Y232" s="2627">
        <f>SUMIFS(Y$5:Y$120,$C$5:$C$120,$C232)</f>
        <v/>
      </c>
      <c r="Z232" s="2627">
        <f>SUMIFS(Z$5:Z$120,$C$5:$C$120,$C232)</f>
        <v/>
      </c>
      <c r="AA232" s="2627">
        <f>SUMIFS(AA$5:AA$120,$C$5:$C$120,$C232)</f>
        <v/>
      </c>
      <c r="AB232" s="2627">
        <f>SUMIFS(AB$5:AB$120,$C$5:$C$120,$C232)</f>
        <v/>
      </c>
      <c r="AC232" s="2627">
        <f>SUMIFS(AC$5:AC$120,$C$5:$C$120,$C232)</f>
        <v/>
      </c>
      <c r="AD232" s="2627">
        <f>SUMIFS(AD$5:AD$120,$C$5:$C$120,$C232)</f>
        <v/>
      </c>
      <c r="AE232" s="2626">
        <f>SUM(S232:AD232)</f>
        <v/>
      </c>
      <c r="AF232" s="1436" t="n"/>
      <c r="AG232" s="2627">
        <f>SUMIFS(AG$5:AG$120,$C$5:$C$120,$C232)</f>
        <v/>
      </c>
      <c r="AH232" s="2627">
        <f>SUMIFS(AH$5:AH$120,$C$5:$C$120,$C232)</f>
        <v/>
      </c>
      <c r="AI232" s="2627">
        <f>SUMIFS(AI$5:AI$120,$C$5:$C$120,$C232)</f>
        <v/>
      </c>
      <c r="AJ232" s="2627">
        <f>SUMIFS(AJ$5:AJ$120,$C$5:$C$120,$C232)</f>
        <v/>
      </c>
      <c r="AK232" s="2627">
        <f>SUMIFS(AK$5:AK$120,$C$5:$C$120,$C232)</f>
        <v/>
      </c>
      <c r="AL232" s="2627">
        <f>SUMIFS(AL$5:AL$120,$C$5:$C$120,$C232)</f>
        <v/>
      </c>
      <c r="AM232" s="2627">
        <f>SUMIFS(AM$5:AM$120,$C$5:$C$120,$C232)</f>
        <v/>
      </c>
      <c r="AN232" s="2627">
        <f>SUMIFS(AN$5:AN$120,$C$5:$C$120,$C232)</f>
        <v/>
      </c>
      <c r="AO232" s="2627">
        <f>SUMIFS(AO$5:AO$120,$C$5:$C$120,$C232)</f>
        <v/>
      </c>
      <c r="AP232" s="2627">
        <f>SUMIFS(AP$5:AP$120,$C$5:$C$120,$C232)</f>
        <v/>
      </c>
      <c r="AQ232" s="2627">
        <f>SUMIFS(AQ$5:AQ$120,$C$5:$C$120,$C232)</f>
        <v/>
      </c>
      <c r="AR232" s="2627">
        <f>SUMIFS(AR$5:AR$120,$C$5:$C$120,$C232)</f>
        <v/>
      </c>
      <c r="AS232" s="2626">
        <f>SUM(AG232:AR232)</f>
        <v/>
      </c>
      <c r="AU232" s="2627">
        <f>SUMIFS(AU$5:AU$120,$C$5:$C$120,$C232)</f>
        <v/>
      </c>
      <c r="AV232" s="2627">
        <f>SUMIFS(AV$5:AV$120,$C$5:$C$120,$C232)</f>
        <v/>
      </c>
      <c r="AW232" s="2627">
        <f>SUMIFS(AW$5:AW$120,$C$5:$C$120,$C232)</f>
        <v/>
      </c>
      <c r="AX232" s="2627">
        <f>SUMIFS(AX$5:AX$120,$C$5:$C$120,$C232)</f>
        <v/>
      </c>
      <c r="AY232" s="2627">
        <f>SUMIFS(AY$5:AY$120,$C$5:$C$120,$C232)</f>
        <v/>
      </c>
      <c r="AZ232" s="2627">
        <f>SUMIFS(AZ$5:AZ$120,$C$5:$C$120,$C232)</f>
        <v/>
      </c>
      <c r="BA232" s="2627">
        <f>SUMIFS(BA$5:BA$120,$C$5:$C$120,$C232)</f>
        <v/>
      </c>
      <c r="BB232" s="2627">
        <f>SUMIFS(BB$5:BB$120,$C$5:$C$120,$C232)</f>
        <v/>
      </c>
      <c r="BC232" s="2627">
        <f>SUMIFS(BC$5:BC$120,$C$5:$C$120,$C232)</f>
        <v/>
      </c>
      <c r="BD232" s="2627">
        <f>SUMIFS(BD$5:BD$120,$C$5:$C$120,$C232)</f>
        <v/>
      </c>
      <c r="BE232" s="2627">
        <f>SUMIFS(BE$5:BE$120,$C$5:$C$120,$C232)</f>
        <v/>
      </c>
      <c r="BF232" s="2627">
        <f>SUMIFS(BF$5:BF$120,$C$5:$C$120,$C232)</f>
        <v/>
      </c>
      <c r="BG232" s="2628">
        <f>SUM(AU232:BF232)</f>
        <v/>
      </c>
      <c r="BI232" s="2627">
        <f>SUMIFS(BI$5:BI$120,$C$5:$C$120,$C232)</f>
        <v/>
      </c>
      <c r="BJ232" s="2627">
        <f>SUMIFS(BJ$5:BJ$120,$C$5:$C$120,$C232)</f>
        <v/>
      </c>
      <c r="BK232" s="2627">
        <f>SUMIFS(BK$5:BK$120,$C$5:$C$120,$C232)</f>
        <v/>
      </c>
      <c r="BL232" s="2627">
        <f>SUMIFS(BL$5:BL$120,$C$5:$C$120,$C232)</f>
        <v/>
      </c>
      <c r="BM232" s="2627">
        <f>SUMIFS(BM$5:BM$120,$C$5:$C$120,$C232)</f>
        <v/>
      </c>
      <c r="BN232" s="2627">
        <f>SUMIFS(BN$5:BN$120,$C$5:$C$120,$C232)</f>
        <v/>
      </c>
      <c r="BO232" s="2627">
        <f>SUMIFS(BO$5:BO$120,$C$5:$C$120,$C232)</f>
        <v/>
      </c>
      <c r="BP232" s="2627">
        <f>SUMIFS(BP$5:BP$120,$C$5:$C$120,$C232)</f>
        <v/>
      </c>
      <c r="BQ232" s="2627">
        <f>SUMIFS(BQ$5:BQ$120,$C$5:$C$120,$C232)</f>
        <v/>
      </c>
      <c r="BR232" s="2627">
        <f>SUMIFS(BR$5:BR$120,$C$5:$C$120,$C232)</f>
        <v/>
      </c>
      <c r="BS232" s="2627">
        <f>SUMIFS(BS$5:BS$120,$C$5:$C$120,$C232)</f>
        <v/>
      </c>
      <c r="BT232" s="2627">
        <f>SUMIFS(BT$5:BT$120,$C$5:$C$120,$C232)</f>
        <v/>
      </c>
      <c r="BU232" s="2628">
        <f>SUM(BI232:BT232)</f>
        <v/>
      </c>
    </row>
    <row r="233" outlineLevel="1">
      <c r="A233" s="1436" t="n"/>
      <c r="B233" s="1485" t="inlineStr">
        <is>
          <t>지급수수료</t>
        </is>
      </c>
      <c r="C233" s="1485" t="inlineStr">
        <is>
          <t>지급수수료</t>
        </is>
      </c>
      <c r="D233" s="2627">
        <f>SUMIFS(D$5:D$120,$C$5:$C$120,$C233)</f>
        <v/>
      </c>
      <c r="E233" s="2627">
        <f>SUMIFS(E$5:E$120,$C$5:$C$120,$C233)</f>
        <v/>
      </c>
      <c r="F233" s="2627">
        <f>SUMIFS(F$5:F$120,$C$5:$C$120,$C233)</f>
        <v/>
      </c>
      <c r="G233" s="2627">
        <f>SUMIFS(G$5:G$120,$C$5:$C$120,$C233)</f>
        <v/>
      </c>
      <c r="H233" s="2627">
        <f>SUMIFS(H$5:H$120,$C$5:$C$120,$C233)</f>
        <v/>
      </c>
      <c r="I233" s="2627">
        <f>SUMIFS(I$5:I$120,$C$5:$C$120,$C233)</f>
        <v/>
      </c>
      <c r="J233" s="2627">
        <f>SUMIFS(J$5:J$120,$C$5:$C$120,$C233)</f>
        <v/>
      </c>
      <c r="K233" s="2627">
        <f>SUMIFS(K$5:K$120,$C$5:$C$120,$C233)</f>
        <v/>
      </c>
      <c r="L233" s="2627">
        <f>SUMIFS(L$5:L$120,$C$5:$C$120,$C233)</f>
        <v/>
      </c>
      <c r="M233" s="2627">
        <f>SUMIFS(M$5:M$120,$C$5:$C$120,$C233)</f>
        <v/>
      </c>
      <c r="N233" s="2627">
        <f>SUMIFS(N$5:N$120,$C$5:$C$120,$C233)</f>
        <v/>
      </c>
      <c r="O233" s="2627">
        <f>SUMIFS(O$5:O$120,$C$5:$C$120,$C233)</f>
        <v/>
      </c>
      <c r="P233" s="2626">
        <f>SUM(D233:O233)</f>
        <v/>
      </c>
      <c r="Q233" s="1436" t="n"/>
      <c r="R233" s="1436" t="n"/>
      <c r="S233" s="2627">
        <f>SUMIFS(S$5:S$120,$C$5:$C$120,$C233)</f>
        <v/>
      </c>
      <c r="T233" s="2627">
        <f>SUMIFS(T$5:T$120,$C$5:$C$120,$C233)</f>
        <v/>
      </c>
      <c r="U233" s="2627">
        <f>SUMIFS(U$5:U$120,$C$5:$C$120,$C233)</f>
        <v/>
      </c>
      <c r="V233" s="2627">
        <f>SUMIFS(V$5:V$120,$C$5:$C$120,$C233)</f>
        <v/>
      </c>
      <c r="W233" s="2627">
        <f>SUMIFS(W$5:W$120,$C$5:$C$120,$C233)</f>
        <v/>
      </c>
      <c r="X233" s="2627">
        <f>SUMIFS(X$5:X$120,$C$5:$C$120,$C233)</f>
        <v/>
      </c>
      <c r="Y233" s="2627">
        <f>SUMIFS(Y$5:Y$120,$C$5:$C$120,$C233)</f>
        <v/>
      </c>
      <c r="Z233" s="2627">
        <f>SUMIFS(Z$5:Z$120,$C$5:$C$120,$C233)</f>
        <v/>
      </c>
      <c r="AA233" s="2627">
        <f>SUMIFS(AA$5:AA$120,$C$5:$C$120,$C233)</f>
        <v/>
      </c>
      <c r="AB233" s="2627">
        <f>SUMIFS(AB$5:AB$120,$C$5:$C$120,$C233)</f>
        <v/>
      </c>
      <c r="AC233" s="2627">
        <f>SUMIFS(AC$5:AC$120,$C$5:$C$120,$C233)</f>
        <v/>
      </c>
      <c r="AD233" s="2627">
        <f>SUMIFS(AD$5:AD$120,$C$5:$C$120,$C233)</f>
        <v/>
      </c>
      <c r="AE233" s="2626">
        <f>SUM(S233:AD233)</f>
        <v/>
      </c>
      <c r="AF233" s="1436" t="n"/>
      <c r="AG233" s="2627">
        <f>SUMIFS(AG$5:AG$120,$C$5:$C$120,$C233)</f>
        <v/>
      </c>
      <c r="AH233" s="2627">
        <f>SUMIFS(AH$5:AH$120,$C$5:$C$120,$C233)</f>
        <v/>
      </c>
      <c r="AI233" s="2627">
        <f>SUMIFS(AI$5:AI$120,$C$5:$C$120,$C233)</f>
        <v/>
      </c>
      <c r="AJ233" s="2627">
        <f>SUMIFS(AJ$5:AJ$120,$C$5:$C$120,$C233)</f>
        <v/>
      </c>
      <c r="AK233" s="2627">
        <f>SUMIFS(AK$5:AK$120,$C$5:$C$120,$C233)</f>
        <v/>
      </c>
      <c r="AL233" s="2627">
        <f>SUMIFS(AL$5:AL$120,$C$5:$C$120,$C233)</f>
        <v/>
      </c>
      <c r="AM233" s="2627">
        <f>SUMIFS(AM$5:AM$120,$C$5:$C$120,$C233)</f>
        <v/>
      </c>
      <c r="AN233" s="2627">
        <f>SUMIFS(AN$5:AN$120,$C$5:$C$120,$C233)</f>
        <v/>
      </c>
      <c r="AO233" s="2627">
        <f>SUMIFS(AO$5:AO$120,$C$5:$C$120,$C233)</f>
        <v/>
      </c>
      <c r="AP233" s="2627">
        <f>SUMIFS(AP$5:AP$120,$C$5:$C$120,$C233)</f>
        <v/>
      </c>
      <c r="AQ233" s="2627">
        <f>SUMIFS(AQ$5:AQ$120,$C$5:$C$120,$C233)</f>
        <v/>
      </c>
      <c r="AR233" s="2627">
        <f>SUMIFS(AR$5:AR$120,$C$5:$C$120,$C233)</f>
        <v/>
      </c>
      <c r="AS233" s="2626">
        <f>SUM(AG233:AR233)</f>
        <v/>
      </c>
      <c r="AU233" s="2627">
        <f>SUMIFS(AU$5:AU$120,$C$5:$C$120,$C233)</f>
        <v/>
      </c>
      <c r="AV233" s="2627">
        <f>SUMIFS(AV$5:AV$120,$C$5:$C$120,$C233)</f>
        <v/>
      </c>
      <c r="AW233" s="2627">
        <f>SUMIFS(AW$5:AW$120,$C$5:$C$120,$C233)</f>
        <v/>
      </c>
      <c r="AX233" s="2627">
        <f>SUMIFS(AX$5:AX$120,$C$5:$C$120,$C233)</f>
        <v/>
      </c>
      <c r="AY233" s="2627">
        <f>SUMIFS(AY$5:AY$120,$C$5:$C$120,$C233)</f>
        <v/>
      </c>
      <c r="AZ233" s="2627">
        <f>SUMIFS(AZ$5:AZ$120,$C$5:$C$120,$C233)</f>
        <v/>
      </c>
      <c r="BA233" s="2627">
        <f>SUMIFS(BA$5:BA$120,$C$5:$C$120,$C233)</f>
        <v/>
      </c>
      <c r="BB233" s="2627">
        <f>SUMIFS(BB$5:BB$120,$C$5:$C$120,$C233)</f>
        <v/>
      </c>
      <c r="BC233" s="2627">
        <f>SUMIFS(BC$5:BC$120,$C$5:$C$120,$C233)</f>
        <v/>
      </c>
      <c r="BD233" s="2627">
        <f>SUMIFS(BD$5:BD$120,$C$5:$C$120,$C233)</f>
        <v/>
      </c>
      <c r="BE233" s="2627">
        <f>SUMIFS(BE$5:BE$120,$C$5:$C$120,$C233)</f>
        <v/>
      </c>
      <c r="BF233" s="2627">
        <f>SUMIFS(BF$5:BF$120,$C$5:$C$120,$C233)</f>
        <v/>
      </c>
      <c r="BG233" s="2628">
        <f>SUM(AU233:BF233)</f>
        <v/>
      </c>
      <c r="BI233" s="2627">
        <f>SUMIFS(BI$5:BI$120,$C$5:$C$120,$C233)</f>
        <v/>
      </c>
      <c r="BJ233" s="2627">
        <f>SUMIFS(BJ$5:BJ$120,$C$5:$C$120,$C233)</f>
        <v/>
      </c>
      <c r="BK233" s="2627">
        <f>SUMIFS(BK$5:BK$120,$C$5:$C$120,$C233)</f>
        <v/>
      </c>
      <c r="BL233" s="2627">
        <f>SUMIFS(BL$5:BL$120,$C$5:$C$120,$C233)</f>
        <v/>
      </c>
      <c r="BM233" s="2627">
        <f>SUMIFS(BM$5:BM$120,$C$5:$C$120,$C233)</f>
        <v/>
      </c>
      <c r="BN233" s="2627">
        <f>SUMIFS(BN$5:BN$120,$C$5:$C$120,$C233)</f>
        <v/>
      </c>
      <c r="BO233" s="2627">
        <f>SUMIFS(BO$5:BO$120,$C$5:$C$120,$C233)</f>
        <v/>
      </c>
      <c r="BP233" s="2627">
        <f>SUMIFS(BP$5:BP$120,$C$5:$C$120,$C233)</f>
        <v/>
      </c>
      <c r="BQ233" s="2627">
        <f>SUMIFS(BQ$5:BQ$120,$C$5:$C$120,$C233)</f>
        <v/>
      </c>
      <c r="BR233" s="2627">
        <f>SUMIFS(BR$5:BR$120,$C$5:$C$120,$C233)</f>
        <v/>
      </c>
      <c r="BS233" s="2627">
        <f>SUMIFS(BS$5:BS$120,$C$5:$C$120,$C233)</f>
        <v/>
      </c>
      <c r="BT233" s="2627">
        <f>SUMIFS(BT$5:BT$120,$C$5:$C$120,$C233)</f>
        <v/>
      </c>
      <c r="BU233" s="2628">
        <f>SUM(BI233:BT233)</f>
        <v/>
      </c>
    </row>
    <row r="234" outlineLevel="1">
      <c r="A234" s="1436" t="n"/>
      <c r="B234" s="1485" t="inlineStr">
        <is>
          <t>기타비용</t>
        </is>
      </c>
      <c r="C234" s="1485" t="inlineStr">
        <is>
          <t>기타</t>
        </is>
      </c>
      <c r="D234" s="2627">
        <f>SUMIFS(D$5:D$120,$C$5:$C$120,$C234)</f>
        <v/>
      </c>
      <c r="E234" s="2627">
        <f>SUMIFS(E$5:E$120,$C$5:$C$120,$C234)</f>
        <v/>
      </c>
      <c r="F234" s="2627">
        <f>SUMIFS(F$5:F$120,$C$5:$C$120,$C234)</f>
        <v/>
      </c>
      <c r="G234" s="2627">
        <f>SUMIFS(G$5:G$120,$C$5:$C$120,$C234)</f>
        <v/>
      </c>
      <c r="H234" s="2627">
        <f>SUMIFS(H$5:H$120,$C$5:$C$120,$C234)</f>
        <v/>
      </c>
      <c r="I234" s="2627">
        <f>SUMIFS(I$5:I$120,$C$5:$C$120,$C234)</f>
        <v/>
      </c>
      <c r="J234" s="2627">
        <f>SUMIFS(J$5:J$120,$C$5:$C$120,$C234)</f>
        <v/>
      </c>
      <c r="K234" s="2627">
        <f>SUMIFS(K$5:K$120,$C$5:$C$120,$C234)</f>
        <v/>
      </c>
      <c r="L234" s="2627">
        <f>SUMIFS(L$5:L$120,$C$5:$C$120,$C234)</f>
        <v/>
      </c>
      <c r="M234" s="2627">
        <f>SUMIFS(M$5:M$120,$C$5:$C$120,$C234)</f>
        <v/>
      </c>
      <c r="N234" s="2627">
        <f>SUMIFS(N$5:N$120,$C$5:$C$120,$C234)</f>
        <v/>
      </c>
      <c r="O234" s="2627">
        <f>SUMIFS(O$5:O$120,$C$5:$C$120,$C234)</f>
        <v/>
      </c>
      <c r="P234" s="2626">
        <f>SUM(D234:O234)</f>
        <v/>
      </c>
      <c r="Q234" s="1436" t="n"/>
      <c r="R234" s="1436" t="n"/>
      <c r="S234" s="2627">
        <f>SUMIFS(S$5:S$120,$C$5:$C$120,$C234)</f>
        <v/>
      </c>
      <c r="T234" s="2627">
        <f>SUMIFS(T$5:T$120,$C$5:$C$120,$C234)</f>
        <v/>
      </c>
      <c r="U234" s="2627">
        <f>SUMIFS(U$5:U$120,$C$5:$C$120,$C234)</f>
        <v/>
      </c>
      <c r="V234" s="2627">
        <f>SUMIFS(V$5:V$120,$C$5:$C$120,$C234)</f>
        <v/>
      </c>
      <c r="W234" s="2627">
        <f>SUMIFS(W$5:W$120,$C$5:$C$120,$C234)</f>
        <v/>
      </c>
      <c r="X234" s="2627">
        <f>SUMIFS(X$5:X$120,$C$5:$C$120,$C234)</f>
        <v/>
      </c>
      <c r="Y234" s="2627">
        <f>SUMIFS(Y$5:Y$120,$C$5:$C$120,$C234)</f>
        <v/>
      </c>
      <c r="Z234" s="2627">
        <f>SUMIFS(Z$5:Z$120,$C$5:$C$120,$C234)</f>
        <v/>
      </c>
      <c r="AA234" s="2627">
        <f>SUMIFS(AA$5:AA$120,$C$5:$C$120,$C234)</f>
        <v/>
      </c>
      <c r="AB234" s="2627">
        <f>SUMIFS(AB$5:AB$120,$C$5:$C$120,$C234)</f>
        <v/>
      </c>
      <c r="AC234" s="2627">
        <f>SUMIFS(AC$5:AC$120,$C$5:$C$120,$C234)</f>
        <v/>
      </c>
      <c r="AD234" s="2627">
        <f>SUMIFS(AD$5:AD$120,$C$5:$C$120,$C234)</f>
        <v/>
      </c>
      <c r="AE234" s="2626">
        <f>SUM(S234:AD234)</f>
        <v/>
      </c>
      <c r="AF234" s="1436" t="n"/>
      <c r="AG234" s="2627">
        <f>SUMIFS(AG$5:AG$120,$C$5:$C$120,$C234)</f>
        <v/>
      </c>
      <c r="AH234" s="2627">
        <f>SUMIFS(AH$5:AH$120,$C$5:$C$120,$C234)</f>
        <v/>
      </c>
      <c r="AI234" s="2627">
        <f>SUMIFS(AI$5:AI$120,$C$5:$C$120,$C234)</f>
        <v/>
      </c>
      <c r="AJ234" s="2627">
        <f>SUMIFS(AJ$5:AJ$120,$C$5:$C$120,$C234)</f>
        <v/>
      </c>
      <c r="AK234" s="2627">
        <f>SUMIFS(AK$5:AK$120,$C$5:$C$120,$C234)</f>
        <v/>
      </c>
      <c r="AL234" s="2627">
        <f>SUMIFS(AL$5:AL$120,$C$5:$C$120,$C234)</f>
        <v/>
      </c>
      <c r="AM234" s="2627">
        <f>SUMIFS(AM$5:AM$120,$C$5:$C$120,$C234)</f>
        <v/>
      </c>
      <c r="AN234" s="2627">
        <f>SUMIFS(AN$5:AN$120,$C$5:$C$120,$C234)</f>
        <v/>
      </c>
      <c r="AO234" s="2627">
        <f>SUMIFS(AO$5:AO$120,$C$5:$C$120,$C234)</f>
        <v/>
      </c>
      <c r="AP234" s="2627">
        <f>SUMIFS(AP$5:AP$120,$C$5:$C$120,$C234)</f>
        <v/>
      </c>
      <c r="AQ234" s="2627">
        <f>SUMIFS(AQ$5:AQ$120,$C$5:$C$120,$C234)</f>
        <v/>
      </c>
      <c r="AR234" s="2627">
        <f>SUMIFS(AR$5:AR$120,$C$5:$C$120,$C234)</f>
        <v/>
      </c>
      <c r="AS234" s="2626">
        <f>SUM(AG234:AR234)</f>
        <v/>
      </c>
      <c r="AU234" s="2627">
        <f>SUMIFS(AU$5:AU$120,$C$5:$C$120,$C234)</f>
        <v/>
      </c>
      <c r="AV234" s="2627">
        <f>SUMIFS(AV$5:AV$120,$C$5:$C$120,$C234)</f>
        <v/>
      </c>
      <c r="AW234" s="2627">
        <f>SUMIFS(AW$5:AW$120,$C$5:$C$120,$C234)</f>
        <v/>
      </c>
      <c r="AX234" s="2627">
        <f>SUMIFS(AX$5:AX$120,$C$5:$C$120,$C234)</f>
        <v/>
      </c>
      <c r="AY234" s="2627">
        <f>SUMIFS(AY$5:AY$120,$C$5:$C$120,$C234)</f>
        <v/>
      </c>
      <c r="AZ234" s="2627">
        <f>SUMIFS(AZ$5:AZ$120,$C$5:$C$120,$C234)</f>
        <v/>
      </c>
      <c r="BA234" s="2627">
        <f>SUMIFS(BA$5:BA$120,$C$5:$C$120,$C234)</f>
        <v/>
      </c>
      <c r="BB234" s="2627">
        <f>SUMIFS(BB$5:BB$120,$C$5:$C$120,$C234)</f>
        <v/>
      </c>
      <c r="BC234" s="2627">
        <f>SUMIFS(BC$5:BC$120,$C$5:$C$120,$C234)</f>
        <v/>
      </c>
      <c r="BD234" s="2627">
        <f>SUMIFS(BD$5:BD$120,$C$5:$C$120,$C234)</f>
        <v/>
      </c>
      <c r="BE234" s="2627">
        <f>SUMIFS(BE$5:BE$120,$C$5:$C$120,$C234)</f>
        <v/>
      </c>
      <c r="BF234" s="2627">
        <f>SUMIFS(BF$5:BF$120,$C$5:$C$120,$C234)</f>
        <v/>
      </c>
      <c r="BG234" s="2628">
        <f>SUM(AU234:BF234)</f>
        <v/>
      </c>
      <c r="BI234" s="2627">
        <f>SUMIFS(BI$5:BI$120,$C$5:$C$120,$C234)</f>
        <v/>
      </c>
      <c r="BJ234" s="2627">
        <f>SUMIFS(BJ$5:BJ$120,$C$5:$C$120,$C234)</f>
        <v/>
      </c>
      <c r="BK234" s="2627">
        <f>SUMIFS(BK$5:BK$120,$C$5:$C$120,$C234)</f>
        <v/>
      </c>
      <c r="BL234" s="2627">
        <f>SUMIFS(BL$5:BL$120,$C$5:$C$120,$C234)</f>
        <v/>
      </c>
      <c r="BM234" s="2627">
        <f>SUMIFS(BM$5:BM$120,$C$5:$C$120,$C234)</f>
        <v/>
      </c>
      <c r="BN234" s="2627">
        <f>SUMIFS(BN$5:BN$120,$C$5:$C$120,$C234)</f>
        <v/>
      </c>
      <c r="BO234" s="2627">
        <f>SUMIFS(BO$5:BO$120,$C$5:$C$120,$C234)</f>
        <v/>
      </c>
      <c r="BP234" s="2627">
        <f>SUMIFS(BP$5:BP$120,$C$5:$C$120,$C234)</f>
        <v/>
      </c>
      <c r="BQ234" s="2627">
        <f>SUMIFS(BQ$5:BQ$120,$C$5:$C$120,$C234)</f>
        <v/>
      </c>
      <c r="BR234" s="2627">
        <f>SUMIFS(BR$5:BR$120,$C$5:$C$120,$C234)</f>
        <v/>
      </c>
      <c r="BS234" s="2627">
        <f>SUMIFS(BS$5:BS$120,$C$5:$C$120,$C234)</f>
        <v/>
      </c>
      <c r="BT234" s="2627">
        <f>SUMIFS(BT$5:BT$120,$C$5:$C$120,$C234)</f>
        <v/>
      </c>
      <c r="BU234" s="2628">
        <f>SUM(BI234:BT234)</f>
        <v/>
      </c>
    </row>
    <row r="235" outlineLevel="1">
      <c r="A235" s="1436" t="n"/>
      <c r="B235" s="1436" t="n"/>
      <c r="C235" s="1456" t="inlineStr">
        <is>
          <t>기타-주식보상비</t>
        </is>
      </c>
      <c r="D235" s="1436">
        <f>SUMIFS(D$5:D$120,$C$5:$C$120,$C235)</f>
        <v/>
      </c>
      <c r="E235" s="1436">
        <f>SUMIFS(E$5:E$120,$C$5:$C$120,$C235)</f>
        <v/>
      </c>
      <c r="F235" s="1436">
        <f>SUMIFS(F$5:F$120,$C$5:$C$120,$C235)</f>
        <v/>
      </c>
      <c r="G235" s="1436">
        <f>SUMIFS(G$5:G$120,$C$5:$C$120,$C235)</f>
        <v/>
      </c>
      <c r="H235" s="1436">
        <f>SUMIFS(H$5:H$120,$C$5:$C$120,$C235)</f>
        <v/>
      </c>
      <c r="I235" s="1436">
        <f>SUMIFS(I$5:I$120,$C$5:$C$120,$C235)</f>
        <v/>
      </c>
      <c r="J235" s="1436">
        <f>SUMIFS(J$5:J$120,$C$5:$C$120,$C235)</f>
        <v/>
      </c>
      <c r="K235" s="1436">
        <f>SUMIFS(K$5:K$120,$C$5:$C$120,$C235)</f>
        <v/>
      </c>
      <c r="L235" s="1436">
        <f>SUMIFS(L$5:L$120,$C$5:$C$120,$C235)</f>
        <v/>
      </c>
      <c r="M235" s="1436">
        <f>SUMIFS(M$5:M$120,$C$5:$C$120,$C235)</f>
        <v/>
      </c>
      <c r="N235" s="1436">
        <f>SUMIFS(N$5:N$120,$C$5:$C$120,$C235)</f>
        <v/>
      </c>
      <c r="O235" s="1436">
        <f>SUMIFS(O$5:O$120,$C$5:$C$120,$C235)</f>
        <v/>
      </c>
      <c r="P235" s="1436">
        <f>SUM(D235:O235)</f>
        <v/>
      </c>
      <c r="Q235" s="1436" t="n"/>
      <c r="R235" s="1436" t="n"/>
      <c r="S235" s="1436">
        <f>SUMIFS(S$5:S$120,$C$5:$C$120,$C235)</f>
        <v/>
      </c>
      <c r="T235" s="1436">
        <f>SUMIFS(T$5:T$120,$C$5:$C$120,$C235)</f>
        <v/>
      </c>
      <c r="U235" s="1436">
        <f>SUMIFS(U$5:U$120,$C$5:$C$120,$C235)</f>
        <v/>
      </c>
      <c r="V235" s="1436">
        <f>SUMIFS(V$5:V$120,$C$5:$C$120,$C235)</f>
        <v/>
      </c>
      <c r="W235" s="1436">
        <f>SUMIFS(W$5:W$120,$C$5:$C$120,$C235)</f>
        <v/>
      </c>
      <c r="X235" s="1436">
        <f>SUMIFS(X$5:X$120,$C$5:$C$120,$C235)</f>
        <v/>
      </c>
      <c r="Y235" s="1436">
        <f>SUMIFS(Y$5:Y$120,$C$5:$C$120,$C235)</f>
        <v/>
      </c>
      <c r="Z235" s="1436">
        <f>SUMIFS(Z$5:Z$120,$C$5:$C$120,$C235)</f>
        <v/>
      </c>
      <c r="AA235" s="1436">
        <f>SUMIFS(AA$5:AA$120,$C$5:$C$120,$C235)</f>
        <v/>
      </c>
      <c r="AB235" s="1436">
        <f>SUMIFS(AB$5:AB$120,$C$5:$C$120,$C235)</f>
        <v/>
      </c>
      <c r="AC235" s="1436">
        <f>SUMIFS(AC$5:AC$120,$C$5:$C$120,$C235)</f>
        <v/>
      </c>
      <c r="AD235" s="1436">
        <f>SUMIFS(AD$5:AD$120,$C$5:$C$120,$C235)</f>
        <v/>
      </c>
      <c r="AE235" s="1436">
        <f>SUM(S235:AD235)</f>
        <v/>
      </c>
      <c r="AF235" s="1436" t="n"/>
      <c r="AG235" s="1436">
        <f>SUMIFS(AG$5:AG$120,$C$5:$C$120,$C235)</f>
        <v/>
      </c>
      <c r="AH235" s="1436">
        <f>SUMIFS(AH$5:AH$120,$C$5:$C$120,$C235)</f>
        <v/>
      </c>
      <c r="AI235" s="1436">
        <f>SUMIFS(AI$5:AI$120,$C$5:$C$120,$C235)</f>
        <v/>
      </c>
      <c r="AJ235" s="1436">
        <f>SUMIFS(AJ$5:AJ$120,$C$5:$C$120,$C235)</f>
        <v/>
      </c>
      <c r="AK235" s="1436">
        <f>SUMIFS(AK$5:AK$120,$C$5:$C$120,$C235)</f>
        <v/>
      </c>
      <c r="AL235" s="1436">
        <f>SUMIFS(AL$5:AL$120,$C$5:$C$120,$C235)</f>
        <v/>
      </c>
      <c r="AM235" s="1436">
        <f>SUMIFS(AM$5:AM$120,$C$5:$C$120,$C235)</f>
        <v/>
      </c>
      <c r="AN235" s="1436">
        <f>SUMIFS(AN$5:AN$120,$C$5:$C$120,$C235)</f>
        <v/>
      </c>
      <c r="AO235" s="1436">
        <f>SUMIFS(AO$5:AO$120,$C$5:$C$120,$C235)</f>
        <v/>
      </c>
      <c r="AP235" s="1436">
        <f>SUMIFS(AP$5:AP$120,$C$5:$C$120,$C235)</f>
        <v/>
      </c>
      <c r="AQ235" s="1436">
        <f>SUMIFS(AQ$5:AQ$120,$C$5:$C$120,$C235)</f>
        <v/>
      </c>
      <c r="AR235" s="1436">
        <f>SUMIFS(AR$5:AR$120,$C$5:$C$120,$C235)</f>
        <v/>
      </c>
      <c r="AS235" s="1436">
        <f>SUM(AG235:AR235)</f>
        <v/>
      </c>
      <c r="AU235" s="2643">
        <f>SUMIFS(AU$5:AU$120,$B$5:$B$120,$B$120)/2</f>
        <v/>
      </c>
      <c r="AV235" s="2643">
        <f>SUMIFS(AV$5:AV$120,$B$5:$B$120,$B$120)/2</f>
        <v/>
      </c>
      <c r="AW235" s="2643">
        <f>SUMIFS(AW$5:AW$120,$B$5:$B$120,$B$120)/2</f>
        <v/>
      </c>
      <c r="AX235" s="2643">
        <f>SUMIFS(AX$5:AX$120,$B$5:$B$120,$B$120)/2</f>
        <v/>
      </c>
      <c r="AY235" s="2643">
        <f>SUMIFS(AY$5:AY$120,$B$5:$B$120,$B$120)/2</f>
        <v/>
      </c>
      <c r="AZ235" s="2643">
        <f>SUMIFS(AZ$5:AZ$120,$B$5:$B$120,$B$120)/2</f>
        <v/>
      </c>
      <c r="BA235" s="2643">
        <f>SUMIFS(BA$5:BA$120,$B$5:$B$120,$B$120)/2</f>
        <v/>
      </c>
      <c r="BB235" s="2643">
        <f>SUMIFS(BB$5:BB$120,$B$5:$B$120,$B$120)/2</f>
        <v/>
      </c>
      <c r="BC235" s="2643">
        <f>SUMIFS(BC$5:BC$120,$B$5:$B$120,$B$120)/2</f>
        <v/>
      </c>
      <c r="BD235" s="2643">
        <f>SUMIFS(BD$5:BD$120,$B$5:$B$120,$B$120)/2</f>
        <v/>
      </c>
      <c r="BE235" s="2643">
        <f>SUMIFS(BE$5:BE$120,$B$5:$B$120,$B$120)/2</f>
        <v/>
      </c>
      <c r="BF235" s="2643">
        <f>SUMIFS(BF$5:BF$120,$B$5:$B$120,$B$120)/2</f>
        <v/>
      </c>
      <c r="BG235" s="2643">
        <f>SUM(AU235:BF235)</f>
        <v/>
      </c>
      <c r="BI235" s="1436">
        <f>SUMIFS(BI$5:BI$120,$C$5:$C$120,$C235)</f>
        <v/>
      </c>
      <c r="BJ235" s="1436">
        <f>SUMIFS(BJ$5:BJ$120,$C$5:$C$120,$C235)</f>
        <v/>
      </c>
      <c r="BK235" s="1436">
        <f>SUMIFS(BK$5:BK$120,$C$5:$C$120,$C235)</f>
        <v/>
      </c>
      <c r="BL235" s="1436">
        <f>SUMIFS(BL$5:BL$120,$C$5:$C$120,$C235)</f>
        <v/>
      </c>
      <c r="BM235" s="1436">
        <f>SUMIFS(BM$5:BM$120,$C$5:$C$120,$C235)</f>
        <v/>
      </c>
      <c r="BN235" s="1436">
        <f>SUMIFS(BN$5:BN$120,$C$5:$C$120,$C235)</f>
        <v/>
      </c>
      <c r="BO235" s="1436">
        <f>SUMIFS(BO$5:BO$120,$C$5:$C$120,$C235)</f>
        <v/>
      </c>
      <c r="BP235" s="1436">
        <f>SUMIFS(BP$5:BP$120,$C$5:$C$120,$C235)</f>
        <v/>
      </c>
      <c r="BQ235" s="1436">
        <f>SUMIFS(BQ$5:BQ$120,$C$5:$C$120,$C235)</f>
        <v/>
      </c>
      <c r="BR235" s="1436">
        <f>SUMIFS(BR$5:BR$120,$C$5:$C$120,$C235)</f>
        <v/>
      </c>
      <c r="BS235" s="1436">
        <f>SUMIFS(BS$5:BS$120,$C$5:$C$120,$C235)</f>
        <v/>
      </c>
      <c r="BT235" s="1436">
        <f>SUMIFS(BT$5:BT$120,$C$5:$C$120,$C235)</f>
        <v/>
      </c>
      <c r="BU235" s="1436">
        <f>SUM(BI235:BT235)</f>
        <v/>
      </c>
    </row>
    <row r="236" outlineLevel="1">
      <c r="A236" s="1436" t="n"/>
      <c r="B236" s="1486" t="n"/>
      <c r="C236" s="1456" t="inlineStr">
        <is>
          <t>기타-상각비</t>
        </is>
      </c>
      <c r="D236" s="2627">
        <f>SUMIFS(D$5:D$120,$C$5:$C$120,$C236)</f>
        <v/>
      </c>
      <c r="E236" s="2627">
        <f>SUMIFS(E$5:E$120,$C$5:$C$120,$C236)</f>
        <v/>
      </c>
      <c r="F236" s="2627">
        <f>SUMIFS(F$5:F$120,$C$5:$C$120,$C236)</f>
        <v/>
      </c>
      <c r="G236" s="2627">
        <f>SUMIFS(G$5:G$120,$C$5:$C$120,$C236)</f>
        <v/>
      </c>
      <c r="H236" s="2627">
        <f>SUMIFS(H$5:H$120,$C$5:$C$120,$C236)</f>
        <v/>
      </c>
      <c r="I236" s="2627">
        <f>SUMIFS(I$5:I$120,$C$5:$C$120,$C236)</f>
        <v/>
      </c>
      <c r="J236" s="2627">
        <f>SUMIFS(J$5:J$120,$C$5:$C$120,$C236)</f>
        <v/>
      </c>
      <c r="K236" s="2627">
        <f>SUMIFS(K$5:K$120,$C$5:$C$120,$C236)</f>
        <v/>
      </c>
      <c r="L236" s="2627">
        <f>SUMIFS(L$5:L$120,$C$5:$C$120,$C236)</f>
        <v/>
      </c>
      <c r="M236" s="2627">
        <f>SUMIFS(M$5:M$120,$C$5:$C$120,$C236)</f>
        <v/>
      </c>
      <c r="N236" s="2627">
        <f>SUMIFS(N$5:N$120,$C$5:$C$120,$C236)</f>
        <v/>
      </c>
      <c r="O236" s="2627">
        <f>SUMIFS(O$5:O$120,$C$5:$C$120,$C236)</f>
        <v/>
      </c>
      <c r="P236" s="2627">
        <f>SUM(D236:O236)</f>
        <v/>
      </c>
      <c r="Q236" s="1436" t="n"/>
      <c r="R236" s="1436" t="n"/>
      <c r="S236" s="2627">
        <f>SUMIFS(S$5:S$120,$C$5:$C$120,$C236)</f>
        <v/>
      </c>
      <c r="T236" s="2627">
        <f>SUMIFS(T$5:T$120,$C$5:$C$120,$C236)</f>
        <v/>
      </c>
      <c r="U236" s="2627">
        <f>SUMIFS(U$5:U$120,$C$5:$C$120,$C236)</f>
        <v/>
      </c>
      <c r="V236" s="2627">
        <f>SUMIFS(V$5:V$120,$C$5:$C$120,$C236)</f>
        <v/>
      </c>
      <c r="W236" s="2627">
        <f>SUMIFS(W$5:W$120,$C$5:$C$120,$C236)</f>
        <v/>
      </c>
      <c r="X236" s="2627">
        <f>SUMIFS(X$5:X$120,$C$5:$C$120,$C236)</f>
        <v/>
      </c>
      <c r="Y236" s="2627">
        <f>SUMIFS(Y$5:Y$120,$C$5:$C$120,$C236)</f>
        <v/>
      </c>
      <c r="Z236" s="2627">
        <f>SUMIFS(Z$5:Z$120,$C$5:$C$120,$C236)</f>
        <v/>
      </c>
      <c r="AA236" s="2627">
        <f>SUMIFS(AA$5:AA$120,$C$5:$C$120,$C236)</f>
        <v/>
      </c>
      <c r="AB236" s="2627">
        <f>SUMIFS(AB$5:AB$120,$C$5:$C$120,$C236)</f>
        <v/>
      </c>
      <c r="AC236" s="2627">
        <f>SUMIFS(AC$5:AC$120,$C$5:$C$120,$C236)</f>
        <v/>
      </c>
      <c r="AD236" s="2627">
        <f>SUMIFS(AD$5:AD$120,$C$5:$C$120,$C236)</f>
        <v/>
      </c>
      <c r="AE236" s="2627">
        <f>SUM(S236:AD236)</f>
        <v/>
      </c>
      <c r="AF236" s="1436" t="n"/>
      <c r="AG236" s="2627">
        <f>SUMIFS(AG$5:AG$120,$C$5:$C$120,$C236)</f>
        <v/>
      </c>
      <c r="AH236" s="2627">
        <f>SUMIFS(AH$5:AH$120,$C$5:$C$120,$C236)</f>
        <v/>
      </c>
      <c r="AI236" s="2627">
        <f>SUMIFS(AI$5:AI$120,$C$5:$C$120,$C236)</f>
        <v/>
      </c>
      <c r="AJ236" s="2627">
        <f>SUMIFS(AJ$5:AJ$120,$C$5:$C$120,$C236)</f>
        <v/>
      </c>
      <c r="AK236" s="2627">
        <f>SUMIFS(AK$5:AK$120,$C$5:$C$120,$C236)</f>
        <v/>
      </c>
      <c r="AL236" s="2627">
        <f>SUMIFS(AL$5:AL$120,$C$5:$C$120,$C236)</f>
        <v/>
      </c>
      <c r="AM236" s="2627">
        <f>SUMIFS(AM$5:AM$120,$C$5:$C$120,$C236)</f>
        <v/>
      </c>
      <c r="AN236" s="2627">
        <f>SUMIFS(AN$5:AN$120,$C$5:$C$120,$C236)</f>
        <v/>
      </c>
      <c r="AO236" s="2627">
        <f>SUMIFS(AO$5:AO$120,$C$5:$C$120,$C236)</f>
        <v/>
      </c>
      <c r="AP236" s="2627">
        <f>SUMIFS(AP$5:AP$120,$C$5:$C$120,$C236)</f>
        <v/>
      </c>
      <c r="AQ236" s="2627">
        <f>SUMIFS(AQ$5:AQ$120,$C$5:$C$120,$C236)</f>
        <v/>
      </c>
      <c r="AR236" s="2627">
        <f>SUMIFS(AR$5:AR$120,$C$5:$C$120,$C236)</f>
        <v/>
      </c>
      <c r="AS236" s="2627">
        <f>SUM(AG236:AR236)</f>
        <v/>
      </c>
      <c r="AU236" s="2627">
        <f>SUMIFS(AU$5:AU$120,$B$5:$B$120,"*상각비*")/2</f>
        <v/>
      </c>
      <c r="AV236" s="2627">
        <f>SUMIFS(AV$5:AV$120,$B$5:$B$120,"*상각비*")/2</f>
        <v/>
      </c>
      <c r="AW236" s="2627">
        <f>SUMIFS(AW$5:AW$120,$B$5:$B$120,"*상각비*")/2</f>
        <v/>
      </c>
      <c r="AX236" s="2627">
        <f>SUMIFS(AX$5:AX$120,$B$5:$B$120,"*상각비*")/2</f>
        <v/>
      </c>
      <c r="AY236" s="2627">
        <f>SUMIFS(AY$5:AY$120,$B$5:$B$120,"*상각비*")/2</f>
        <v/>
      </c>
      <c r="AZ236" s="2627">
        <f>SUMIFS(AZ$5:AZ$120,$B$5:$B$120,"*상각비*")/2</f>
        <v/>
      </c>
      <c r="BA236" s="2627">
        <f>SUMIFS(BA$5:BA$120,$B$5:$B$120,"*상각비*")/2</f>
        <v/>
      </c>
      <c r="BB236" s="2627">
        <f>SUMIFS(BB$5:BB$120,$B$5:$B$120,"*상각비*")/2</f>
        <v/>
      </c>
      <c r="BC236" s="2627">
        <f>SUMIFS(BC$5:BC$120,$B$5:$B$120,"*상각비*")/2</f>
        <v/>
      </c>
      <c r="BD236" s="2627">
        <f>SUMIFS(BD$5:BD$120,$B$5:$B$120,"*상각비*")/2</f>
        <v/>
      </c>
      <c r="BE236" s="2627">
        <f>SUMIFS(BE$5:BE$120,$B$5:$B$120,"*상각비*")/2</f>
        <v/>
      </c>
      <c r="BF236" s="2627">
        <f>SUMIFS(BF$5:BF$120,$B$5:$B$120,"*상각비*")/2</f>
        <v/>
      </c>
      <c r="BG236" s="2627">
        <f>SUM(AU236:BF236)</f>
        <v/>
      </c>
      <c r="BI236" s="2627">
        <f>SUMIFS(BI$5:BI$120,$C$5:$C$120,$C236)</f>
        <v/>
      </c>
      <c r="BJ236" s="2627">
        <f>SUMIFS(BJ$5:BJ$120,$C$5:$C$120,$C236)</f>
        <v/>
      </c>
      <c r="BK236" s="2627">
        <f>SUMIFS(BK$5:BK$120,$C$5:$C$120,$C236)</f>
        <v/>
      </c>
      <c r="BL236" s="2627">
        <f>SUMIFS(BL$5:BL$120,$C$5:$C$120,$C236)</f>
        <v/>
      </c>
      <c r="BM236" s="2627">
        <f>SUMIFS(BM$5:BM$120,$C$5:$C$120,$C236)</f>
        <v/>
      </c>
      <c r="BN236" s="2627">
        <f>SUMIFS(BN$5:BN$120,$C$5:$C$120,$C236)</f>
        <v/>
      </c>
      <c r="BO236" s="2627">
        <f>SUMIFS(BO$5:BO$120,$C$5:$C$120,$C236)</f>
        <v/>
      </c>
      <c r="BP236" s="2627">
        <f>SUMIFS(BP$5:BP$120,$C$5:$C$120,$C236)</f>
        <v/>
      </c>
      <c r="BQ236" s="2627">
        <f>SUMIFS(BQ$5:BQ$120,$C$5:$C$120,$C236)</f>
        <v/>
      </c>
      <c r="BR236" s="2627">
        <f>SUMIFS(BR$5:BR$120,$C$5:$C$120,$C236)</f>
        <v/>
      </c>
      <c r="BS236" s="2627">
        <f>SUMIFS(BS$5:BS$120,$C$5:$C$120,$C236)</f>
        <v/>
      </c>
      <c r="BT236" s="2627">
        <f>SUMIFS(BT$5:BT$120,$C$5:$C$120,$C236)</f>
        <v/>
      </c>
      <c r="BU236" s="2627">
        <f>SUM(BI236:BT236)</f>
        <v/>
      </c>
    </row>
    <row r="237" outlineLevel="1">
      <c r="A237" s="1436" t="n"/>
      <c r="B237" s="1486" t="n"/>
      <c r="C237" s="1456" t="inlineStr">
        <is>
          <t>실출금액(상각비, 보상비 차감 후)</t>
        </is>
      </c>
      <c r="D237" s="2627">
        <f>SUMIFS(D$5:D$120,$C$5:$C$120,$C237)</f>
        <v/>
      </c>
      <c r="E237" s="2627">
        <f>SUMIFS(E$5:E$120,$C$5:$C$120,$C237)</f>
        <v/>
      </c>
      <c r="F237" s="2627">
        <f>SUMIFS(F$5:F$120,$C$5:$C$120,$C237)</f>
        <v/>
      </c>
      <c r="G237" s="2627">
        <f>SUMIFS(G$5:G$120,$C$5:$C$120,$C237)</f>
        <v/>
      </c>
      <c r="H237" s="2627">
        <f>SUMIFS(H$5:H$120,$C$5:$C$120,$C237)</f>
        <v/>
      </c>
      <c r="I237" s="2627">
        <f>SUMIFS(I$5:I$120,$C$5:$C$120,$C237)</f>
        <v/>
      </c>
      <c r="J237" s="2627">
        <f>SUMIFS(J$5:J$120,$C$5:$C$120,$C237)</f>
        <v/>
      </c>
      <c r="K237" s="2627">
        <f>SUMIFS(K$5:K$120,$C$5:$C$120,$C237)</f>
        <v/>
      </c>
      <c r="L237" s="2627">
        <f>SUMIFS(L$5:L$120,$C$5:$C$120,$C237)</f>
        <v/>
      </c>
      <c r="M237" s="2627">
        <f>SUMIFS(M$5:M$120,$C$5:$C$120,$C237)</f>
        <v/>
      </c>
      <c r="N237" s="2627">
        <f>SUMIFS(N$5:N$120,$C$5:$C$120,$C237)</f>
        <v/>
      </c>
      <c r="O237" s="2627">
        <f>SUMIFS(O$5:O$120,$C$5:$C$120,$C237)</f>
        <v/>
      </c>
      <c r="P237" s="2627">
        <f>SUM(D237:O237)</f>
        <v/>
      </c>
      <c r="Q237" s="1436" t="n"/>
      <c r="R237" s="1436" t="n"/>
      <c r="S237" s="2627">
        <f>SUMIFS(S$5:S$120,$C$5:$C$120,$C237)</f>
        <v/>
      </c>
      <c r="T237" s="2627">
        <f>SUMIFS(T$5:T$120,$C$5:$C$120,$C237)</f>
        <v/>
      </c>
      <c r="U237" s="2627">
        <f>SUMIFS(U$5:U$120,$C$5:$C$120,$C237)</f>
        <v/>
      </c>
      <c r="V237" s="2627">
        <f>SUMIFS(V$5:V$120,$C$5:$C$120,$C237)</f>
        <v/>
      </c>
      <c r="W237" s="2627">
        <f>SUMIFS(W$5:W$120,$C$5:$C$120,$C237)</f>
        <v/>
      </c>
      <c r="X237" s="2627">
        <f>SUMIFS(X$5:X$120,$C$5:$C$120,$C237)</f>
        <v/>
      </c>
      <c r="Y237" s="2627">
        <f>SUMIFS(Y$5:Y$120,$C$5:$C$120,$C237)</f>
        <v/>
      </c>
      <c r="Z237" s="2627">
        <f>SUMIFS(Z$5:Z$120,$C$5:$C$120,$C237)</f>
        <v/>
      </c>
      <c r="AA237" s="2627">
        <f>SUMIFS(AA$5:AA$120,$C$5:$C$120,$C237)</f>
        <v/>
      </c>
      <c r="AB237" s="2627">
        <f>SUMIFS(AB$5:AB$120,$C$5:$C$120,$C237)</f>
        <v/>
      </c>
      <c r="AC237" s="2627">
        <f>SUMIFS(AC$5:AC$120,$C$5:$C$120,$C237)</f>
        <v/>
      </c>
      <c r="AD237" s="2627">
        <f>SUMIFS(AD$5:AD$120,$C$5:$C$120,$C237)</f>
        <v/>
      </c>
      <c r="AE237" s="2627">
        <f>SUM(S237:AD237)</f>
        <v/>
      </c>
      <c r="AF237" s="1436" t="n"/>
      <c r="AG237" s="2627">
        <f>SUMIFS(AG$5:AG$120,$C$5:$C$120,$C237)</f>
        <v/>
      </c>
      <c r="AH237" s="2627">
        <f>SUMIFS(AH$5:AH$120,$C$5:$C$120,$C237)</f>
        <v/>
      </c>
      <c r="AI237" s="2627">
        <f>SUMIFS(AI$5:AI$120,$C$5:$C$120,$C237)</f>
        <v/>
      </c>
      <c r="AJ237" s="2627">
        <f>SUMIFS(AJ$5:AJ$120,$C$5:$C$120,$C237)</f>
        <v/>
      </c>
      <c r="AK237" s="2627">
        <f>SUMIFS(AK$5:AK$120,$C$5:$C$120,$C237)</f>
        <v/>
      </c>
      <c r="AL237" s="2627">
        <f>SUMIFS(AL$5:AL$120,$C$5:$C$120,$C237)</f>
        <v/>
      </c>
      <c r="AM237" s="2627">
        <f>SUMIFS(AM$5:AM$120,$C$5:$C$120,$C237)</f>
        <v/>
      </c>
      <c r="AN237" s="2627">
        <f>SUMIFS(AN$5:AN$120,$C$5:$C$120,$C237)</f>
        <v/>
      </c>
      <c r="AO237" s="2627">
        <f>SUMIFS(AO$5:AO$120,$C$5:$C$120,$C237)</f>
        <v/>
      </c>
      <c r="AP237" s="2627">
        <f>SUMIFS(AP$5:AP$120,$C$5:$C$120,$C237)</f>
        <v/>
      </c>
      <c r="AQ237" s="2627">
        <f>SUMIFS(AQ$5:AQ$120,$C$5:$C$120,$C237)</f>
        <v/>
      </c>
      <c r="AR237" s="2627">
        <f>SUMIFS(AR$5:AR$120,$C$5:$C$120,$C237)</f>
        <v/>
      </c>
      <c r="AS237" s="2627">
        <f>SUM(AG237:AR237)</f>
        <v/>
      </c>
      <c r="AU237" s="2627">
        <f>AU234-AU235-AU236</f>
        <v/>
      </c>
      <c r="AV237" s="2627">
        <f>AV234-AV235-AV236</f>
        <v/>
      </c>
      <c r="AW237" s="2627">
        <f>AW234-AW235-AW236</f>
        <v/>
      </c>
      <c r="AX237" s="2627">
        <f>AX234-AX235-AX236</f>
        <v/>
      </c>
      <c r="AY237" s="2627">
        <f>AY234-AY235-AY236</f>
        <v/>
      </c>
      <c r="AZ237" s="2627">
        <f>AZ234-AZ235-AZ236</f>
        <v/>
      </c>
      <c r="BA237" s="2627">
        <f>BA234-BA235-BA236</f>
        <v/>
      </c>
      <c r="BB237" s="2627">
        <f>BB234-BB235-BB236</f>
        <v/>
      </c>
      <c r="BC237" s="2627">
        <f>BC234-BC235-BC236</f>
        <v/>
      </c>
      <c r="BD237" s="2627">
        <f>BD234-BD235-BD236</f>
        <v/>
      </c>
      <c r="BE237" s="2627">
        <f>BE234-BE235-BE236</f>
        <v/>
      </c>
      <c r="BF237" s="2627">
        <f>BF234-BF235-BF236</f>
        <v/>
      </c>
      <c r="BG237" s="2627">
        <f>SUM(AU237:BF237)</f>
        <v/>
      </c>
      <c r="BI237" s="2627">
        <f>SUMIFS(BI$5:BI$120,$C$5:$C$120,$C237)</f>
        <v/>
      </c>
      <c r="BJ237" s="2627">
        <f>SUMIFS(BJ$5:BJ$120,$C$5:$C$120,$C237)</f>
        <v/>
      </c>
      <c r="BK237" s="2627">
        <f>SUMIFS(BK$5:BK$120,$C$5:$C$120,$C237)</f>
        <v/>
      </c>
      <c r="BL237" s="2627">
        <f>SUMIFS(BL$5:BL$120,$C$5:$C$120,$C237)</f>
        <v/>
      </c>
      <c r="BM237" s="2627">
        <f>SUMIFS(BM$5:BM$120,$C$5:$C$120,$C237)</f>
        <v/>
      </c>
      <c r="BN237" s="2627">
        <f>SUMIFS(BN$5:BN$120,$C$5:$C$120,$C237)</f>
        <v/>
      </c>
      <c r="BO237" s="2627">
        <f>SUMIFS(BO$5:BO$120,$C$5:$C$120,$C237)</f>
        <v/>
      </c>
      <c r="BP237" s="2627">
        <f>SUMIFS(BP$5:BP$120,$C$5:$C$120,$C237)</f>
        <v/>
      </c>
      <c r="BQ237" s="2627">
        <f>SUMIFS(BQ$5:BQ$120,$C$5:$C$120,$C237)</f>
        <v/>
      </c>
      <c r="BR237" s="2627">
        <f>SUMIFS(BR$5:BR$120,$C$5:$C$120,$C237)</f>
        <v/>
      </c>
      <c r="BS237" s="2627">
        <f>SUMIFS(BS$5:BS$120,$C$5:$C$120,$C237)</f>
        <v/>
      </c>
      <c r="BT237" s="2627">
        <f>SUMIFS(BT$5:BT$120,$C$5:$C$120,$C237)</f>
        <v/>
      </c>
      <c r="BU237" s="2627">
        <f>SUM(BI237:BT237)</f>
        <v/>
      </c>
    </row>
    <row r="238" outlineLevel="1">
      <c r="A238" s="1436" t="n"/>
      <c r="B238" s="1486" t="n"/>
      <c r="C238" s="1456" t="n"/>
      <c r="D238" s="2627" t="n"/>
      <c r="E238" s="2627" t="n"/>
      <c r="F238" s="2627" t="n"/>
      <c r="G238" s="2627" t="n"/>
      <c r="H238" s="2627" t="n"/>
      <c r="I238" s="2627" t="n"/>
      <c r="J238" s="2627" t="n"/>
      <c r="K238" s="2627" t="n"/>
      <c r="L238" s="2627" t="n"/>
      <c r="M238" s="2627" t="n"/>
      <c r="N238" s="2627" t="n"/>
      <c r="O238" s="2627" t="n"/>
      <c r="P238" s="2627" t="n"/>
      <c r="Q238" s="1436" t="n"/>
      <c r="R238" s="1436" t="n"/>
      <c r="S238" s="2627" t="n"/>
      <c r="T238" s="2627" t="n"/>
      <c r="U238" s="2627" t="n"/>
      <c r="V238" s="2627" t="n"/>
      <c r="W238" s="2627" t="n"/>
      <c r="X238" s="2627" t="n"/>
      <c r="Y238" s="2627" t="n"/>
      <c r="Z238" s="2627" t="n"/>
      <c r="AA238" s="2627" t="n"/>
      <c r="AB238" s="2627" t="n"/>
      <c r="AC238" s="2627" t="n"/>
      <c r="AD238" s="2627" t="n"/>
      <c r="AE238" s="2627" t="n"/>
      <c r="AF238" s="1436" t="n"/>
      <c r="AG238" s="2627" t="n"/>
      <c r="AH238" s="2627" t="n"/>
      <c r="AI238" s="2627" t="n"/>
      <c r="AJ238" s="2627" t="n"/>
      <c r="AK238" s="2627" t="n"/>
      <c r="AL238" s="2627" t="n"/>
      <c r="AM238" s="2627" t="n"/>
      <c r="AN238" s="2627" t="n"/>
      <c r="AO238" s="2627" t="n"/>
      <c r="AP238" s="2627" t="n"/>
      <c r="AQ238" s="2627" t="n"/>
      <c r="AR238" s="2627" t="n"/>
      <c r="AS238" s="2627" t="n"/>
      <c r="AU238" s="2627" t="n"/>
      <c r="AV238" s="2627" t="n"/>
      <c r="AW238" s="2627" t="n"/>
      <c r="AX238" s="2627" t="n"/>
      <c r="AY238" s="2627" t="n"/>
      <c r="AZ238" s="2627" t="n"/>
      <c r="BA238" s="2627" t="n"/>
      <c r="BB238" s="2627" t="n"/>
      <c r="BC238" s="2627" t="n"/>
      <c r="BD238" s="2627" t="n"/>
      <c r="BE238" s="2627" t="n"/>
      <c r="BF238" s="2627" t="n"/>
      <c r="BG238" s="2627" t="n"/>
      <c r="BI238" s="2627" t="n"/>
      <c r="BJ238" s="2627" t="n"/>
      <c r="BK238" s="2627" t="n"/>
      <c r="BL238" s="2627" t="n"/>
      <c r="BM238" s="2627" t="n"/>
      <c r="BN238" s="2627" t="n"/>
      <c r="BO238" s="2627" t="n"/>
      <c r="BP238" s="2627" t="n"/>
      <c r="BQ238" s="2627" t="n"/>
      <c r="BR238" s="2627" t="n"/>
      <c r="BS238" s="2627" t="n"/>
      <c r="BT238" s="2627" t="n"/>
      <c r="BU238" s="2627" t="n"/>
    </row>
    <row r="239" outlineLevel="1">
      <c r="A239" s="1436" t="n"/>
      <c r="B239" s="1436" t="inlineStr">
        <is>
          <t>인건비</t>
        </is>
      </c>
      <c r="C239" s="1436" t="inlineStr">
        <is>
          <t>급여</t>
        </is>
      </c>
      <c r="D239" s="2638">
        <f>SUM(D54,D69,D88)</f>
        <v/>
      </c>
      <c r="E239" s="2638">
        <f>SUM(E54,E69,E88)</f>
        <v/>
      </c>
      <c r="F239" s="2638">
        <f>SUM(F54,F69,F88)</f>
        <v/>
      </c>
      <c r="G239" s="2638">
        <f>SUM(G54,G69,G88)</f>
        <v/>
      </c>
      <c r="H239" s="2638">
        <f>SUM(H54,H69,H88)</f>
        <v/>
      </c>
      <c r="I239" s="2638">
        <f>SUM(I54,I69,I88)</f>
        <v/>
      </c>
      <c r="J239" s="2638">
        <f>SUM(J54,J69,J88)</f>
        <v/>
      </c>
      <c r="K239" s="2638">
        <f>SUM(K54,K69,K88)</f>
        <v/>
      </c>
      <c r="L239" s="2638">
        <f>SUM(L54,L69,L88)</f>
        <v/>
      </c>
      <c r="M239" s="2638">
        <f>SUM(M54,M69,M88)</f>
        <v/>
      </c>
      <c r="N239" s="2638">
        <f>SUM(N54,N69,N88)</f>
        <v/>
      </c>
      <c r="O239" s="2638">
        <f>SUM(O54,O69,O88)</f>
        <v/>
      </c>
      <c r="P239" s="2639">
        <f>SUM(D239:O239)</f>
        <v/>
      </c>
      <c r="Q239" s="1436" t="n"/>
      <c r="R239" s="1436" t="n"/>
      <c r="S239" s="2638">
        <f>SUM(S54,S69,S88,S99)</f>
        <v/>
      </c>
      <c r="T239" s="2638">
        <f>SUM(T54,T69,T88,T99)</f>
        <v/>
      </c>
      <c r="U239" s="2638">
        <f>SUM(U54,U69,U88,U99)</f>
        <v/>
      </c>
      <c r="V239" s="2638">
        <f>SUM(V54,V69,V88,V99)</f>
        <v/>
      </c>
      <c r="W239" s="2638">
        <f>SUM(W54,W69,W88,W99)</f>
        <v/>
      </c>
      <c r="X239" s="2638">
        <f>SUM(X54,X69,X88,X99)</f>
        <v/>
      </c>
      <c r="Y239" s="2638">
        <f>SUM(Y54,Y69,Y88,Y99)</f>
        <v/>
      </c>
      <c r="Z239" s="2638">
        <f>SUM(Z54,Z69,Z88,Z99)</f>
        <v/>
      </c>
      <c r="AA239" s="2638">
        <f>SUM(AA54,AA69,AA88,AA99)</f>
        <v/>
      </c>
      <c r="AB239" s="2638">
        <f>SUM(AB54,AB69,AB88,AB99)</f>
        <v/>
      </c>
      <c r="AC239" s="2638">
        <f>SUM(AC54,AC69,AC88,AC99)</f>
        <v/>
      </c>
      <c r="AD239" s="2638">
        <f>SUM(AD54,AD69,AD88,AD99)</f>
        <v/>
      </c>
      <c r="AE239" s="2639">
        <f>SUM(S239:AD239)</f>
        <v/>
      </c>
      <c r="AF239" s="1436" t="n"/>
      <c r="AG239" s="2638">
        <f>SUM(AG54,AG69,AG88,AG99)</f>
        <v/>
      </c>
      <c r="AH239" s="2638">
        <f>SUM(AH54,AH69,AH88,AH99)</f>
        <v/>
      </c>
      <c r="AI239" s="2638">
        <f>SUM(AI54,AI69,AI88,AI99)</f>
        <v/>
      </c>
      <c r="AJ239" s="2638">
        <f>SUM(AJ54,AJ69,AJ88,AJ99)</f>
        <v/>
      </c>
      <c r="AK239" s="2638">
        <f>SUM(AK54,AK69,AK88,AK99)</f>
        <v/>
      </c>
      <c r="AL239" s="2638">
        <f>SUM(AL54,AL69,AL88,AL99)</f>
        <v/>
      </c>
      <c r="AM239" s="2638">
        <f>SUM(AM54,AM69,AM88,AM99)</f>
        <v/>
      </c>
      <c r="AN239" s="2638">
        <f>SUM(AN54,AN69,AN88,AN99)</f>
        <v/>
      </c>
      <c r="AO239" s="2638">
        <f>SUM(AO54,AO69,AO88,AO99)</f>
        <v/>
      </c>
      <c r="AP239" s="2638">
        <f>SUM(AP54,AP69,AP88,AP99)</f>
        <v/>
      </c>
      <c r="AQ239" s="2638">
        <f>SUM(AQ54,AQ69,AQ88,AQ99)</f>
        <v/>
      </c>
      <c r="AR239" s="2638">
        <f>SUM(AR54,AR69,AR88,AR99)</f>
        <v/>
      </c>
      <c r="AS239" s="2639">
        <f>SUM(AG239:AR239)</f>
        <v/>
      </c>
      <c r="AU239" s="2638">
        <f>SUM(AU54,AU69,AU88,AU99)</f>
        <v/>
      </c>
      <c r="AV239" s="2638">
        <f>SUM(AV54,AV69,AV88,AV99)</f>
        <v/>
      </c>
      <c r="AW239" s="2638">
        <f>SUM(AW54,AW69,AW88,AW99)</f>
        <v/>
      </c>
      <c r="AX239" s="2638">
        <f>SUM(AX54,AX69,AX88,AX99)</f>
        <v/>
      </c>
      <c r="AY239" s="2638">
        <f>SUM(AY54,AY69,AY88,AY99)</f>
        <v/>
      </c>
      <c r="AZ239" s="2638">
        <f>SUM(AZ54,AZ69,AZ88,AZ99)</f>
        <v/>
      </c>
      <c r="BA239" s="2638">
        <f>SUM(BA54,BA69,BA88,BA99)</f>
        <v/>
      </c>
      <c r="BB239" s="2638">
        <f>SUM(BB54,BB69,BB88,BB99)</f>
        <v/>
      </c>
      <c r="BC239" s="2638">
        <f>SUM(BC54,BC69,BC88,BC99)</f>
        <v/>
      </c>
      <c r="BD239" s="2638">
        <f>SUM(BD54,BD69,BD88,BD99)</f>
        <v/>
      </c>
      <c r="BE239" s="2638">
        <f>SUM(BE54,BE69,BE88,BE99)</f>
        <v/>
      </c>
      <c r="BF239" s="2638">
        <f>SUM(BF54,BF69,BF88,BF99)</f>
        <v/>
      </c>
      <c r="BG239" s="2640">
        <f>SUM(AU239:BF239)</f>
        <v/>
      </c>
      <c r="BI239" s="2638">
        <f>SUM(BI54,BI69,BI88,BI99)</f>
        <v/>
      </c>
      <c r="BJ239" s="2638">
        <f>SUM(BJ54,BJ69,BJ88,BJ99)</f>
        <v/>
      </c>
      <c r="BK239" s="2638">
        <f>SUM(BK54,BK69,BK88,BK99)</f>
        <v/>
      </c>
      <c r="BL239" s="2638">
        <f>SUM(BL54,BL69,BL88,BL99)</f>
        <v/>
      </c>
      <c r="BM239" s="2638">
        <f>SUM(BM54,BM69,BM88,BM99)</f>
        <v/>
      </c>
      <c r="BN239" s="2638">
        <f>SUM(BN54,BN69,BN88,BN99)</f>
        <v/>
      </c>
      <c r="BO239" s="2638">
        <f>SUM(BO54,BO69,BO88,BO99)</f>
        <v/>
      </c>
      <c r="BP239" s="2638">
        <f>SUM(BP54,BP69,BP88,BP99)</f>
        <v/>
      </c>
      <c r="BQ239" s="2638">
        <f>SUM(BQ54,BQ69,BQ88,BQ99)</f>
        <v/>
      </c>
      <c r="BR239" s="2638">
        <f>SUM(BR54,BR69,BR88,BR99)</f>
        <v/>
      </c>
      <c r="BS239" s="2638">
        <f>SUM(BS54,BS69,BS88,BS99)</f>
        <v/>
      </c>
      <c r="BT239" s="2638">
        <f>SUM(BT54,BT69,BT88,BT99)</f>
        <v/>
      </c>
      <c r="BU239" s="2640">
        <f>SUM(BI239:BT239)</f>
        <v/>
      </c>
    </row>
    <row r="240" outlineLevel="1">
      <c r="A240" s="1436" t="n"/>
      <c r="B240" s="1436" t="n"/>
      <c r="C240" s="1436" t="inlineStr">
        <is>
          <t>상여</t>
        </is>
      </c>
      <c r="D240" s="2638">
        <f>SUM(D55,D89)</f>
        <v/>
      </c>
      <c r="E240" s="2638">
        <f>SUM(E55,E89)</f>
        <v/>
      </c>
      <c r="F240" s="2638">
        <f>SUM(F55,F89)</f>
        <v/>
      </c>
      <c r="G240" s="2638">
        <f>SUM(G55,G89)</f>
        <v/>
      </c>
      <c r="H240" s="2638">
        <f>SUM(H55,H89)</f>
        <v/>
      </c>
      <c r="I240" s="2638">
        <f>SUM(I55,I89)</f>
        <v/>
      </c>
      <c r="J240" s="2638">
        <f>SUM(J55,J89)</f>
        <v/>
      </c>
      <c r="K240" s="2638">
        <f>SUM(K55,K89)</f>
        <v/>
      </c>
      <c r="L240" s="2638">
        <f>SUM(L55,L89)</f>
        <v/>
      </c>
      <c r="M240" s="2638">
        <f>SUM(M55,M89)</f>
        <v/>
      </c>
      <c r="N240" s="2638">
        <f>SUM(N55,N89)</f>
        <v/>
      </c>
      <c r="O240" s="2638">
        <f>SUM(O55,O89)</f>
        <v/>
      </c>
      <c r="P240" s="2639">
        <f>SUM(D240:O240)</f>
        <v/>
      </c>
      <c r="Q240" s="1436" t="n"/>
      <c r="R240" s="1436" t="n"/>
      <c r="S240" s="2638">
        <f>SUM(S55,S89)</f>
        <v/>
      </c>
      <c r="T240" s="2638">
        <f>SUM(T55,T89)</f>
        <v/>
      </c>
      <c r="U240" s="2638">
        <f>SUM(U55,U89)</f>
        <v/>
      </c>
      <c r="V240" s="2638">
        <f>SUM(V55,V89)</f>
        <v/>
      </c>
      <c r="W240" s="2638">
        <f>SUM(W55,W89)</f>
        <v/>
      </c>
      <c r="X240" s="2638">
        <f>SUM(X55,X89)</f>
        <v/>
      </c>
      <c r="Y240" s="2638">
        <f>SUM(Y55,Y89)</f>
        <v/>
      </c>
      <c r="Z240" s="2638">
        <f>SUM(Z55,Z89)</f>
        <v/>
      </c>
      <c r="AA240" s="2638">
        <f>SUM(AA55,AA89)</f>
        <v/>
      </c>
      <c r="AB240" s="2638">
        <f>SUM(AB55,AB89)</f>
        <v/>
      </c>
      <c r="AC240" s="2638">
        <f>SUM(AC55,AC89)</f>
        <v/>
      </c>
      <c r="AD240" s="2638">
        <f>SUM(AD55,AD89)</f>
        <v/>
      </c>
      <c r="AE240" s="2639">
        <f>SUM(S240:AD240)</f>
        <v/>
      </c>
      <c r="AF240" s="1436" t="n"/>
      <c r="AG240" s="2638">
        <f>SUM(AG55,AG89)</f>
        <v/>
      </c>
      <c r="AH240" s="2638">
        <f>SUM(AH55,AH89)</f>
        <v/>
      </c>
      <c r="AI240" s="2638">
        <f>SUM(AI55,AI89)</f>
        <v/>
      </c>
      <c r="AJ240" s="2638">
        <f>SUM(AJ55,AJ89)</f>
        <v/>
      </c>
      <c r="AK240" s="2638">
        <f>SUM(AK55,AK89)</f>
        <v/>
      </c>
      <c r="AL240" s="2638">
        <f>SUM(AL55,AL89)</f>
        <v/>
      </c>
      <c r="AM240" s="2638">
        <f>SUM(AM55,AM89)</f>
        <v/>
      </c>
      <c r="AN240" s="2638">
        <f>SUM(AN55,AN89)</f>
        <v/>
      </c>
      <c r="AO240" s="2638">
        <f>SUM(AO55,AO89)</f>
        <v/>
      </c>
      <c r="AP240" s="2638">
        <f>SUM(AP55,AP89)</f>
        <v/>
      </c>
      <c r="AQ240" s="2638">
        <f>SUM(AQ55,AQ89)</f>
        <v/>
      </c>
      <c r="AR240" s="2638">
        <f>SUM(AR55,AR89)</f>
        <v/>
      </c>
      <c r="AS240" s="2639">
        <f>SUM(AG240:AR240)</f>
        <v/>
      </c>
      <c r="AU240" s="2638">
        <f>SUM(AU55,AU89)</f>
        <v/>
      </c>
      <c r="AV240" s="2638">
        <f>SUM(AV55,AV89)</f>
        <v/>
      </c>
      <c r="AW240" s="2638">
        <f>SUM(AW55,AW89)</f>
        <v/>
      </c>
      <c r="AX240" s="2638">
        <f>SUM(AX55,AX89)</f>
        <v/>
      </c>
      <c r="AY240" s="2638">
        <f>SUM(AY55,AY89)</f>
        <v/>
      </c>
      <c r="AZ240" s="2638">
        <f>SUM(AZ55,AZ89)</f>
        <v/>
      </c>
      <c r="BA240" s="2638">
        <f>SUM(BA55,BA89)</f>
        <v/>
      </c>
      <c r="BB240" s="2638">
        <f>SUM(BB55,BB89)</f>
        <v/>
      </c>
      <c r="BC240" s="2638">
        <f>SUM(BC55,BC89)</f>
        <v/>
      </c>
      <c r="BD240" s="2638">
        <f>SUM(BD55,BD89)</f>
        <v/>
      </c>
      <c r="BE240" s="2638">
        <f>SUM(BE55,BE89)</f>
        <v/>
      </c>
      <c r="BF240" s="2638">
        <f>SUM(BF55,BF89)</f>
        <v/>
      </c>
      <c r="BG240" s="2640">
        <f>SUM(AU240:BF240)</f>
        <v/>
      </c>
      <c r="BI240" s="2638">
        <f>SUM(BI55,BI89)</f>
        <v/>
      </c>
      <c r="BJ240" s="2638">
        <f>SUM(BJ55,BJ89)</f>
        <v/>
      </c>
      <c r="BK240" s="2638">
        <f>SUM(BK55,BK89)</f>
        <v/>
      </c>
      <c r="BL240" s="2638">
        <f>SUM(BL55,BL89)</f>
        <v/>
      </c>
      <c r="BM240" s="2638">
        <f>SUM(BM55,BM89)</f>
        <v/>
      </c>
      <c r="BN240" s="2638">
        <f>SUM(BN55,BN89)</f>
        <v/>
      </c>
      <c r="BO240" s="2638">
        <f>SUM(BO55,BO89)</f>
        <v/>
      </c>
      <c r="BP240" s="2638">
        <f>SUM(BP55,BP89)</f>
        <v/>
      </c>
      <c r="BQ240" s="2638">
        <f>SUM(BQ55,BQ89)</f>
        <v/>
      </c>
      <c r="BR240" s="2638">
        <f>SUM(BR55,BR89)</f>
        <v/>
      </c>
      <c r="BS240" s="2638">
        <f>SUM(BS55,BS89)</f>
        <v/>
      </c>
      <c r="BT240" s="2638">
        <f>SUM(BT55,BT89)</f>
        <v/>
      </c>
      <c r="BU240" s="2640">
        <f>SUM(BI240:BT240)</f>
        <v/>
      </c>
    </row>
    <row r="241" outlineLevel="1">
      <c r="A241" s="1436" t="n"/>
      <c r="B241" s="1436" t="n"/>
      <c r="C241" s="1436" t="inlineStr">
        <is>
          <t>퇴직급여</t>
        </is>
      </c>
      <c r="D241" s="2638">
        <f>SUM(D56,D90)</f>
        <v/>
      </c>
      <c r="E241" s="2638">
        <f>SUM(E56,E90)</f>
        <v/>
      </c>
      <c r="F241" s="2638">
        <f>SUM(F56,F90)</f>
        <v/>
      </c>
      <c r="G241" s="2638">
        <f>SUM(G56,G90)</f>
        <v/>
      </c>
      <c r="H241" s="2638">
        <f>SUM(H56,H90)</f>
        <v/>
      </c>
      <c r="I241" s="2638">
        <f>SUM(I56,I90)</f>
        <v/>
      </c>
      <c r="J241" s="2638">
        <f>SUM(J56,J90)</f>
        <v/>
      </c>
      <c r="K241" s="2638">
        <f>SUM(K56,K90)</f>
        <v/>
      </c>
      <c r="L241" s="2638">
        <f>SUM(L56,L90)</f>
        <v/>
      </c>
      <c r="M241" s="2638">
        <f>SUM(M56,M90)</f>
        <v/>
      </c>
      <c r="N241" s="2638">
        <f>SUM(N56,N90)</f>
        <v/>
      </c>
      <c r="O241" s="2638">
        <f>SUM(O56,O90)</f>
        <v/>
      </c>
      <c r="P241" s="2639">
        <f>SUM(D241:O241)</f>
        <v/>
      </c>
      <c r="Q241" s="1436" t="n"/>
      <c r="R241" s="1436" t="n"/>
      <c r="S241" s="2638">
        <f>SUM(S56,S90)</f>
        <v/>
      </c>
      <c r="T241" s="2638">
        <f>SUM(T56,T90)</f>
        <v/>
      </c>
      <c r="U241" s="2638">
        <f>SUM(U56,U90)</f>
        <v/>
      </c>
      <c r="V241" s="2638">
        <f>SUM(V56,V90)</f>
        <v/>
      </c>
      <c r="W241" s="2638">
        <f>SUM(W56,W90)</f>
        <v/>
      </c>
      <c r="X241" s="2638">
        <f>SUM(X56,X90)</f>
        <v/>
      </c>
      <c r="Y241" s="2638">
        <f>SUM(Y56,Y90)</f>
        <v/>
      </c>
      <c r="Z241" s="2638">
        <f>SUM(Z56,Z90)</f>
        <v/>
      </c>
      <c r="AA241" s="2638">
        <f>SUM(AA56,AA90)</f>
        <v/>
      </c>
      <c r="AB241" s="2638">
        <f>SUM(AB56,AB90)</f>
        <v/>
      </c>
      <c r="AC241" s="2638">
        <f>SUM(AC56,AC90)</f>
        <v/>
      </c>
      <c r="AD241" s="2638">
        <f>SUM(AD56,AD90)</f>
        <v/>
      </c>
      <c r="AE241" s="2639">
        <f>SUM(S241:AD241)</f>
        <v/>
      </c>
      <c r="AF241" s="1436" t="n"/>
      <c r="AG241" s="2638">
        <f>SUM(AG56,AG90)</f>
        <v/>
      </c>
      <c r="AH241" s="2638">
        <f>SUM(AH56,AH90)</f>
        <v/>
      </c>
      <c r="AI241" s="2638">
        <f>SUM(AI56,AI90)</f>
        <v/>
      </c>
      <c r="AJ241" s="2638">
        <f>SUM(AJ56,AJ90)</f>
        <v/>
      </c>
      <c r="AK241" s="2638">
        <f>SUM(AK56,AK90)</f>
        <v/>
      </c>
      <c r="AL241" s="2638">
        <f>SUM(AL56,AL90)</f>
        <v/>
      </c>
      <c r="AM241" s="2638">
        <f>SUM(AM56,AM90)</f>
        <v/>
      </c>
      <c r="AN241" s="2638">
        <f>SUM(AN56,AN90)</f>
        <v/>
      </c>
      <c r="AO241" s="2638">
        <f>SUM(AO56,AO90)</f>
        <v/>
      </c>
      <c r="AP241" s="2638">
        <f>SUM(AP56,AP90)</f>
        <v/>
      </c>
      <c r="AQ241" s="2638">
        <f>SUM(AQ56,AQ90)</f>
        <v/>
      </c>
      <c r="AR241" s="2638">
        <f>SUM(AR56,AR90)</f>
        <v/>
      </c>
      <c r="AS241" s="2639">
        <f>SUM(AG241:AR241)</f>
        <v/>
      </c>
      <c r="AU241" s="2638">
        <f>SUM(AU56,AU90)</f>
        <v/>
      </c>
      <c r="AV241" s="2638">
        <f>SUM(AV56,AV90)</f>
        <v/>
      </c>
      <c r="AW241" s="2638">
        <f>SUM(AW56,AW90)</f>
        <v/>
      </c>
      <c r="AX241" s="2638">
        <f>SUM(AX56,AX90)</f>
        <v/>
      </c>
      <c r="AY241" s="2638">
        <f>SUM(AY56,AY90)</f>
        <v/>
      </c>
      <c r="AZ241" s="2638">
        <f>SUM(AZ56,AZ90)</f>
        <v/>
      </c>
      <c r="BA241" s="2638">
        <f>SUM(BA56,BA90)</f>
        <v/>
      </c>
      <c r="BB241" s="2638">
        <f>SUM(BB56,BB90)</f>
        <v/>
      </c>
      <c r="BC241" s="2638">
        <f>SUM(BC56,BC90)</f>
        <v/>
      </c>
      <c r="BD241" s="2638">
        <f>SUM(BD56,BD90)</f>
        <v/>
      </c>
      <c r="BE241" s="2638">
        <f>SUM(BE56,BE90)</f>
        <v/>
      </c>
      <c r="BF241" s="2638">
        <f>SUM(BF56,BF90)</f>
        <v/>
      </c>
      <c r="BG241" s="2640">
        <f>SUM(AU241:BF241)</f>
        <v/>
      </c>
      <c r="BI241" s="2638">
        <f>SUM(BI56,BI90)</f>
        <v/>
      </c>
      <c r="BJ241" s="2638">
        <f>SUM(BJ56,BJ90)</f>
        <v/>
      </c>
      <c r="BK241" s="2638">
        <f>SUM(BK56,BK90)</f>
        <v/>
      </c>
      <c r="BL241" s="2638">
        <f>SUM(BL56,BL90)</f>
        <v/>
      </c>
      <c r="BM241" s="2638">
        <f>SUM(BM56,BM90)</f>
        <v/>
      </c>
      <c r="BN241" s="2638">
        <f>SUM(BN56,BN90)</f>
        <v/>
      </c>
      <c r="BO241" s="2638">
        <f>SUM(BO56,BO90)</f>
        <v/>
      </c>
      <c r="BP241" s="2638">
        <f>SUM(BP56,BP90)</f>
        <v/>
      </c>
      <c r="BQ241" s="2638">
        <f>SUM(BQ56,BQ90)</f>
        <v/>
      </c>
      <c r="BR241" s="2638">
        <f>SUM(BR56,BR90)</f>
        <v/>
      </c>
      <c r="BS241" s="2638">
        <f>SUM(BS56,BS90)</f>
        <v/>
      </c>
      <c r="BT241" s="2638">
        <f>SUM(BT56,BT90)</f>
        <v/>
      </c>
      <c r="BU241" s="2640">
        <f>SUM(BI241:BT241)</f>
        <v/>
      </c>
    </row>
    <row r="242" outlineLevel="1">
      <c r="A242" s="1436" t="n"/>
      <c r="B242" s="1486" t="n"/>
      <c r="C242" s="1456" t="n"/>
      <c r="D242" s="2627" t="n"/>
      <c r="E242" s="2627" t="n"/>
      <c r="F242" s="2627" t="n"/>
      <c r="G242" s="2627" t="n"/>
      <c r="H242" s="2627" t="n"/>
      <c r="I242" s="2627" t="n"/>
      <c r="J242" s="2627" t="n"/>
      <c r="K242" s="2627" t="n"/>
      <c r="L242" s="2627" t="n"/>
      <c r="M242" s="2627" t="n"/>
      <c r="N242" s="2627" t="n"/>
      <c r="O242" s="2627" t="n"/>
      <c r="P242" s="2627" t="n"/>
      <c r="Q242" s="1436" t="n"/>
      <c r="R242" s="1436" t="n"/>
      <c r="S242" s="2627" t="n"/>
      <c r="T242" s="2627" t="n"/>
      <c r="U242" s="2627" t="n"/>
      <c r="V242" s="2627" t="n"/>
      <c r="W242" s="2627" t="n"/>
      <c r="X242" s="2627" t="n"/>
      <c r="Y242" s="2627" t="n"/>
      <c r="Z242" s="2627" t="n"/>
      <c r="AA242" s="2627" t="n"/>
      <c r="AB242" s="2627" t="n"/>
      <c r="AC242" s="2627" t="n"/>
      <c r="AD242" s="2627" t="n"/>
      <c r="AE242" s="2627" t="n"/>
      <c r="AF242" s="1436" t="n"/>
      <c r="AG242" s="2627" t="n"/>
      <c r="AH242" s="2627" t="n"/>
      <c r="AI242" s="2627" t="n"/>
      <c r="AJ242" s="2627" t="n"/>
      <c r="AK242" s="2627" t="n"/>
      <c r="AL242" s="2627" t="n"/>
      <c r="AM242" s="2627" t="n"/>
      <c r="AN242" s="2627" t="n"/>
      <c r="AO242" s="2627" t="n"/>
      <c r="AP242" s="2627" t="n"/>
      <c r="AQ242" s="2627" t="n"/>
      <c r="AR242" s="2627" t="n"/>
      <c r="AS242" s="2627" t="n"/>
      <c r="AU242" s="2627" t="n"/>
      <c r="AV242" s="2627" t="n"/>
      <c r="AW242" s="2627" t="n"/>
      <c r="AX242" s="2627" t="n"/>
      <c r="AY242" s="2627" t="n"/>
      <c r="AZ242" s="2627" t="n"/>
      <c r="BA242" s="2627" t="n"/>
      <c r="BB242" s="2627" t="n"/>
      <c r="BC242" s="2627" t="n"/>
      <c r="BD242" s="2627" t="n"/>
      <c r="BE242" s="2627" t="n"/>
      <c r="BF242" s="2627" t="n"/>
      <c r="BG242" s="2627" t="n"/>
      <c r="BI242" s="2627" t="n"/>
      <c r="BJ242" s="2627" t="n"/>
      <c r="BK242" s="2627" t="n"/>
      <c r="BL242" s="2627" t="n"/>
      <c r="BM242" s="2627" t="n"/>
      <c r="BN242" s="2627" t="n"/>
      <c r="BO242" s="2627" t="n"/>
      <c r="BP242" s="2627" t="n"/>
      <c r="BQ242" s="2627" t="n"/>
      <c r="BR242" s="2627" t="n"/>
      <c r="BS242" s="2627" t="n"/>
      <c r="BT242" s="2627" t="n"/>
      <c r="BU242" s="2627" t="n"/>
    </row>
    <row r="243" outlineLevel="1">
      <c r="A243" s="1436" t="n"/>
      <c r="B243" s="1436" t="inlineStr">
        <is>
          <t>인건비성경비</t>
        </is>
      </c>
      <c r="C243" s="1436" t="inlineStr">
        <is>
          <t>복리후생비</t>
        </is>
      </c>
      <c r="D243" s="2638">
        <f>SUM(D57,D91)</f>
        <v/>
      </c>
      <c r="E243" s="2638">
        <f>SUM(E57,E91)</f>
        <v/>
      </c>
      <c r="F243" s="2638">
        <f>SUM(F57,F91)</f>
        <v/>
      </c>
      <c r="G243" s="2638">
        <f>SUM(G57,G91)</f>
        <v/>
      </c>
      <c r="H243" s="2638">
        <f>SUM(H57,H91)</f>
        <v/>
      </c>
      <c r="I243" s="2638">
        <f>SUM(I57,I91)</f>
        <v/>
      </c>
      <c r="J243" s="2638">
        <f>SUM(J57,J91)</f>
        <v/>
      </c>
      <c r="K243" s="2638">
        <f>SUM(K57,K91)</f>
        <v/>
      </c>
      <c r="L243" s="2638">
        <f>SUM(L57,L91)</f>
        <v/>
      </c>
      <c r="M243" s="2638">
        <f>SUM(M57,M91)</f>
        <v/>
      </c>
      <c r="N243" s="2638">
        <f>SUM(N57,N91)</f>
        <v/>
      </c>
      <c r="O243" s="2638">
        <f>SUM(O57,O91)</f>
        <v/>
      </c>
      <c r="P243" s="2639">
        <f>SUM(D243:O243)</f>
        <v/>
      </c>
      <c r="Q243" s="1436" t="n"/>
      <c r="R243" s="1436" t="n"/>
      <c r="S243" s="2638">
        <f>SUM(S57,S91)</f>
        <v/>
      </c>
      <c r="T243" s="2638">
        <f>SUM(T57,T91)</f>
        <v/>
      </c>
      <c r="U243" s="2638">
        <f>SUM(U57,U91)</f>
        <v/>
      </c>
      <c r="V243" s="2638">
        <f>SUM(V57,V91)</f>
        <v/>
      </c>
      <c r="W243" s="2638">
        <f>SUM(W57,W91)</f>
        <v/>
      </c>
      <c r="X243" s="2638">
        <f>SUM(X57,X91)</f>
        <v/>
      </c>
      <c r="Y243" s="2638">
        <f>SUM(Y57,Y91)</f>
        <v/>
      </c>
      <c r="Z243" s="2638">
        <f>SUM(Z57,Z91)</f>
        <v/>
      </c>
      <c r="AA243" s="2638">
        <f>SUM(AA57,AA91)</f>
        <v/>
      </c>
      <c r="AB243" s="2638">
        <f>SUM(AB57,AB91)</f>
        <v/>
      </c>
      <c r="AC243" s="2638">
        <f>SUM(AC57,AC91)</f>
        <v/>
      </c>
      <c r="AD243" s="2638">
        <f>SUM(AD57,AD91)</f>
        <v/>
      </c>
      <c r="AE243" s="2639">
        <f>SUM(S243:AD243)</f>
        <v/>
      </c>
      <c r="AF243" s="1436" t="n"/>
      <c r="AG243" s="2638">
        <f>SUM(AG57,AG91)</f>
        <v/>
      </c>
      <c r="AH243" s="2638">
        <f>SUM(AH57,AH91)</f>
        <v/>
      </c>
      <c r="AI243" s="2638">
        <f>SUM(AI57,AI91)</f>
        <v/>
      </c>
      <c r="AJ243" s="2638">
        <f>SUM(AJ57,AJ91)</f>
        <v/>
      </c>
      <c r="AK243" s="2638">
        <f>SUM(AK57,AK91)</f>
        <v/>
      </c>
      <c r="AL243" s="2638">
        <f>SUM(AL57,AL91)</f>
        <v/>
      </c>
      <c r="AM243" s="2638">
        <f>SUM(AM57,AM91)</f>
        <v/>
      </c>
      <c r="AN243" s="2638">
        <f>SUM(AN57,AN91)</f>
        <v/>
      </c>
      <c r="AO243" s="2638">
        <f>SUM(AO57,AO91)</f>
        <v/>
      </c>
      <c r="AP243" s="2638">
        <f>SUM(AP57,AP91)</f>
        <v/>
      </c>
      <c r="AQ243" s="2638">
        <f>SUM(AQ57,AQ91)</f>
        <v/>
      </c>
      <c r="AR243" s="2638">
        <f>SUM(AR57,AR91)</f>
        <v/>
      </c>
      <c r="AS243" s="2639">
        <f>SUM(AG243:AR243)</f>
        <v/>
      </c>
      <c r="AU243" s="2638">
        <f>SUM(AU57,AU91)</f>
        <v/>
      </c>
      <c r="AV243" s="2638">
        <f>SUM(AV57,AV91)</f>
        <v/>
      </c>
      <c r="AW243" s="2638">
        <f>SUM(AW57,AW91)</f>
        <v/>
      </c>
      <c r="AX243" s="2638">
        <f>SUM(AX57,AX91)</f>
        <v/>
      </c>
      <c r="AY243" s="2638">
        <f>SUM(AY57,AY91)</f>
        <v/>
      </c>
      <c r="AZ243" s="2638">
        <f>SUM(AZ57,AZ91)</f>
        <v/>
      </c>
      <c r="BA243" s="2638">
        <f>SUM(BA57,BA91)</f>
        <v/>
      </c>
      <c r="BB243" s="2638">
        <f>SUM(BB57,BB91)</f>
        <v/>
      </c>
      <c r="BC243" s="2638">
        <f>SUM(BC57,BC91)</f>
        <v/>
      </c>
      <c r="BD243" s="2638">
        <f>SUM(BD57,BD91)</f>
        <v/>
      </c>
      <c r="BE243" s="2638">
        <f>SUM(BE57,BE91)</f>
        <v/>
      </c>
      <c r="BF243" s="2638">
        <f>SUM(BF57,BF91)</f>
        <v/>
      </c>
      <c r="BG243" s="2640">
        <f>SUM(AU243:BF243)</f>
        <v/>
      </c>
      <c r="BI243" s="2638">
        <f>SUM(BI57,BI91)</f>
        <v/>
      </c>
      <c r="BJ243" s="2638">
        <f>SUM(BJ57,BJ91)</f>
        <v/>
      </c>
      <c r="BK243" s="2638">
        <f>SUM(BK57,BK91)</f>
        <v/>
      </c>
      <c r="BL243" s="2638">
        <f>SUM(BL57,BL91)</f>
        <v/>
      </c>
      <c r="BM243" s="2638">
        <f>SUM(BM57,BM91)</f>
        <v/>
      </c>
      <c r="BN243" s="2638">
        <f>SUM(BN57,BN91)</f>
        <v/>
      </c>
      <c r="BO243" s="2638">
        <f>SUM(BO57,BO91)</f>
        <v/>
      </c>
      <c r="BP243" s="2638">
        <f>SUM(BP57,BP91)</f>
        <v/>
      </c>
      <c r="BQ243" s="2638">
        <f>SUM(BQ57,BQ91)</f>
        <v/>
      </c>
      <c r="BR243" s="2638">
        <f>SUM(BR57,BR91)</f>
        <v/>
      </c>
      <c r="BS243" s="2638">
        <f>SUM(BS57,BS91)</f>
        <v/>
      </c>
      <c r="BT243" s="2638">
        <f>SUM(BT57,BT91)</f>
        <v/>
      </c>
      <c r="BU243" s="2640">
        <f>SUM(BI243:BT243)</f>
        <v/>
      </c>
    </row>
    <row r="244" outlineLevel="1">
      <c r="A244" s="1436" t="n"/>
      <c r="B244" s="1486" t="n"/>
      <c r="C244" s="1436" t="inlineStr">
        <is>
          <t>여비교통비</t>
        </is>
      </c>
      <c r="D244" s="2638">
        <f>SUM(D59,D93)</f>
        <v/>
      </c>
      <c r="E244" s="2638">
        <f>SUM(E59,E93)</f>
        <v/>
      </c>
      <c r="F244" s="2638">
        <f>SUM(F59,F93)</f>
        <v/>
      </c>
      <c r="G244" s="2638">
        <f>SUM(G59,G93)</f>
        <v/>
      </c>
      <c r="H244" s="2638">
        <f>SUM(H59,H93)</f>
        <v/>
      </c>
      <c r="I244" s="2638">
        <f>SUM(I59,I93)</f>
        <v/>
      </c>
      <c r="J244" s="2638">
        <f>SUM(J59,J93)</f>
        <v/>
      </c>
      <c r="K244" s="2638">
        <f>SUM(K59,K93)</f>
        <v/>
      </c>
      <c r="L244" s="2638">
        <f>SUM(L59,L93)</f>
        <v/>
      </c>
      <c r="M244" s="2638">
        <f>SUM(M59,M93)</f>
        <v/>
      </c>
      <c r="N244" s="2638">
        <f>SUM(N59,N93)</f>
        <v/>
      </c>
      <c r="O244" s="2638">
        <f>SUM(O59,O93)</f>
        <v/>
      </c>
      <c r="P244" s="2639">
        <f>SUM(D244:O244)</f>
        <v/>
      </c>
      <c r="Q244" s="1436" t="n"/>
      <c r="R244" s="1436" t="n"/>
      <c r="S244" s="2638">
        <f>SUM(S59,S93)</f>
        <v/>
      </c>
      <c r="T244" s="2638">
        <f>SUM(T59,T93)</f>
        <v/>
      </c>
      <c r="U244" s="2638">
        <f>SUM(U59,U93)</f>
        <v/>
      </c>
      <c r="V244" s="2638">
        <f>SUM(V59,V93)</f>
        <v/>
      </c>
      <c r="W244" s="2638">
        <f>SUM(W59,W93)</f>
        <v/>
      </c>
      <c r="X244" s="2638">
        <f>SUM(X59,X93)</f>
        <v/>
      </c>
      <c r="Y244" s="2638">
        <f>SUM(Y59,Y93)</f>
        <v/>
      </c>
      <c r="Z244" s="2638">
        <f>SUM(Z59,Z93)</f>
        <v/>
      </c>
      <c r="AA244" s="2638">
        <f>SUM(AA59,AA93)</f>
        <v/>
      </c>
      <c r="AB244" s="2638">
        <f>SUM(AB59,AB93)</f>
        <v/>
      </c>
      <c r="AC244" s="2638">
        <f>SUM(AC59,AC93)</f>
        <v/>
      </c>
      <c r="AD244" s="2638">
        <f>SUM(AD59,AD93)</f>
        <v/>
      </c>
      <c r="AE244" s="2639">
        <f>SUM(S244:AD244)</f>
        <v/>
      </c>
      <c r="AF244" s="1436" t="n"/>
      <c r="AG244" s="2638">
        <f>SUM(AG59,AG93)</f>
        <v/>
      </c>
      <c r="AH244" s="2638">
        <f>SUM(AH59,AH93)</f>
        <v/>
      </c>
      <c r="AI244" s="2638">
        <f>SUM(AI59,AI93)</f>
        <v/>
      </c>
      <c r="AJ244" s="2638">
        <f>SUM(AJ59,AJ93)</f>
        <v/>
      </c>
      <c r="AK244" s="2638">
        <f>SUM(AK59,AK93)</f>
        <v/>
      </c>
      <c r="AL244" s="2638">
        <f>SUM(AL59,AL93)</f>
        <v/>
      </c>
      <c r="AM244" s="2638">
        <f>SUM(AM59,AM93)</f>
        <v/>
      </c>
      <c r="AN244" s="2638">
        <f>SUM(AN59,AN93)</f>
        <v/>
      </c>
      <c r="AO244" s="2638">
        <f>SUM(AO59,AO93)</f>
        <v/>
      </c>
      <c r="AP244" s="2638">
        <f>SUM(AP59,AP93)</f>
        <v/>
      </c>
      <c r="AQ244" s="2638">
        <f>SUM(AQ59,AQ93)</f>
        <v/>
      </c>
      <c r="AR244" s="2638">
        <f>SUM(AR59,AR93)</f>
        <v/>
      </c>
      <c r="AS244" s="2639">
        <f>SUM(AG244:AR244)</f>
        <v/>
      </c>
      <c r="AU244" s="2638">
        <f>SUM(AU59,AU93)</f>
        <v/>
      </c>
      <c r="AV244" s="2638">
        <f>SUM(AV59,AV93)</f>
        <v/>
      </c>
      <c r="AW244" s="2638">
        <f>SUM(AW59,AW93)</f>
        <v/>
      </c>
      <c r="AX244" s="2638">
        <f>SUM(AX59,AX93)</f>
        <v/>
      </c>
      <c r="AY244" s="2638">
        <f>SUM(AY59,AY93)</f>
        <v/>
      </c>
      <c r="AZ244" s="2638">
        <f>SUM(AZ59,AZ93)</f>
        <v/>
      </c>
      <c r="BA244" s="2638">
        <f>SUM(BA59,BA93)</f>
        <v/>
      </c>
      <c r="BB244" s="2638">
        <f>SUM(BB59,BB93)</f>
        <v/>
      </c>
      <c r="BC244" s="2638">
        <f>SUM(BC59,BC93)</f>
        <v/>
      </c>
      <c r="BD244" s="2638">
        <f>SUM(BD59,BD93)</f>
        <v/>
      </c>
      <c r="BE244" s="2638">
        <f>SUM(BE59,BE93)</f>
        <v/>
      </c>
      <c r="BF244" s="2638">
        <f>SUM(BF59,BF93)</f>
        <v/>
      </c>
      <c r="BG244" s="2640">
        <f>SUM(AU244:BF244)</f>
        <v/>
      </c>
      <c r="BI244" s="2638">
        <f>SUM(BI59,BI93)</f>
        <v/>
      </c>
      <c r="BJ244" s="2638">
        <f>SUM(BJ59,BJ93)</f>
        <v/>
      </c>
      <c r="BK244" s="2638">
        <f>SUM(BK59,BK93)</f>
        <v/>
      </c>
      <c r="BL244" s="2638">
        <f>SUM(BL59,BL93)</f>
        <v/>
      </c>
      <c r="BM244" s="2638">
        <f>SUM(BM59,BM93)</f>
        <v/>
      </c>
      <c r="BN244" s="2638">
        <f>SUM(BN59,BN93)</f>
        <v/>
      </c>
      <c r="BO244" s="2638">
        <f>SUM(BO59,BO93)</f>
        <v/>
      </c>
      <c r="BP244" s="2638">
        <f>SUM(BP59,BP93)</f>
        <v/>
      </c>
      <c r="BQ244" s="2638">
        <f>SUM(BQ59,BQ93)</f>
        <v/>
      </c>
      <c r="BR244" s="2638">
        <f>SUM(BR59,BR93)</f>
        <v/>
      </c>
      <c r="BS244" s="2638">
        <f>SUM(BS59,BS93)</f>
        <v/>
      </c>
      <c r="BT244" s="2638">
        <f>SUM(BT59,BT93)</f>
        <v/>
      </c>
      <c r="BU244" s="2640">
        <f>SUM(BI244:BT244)</f>
        <v/>
      </c>
    </row>
    <row r="245" outlineLevel="1">
      <c r="A245" s="1436" t="n"/>
      <c r="B245" s="1486" t="n"/>
      <c r="C245" s="1436" t="inlineStr">
        <is>
          <t>교육훈련비</t>
        </is>
      </c>
      <c r="D245" s="2638">
        <f>SUM(D70,D104)</f>
        <v/>
      </c>
      <c r="E245" s="2638">
        <f>SUM(E70,E104)</f>
        <v/>
      </c>
      <c r="F245" s="2638">
        <f>SUM(F70,F104)</f>
        <v/>
      </c>
      <c r="G245" s="2638">
        <f>SUM(G70,G104)</f>
        <v/>
      </c>
      <c r="H245" s="2638">
        <f>SUM(H70,H104)</f>
        <v/>
      </c>
      <c r="I245" s="2638">
        <f>SUM(I70,I104)</f>
        <v/>
      </c>
      <c r="J245" s="2638">
        <f>SUM(J70,J104)</f>
        <v/>
      </c>
      <c r="K245" s="2638">
        <f>SUM(K70,K104)</f>
        <v/>
      </c>
      <c r="L245" s="2638">
        <f>SUM(L70,L104)</f>
        <v/>
      </c>
      <c r="M245" s="2638">
        <f>SUM(M70,M104)</f>
        <v/>
      </c>
      <c r="N245" s="2638">
        <f>SUM(N70,N104)</f>
        <v/>
      </c>
      <c r="O245" s="2638">
        <f>SUM(O70,O104)</f>
        <v/>
      </c>
      <c r="P245" s="2639">
        <f>SUM(D245:O245)</f>
        <v/>
      </c>
      <c r="Q245" s="1436" t="n"/>
      <c r="R245" s="1436" t="n"/>
      <c r="S245" s="2638">
        <f>SUM(S70,S104)</f>
        <v/>
      </c>
      <c r="T245" s="2638">
        <f>SUM(T70,T104)</f>
        <v/>
      </c>
      <c r="U245" s="2638">
        <f>SUM(U70,U104)</f>
        <v/>
      </c>
      <c r="V245" s="2638">
        <f>SUM(V70,V104)</f>
        <v/>
      </c>
      <c r="W245" s="2638">
        <f>SUM(W70,W104)</f>
        <v/>
      </c>
      <c r="X245" s="2638">
        <f>SUM(X70,X104)</f>
        <v/>
      </c>
      <c r="Y245" s="2638">
        <f>SUM(Y70,Y104)</f>
        <v/>
      </c>
      <c r="Z245" s="2638">
        <f>SUM(Z70,Z104)</f>
        <v/>
      </c>
      <c r="AA245" s="2638">
        <f>SUM(AA70,AA104)</f>
        <v/>
      </c>
      <c r="AB245" s="2638">
        <f>SUM(AB70,AB104)</f>
        <v/>
      </c>
      <c r="AC245" s="2638">
        <f>SUM(AC70,AC104)</f>
        <v/>
      </c>
      <c r="AD245" s="2638">
        <f>SUM(AD70,AD104)</f>
        <v/>
      </c>
      <c r="AE245" s="2639">
        <f>SUM(S245:AD245)</f>
        <v/>
      </c>
      <c r="AF245" s="1436" t="n"/>
      <c r="AG245" s="2638">
        <f>SUM(AG70,AG104)</f>
        <v/>
      </c>
      <c r="AH245" s="2638">
        <f>SUM(AH70,AH104)</f>
        <v/>
      </c>
      <c r="AI245" s="2638">
        <f>SUM(AI70,AI104)</f>
        <v/>
      </c>
      <c r="AJ245" s="2638">
        <f>SUM(AJ70,AJ104)</f>
        <v/>
      </c>
      <c r="AK245" s="2638">
        <f>SUM(AK70,AK104)</f>
        <v/>
      </c>
      <c r="AL245" s="2638">
        <f>SUM(AL70,AL104)</f>
        <v/>
      </c>
      <c r="AM245" s="2638">
        <f>SUM(AM70,AM104)</f>
        <v/>
      </c>
      <c r="AN245" s="2638">
        <f>SUM(AN70,AN104)</f>
        <v/>
      </c>
      <c r="AO245" s="2638">
        <f>SUM(AO70,AO104)</f>
        <v/>
      </c>
      <c r="AP245" s="2638">
        <f>SUM(AP70,AP104)</f>
        <v/>
      </c>
      <c r="AQ245" s="2638">
        <f>SUM(AQ70,AQ104)</f>
        <v/>
      </c>
      <c r="AR245" s="2638">
        <f>SUM(AR70,AR104)</f>
        <v/>
      </c>
      <c r="AS245" s="2639">
        <f>SUM(AG245:AR245)</f>
        <v/>
      </c>
      <c r="AU245" s="2638">
        <f>SUM(AU70,AU104)</f>
        <v/>
      </c>
      <c r="AV245" s="2638">
        <f>SUM(AV70,AV104)</f>
        <v/>
      </c>
      <c r="AW245" s="2638">
        <f>SUM(AW70,AW104)</f>
        <v/>
      </c>
      <c r="AX245" s="2638">
        <f>SUM(AX70,AX104)</f>
        <v/>
      </c>
      <c r="AY245" s="2638">
        <f>SUM(AY70,AY104)</f>
        <v/>
      </c>
      <c r="AZ245" s="2638">
        <f>SUM(AZ70,AZ104)</f>
        <v/>
      </c>
      <c r="BA245" s="2638">
        <f>SUM(BA70,BA104)</f>
        <v/>
      </c>
      <c r="BB245" s="2638">
        <f>SUM(BB70,BB104)</f>
        <v/>
      </c>
      <c r="BC245" s="2638">
        <f>SUM(BC70,BC104)</f>
        <v/>
      </c>
      <c r="BD245" s="2638">
        <f>SUM(BD70,BD104)</f>
        <v/>
      </c>
      <c r="BE245" s="2638">
        <f>SUM(BE70,BE104)</f>
        <v/>
      </c>
      <c r="BF245" s="2638">
        <f>SUM(BF70,BF104)</f>
        <v/>
      </c>
      <c r="BG245" s="2640">
        <f>SUM(AU245:BF245)</f>
        <v/>
      </c>
      <c r="BI245" s="2638">
        <f>SUM(BI70,BI104)</f>
        <v/>
      </c>
      <c r="BJ245" s="2638">
        <f>SUM(BJ70,BJ104)</f>
        <v/>
      </c>
      <c r="BK245" s="2638">
        <f>SUM(BK70,BK104)</f>
        <v/>
      </c>
      <c r="BL245" s="2638">
        <f>SUM(BL70,BL104)</f>
        <v/>
      </c>
      <c r="BM245" s="2638">
        <f>SUM(BM70,BM104)</f>
        <v/>
      </c>
      <c r="BN245" s="2638">
        <f>SUM(BN70,BN104)</f>
        <v/>
      </c>
      <c r="BO245" s="2638">
        <f>SUM(BO70,BO104)</f>
        <v/>
      </c>
      <c r="BP245" s="2638">
        <f>SUM(BP70,BP104)</f>
        <v/>
      </c>
      <c r="BQ245" s="2638">
        <f>SUM(BQ70,BQ104)</f>
        <v/>
      </c>
      <c r="BR245" s="2638">
        <f>SUM(BR70,BR104)</f>
        <v/>
      </c>
      <c r="BS245" s="2638">
        <f>SUM(BS70,BS104)</f>
        <v/>
      </c>
      <c r="BT245" s="2638">
        <f>SUM(BT70,BT104)</f>
        <v/>
      </c>
      <c r="BU245" s="2640">
        <f>SUM(BI245:BT245)</f>
        <v/>
      </c>
    </row>
    <row r="246">
      <c r="A246" s="1436" t="n"/>
      <c r="B246" s="1486" t="n"/>
      <c r="C246" s="1456" t="n"/>
      <c r="D246" s="2627" t="n"/>
      <c r="E246" s="2627" t="n"/>
      <c r="F246" s="2627" t="n"/>
      <c r="G246" s="2627" t="n"/>
      <c r="H246" s="2627" t="n"/>
      <c r="I246" s="2627" t="n"/>
      <c r="J246" s="2627" t="n"/>
      <c r="K246" s="2627" t="n"/>
      <c r="L246" s="2627" t="n"/>
      <c r="M246" s="2627" t="n"/>
      <c r="N246" s="2627" t="n"/>
      <c r="O246" s="2627" t="n"/>
      <c r="P246" s="2627" t="n"/>
      <c r="Q246" s="1436" t="n"/>
      <c r="R246" s="1436" t="n"/>
      <c r="S246" s="2627" t="n"/>
      <c r="T246" s="2627" t="n"/>
      <c r="U246" s="2627" t="n"/>
      <c r="V246" s="2627" t="n"/>
      <c r="W246" s="2627" t="n"/>
      <c r="X246" s="2627" t="n"/>
      <c r="Y246" s="2627" t="n"/>
      <c r="Z246" s="2627" t="n"/>
      <c r="AA246" s="2627" t="n"/>
      <c r="AB246" s="2627" t="n"/>
      <c r="AC246" s="2627" t="n"/>
      <c r="AD246" s="2627" t="n"/>
      <c r="AE246" s="2627" t="n"/>
      <c r="AF246" s="1436" t="n"/>
      <c r="AG246" s="2627" t="n"/>
      <c r="AH246" s="2627" t="n"/>
      <c r="AI246" s="2627" t="n"/>
      <c r="AJ246" s="2627" t="n"/>
      <c r="AK246" s="2627" t="n"/>
      <c r="AL246" s="2627" t="n"/>
      <c r="AM246" s="2627" t="n"/>
      <c r="AN246" s="2627" t="n"/>
      <c r="AO246" s="2627" t="n"/>
      <c r="AP246" s="2627" t="n"/>
      <c r="AQ246" s="2627" t="n"/>
      <c r="AR246" s="2627" t="n"/>
      <c r="AS246" s="2627" t="n"/>
      <c r="AU246" s="2627" t="n"/>
      <c r="AV246" s="2627" t="n"/>
      <c r="AW246" s="2627" t="n"/>
      <c r="AX246" s="2627" t="n"/>
      <c r="AY246" s="2627" t="n"/>
      <c r="AZ246" s="2627" t="n"/>
      <c r="BA246" s="2627" t="n"/>
      <c r="BB246" s="2627" t="n"/>
      <c r="BC246" s="2627" t="n"/>
      <c r="BD246" s="2627" t="n"/>
      <c r="BE246" s="2627" t="n"/>
      <c r="BF246" s="2627" t="n"/>
      <c r="BG246" s="2627" t="n"/>
      <c r="BI246" s="2627" t="n"/>
      <c r="BJ246" s="2627" t="n"/>
      <c r="BK246" s="2627" t="n"/>
      <c r="BL246" s="2627" t="n"/>
      <c r="BM246" s="2627" t="n"/>
      <c r="BN246" s="2627" t="n"/>
      <c r="BO246" s="2627" t="n"/>
      <c r="BP246" s="2627" t="n"/>
      <c r="BQ246" s="2627" t="n"/>
      <c r="BR246" s="2627" t="n"/>
      <c r="BS246" s="2627" t="n"/>
      <c r="BT246" s="2627" t="n"/>
      <c r="BU246" s="2627" t="n"/>
    </row>
    <row r="247">
      <c r="A247" s="1436" t="n"/>
      <c r="B247" s="1486" t="n"/>
      <c r="C247" s="1456" t="n"/>
      <c r="D247" s="2627" t="n"/>
      <c r="E247" s="2627" t="n"/>
      <c r="F247" s="2627" t="n"/>
      <c r="G247" s="2627" t="n"/>
      <c r="H247" s="2627" t="n"/>
      <c r="I247" s="2627" t="n"/>
      <c r="J247" s="2627" t="n"/>
      <c r="K247" s="2627" t="n"/>
      <c r="L247" s="2627" t="n"/>
      <c r="M247" s="2627" t="n"/>
      <c r="N247" s="2627" t="n"/>
      <c r="O247" s="2627" t="n"/>
      <c r="P247" s="2627" t="n"/>
      <c r="Q247" s="1436" t="n"/>
      <c r="R247" s="1436" t="n"/>
      <c r="S247" s="2627" t="n"/>
      <c r="T247" s="2627" t="n"/>
      <c r="U247" s="2627" t="n"/>
      <c r="V247" s="2627" t="n"/>
      <c r="W247" s="2627" t="n"/>
      <c r="X247" s="2627" t="n"/>
      <c r="Y247" s="2627" t="n"/>
      <c r="Z247" s="2627" t="n"/>
      <c r="AA247" s="2627" t="n"/>
      <c r="AB247" s="2627" t="n"/>
      <c r="AC247" s="2627" t="n"/>
      <c r="AD247" s="2627" t="n"/>
      <c r="AE247" s="2627" t="n"/>
      <c r="AF247" s="1436" t="n"/>
      <c r="AG247" s="2627" t="n"/>
      <c r="AH247" s="2627" t="n"/>
      <c r="AI247" s="2627" t="n"/>
      <c r="AJ247" s="2627" t="n"/>
      <c r="AK247" s="2627" t="n"/>
      <c r="AL247" s="2627" t="n"/>
      <c r="AM247" s="2627" t="n"/>
      <c r="AN247" s="2627" t="n"/>
      <c r="AO247" s="2627" t="n"/>
      <c r="AP247" s="2627" t="n"/>
      <c r="AQ247" s="2627" t="n"/>
      <c r="AR247" s="2627" t="n"/>
      <c r="AS247" s="2627" t="n"/>
      <c r="AU247" s="2627" t="n"/>
      <c r="AV247" s="2627" t="n"/>
      <c r="AW247" s="2627" t="n"/>
      <c r="AX247" s="2627" t="n"/>
      <c r="AY247" s="2627" t="n"/>
      <c r="AZ247" s="2627" t="n"/>
      <c r="BA247" s="2627" t="n"/>
      <c r="BB247" s="2627" t="n"/>
      <c r="BC247" s="2627" t="n"/>
      <c r="BD247" s="2627" t="n"/>
      <c r="BE247" s="2627" t="n"/>
      <c r="BF247" s="2627" t="n"/>
      <c r="BG247" s="2627" t="n"/>
      <c r="BI247" s="2627" t="n"/>
      <c r="BJ247" s="2627" t="n"/>
      <c r="BK247" s="2627" t="n"/>
      <c r="BL247" s="2627" t="n"/>
      <c r="BM247" s="2627" t="n"/>
      <c r="BN247" s="2627" t="n"/>
      <c r="BO247" s="2627" t="n"/>
      <c r="BP247" s="2627" t="n"/>
      <c r="BQ247" s="2627" t="n"/>
      <c r="BR247" s="2627" t="n"/>
      <c r="BS247" s="2627" t="n"/>
      <c r="BT247" s="2627" t="n"/>
      <c r="BU247" s="2627" t="n"/>
    </row>
    <row r="248">
      <c r="A248" s="1436" t="n"/>
      <c r="B248" s="1486" t="n"/>
      <c r="C248" s="1456" t="n"/>
      <c r="D248" s="2627" t="n"/>
      <c r="E248" s="2627" t="n"/>
      <c r="F248" s="2627" t="n"/>
      <c r="G248" s="2627" t="n"/>
      <c r="H248" s="2627" t="n"/>
      <c r="I248" s="2627" t="n"/>
      <c r="J248" s="2627" t="n"/>
      <c r="K248" s="2627" t="n"/>
      <c r="L248" s="2627" t="n"/>
      <c r="M248" s="2627" t="n"/>
      <c r="N248" s="2627" t="n"/>
      <c r="O248" s="2627" t="n"/>
      <c r="P248" s="2627" t="n"/>
      <c r="Q248" s="1436" t="n"/>
      <c r="R248" s="1436" t="n"/>
      <c r="S248" s="2627" t="n"/>
      <c r="T248" s="2627" t="n"/>
      <c r="U248" s="2627" t="n"/>
      <c r="V248" s="2627" t="n"/>
      <c r="W248" s="2627" t="n"/>
      <c r="X248" s="2627" t="n"/>
      <c r="Y248" s="2627" t="n"/>
      <c r="Z248" s="2627" t="n"/>
      <c r="AA248" s="2627" t="n"/>
      <c r="AB248" s="2627" t="n"/>
      <c r="AC248" s="2627" t="n"/>
      <c r="AD248" s="2627" t="n"/>
      <c r="AE248" s="2627" t="n"/>
      <c r="AF248" s="1436" t="n"/>
      <c r="AG248" s="2627" t="n"/>
      <c r="AH248" s="2627" t="n"/>
      <c r="AI248" s="2627" t="n"/>
      <c r="AJ248" s="2627" t="n"/>
      <c r="AK248" s="2627" t="n"/>
      <c r="AL248" s="2627" t="n"/>
      <c r="AM248" s="2627" t="n"/>
      <c r="AN248" s="2627" t="n"/>
      <c r="AO248" s="2627" t="n"/>
      <c r="AP248" s="2627" t="n"/>
      <c r="AQ248" s="2627" t="n"/>
      <c r="AR248" s="2627" t="n"/>
      <c r="AS248" s="2627" t="n"/>
      <c r="AU248" s="2627" t="n"/>
      <c r="AV248" s="2627" t="n"/>
      <c r="AW248" s="2627" t="n"/>
      <c r="AX248" s="2627" t="n"/>
      <c r="AY248" s="2627" t="n"/>
      <c r="AZ248" s="2627" t="n"/>
      <c r="BA248" s="2627" t="n"/>
      <c r="BB248" s="2627" t="n"/>
      <c r="BC248" s="2627" t="n"/>
      <c r="BD248" s="2627" t="n"/>
      <c r="BE248" s="2627" t="n"/>
      <c r="BF248" s="2627" t="n"/>
      <c r="BG248" s="2627" t="n"/>
      <c r="BI248" s="2627" t="n"/>
      <c r="BJ248" s="2627" t="n"/>
      <c r="BK248" s="2627" t="n"/>
      <c r="BL248" s="2627" t="n"/>
      <c r="BM248" s="2627" t="n"/>
      <c r="BN248" s="2627" t="n"/>
      <c r="BO248" s="2627" t="n"/>
      <c r="BP248" s="2627" t="n"/>
      <c r="BQ248" s="2627" t="n"/>
      <c r="BR248" s="2627" t="n"/>
      <c r="BS248" s="2627" t="n"/>
      <c r="BT248" s="2627" t="n"/>
      <c r="BU248" s="2627" t="n"/>
    </row>
    <row r="249">
      <c r="A249" s="1436" t="n"/>
      <c r="B249" s="1486" t="n"/>
      <c r="C249" s="1456" t="n"/>
      <c r="D249" s="2627" t="n"/>
      <c r="E249" s="2627" t="n"/>
      <c r="F249" s="2627" t="n"/>
      <c r="G249" s="2627" t="n"/>
      <c r="H249" s="2627" t="n"/>
      <c r="I249" s="2627" t="n"/>
      <c r="J249" s="2627" t="n"/>
      <c r="K249" s="2627" t="n"/>
      <c r="L249" s="2627" t="n"/>
      <c r="M249" s="2627" t="n"/>
      <c r="N249" s="2627" t="n"/>
      <c r="O249" s="2627" t="n"/>
      <c r="P249" s="2627" t="n"/>
      <c r="Q249" s="1436" t="n"/>
      <c r="R249" s="1436" t="n"/>
      <c r="S249" s="2627" t="n"/>
      <c r="T249" s="2627" t="n"/>
      <c r="U249" s="2627" t="n"/>
      <c r="V249" s="2627" t="n"/>
      <c r="W249" s="2627" t="n"/>
      <c r="X249" s="2627" t="n"/>
      <c r="Y249" s="2627" t="n"/>
      <c r="Z249" s="2627" t="n"/>
      <c r="AA249" s="2627" t="n"/>
      <c r="AB249" s="2627" t="n"/>
      <c r="AC249" s="2627" t="n"/>
      <c r="AD249" s="2627" t="n"/>
      <c r="AE249" s="2627" t="n"/>
      <c r="AF249" s="1436" t="n"/>
      <c r="AG249" s="2627" t="n"/>
      <c r="AH249" s="2627" t="n"/>
      <c r="AI249" s="2627" t="n"/>
      <c r="AJ249" s="2627" t="n"/>
      <c r="AK249" s="2627" t="n"/>
      <c r="AL249" s="2627" t="n"/>
      <c r="AM249" s="2627" t="n"/>
      <c r="AN249" s="2627" t="n"/>
      <c r="AO249" s="2627" t="n"/>
      <c r="AP249" s="2627" t="n"/>
      <c r="AQ249" s="2627" t="n"/>
      <c r="AR249" s="2627" t="n"/>
      <c r="AS249" s="2627" t="n"/>
      <c r="AU249" s="2627" t="n"/>
      <c r="AV249" s="2627" t="n"/>
      <c r="AW249" s="2627" t="n"/>
      <c r="AX249" s="2627" t="n"/>
      <c r="AY249" s="2627" t="n"/>
      <c r="AZ249" s="2627" t="n"/>
      <c r="BA249" s="2627" t="n"/>
      <c r="BB249" s="2627" t="n"/>
      <c r="BC249" s="2627" t="n"/>
      <c r="BD249" s="2627" t="n"/>
      <c r="BE249" s="2627" t="n"/>
      <c r="BF249" s="2627" t="n"/>
      <c r="BG249" s="2627" t="n"/>
      <c r="BI249" s="2627" t="n"/>
      <c r="BJ249" s="2627" t="n"/>
      <c r="BK249" s="2627" t="n"/>
      <c r="BL249" s="2627" t="n"/>
      <c r="BM249" s="2627" t="n"/>
      <c r="BN249" s="2627" t="n"/>
      <c r="BO249" s="2627" t="n"/>
      <c r="BP249" s="2627" t="n"/>
      <c r="BQ249" s="2627" t="n"/>
      <c r="BR249" s="2627" t="n"/>
      <c r="BS249" s="2627" t="n"/>
      <c r="BT249" s="2627" t="n"/>
      <c r="BU249" s="2627" t="n"/>
    </row>
    <row r="250">
      <c r="A250" s="1436" t="n"/>
      <c r="B250" s="1486" t="n"/>
      <c r="C250" s="1456" t="n"/>
      <c r="D250" s="2627" t="n"/>
      <c r="E250" s="2627" t="n"/>
      <c r="F250" s="2627" t="n"/>
      <c r="G250" s="2627">
        <f>G230</f>
        <v/>
      </c>
      <c r="H250" s="2627">
        <f>H230</f>
        <v/>
      </c>
      <c r="I250" s="2627">
        <f>I230</f>
        <v/>
      </c>
      <c r="J250" s="2627">
        <f>J230</f>
        <v/>
      </c>
      <c r="K250" s="2627">
        <f>K230</f>
        <v/>
      </c>
      <c r="L250" s="2627">
        <f>L230</f>
        <v/>
      </c>
      <c r="M250" s="2627">
        <f>M230</f>
        <v/>
      </c>
      <c r="N250" s="2627">
        <f>N230</f>
        <v/>
      </c>
      <c r="O250" s="2627">
        <f>O230</f>
        <v/>
      </c>
      <c r="P250" s="2627" t="n"/>
      <c r="Q250" s="1436" t="n"/>
      <c r="R250" s="1436" t="n"/>
      <c r="S250" s="2627">
        <f>S230</f>
        <v/>
      </c>
      <c r="T250" s="2627">
        <f>T230</f>
        <v/>
      </c>
      <c r="U250" s="2627">
        <f>U230</f>
        <v/>
      </c>
      <c r="V250" s="2627">
        <f>V230</f>
        <v/>
      </c>
      <c r="W250" s="2627">
        <f>W230</f>
        <v/>
      </c>
      <c r="X250" s="2627">
        <f>X230</f>
        <v/>
      </c>
      <c r="Y250" s="2627">
        <f>Y230</f>
        <v/>
      </c>
      <c r="Z250" s="2627">
        <f>Z230</f>
        <v/>
      </c>
      <c r="AA250" s="2627">
        <f>AA230</f>
        <v/>
      </c>
      <c r="AB250" s="2627">
        <f>AB230</f>
        <v/>
      </c>
      <c r="AC250" s="2627">
        <f>AC230</f>
        <v/>
      </c>
      <c r="AD250" s="2627">
        <f>AD230</f>
        <v/>
      </c>
      <c r="AE250" s="2627" t="n"/>
      <c r="AF250" s="1436" t="n"/>
      <c r="AG250" s="2627" t="n"/>
      <c r="AH250" s="2627" t="n"/>
      <c r="AI250" s="2627" t="n"/>
      <c r="AJ250" s="2627" t="n"/>
      <c r="AK250" s="2627" t="n"/>
      <c r="AL250" s="2627" t="n"/>
      <c r="AM250" s="2627" t="n"/>
      <c r="AN250" s="2627" t="n"/>
      <c r="AO250" s="2627" t="n"/>
      <c r="AP250" s="2627" t="n"/>
      <c r="AQ250" s="2627" t="n"/>
      <c r="AR250" s="2627" t="n"/>
      <c r="AS250" s="2627" t="n"/>
      <c r="AU250" s="2627" t="n"/>
      <c r="AV250" s="2627" t="n"/>
      <c r="AW250" s="2627" t="n"/>
      <c r="AX250" s="2627" t="n"/>
      <c r="AY250" s="2627" t="n"/>
      <c r="AZ250" s="2627" t="n"/>
      <c r="BA250" s="2627" t="n"/>
      <c r="BB250" s="2627" t="n"/>
      <c r="BC250" s="2627" t="n"/>
      <c r="BD250" s="2627" t="n"/>
      <c r="BE250" s="2627" t="n"/>
      <c r="BF250" s="2627" t="n"/>
      <c r="BG250" s="2627" t="n"/>
      <c r="BI250" s="2627" t="n"/>
      <c r="BJ250" s="2627" t="n"/>
      <c r="BK250" s="2627" t="n"/>
      <c r="BL250" s="2627" t="n"/>
      <c r="BM250" s="2627" t="n"/>
      <c r="BN250" s="2627" t="n"/>
      <c r="BO250" s="2627" t="n"/>
      <c r="BP250" s="2627" t="n"/>
      <c r="BQ250" s="2627" t="n"/>
      <c r="BR250" s="2627" t="n"/>
      <c r="BS250" s="2627" t="n"/>
      <c r="BT250" s="2627" t="n"/>
      <c r="BU250" s="2627" t="n"/>
    </row>
    <row r="251">
      <c r="A251" s="1436" t="n"/>
      <c r="B251" s="1486" t="n"/>
      <c r="C251" s="1456" t="n"/>
      <c r="D251" s="2627" t="n"/>
      <c r="E251" s="2627" t="n"/>
      <c r="F251" s="2627" t="n"/>
      <c r="G251" s="2627">
        <f>G232</f>
        <v/>
      </c>
      <c r="H251" s="2627">
        <f>H232</f>
        <v/>
      </c>
      <c r="I251" s="2627">
        <f>I232</f>
        <v/>
      </c>
      <c r="J251" s="2627">
        <f>J232</f>
        <v/>
      </c>
      <c r="K251" s="2627">
        <f>K232</f>
        <v/>
      </c>
      <c r="L251" s="2627">
        <f>L232</f>
        <v/>
      </c>
      <c r="M251" s="2627">
        <f>M232</f>
        <v/>
      </c>
      <c r="N251" s="2627">
        <f>N232</f>
        <v/>
      </c>
      <c r="O251" s="2627">
        <f>O232</f>
        <v/>
      </c>
      <c r="P251" s="2627" t="n"/>
      <c r="Q251" s="1436" t="n"/>
      <c r="R251" s="1436" t="n"/>
      <c r="S251" s="2627">
        <f>S232</f>
        <v/>
      </c>
      <c r="T251" s="2627">
        <f>T232</f>
        <v/>
      </c>
      <c r="U251" s="2627">
        <f>U232</f>
        <v/>
      </c>
      <c r="V251" s="2627">
        <f>V232</f>
        <v/>
      </c>
      <c r="W251" s="2627">
        <f>W232</f>
        <v/>
      </c>
      <c r="X251" s="2627">
        <f>X232</f>
        <v/>
      </c>
      <c r="Y251" s="2627">
        <f>Y232</f>
        <v/>
      </c>
      <c r="Z251" s="2627">
        <f>Z232</f>
        <v/>
      </c>
      <c r="AA251" s="2627">
        <f>AA232</f>
        <v/>
      </c>
      <c r="AB251" s="2627">
        <f>AB232</f>
        <v/>
      </c>
      <c r="AC251" s="2627">
        <f>AC232</f>
        <v/>
      </c>
      <c r="AD251" s="2627">
        <f>AD232</f>
        <v/>
      </c>
      <c r="AE251" s="2627" t="n"/>
      <c r="AF251" s="1436" t="n"/>
      <c r="AG251" s="2627" t="n"/>
      <c r="AH251" s="2627" t="n"/>
      <c r="AI251" s="2627" t="n"/>
      <c r="AJ251" s="2627" t="n"/>
      <c r="AK251" s="2627" t="n"/>
      <c r="AL251" s="2627" t="n"/>
      <c r="AM251" s="2627" t="n"/>
      <c r="AN251" s="2627" t="n"/>
      <c r="AO251" s="2627" t="n"/>
      <c r="AP251" s="2627" t="n"/>
      <c r="AQ251" s="2627" t="n"/>
      <c r="AR251" s="2627" t="n"/>
      <c r="AS251" s="2627" t="n"/>
      <c r="AU251" s="2627" t="n"/>
      <c r="AV251" s="2627" t="n"/>
      <c r="AW251" s="2627" t="n"/>
      <c r="AX251" s="2627" t="n"/>
      <c r="AY251" s="2627" t="n"/>
      <c r="AZ251" s="2627" t="n"/>
      <c r="BA251" s="2627" t="n"/>
      <c r="BB251" s="2627" t="n"/>
      <c r="BC251" s="2627" t="n"/>
      <c r="BD251" s="2627" t="n"/>
      <c r="BE251" s="2627" t="n"/>
      <c r="BF251" s="2627" t="n"/>
      <c r="BG251" s="2627" t="n"/>
      <c r="BI251" s="2627" t="n"/>
      <c r="BJ251" s="2627" t="n"/>
      <c r="BK251" s="2627" t="n"/>
      <c r="BL251" s="2627" t="n"/>
      <c r="BM251" s="2627" t="n"/>
      <c r="BN251" s="2627" t="n"/>
      <c r="BO251" s="2627" t="n"/>
      <c r="BP251" s="2627" t="n"/>
      <c r="BQ251" s="2627" t="n"/>
      <c r="BR251" s="2627" t="n"/>
      <c r="BS251" s="2627" t="n"/>
      <c r="BT251" s="2627" t="n"/>
      <c r="BU251" s="2627" t="n"/>
    </row>
    <row r="252">
      <c r="A252" s="1436" t="n"/>
      <c r="B252" s="1486" t="n"/>
      <c r="C252" s="1456" t="n"/>
      <c r="D252" s="2627" t="n"/>
      <c r="E252" s="2627" t="n"/>
      <c r="F252" s="2627" t="n"/>
      <c r="G252" s="2627">
        <f>G231+G234+G233</f>
        <v/>
      </c>
      <c r="H252" s="2627">
        <f>H231+H234+H233</f>
        <v/>
      </c>
      <c r="I252" s="2627">
        <f>I231+I234+I233</f>
        <v/>
      </c>
      <c r="J252" s="2627">
        <f>J231+J234+J233</f>
        <v/>
      </c>
      <c r="K252" s="2627">
        <f>K231+K234+K233</f>
        <v/>
      </c>
      <c r="L252" s="2627">
        <f>L231+L234+L233</f>
        <v/>
      </c>
      <c r="M252" s="2627">
        <f>M231+M234+M233</f>
        <v/>
      </c>
      <c r="N252" s="2627">
        <f>N231+N234+N233</f>
        <v/>
      </c>
      <c r="O252" s="2627">
        <f>O231+O234+O233</f>
        <v/>
      </c>
      <c r="P252" s="2627" t="n"/>
      <c r="Q252" s="1436" t="n"/>
      <c r="R252" s="1436" t="n"/>
      <c r="S252" s="2627">
        <f>S231+S234+S233</f>
        <v/>
      </c>
      <c r="T252" s="2627">
        <f>T231+T234+T233</f>
        <v/>
      </c>
      <c r="U252" s="2627">
        <f>U231+U234+U233</f>
        <v/>
      </c>
      <c r="V252" s="2627">
        <f>V231+V234+V233</f>
        <v/>
      </c>
      <c r="W252" s="2627">
        <f>W231+W234+W233</f>
        <v/>
      </c>
      <c r="X252" s="2627">
        <f>X231+X234+X233</f>
        <v/>
      </c>
      <c r="Y252" s="2627">
        <f>Y231+Y234+Y233</f>
        <v/>
      </c>
      <c r="Z252" s="2627">
        <f>Z231+Z234+Z233</f>
        <v/>
      </c>
      <c r="AA252" s="2627">
        <f>AA231+AA234+AA233</f>
        <v/>
      </c>
      <c r="AB252" s="2627">
        <f>AB231+AB234+AB233</f>
        <v/>
      </c>
      <c r="AC252" s="2627">
        <f>AC231+AC234+AC233</f>
        <v/>
      </c>
      <c r="AD252" s="2627">
        <f>AD231+AD234+AD233</f>
        <v/>
      </c>
      <c r="AE252" s="2627" t="n"/>
      <c r="AF252" s="1436" t="n"/>
      <c r="AG252" s="2627" t="n"/>
      <c r="AH252" s="2627" t="n"/>
      <c r="AI252" s="2627" t="n"/>
      <c r="AJ252" s="2627" t="n"/>
      <c r="AK252" s="2627" t="n"/>
      <c r="AL252" s="2627" t="n"/>
      <c r="AM252" s="2627" t="n"/>
      <c r="AN252" s="2627" t="n"/>
      <c r="AO252" s="2627" t="n"/>
      <c r="AP252" s="2627" t="n"/>
      <c r="AQ252" s="1436" t="n"/>
      <c r="AR252" s="1436" t="n"/>
      <c r="AS252" s="2627" t="n"/>
      <c r="AU252" s="1436" t="n"/>
      <c r="AV252" s="1436" t="n"/>
      <c r="AW252" s="1436" t="n"/>
      <c r="AX252" s="1436" t="n"/>
      <c r="AY252" s="1436" t="n"/>
      <c r="AZ252" s="1436" t="n"/>
      <c r="BA252" s="1436" t="n"/>
      <c r="BB252" s="1436" t="n"/>
      <c r="BC252" s="1436" t="n"/>
      <c r="BD252" s="1436" t="n"/>
      <c r="BE252" s="1436" t="n"/>
      <c r="BF252" s="1436" t="n"/>
      <c r="BG252" s="2627" t="n"/>
      <c r="BI252" s="1436" t="n"/>
      <c r="BJ252" s="1436" t="n"/>
      <c r="BK252" s="1436" t="n"/>
      <c r="BL252" s="1436" t="n"/>
      <c r="BM252" s="1436" t="n"/>
      <c r="BN252" s="1436" t="n"/>
      <c r="BO252" s="1436" t="n"/>
      <c r="BP252" s="1436" t="n"/>
      <c r="BQ252" s="1436" t="n"/>
      <c r="BR252" s="1436" t="n"/>
      <c r="BS252" s="1436" t="n"/>
      <c r="BT252" s="1436" t="n"/>
      <c r="BU252" s="2627" t="n"/>
    </row>
    <row r="253">
      <c r="A253" s="1436" t="n"/>
      <c r="B253" s="1486" t="n"/>
      <c r="C253" s="1456" t="n"/>
      <c r="D253" s="2627" t="n"/>
      <c r="E253" s="2627" t="n"/>
      <c r="F253" s="2627" t="n"/>
      <c r="G253" s="2627" t="n"/>
      <c r="H253" s="2627" t="n"/>
      <c r="I253" s="2627" t="n"/>
      <c r="J253" s="2627" t="n"/>
      <c r="K253" s="2627" t="n"/>
      <c r="L253" s="2627" t="n"/>
      <c r="M253" s="2627" t="n"/>
      <c r="N253" s="2627" t="n"/>
      <c r="O253" s="2627" t="n"/>
      <c r="P253" s="2627" t="n"/>
      <c r="Q253" s="1436" t="n"/>
      <c r="R253" s="1436" t="n"/>
      <c r="S253" s="2627" t="n"/>
      <c r="T253" s="2627" t="n"/>
      <c r="U253" s="2627" t="n"/>
      <c r="V253" s="2627" t="n"/>
      <c r="W253" s="2627" t="n"/>
      <c r="X253" s="2627" t="n"/>
      <c r="Y253" s="2627" t="n"/>
      <c r="Z253" s="2627" t="n"/>
      <c r="AA253" s="2627" t="n"/>
      <c r="AB253" s="2627" t="n"/>
      <c r="AC253" s="2627" t="n"/>
      <c r="AD253" s="2627" t="n"/>
      <c r="AE253" s="2627" t="n"/>
      <c r="AF253" s="1436" t="n"/>
      <c r="AG253" s="2627" t="n"/>
      <c r="AH253" s="2627" t="n"/>
      <c r="AI253" s="2627" t="n"/>
      <c r="AJ253" s="2627" t="n"/>
      <c r="AK253" s="2627" t="n"/>
      <c r="AL253" s="2627" t="n"/>
      <c r="AM253" s="2627" t="n"/>
      <c r="AN253" s="2627" t="n"/>
      <c r="AO253" s="2627" t="n"/>
      <c r="AP253" s="2627" t="n"/>
      <c r="AQ253" s="1436" t="n"/>
      <c r="AR253" s="1436" t="n"/>
      <c r="AS253" s="2627" t="n"/>
      <c r="AU253" s="1436" t="n"/>
      <c r="AV253" s="1436" t="n"/>
      <c r="AW253" s="1436" t="n"/>
      <c r="AX253" s="1436" t="n"/>
      <c r="AY253" s="1436" t="n"/>
      <c r="AZ253" s="1436" t="n"/>
      <c r="BA253" s="1436" t="n"/>
      <c r="BB253" s="1436" t="n"/>
      <c r="BC253" s="1436" t="n"/>
      <c r="BD253" s="1436" t="n"/>
      <c r="BE253" s="1436" t="n"/>
      <c r="BF253" s="1436" t="n"/>
      <c r="BG253" s="2627" t="n"/>
      <c r="BI253" s="1436" t="n"/>
      <c r="BJ253" s="1436" t="n"/>
      <c r="BK253" s="1436" t="n"/>
      <c r="BL253" s="1436" t="n"/>
      <c r="BM253" s="1436" t="n"/>
      <c r="BN253" s="1436" t="n"/>
      <c r="BO253" s="1436" t="n"/>
      <c r="BP253" s="1436" t="n"/>
      <c r="BQ253" s="1436" t="n"/>
      <c r="BR253" s="1436" t="n"/>
      <c r="BS253" s="1436" t="n"/>
      <c r="BT253" s="1436" t="n"/>
      <c r="BU253" s="2627" t="n"/>
    </row>
    <row r="254">
      <c r="A254" s="1436" t="n"/>
      <c r="B254" s="1486" t="n"/>
      <c r="C254" s="1456" t="n"/>
      <c r="D254" s="2627" t="n"/>
      <c r="E254" s="2627" t="n"/>
      <c r="F254" s="2627" t="n"/>
      <c r="G254" s="2627" t="n"/>
      <c r="H254" s="2627" t="n"/>
      <c r="I254" s="2627" t="n"/>
      <c r="J254" s="2627" t="n"/>
      <c r="K254" s="2627" t="n"/>
      <c r="L254" s="2627" t="n"/>
      <c r="M254" s="2627" t="n"/>
      <c r="N254" s="2627" t="n"/>
      <c r="O254" s="2627" t="n"/>
      <c r="P254" s="2627" t="n"/>
      <c r="Q254" s="1436" t="n"/>
      <c r="R254" s="1436" t="n"/>
      <c r="S254" s="2627" t="n"/>
      <c r="T254" s="2627" t="n"/>
      <c r="U254" s="2627" t="n"/>
      <c r="V254" s="2627" t="n"/>
      <c r="W254" s="2627" t="n"/>
      <c r="X254" s="2627" t="n"/>
      <c r="Y254" s="2627" t="n"/>
      <c r="Z254" s="2627" t="n"/>
      <c r="AA254" s="2627" t="n"/>
      <c r="AB254" s="2627" t="n"/>
      <c r="AC254" s="2627" t="n"/>
      <c r="AD254" s="2627" t="n"/>
      <c r="AE254" s="2627" t="n"/>
      <c r="AF254" s="1436" t="n"/>
      <c r="AG254" s="2627" t="n"/>
      <c r="AH254" s="2627" t="n"/>
      <c r="AI254" s="2627" t="n"/>
      <c r="AJ254" s="2627" t="n"/>
      <c r="AK254" s="2627" t="n"/>
      <c r="AL254" s="2627" t="n"/>
      <c r="AM254" s="2627" t="n"/>
      <c r="AN254" s="2627" t="n"/>
      <c r="AO254" s="2627" t="n"/>
      <c r="AP254" s="2627" t="n"/>
      <c r="AQ254" s="1436" t="n"/>
      <c r="AR254" s="1436" t="n"/>
      <c r="AS254" s="2627" t="n"/>
      <c r="AU254" s="1436" t="n"/>
      <c r="AV254" s="1436" t="n"/>
      <c r="AW254" s="1436" t="n"/>
      <c r="AX254" s="1436" t="n"/>
      <c r="AY254" s="1436" t="n"/>
      <c r="AZ254" s="1436" t="n"/>
      <c r="BA254" s="1436" t="n"/>
      <c r="BB254" s="1436" t="n"/>
      <c r="BC254" s="1436" t="n"/>
      <c r="BD254" s="1436" t="n"/>
      <c r="BE254" s="1436" t="n"/>
      <c r="BF254" s="1436" t="n"/>
      <c r="BG254" s="2627" t="n"/>
      <c r="BI254" s="1436" t="n"/>
      <c r="BJ254" s="1436" t="n"/>
      <c r="BK254" s="1436" t="n"/>
      <c r="BL254" s="1436" t="n"/>
      <c r="BM254" s="1436" t="n"/>
      <c r="BN254" s="1436" t="n"/>
      <c r="BO254" s="1436" t="n"/>
      <c r="BP254" s="1436" t="n"/>
      <c r="BQ254" s="1436" t="n"/>
      <c r="BR254" s="1436" t="n"/>
      <c r="BS254" s="1436" t="n"/>
      <c r="BT254" s="1436" t="n"/>
      <c r="BU254" s="2627" t="n"/>
    </row>
    <row r="255">
      <c r="A255" s="1436" t="n"/>
      <c r="B255" s="1436" t="n"/>
      <c r="C255" s="1436" t="n"/>
      <c r="D255" s="2627" t="n"/>
      <c r="E255" s="2627" t="n"/>
      <c r="F255" s="2627" t="n"/>
      <c r="G255" s="2627" t="n"/>
      <c r="H255" s="2627" t="n"/>
      <c r="I255" s="2627" t="n"/>
      <c r="J255" s="2627" t="n"/>
      <c r="K255" s="2627" t="n"/>
      <c r="L255" s="2627" t="n"/>
      <c r="M255" s="2627" t="n"/>
      <c r="N255" s="2627" t="n"/>
      <c r="O255" s="2627" t="n"/>
      <c r="P255" s="2627" t="n"/>
      <c r="Q255" s="1436" t="n"/>
      <c r="R255" s="1436" t="n"/>
      <c r="S255" s="2627" t="n"/>
      <c r="T255" s="2627" t="n"/>
      <c r="U255" s="2627" t="n"/>
      <c r="V255" s="2627" t="n"/>
      <c r="W255" s="2627" t="n"/>
      <c r="X255" s="2627" t="n"/>
      <c r="Y255" s="2627" t="n"/>
      <c r="Z255" s="2627" t="n"/>
      <c r="AA255" s="2627" t="n"/>
      <c r="AB255" s="2627" t="n"/>
      <c r="AC255" s="2627" t="n"/>
      <c r="AD255" s="2627" t="n"/>
      <c r="AE255" s="2627" t="n"/>
      <c r="AF255" s="1436" t="n"/>
      <c r="AG255" s="2627" t="n"/>
      <c r="AH255" s="2627" t="n"/>
      <c r="AI255" s="2627" t="n"/>
      <c r="AJ255" s="2627" t="n"/>
      <c r="AK255" s="2627" t="n"/>
      <c r="AL255" s="2627" t="n"/>
      <c r="AM255" s="2627" t="n"/>
      <c r="AN255" s="2627" t="n"/>
      <c r="AO255" s="2627" t="n"/>
      <c r="AP255" s="2627" t="n"/>
      <c r="AQ255" s="1436" t="n"/>
      <c r="AR255" s="1436" t="n"/>
      <c r="AS255" s="2627" t="n"/>
      <c r="AU255" s="1436" t="n"/>
      <c r="AV255" s="1436" t="n"/>
      <c r="AW255" s="1436" t="n"/>
      <c r="AX255" s="1436" t="n"/>
      <c r="AY255" s="1436" t="n"/>
      <c r="AZ255" s="1436" t="n"/>
      <c r="BA255" s="1436" t="n"/>
      <c r="BB255" s="1436" t="n"/>
      <c r="BC255" s="1436" t="n"/>
      <c r="BD255" s="1436" t="n"/>
      <c r="BE255" s="1436" t="n"/>
      <c r="BF255" s="1436" t="n"/>
      <c r="BG255" s="2627" t="n"/>
      <c r="BI255" s="1436" t="n"/>
      <c r="BJ255" s="1436" t="n"/>
      <c r="BK255" s="1436" t="n"/>
      <c r="BL255" s="1436" t="n"/>
      <c r="BM255" s="1436" t="n"/>
      <c r="BN255" s="1436" t="n"/>
      <c r="BO255" s="1436" t="n"/>
      <c r="BP255" s="1436" t="n"/>
      <c r="BQ255" s="1436" t="n"/>
      <c r="BR255" s="1436" t="n"/>
      <c r="BS255" s="1436" t="n"/>
      <c r="BT255" s="1436" t="n"/>
      <c r="BU255" s="2627" t="n"/>
    </row>
    <row r="256">
      <c r="A256" s="1436" t="n"/>
      <c r="B256" s="1436" t="n"/>
      <c r="C256" s="1436" t="n"/>
      <c r="D256" s="2614" t="n"/>
      <c r="E256" s="2614" t="n"/>
      <c r="F256" s="2614" t="n"/>
      <c r="G256" s="2614" t="n"/>
      <c r="H256" s="2614" t="n"/>
      <c r="I256" s="2614" t="n"/>
      <c r="J256" s="2614" t="n"/>
      <c r="K256" s="2614" t="n"/>
      <c r="L256" s="2614" t="n"/>
      <c r="M256" s="2614" t="n"/>
      <c r="N256" s="2614" t="n"/>
      <c r="O256" s="2614" t="n"/>
      <c r="P256" s="2614" t="n"/>
      <c r="Q256" s="1436" t="n"/>
      <c r="R256" s="1436" t="n"/>
      <c r="S256" s="2614" t="n"/>
      <c r="T256" s="2614" t="n"/>
      <c r="U256" s="2614" t="n"/>
      <c r="V256" s="2614" t="n"/>
      <c r="W256" s="2614" t="n"/>
      <c r="X256" s="2614" t="n"/>
      <c r="Y256" s="2614" t="n"/>
      <c r="Z256" s="2614" t="n"/>
      <c r="AA256" s="2614" t="n"/>
      <c r="AB256" s="2614" t="n"/>
      <c r="AC256" s="2614" t="n"/>
      <c r="AD256" s="2614" t="n"/>
      <c r="AE256" s="2614" t="n"/>
      <c r="AF256" s="1436" t="n"/>
      <c r="AG256" s="2614" t="n"/>
      <c r="AH256" s="2614" t="n"/>
      <c r="AI256" s="2614" t="n"/>
      <c r="AJ256" s="2614" t="n"/>
      <c r="AK256" s="2614" t="n"/>
      <c r="AL256" s="2614" t="n"/>
      <c r="AM256" s="2614" t="n"/>
      <c r="AN256" s="2614" t="n"/>
      <c r="AO256" s="2614" t="n"/>
      <c r="AP256" s="2614" t="n"/>
      <c r="AQ256" s="1436" t="n"/>
      <c r="AR256" s="1436" t="n"/>
      <c r="AS256" s="2614" t="n"/>
      <c r="AU256" s="1436" t="n"/>
      <c r="AV256" s="1436" t="n"/>
      <c r="AW256" s="1436" t="n"/>
      <c r="AX256" s="1436" t="n"/>
      <c r="AY256" s="1436" t="n"/>
      <c r="AZ256" s="1436" t="n"/>
      <c r="BA256" s="1436" t="n"/>
      <c r="BB256" s="1436" t="n"/>
      <c r="BC256" s="1436" t="n"/>
      <c r="BD256" s="1436" t="n"/>
      <c r="BE256" s="1436" t="n"/>
      <c r="BF256" s="1436" t="n"/>
      <c r="BG256" s="2614" t="n"/>
      <c r="BI256" s="1436" t="n"/>
      <c r="BJ256" s="1436" t="n"/>
      <c r="BK256" s="1436" t="n"/>
      <c r="BL256" s="1436" t="n"/>
      <c r="BM256" s="1436" t="n"/>
      <c r="BN256" s="1436" t="n"/>
      <c r="BO256" s="1436" t="n"/>
      <c r="BP256" s="1436" t="n"/>
      <c r="BQ256" s="1436" t="n"/>
      <c r="BR256" s="1436" t="n"/>
      <c r="BS256" s="1436" t="n"/>
      <c r="BT256" s="1436" t="n"/>
      <c r="BU256" s="2614" t="n"/>
    </row>
    <row r="257">
      <c r="A257" s="1436" t="n"/>
      <c r="B257" s="1490" t="n"/>
      <c r="C257" s="1436" t="n"/>
      <c r="D257" s="2637" t="n"/>
      <c r="E257" s="2637" t="n"/>
      <c r="F257" s="2637" t="n"/>
      <c r="G257" s="2637" t="n"/>
      <c r="H257" s="2637" t="n"/>
      <c r="I257" s="2637" t="n"/>
      <c r="J257" s="2637" t="n"/>
      <c r="K257" s="2637" t="n"/>
      <c r="L257" s="2637" t="n"/>
      <c r="M257" s="2637" t="n"/>
      <c r="N257" s="2637" t="n"/>
      <c r="O257" s="2637" t="n"/>
      <c r="P257" s="2637" t="n"/>
      <c r="Q257" s="1436" t="n"/>
      <c r="R257" s="1436" t="n"/>
      <c r="S257" s="2637" t="n"/>
      <c r="T257" s="2637" t="n"/>
      <c r="U257" s="2637" t="n"/>
      <c r="V257" s="2637" t="n"/>
      <c r="W257" s="2637" t="n"/>
      <c r="X257" s="2637" t="n"/>
      <c r="Y257" s="2637" t="n"/>
      <c r="Z257" s="2637" t="n"/>
      <c r="AA257" s="2637" t="n"/>
      <c r="AB257" s="2637" t="n"/>
      <c r="AC257" s="2637" t="n"/>
      <c r="AD257" s="2637" t="n"/>
      <c r="AE257" s="2637" t="n"/>
      <c r="AF257" s="1436" t="n"/>
      <c r="AG257" s="2637" t="n"/>
      <c r="AH257" s="2637" t="n"/>
      <c r="AI257" s="2637" t="n"/>
      <c r="AJ257" s="2637" t="n"/>
      <c r="AK257" s="2637" t="n"/>
      <c r="AL257" s="2637" t="n"/>
      <c r="AM257" s="2637" t="n"/>
      <c r="AN257" s="2637" t="n"/>
      <c r="AO257" s="2637" t="n"/>
      <c r="AP257" s="2637" t="n"/>
      <c r="AQ257" s="1436" t="n"/>
      <c r="AR257" s="1436" t="n"/>
      <c r="AS257" s="2637" t="n"/>
      <c r="AU257" s="1436" t="n"/>
      <c r="AV257" s="1436" t="n"/>
      <c r="AW257" s="1436" t="n"/>
      <c r="AX257" s="1436" t="n"/>
      <c r="AY257" s="1436" t="n"/>
      <c r="AZ257" s="1436" t="n"/>
      <c r="BA257" s="1436" t="n"/>
      <c r="BB257" s="1436" t="n"/>
      <c r="BC257" s="1436" t="n"/>
      <c r="BD257" s="1436" t="n"/>
      <c r="BE257" s="1436" t="n"/>
      <c r="BF257" s="1436" t="n"/>
      <c r="BG257" s="2637" t="n"/>
      <c r="BI257" s="1436" t="n"/>
      <c r="BJ257" s="1436" t="n"/>
      <c r="BK257" s="1436" t="n"/>
      <c r="BL257" s="1436" t="n"/>
      <c r="BM257" s="1436" t="n"/>
      <c r="BN257" s="1436" t="n"/>
      <c r="BO257" s="1436" t="n"/>
      <c r="BP257" s="1436" t="n"/>
      <c r="BQ257" s="1436" t="n"/>
      <c r="BR257" s="1436" t="n"/>
      <c r="BS257" s="1436" t="n"/>
      <c r="BT257" s="1436" t="n"/>
      <c r="BU257" s="2637" t="n"/>
    </row>
    <row r="258">
      <c r="A258" s="1436" t="n"/>
      <c r="B258" s="1491" t="n"/>
      <c r="C258" s="1436" t="n"/>
      <c r="D258" s="2627" t="n"/>
      <c r="E258" s="2627" t="n"/>
      <c r="F258" s="2627" t="n"/>
      <c r="G258" s="2627" t="n"/>
      <c r="H258" s="2627" t="n"/>
      <c r="I258" s="2627" t="n"/>
      <c r="J258" s="2627" t="n"/>
      <c r="K258" s="2627" t="n"/>
      <c r="L258" s="2627" t="n"/>
      <c r="M258" s="2627" t="n"/>
      <c r="N258" s="2627" t="n"/>
      <c r="O258" s="2627" t="n"/>
      <c r="P258" s="2627" t="n"/>
      <c r="Q258" s="1436" t="n"/>
      <c r="R258" s="1436" t="n"/>
      <c r="S258" s="2627" t="n"/>
      <c r="T258" s="2627" t="n"/>
      <c r="U258" s="2627" t="n"/>
      <c r="V258" s="2627" t="n"/>
      <c r="W258" s="2627" t="n"/>
      <c r="X258" s="2627" t="n"/>
      <c r="Y258" s="2627" t="n"/>
      <c r="Z258" s="2627" t="n"/>
      <c r="AA258" s="2627" t="n"/>
      <c r="AB258" s="2627" t="n"/>
      <c r="AC258" s="2627" t="n"/>
      <c r="AD258" s="2627" t="n"/>
      <c r="AE258" s="2627" t="n"/>
      <c r="AF258" s="1436" t="n"/>
      <c r="AG258" s="2627" t="n"/>
      <c r="AH258" s="2627" t="n"/>
      <c r="AI258" s="2627" t="n"/>
      <c r="AJ258" s="2627" t="n"/>
      <c r="AK258" s="2627" t="n"/>
      <c r="AL258" s="2627" t="n"/>
      <c r="AM258" s="2627" t="n"/>
      <c r="AN258" s="2627" t="n"/>
      <c r="AO258" s="2627" t="n"/>
      <c r="AP258" s="2627" t="n"/>
      <c r="AQ258" s="1436" t="n"/>
      <c r="AR258" s="1436" t="n"/>
      <c r="AS258" s="2627" t="n"/>
      <c r="AU258" s="1436" t="n"/>
      <c r="AV258" s="1436" t="n"/>
      <c r="AW258" s="1436" t="n"/>
      <c r="AX258" s="1436" t="n"/>
      <c r="AY258" s="1436" t="n"/>
      <c r="AZ258" s="1436" t="n"/>
      <c r="BA258" s="1436" t="n"/>
      <c r="BB258" s="1436" t="n"/>
      <c r="BC258" s="1436" t="n"/>
      <c r="BD258" s="1436" t="n"/>
      <c r="BE258" s="1436" t="n"/>
      <c r="BF258" s="1436" t="n"/>
      <c r="BG258" s="2627" t="n"/>
      <c r="BI258" s="1436" t="n"/>
      <c r="BJ258" s="1436" t="n"/>
      <c r="BK258" s="1436" t="n"/>
      <c r="BL258" s="1436" t="n"/>
      <c r="BM258" s="1436" t="n"/>
      <c r="BN258" s="1436" t="n"/>
      <c r="BO258" s="1436" t="n"/>
      <c r="BP258" s="1436" t="n"/>
      <c r="BQ258" s="1436" t="n"/>
      <c r="BR258" s="1436" t="n"/>
      <c r="BS258" s="1436" t="n"/>
      <c r="BT258" s="1436" t="n"/>
      <c r="BU258" s="2627" t="n"/>
    </row>
    <row r="259">
      <c r="A259" s="1436" t="n"/>
      <c r="B259" s="1492" t="n"/>
      <c r="C259" s="1436" t="n"/>
      <c r="D259" s="2627" t="n"/>
      <c r="E259" s="2627" t="n"/>
      <c r="F259" s="2627" t="n"/>
      <c r="G259" s="2627" t="n"/>
      <c r="H259" s="2627" t="n"/>
      <c r="I259" s="2627" t="n"/>
      <c r="J259" s="2627" t="n"/>
      <c r="K259" s="2627" t="n"/>
      <c r="L259" s="2627" t="n"/>
      <c r="M259" s="2627" t="n"/>
      <c r="N259" s="2627" t="n"/>
      <c r="O259" s="2627" t="n"/>
      <c r="P259" s="2627" t="n"/>
      <c r="Q259" s="1436" t="n"/>
      <c r="R259" s="1436" t="n"/>
      <c r="S259" s="2627" t="n"/>
      <c r="T259" s="2627" t="n"/>
      <c r="U259" s="2627" t="n"/>
      <c r="V259" s="2627" t="n"/>
      <c r="W259" s="2627" t="n"/>
      <c r="X259" s="2627" t="n"/>
      <c r="Y259" s="2627" t="n"/>
      <c r="Z259" s="2627" t="n"/>
      <c r="AA259" s="2627" t="n"/>
      <c r="AB259" s="2627" t="n"/>
      <c r="AC259" s="2627" t="n"/>
      <c r="AD259" s="2627" t="n"/>
      <c r="AE259" s="2627" t="n"/>
      <c r="AF259" s="1436" t="n"/>
      <c r="AG259" s="2627" t="n"/>
      <c r="AH259" s="2627" t="n"/>
      <c r="AI259" s="2627" t="n"/>
      <c r="AJ259" s="2627" t="n"/>
      <c r="AK259" s="2627" t="n"/>
      <c r="AL259" s="2627" t="n"/>
      <c r="AM259" s="2627" t="n"/>
      <c r="AN259" s="2627" t="n"/>
      <c r="AO259" s="2627" t="n"/>
      <c r="AP259" s="2627" t="n"/>
      <c r="AQ259" s="1436" t="n"/>
      <c r="AR259" s="1436" t="n"/>
      <c r="AS259" s="2627" t="n"/>
      <c r="AU259" s="1436" t="n"/>
      <c r="AV259" s="1436" t="n"/>
      <c r="AW259" s="1436" t="n"/>
      <c r="AX259" s="1436" t="n"/>
      <c r="AY259" s="1436" t="n"/>
      <c r="AZ259" s="1436" t="n"/>
      <c r="BA259" s="1436" t="n"/>
      <c r="BB259" s="1436" t="n"/>
      <c r="BC259" s="1436" t="n"/>
      <c r="BD259" s="1436" t="n"/>
      <c r="BE259" s="1436" t="n"/>
      <c r="BF259" s="1436" t="n"/>
      <c r="BG259" s="2627" t="n"/>
      <c r="BI259" s="1436" t="n"/>
      <c r="BJ259" s="1436" t="n"/>
      <c r="BK259" s="1436" t="n"/>
      <c r="BL259" s="1436" t="n"/>
      <c r="BM259" s="1436" t="n"/>
      <c r="BN259" s="1436" t="n"/>
      <c r="BO259" s="1436" t="n"/>
      <c r="BP259" s="1436" t="n"/>
      <c r="BQ259" s="1436" t="n"/>
      <c r="BR259" s="1436" t="n"/>
      <c r="BS259" s="1436" t="n"/>
      <c r="BT259" s="1436" t="n"/>
      <c r="BU259" s="2627" t="n"/>
    </row>
    <row r="260">
      <c r="A260" s="1436" t="n"/>
      <c r="B260" s="1436" t="n"/>
      <c r="C260" s="1436" t="n"/>
      <c r="D260" s="1436" t="n"/>
      <c r="E260" s="1436" t="n"/>
      <c r="F260" s="1436" t="n"/>
      <c r="G260" s="1436" t="n"/>
      <c r="H260" s="1436" t="n"/>
      <c r="I260" s="1436" t="n"/>
      <c r="J260" s="1436" t="n"/>
      <c r="K260" s="1436" t="n"/>
      <c r="L260" s="1436" t="n"/>
      <c r="M260" s="1436" t="n"/>
      <c r="N260" s="1436" t="n"/>
      <c r="O260" s="1436" t="n"/>
      <c r="P260" s="1436" t="n"/>
      <c r="Q260" s="1436" t="n"/>
      <c r="R260" s="1436" t="n"/>
      <c r="S260" s="1436" t="n"/>
      <c r="T260" s="1436" t="n"/>
      <c r="U260" s="1436" t="n"/>
      <c r="V260" s="1436" t="n"/>
      <c r="W260" s="1436" t="n"/>
      <c r="X260" s="1436" t="n"/>
      <c r="Y260" s="1436" t="n"/>
      <c r="Z260" s="1436" t="n"/>
      <c r="AA260" s="1436" t="n"/>
      <c r="AB260" s="1436" t="n"/>
      <c r="AC260" s="1436" t="n"/>
      <c r="AD260" s="1436" t="n"/>
      <c r="AE260" s="1436" t="n"/>
      <c r="AF260" s="1436" t="n"/>
      <c r="AG260" s="1436" t="n"/>
      <c r="AH260" s="1436" t="n"/>
      <c r="AI260" s="1436" t="n"/>
      <c r="AJ260" s="1436" t="n"/>
      <c r="AK260" s="1436" t="n"/>
      <c r="AL260" s="1436" t="n"/>
      <c r="AM260" s="1436" t="n"/>
      <c r="AN260" s="1436" t="n"/>
      <c r="AO260" s="1436" t="n"/>
      <c r="AP260" s="1436" t="n"/>
      <c r="AQ260" s="1436" t="n"/>
      <c r="AR260" s="1436" t="n"/>
      <c r="AS260" s="1436" t="n"/>
      <c r="AU260" s="1436" t="n"/>
      <c r="AV260" s="1436" t="n"/>
      <c r="AW260" s="1436" t="n"/>
      <c r="AX260" s="1436" t="n"/>
      <c r="AY260" s="1436" t="n"/>
      <c r="AZ260" s="1436" t="n"/>
      <c r="BA260" s="1436" t="n"/>
      <c r="BB260" s="1436" t="n"/>
      <c r="BC260" s="1436" t="n"/>
      <c r="BD260" s="1436" t="n"/>
      <c r="BE260" s="1436" t="n"/>
      <c r="BF260" s="1436" t="n"/>
      <c r="BG260" s="1436" t="n"/>
      <c r="BI260" s="1436" t="n"/>
      <c r="BJ260" s="1436" t="n"/>
      <c r="BK260" s="1436" t="n"/>
      <c r="BL260" s="1436" t="n"/>
      <c r="BM260" s="1436" t="n"/>
      <c r="BN260" s="1436" t="n"/>
      <c r="BO260" s="1436" t="n"/>
      <c r="BP260" s="1436" t="n"/>
      <c r="BQ260" s="1436" t="n"/>
      <c r="BR260" s="1436" t="n"/>
      <c r="BS260" s="1436" t="n"/>
      <c r="BT260" s="1436" t="n"/>
      <c r="BU260" s="1436" t="n"/>
    </row>
    <row r="261">
      <c r="A261" s="1436" t="n"/>
      <c r="B261" s="1490" t="n"/>
      <c r="C261" s="1436" t="n"/>
      <c r="D261" s="2637" t="n"/>
      <c r="E261" s="2637" t="n"/>
      <c r="F261" s="2637" t="n"/>
      <c r="G261" s="2637" t="n"/>
      <c r="H261" s="2637" t="n"/>
      <c r="I261" s="2637" t="n"/>
      <c r="J261" s="2637" t="n"/>
      <c r="K261" s="2637" t="n"/>
      <c r="L261" s="2637" t="n"/>
      <c r="M261" s="2637" t="n"/>
      <c r="N261" s="2637" t="n"/>
      <c r="O261" s="2637" t="n"/>
      <c r="P261" s="2637" t="n"/>
      <c r="Q261" s="1436" t="n"/>
      <c r="R261" s="1436" t="n"/>
      <c r="S261" s="2637" t="n"/>
      <c r="T261" s="2637" t="n"/>
      <c r="U261" s="2637" t="n"/>
      <c r="V261" s="2637" t="n"/>
      <c r="W261" s="2637" t="n"/>
      <c r="X261" s="2637" t="n"/>
      <c r="Y261" s="2637" t="n"/>
      <c r="Z261" s="2637" t="n"/>
      <c r="AA261" s="2637" t="n"/>
      <c r="AB261" s="2637" t="n"/>
      <c r="AC261" s="2637" t="n"/>
      <c r="AD261" s="2637" t="n"/>
      <c r="AE261" s="2637" t="n"/>
      <c r="AF261" s="1436" t="n"/>
      <c r="AG261" s="2637" t="n"/>
      <c r="AH261" s="2637" t="n"/>
      <c r="AI261" s="2637" t="n"/>
      <c r="AJ261" s="2637" t="n"/>
      <c r="AK261" s="2637" t="n"/>
      <c r="AL261" s="2637" t="n"/>
      <c r="AM261" s="2637" t="n"/>
      <c r="AN261" s="2637" t="n"/>
      <c r="AO261" s="2637" t="n"/>
      <c r="AP261" s="2637" t="n"/>
      <c r="AQ261" s="1436" t="n"/>
      <c r="AR261" s="1436" t="n"/>
      <c r="AS261" s="2637" t="n"/>
      <c r="AU261" s="1436" t="n"/>
      <c r="AV261" s="1436" t="n"/>
      <c r="AW261" s="1436" t="n"/>
      <c r="AX261" s="1436" t="n"/>
      <c r="AY261" s="1436" t="n"/>
      <c r="AZ261" s="1436" t="n"/>
      <c r="BA261" s="1436" t="n"/>
      <c r="BB261" s="1436" t="n"/>
      <c r="BC261" s="1436" t="n"/>
      <c r="BD261" s="1436" t="n"/>
      <c r="BE261" s="1436" t="n"/>
      <c r="BF261" s="1436" t="n"/>
      <c r="BG261" s="2637" t="n"/>
      <c r="BI261" s="1436" t="n"/>
      <c r="BJ261" s="1436" t="n"/>
      <c r="BK261" s="1436" t="n"/>
      <c r="BL261" s="1436" t="n"/>
      <c r="BM261" s="1436" t="n"/>
      <c r="BN261" s="1436" t="n"/>
      <c r="BO261" s="1436" t="n"/>
      <c r="BP261" s="1436" t="n"/>
      <c r="BQ261" s="1436" t="n"/>
      <c r="BR261" s="1436" t="n"/>
      <c r="BS261" s="1436" t="n"/>
      <c r="BT261" s="1436" t="n"/>
      <c r="BU261" s="2637" t="n"/>
    </row>
    <row r="262">
      <c r="A262" s="1436" t="n"/>
      <c r="B262" s="1491" t="n"/>
      <c r="C262" s="1436" t="n"/>
      <c r="D262" s="2627" t="n"/>
      <c r="E262" s="2627" t="n"/>
      <c r="F262" s="2627" t="n"/>
      <c r="G262" s="2627" t="n"/>
      <c r="H262" s="2627" t="n"/>
      <c r="I262" s="2627" t="n"/>
      <c r="J262" s="2627" t="n"/>
      <c r="K262" s="2627" t="n"/>
      <c r="L262" s="2627" t="n"/>
      <c r="M262" s="2627" t="n"/>
      <c r="N262" s="2627" t="n"/>
      <c r="O262" s="2627" t="n"/>
      <c r="P262" s="2627" t="n"/>
      <c r="Q262" s="1436" t="n"/>
      <c r="R262" s="1436" t="n"/>
      <c r="S262" s="2627" t="n"/>
      <c r="T262" s="2627" t="n"/>
      <c r="U262" s="2627" t="n"/>
      <c r="V262" s="2627" t="n"/>
      <c r="W262" s="2627" t="n"/>
      <c r="X262" s="2627" t="n"/>
      <c r="Y262" s="2627" t="n"/>
      <c r="Z262" s="2627" t="n"/>
      <c r="AA262" s="2627" t="n"/>
      <c r="AB262" s="2627" t="n"/>
      <c r="AC262" s="2627" t="n"/>
      <c r="AD262" s="2627" t="n"/>
      <c r="AE262" s="2627" t="n"/>
      <c r="AF262" s="1436" t="n"/>
      <c r="AG262" s="2627" t="n"/>
      <c r="AH262" s="2627" t="n"/>
      <c r="AI262" s="2627" t="n"/>
      <c r="AJ262" s="2627" t="n"/>
      <c r="AK262" s="2627" t="n"/>
      <c r="AL262" s="2627" t="n"/>
      <c r="AM262" s="2627" t="n"/>
      <c r="AN262" s="2627" t="n"/>
      <c r="AO262" s="2627" t="n"/>
      <c r="AP262" s="2627" t="n"/>
      <c r="AQ262" s="1436" t="n"/>
      <c r="AR262" s="1436" t="n"/>
      <c r="AS262" s="2627" t="n"/>
      <c r="AU262" s="1436" t="n"/>
      <c r="AV262" s="1436" t="n"/>
      <c r="AW262" s="1436" t="n"/>
      <c r="AX262" s="1436" t="n"/>
      <c r="AY262" s="1436" t="n"/>
      <c r="AZ262" s="1436" t="n"/>
      <c r="BA262" s="1436" t="n"/>
      <c r="BB262" s="1436" t="n"/>
      <c r="BC262" s="1436" t="n"/>
      <c r="BD262" s="1436" t="n"/>
      <c r="BE262" s="1436" t="n"/>
      <c r="BF262" s="1436" t="n"/>
      <c r="BG262" s="2627" t="n"/>
      <c r="BI262" s="1436" t="n"/>
      <c r="BJ262" s="1436" t="n"/>
      <c r="BK262" s="1436" t="n"/>
      <c r="BL262" s="1436" t="n"/>
      <c r="BM262" s="1436" t="n"/>
      <c r="BN262" s="1436" t="n"/>
      <c r="BO262" s="1436" t="n"/>
      <c r="BP262" s="1436" t="n"/>
      <c r="BQ262" s="1436" t="n"/>
      <c r="BR262" s="1436" t="n"/>
      <c r="BS262" s="1436" t="n"/>
      <c r="BT262" s="1436" t="n"/>
      <c r="BU262" s="2627" t="n"/>
    </row>
    <row r="263">
      <c r="A263" s="1436" t="n"/>
      <c r="B263" s="1492" t="n"/>
      <c r="C263" s="1436" t="n"/>
      <c r="D263" s="2627" t="n"/>
      <c r="E263" s="2627" t="n"/>
      <c r="F263" s="2627" t="n"/>
      <c r="G263" s="2627" t="n"/>
      <c r="H263" s="2627" t="n"/>
      <c r="I263" s="2627" t="n"/>
      <c r="J263" s="2627" t="n"/>
      <c r="K263" s="2627" t="n"/>
      <c r="L263" s="2627" t="n"/>
      <c r="M263" s="2627" t="n"/>
      <c r="N263" s="2627" t="n"/>
      <c r="O263" s="2627" t="n"/>
      <c r="P263" s="2627" t="n"/>
      <c r="Q263" s="1436" t="n"/>
      <c r="R263" s="1436" t="n"/>
      <c r="S263" s="2627" t="n"/>
      <c r="T263" s="2627" t="n"/>
      <c r="U263" s="2627" t="n"/>
      <c r="V263" s="2627" t="n"/>
      <c r="W263" s="2627" t="n"/>
      <c r="X263" s="2627" t="n"/>
      <c r="Y263" s="2627" t="n"/>
      <c r="Z263" s="2627" t="n"/>
      <c r="AA263" s="2627" t="n"/>
      <c r="AB263" s="2627" t="n"/>
      <c r="AC263" s="2627" t="n"/>
      <c r="AD263" s="2627" t="n"/>
      <c r="AE263" s="2627" t="n"/>
      <c r="AF263" s="1436" t="n"/>
      <c r="AG263" s="2627" t="n"/>
      <c r="AH263" s="2627" t="n"/>
      <c r="AI263" s="2627" t="n"/>
      <c r="AJ263" s="2627" t="n"/>
      <c r="AK263" s="2627" t="n"/>
      <c r="AL263" s="2627" t="n"/>
      <c r="AM263" s="2627" t="n"/>
      <c r="AN263" s="2627" t="n"/>
      <c r="AO263" s="2627" t="n"/>
      <c r="AP263" s="2627" t="n"/>
      <c r="AQ263" s="1436" t="n"/>
      <c r="AR263" s="1436" t="n"/>
      <c r="AS263" s="2627" t="n"/>
      <c r="AU263" s="1436" t="n"/>
      <c r="AV263" s="1436" t="n"/>
      <c r="AW263" s="1436" t="n"/>
      <c r="AX263" s="1436" t="n"/>
      <c r="AY263" s="1436" t="n"/>
      <c r="AZ263" s="1436" t="n"/>
      <c r="BA263" s="1436" t="n"/>
      <c r="BB263" s="1436" t="n"/>
      <c r="BC263" s="1436" t="n"/>
      <c r="BD263" s="1436" t="n"/>
      <c r="BE263" s="1436" t="n"/>
      <c r="BF263" s="1436" t="n"/>
      <c r="BG263" s="2627" t="n"/>
      <c r="BI263" s="1436" t="n"/>
      <c r="BJ263" s="1436" t="n"/>
      <c r="BK263" s="1436" t="n"/>
      <c r="BL263" s="1436" t="n"/>
      <c r="BM263" s="1436" t="n"/>
      <c r="BN263" s="1436" t="n"/>
      <c r="BO263" s="1436" t="n"/>
      <c r="BP263" s="1436" t="n"/>
      <c r="BQ263" s="1436" t="n"/>
      <c r="BR263" s="1436" t="n"/>
      <c r="BS263" s="1436" t="n"/>
      <c r="BT263" s="1436" t="n"/>
      <c r="BU263" s="2627" t="n"/>
    </row>
    <row r="264">
      <c r="A264" s="1436" t="n"/>
      <c r="B264" s="1436" t="n"/>
      <c r="C264" s="1436" t="n"/>
      <c r="D264" s="1436" t="n"/>
      <c r="E264" s="1436" t="n"/>
      <c r="F264" s="1436" t="n"/>
      <c r="G264" s="1436" t="n"/>
      <c r="H264" s="1436" t="n"/>
      <c r="I264" s="1436" t="n"/>
      <c r="J264" s="1436" t="n"/>
      <c r="K264" s="1436" t="n"/>
      <c r="L264" s="1436" t="n"/>
      <c r="M264" s="1436" t="n"/>
      <c r="N264" s="1436" t="n"/>
      <c r="O264" s="1436" t="n"/>
      <c r="P264" s="1436" t="n"/>
      <c r="Q264" s="1436" t="n"/>
      <c r="R264" s="1436" t="n"/>
      <c r="S264" s="1436" t="n"/>
      <c r="T264" s="1436" t="n"/>
      <c r="U264" s="1436" t="n"/>
      <c r="V264" s="1436" t="n"/>
      <c r="W264" s="1436" t="n"/>
      <c r="X264" s="1436" t="n"/>
      <c r="Y264" s="1436" t="n"/>
      <c r="Z264" s="1436" t="n"/>
      <c r="AA264" s="1436" t="n"/>
      <c r="AB264" s="1436" t="n"/>
      <c r="AC264" s="1436" t="n"/>
      <c r="AD264" s="1436" t="n"/>
      <c r="AE264" s="1436" t="n"/>
      <c r="AF264" s="1436" t="n"/>
      <c r="AG264" s="1436" t="n"/>
      <c r="AH264" s="1436" t="n"/>
      <c r="AI264" s="1436" t="n"/>
      <c r="AJ264" s="1436" t="n"/>
      <c r="AK264" s="1436" t="n"/>
      <c r="AL264" s="1436" t="n"/>
      <c r="AM264" s="1436" t="n"/>
      <c r="AN264" s="1436" t="n"/>
      <c r="AO264" s="1436" t="n"/>
      <c r="AP264" s="1436" t="n"/>
      <c r="AQ264" s="1436" t="n"/>
      <c r="AR264" s="1436" t="n"/>
      <c r="AS264" s="1436" t="n"/>
      <c r="AU264" s="1436" t="n"/>
      <c r="AV264" s="1436" t="n"/>
      <c r="AW264" s="1436" t="n"/>
      <c r="AX264" s="1436" t="n"/>
      <c r="AY264" s="1436" t="n"/>
      <c r="AZ264" s="1436" t="n"/>
      <c r="BA264" s="1436" t="n"/>
      <c r="BB264" s="1436" t="n"/>
      <c r="BC264" s="1436" t="n"/>
      <c r="BD264" s="1436" t="n"/>
      <c r="BE264" s="1436" t="n"/>
      <c r="BF264" s="1436" t="n"/>
      <c r="BG264" s="1436" t="n"/>
      <c r="BI264" s="1436" t="n"/>
      <c r="BJ264" s="1436" t="n"/>
      <c r="BK264" s="1436" t="n"/>
      <c r="BL264" s="1436" t="n"/>
      <c r="BM264" s="1436" t="n"/>
      <c r="BN264" s="1436" t="n"/>
      <c r="BO264" s="1436" t="n"/>
      <c r="BP264" s="1436" t="n"/>
      <c r="BQ264" s="1436" t="n"/>
      <c r="BR264" s="1436" t="n"/>
      <c r="BS264" s="1436" t="n"/>
      <c r="BT264" s="1436" t="n"/>
      <c r="BU264" s="1436" t="n"/>
    </row>
    <row r="265">
      <c r="A265" s="1436" t="n"/>
      <c r="B265" s="1486" t="n"/>
      <c r="C265" s="1456" t="n"/>
      <c r="D265" s="2627" t="n"/>
      <c r="E265" s="2627" t="n"/>
      <c r="F265" s="2627" t="n"/>
      <c r="G265" s="2627" t="n"/>
      <c r="H265" s="2627" t="n"/>
      <c r="I265" s="2627" t="n"/>
      <c r="J265" s="2627" t="n"/>
      <c r="K265" s="2627" t="n"/>
      <c r="L265" s="2627" t="n"/>
      <c r="M265" s="2627" t="n"/>
      <c r="N265" s="2627" t="n"/>
      <c r="O265" s="2627" t="n"/>
      <c r="P265" s="2627" t="n"/>
      <c r="Q265" s="1436" t="n"/>
      <c r="R265" s="1436" t="n"/>
      <c r="S265" s="2627" t="n"/>
      <c r="T265" s="2627" t="n"/>
      <c r="U265" s="2627" t="n"/>
      <c r="V265" s="2627" t="n"/>
      <c r="W265" s="2627" t="n"/>
      <c r="X265" s="2627" t="n"/>
      <c r="Y265" s="2627" t="n"/>
      <c r="Z265" s="2627" t="n"/>
      <c r="AA265" s="2627" t="n"/>
      <c r="AB265" s="2627" t="n"/>
      <c r="AC265" s="2627" t="n"/>
      <c r="AD265" s="2627" t="n"/>
      <c r="AE265" s="2627" t="n"/>
      <c r="AF265" s="1436" t="n"/>
      <c r="AG265" s="2627" t="n"/>
      <c r="AH265" s="2627" t="n"/>
      <c r="AI265" s="2627" t="n"/>
      <c r="AJ265" s="2627" t="n"/>
      <c r="AK265" s="2627" t="n"/>
      <c r="AL265" s="2627" t="n"/>
      <c r="AM265" s="2627" t="n"/>
      <c r="AN265" s="2627" t="n"/>
      <c r="AO265" s="2627" t="n"/>
      <c r="AP265" s="2627" t="n"/>
      <c r="AQ265" s="1436" t="n"/>
      <c r="AR265" s="1436" t="n"/>
      <c r="AS265" s="2627" t="n"/>
      <c r="AU265" s="1436" t="n"/>
      <c r="AV265" s="1436" t="n"/>
      <c r="AW265" s="1436" t="n"/>
      <c r="AX265" s="1436" t="n"/>
      <c r="AY265" s="1436" t="n"/>
      <c r="AZ265" s="1436" t="n"/>
      <c r="BA265" s="1436" t="n"/>
      <c r="BB265" s="1436" t="n"/>
      <c r="BC265" s="1436" t="n"/>
      <c r="BD265" s="1436" t="n"/>
      <c r="BE265" s="1436" t="n"/>
      <c r="BF265" s="1436" t="n"/>
      <c r="BG265" s="2627" t="n"/>
      <c r="BI265" s="1436" t="n"/>
      <c r="BJ265" s="1436" t="n"/>
      <c r="BK265" s="1436" t="n"/>
      <c r="BL265" s="1436" t="n"/>
      <c r="BM265" s="1436" t="n"/>
      <c r="BN265" s="1436" t="n"/>
      <c r="BO265" s="1436" t="n"/>
      <c r="BP265" s="1436" t="n"/>
      <c r="BQ265" s="1436" t="n"/>
      <c r="BR265" s="1436" t="n"/>
      <c r="BS265" s="1436" t="n"/>
      <c r="BT265" s="1436" t="n"/>
      <c r="BU265" s="2627" t="n"/>
    </row>
    <row r="266">
      <c r="A266" s="1436" t="n"/>
      <c r="B266" s="1486" t="n"/>
      <c r="C266" s="1456" t="n"/>
      <c r="D266" s="2627" t="n"/>
      <c r="E266" s="2627" t="n"/>
      <c r="F266" s="2627" t="n"/>
      <c r="G266" s="2627" t="n"/>
      <c r="H266" s="2627" t="n"/>
      <c r="I266" s="2627" t="n"/>
      <c r="J266" s="2627" t="n"/>
      <c r="K266" s="2627" t="n"/>
      <c r="L266" s="2627" t="n"/>
      <c r="M266" s="2627" t="n"/>
      <c r="N266" s="2627" t="n"/>
      <c r="O266" s="2627" t="n"/>
      <c r="P266" s="2627" t="n"/>
      <c r="Q266" s="1436" t="n"/>
      <c r="R266" s="1436" t="n"/>
      <c r="S266" s="2627" t="n"/>
      <c r="T266" s="2627" t="n"/>
      <c r="U266" s="2627" t="n"/>
      <c r="V266" s="2627" t="n"/>
      <c r="W266" s="2627" t="n"/>
      <c r="X266" s="2627" t="n"/>
      <c r="Y266" s="2627" t="n"/>
      <c r="Z266" s="2627" t="n"/>
      <c r="AA266" s="2627" t="n"/>
      <c r="AB266" s="2627" t="n"/>
      <c r="AC266" s="2627" t="n"/>
      <c r="AD266" s="2627" t="n"/>
      <c r="AE266" s="2627" t="n"/>
      <c r="AF266" s="1436" t="n"/>
      <c r="AG266" s="2627" t="n"/>
      <c r="AH266" s="2627" t="n"/>
      <c r="AI266" s="2627" t="n"/>
      <c r="AJ266" s="2627" t="n"/>
      <c r="AK266" s="2627" t="n"/>
      <c r="AL266" s="2627" t="n"/>
      <c r="AM266" s="2627" t="n"/>
      <c r="AN266" s="2627" t="n"/>
      <c r="AO266" s="2627" t="n"/>
      <c r="AP266" s="2627" t="n"/>
      <c r="AQ266" s="1436" t="n"/>
      <c r="AR266" s="1436" t="n"/>
      <c r="AS266" s="2627" t="n"/>
      <c r="AU266" s="1436" t="n"/>
      <c r="AV266" s="1436" t="n"/>
      <c r="AW266" s="1436" t="n"/>
      <c r="AX266" s="1436" t="n"/>
      <c r="AY266" s="1436" t="n"/>
      <c r="AZ266" s="1436" t="n"/>
      <c r="BA266" s="1436" t="n"/>
      <c r="BB266" s="1436" t="n"/>
      <c r="BC266" s="1436" t="n"/>
      <c r="BD266" s="1436" t="n"/>
      <c r="BE266" s="1436" t="n"/>
      <c r="BF266" s="1436" t="n"/>
      <c r="BG266" s="2627" t="n"/>
      <c r="BI266" s="1436" t="n"/>
      <c r="BJ266" s="1436" t="n"/>
      <c r="BK266" s="1436" t="n"/>
      <c r="BL266" s="1436" t="n"/>
      <c r="BM266" s="1436" t="n"/>
      <c r="BN266" s="1436" t="n"/>
      <c r="BO266" s="1436" t="n"/>
      <c r="BP266" s="1436" t="n"/>
      <c r="BQ266" s="1436" t="n"/>
      <c r="BR266" s="1436" t="n"/>
      <c r="BS266" s="1436" t="n"/>
      <c r="BT266" s="1436" t="n"/>
      <c r="BU266" s="2627" t="n"/>
    </row>
    <row r="267">
      <c r="A267" s="1436" t="n"/>
      <c r="B267" s="1486" t="n"/>
      <c r="C267" s="1456" t="n"/>
      <c r="D267" s="2627" t="n"/>
      <c r="E267" s="2627" t="n"/>
      <c r="F267" s="2627" t="n"/>
      <c r="G267" s="2627" t="n"/>
      <c r="H267" s="2627" t="n"/>
      <c r="I267" s="2627" t="n"/>
      <c r="J267" s="2627" t="n"/>
      <c r="K267" s="2627" t="n"/>
      <c r="L267" s="2627" t="n"/>
      <c r="M267" s="2627" t="n"/>
      <c r="N267" s="2627" t="n"/>
      <c r="O267" s="2627" t="n"/>
      <c r="P267" s="2627" t="n"/>
      <c r="Q267" s="1436" t="n"/>
      <c r="R267" s="1436" t="n"/>
      <c r="S267" s="2627" t="n"/>
      <c r="T267" s="2627" t="n"/>
      <c r="U267" s="2627" t="n"/>
      <c r="V267" s="2627" t="n"/>
      <c r="W267" s="2627" t="n"/>
      <c r="X267" s="2627" t="n"/>
      <c r="Y267" s="2627" t="n"/>
      <c r="Z267" s="2627" t="n"/>
      <c r="AA267" s="2627" t="n"/>
      <c r="AB267" s="2627" t="n"/>
      <c r="AC267" s="2627" t="n"/>
      <c r="AD267" s="2627" t="n"/>
      <c r="AE267" s="2627" t="n"/>
      <c r="AF267" s="1436" t="n"/>
      <c r="AG267" s="2627" t="n"/>
      <c r="AH267" s="2627" t="n"/>
      <c r="AI267" s="2627" t="n"/>
      <c r="AJ267" s="2627" t="n"/>
      <c r="AK267" s="2627" t="n"/>
      <c r="AL267" s="2627" t="n"/>
      <c r="AM267" s="2627" t="n"/>
      <c r="AN267" s="2627" t="n"/>
      <c r="AO267" s="2627" t="n"/>
      <c r="AP267" s="2627" t="n"/>
      <c r="AQ267" s="1436" t="n"/>
      <c r="AR267" s="1436" t="n"/>
      <c r="AS267" s="2627" t="n"/>
      <c r="AU267" s="1436" t="n"/>
      <c r="AV267" s="1436" t="n"/>
      <c r="AW267" s="1436" t="n"/>
      <c r="AX267" s="1436" t="n"/>
      <c r="AY267" s="1436" t="n"/>
      <c r="AZ267" s="1436" t="n"/>
      <c r="BA267" s="1436" t="n"/>
      <c r="BB267" s="1436" t="n"/>
      <c r="BC267" s="1436" t="n"/>
      <c r="BD267" s="1436" t="n"/>
      <c r="BE267" s="1436" t="n"/>
      <c r="BF267" s="1436" t="n"/>
      <c r="BG267" s="2627" t="n"/>
      <c r="BI267" s="1436" t="n"/>
      <c r="BJ267" s="1436" t="n"/>
      <c r="BK267" s="1436" t="n"/>
      <c r="BL267" s="1436" t="n"/>
      <c r="BM267" s="1436" t="n"/>
      <c r="BN267" s="1436" t="n"/>
      <c r="BO267" s="1436" t="n"/>
      <c r="BP267" s="1436" t="n"/>
      <c r="BQ267" s="1436" t="n"/>
      <c r="BR267" s="1436" t="n"/>
      <c r="BS267" s="1436" t="n"/>
      <c r="BT267" s="1436" t="n"/>
      <c r="BU267" s="2627" t="n"/>
    </row>
    <row r="268">
      <c r="A268" s="1436" t="n"/>
      <c r="B268" s="1486" t="n"/>
      <c r="C268" s="1456" t="n"/>
      <c r="D268" s="2627" t="n"/>
      <c r="E268" s="2627" t="n"/>
      <c r="F268" s="2627" t="n"/>
      <c r="G268" s="2627" t="n"/>
      <c r="H268" s="2627" t="n"/>
      <c r="I268" s="2627" t="n"/>
      <c r="J268" s="2627" t="n"/>
      <c r="K268" s="2627" t="n"/>
      <c r="L268" s="2627" t="n"/>
      <c r="M268" s="2627" t="n"/>
      <c r="N268" s="2627" t="n"/>
      <c r="O268" s="2627" t="n"/>
      <c r="P268" s="2627" t="n"/>
      <c r="Q268" s="1436" t="n"/>
      <c r="R268" s="1436" t="n"/>
      <c r="S268" s="2627" t="n"/>
      <c r="T268" s="2627" t="n"/>
      <c r="U268" s="2627" t="n"/>
      <c r="V268" s="2627" t="n"/>
      <c r="W268" s="2627" t="n"/>
      <c r="X268" s="2627" t="n"/>
      <c r="Y268" s="2627" t="n"/>
      <c r="Z268" s="2627" t="n"/>
      <c r="AA268" s="2627" t="n"/>
      <c r="AB268" s="2627" t="n"/>
      <c r="AC268" s="2627" t="n"/>
      <c r="AD268" s="2627" t="n"/>
      <c r="AE268" s="2627" t="n"/>
      <c r="AF268" s="1436" t="n"/>
      <c r="AG268" s="2627" t="n"/>
      <c r="AH268" s="2627" t="n"/>
      <c r="AI268" s="2627" t="n"/>
      <c r="AJ268" s="2627" t="n"/>
      <c r="AK268" s="2627" t="n"/>
      <c r="AL268" s="2627" t="n"/>
      <c r="AM268" s="2627" t="n"/>
      <c r="AN268" s="2627" t="n"/>
      <c r="AO268" s="2627" t="n"/>
      <c r="AP268" s="2627" t="n"/>
      <c r="AQ268" s="1436" t="n"/>
      <c r="AR268" s="1436" t="n"/>
      <c r="AS268" s="2627" t="n"/>
      <c r="AU268" s="1436" t="n"/>
      <c r="AV268" s="1436" t="n"/>
      <c r="AW268" s="1436" t="n"/>
      <c r="AX268" s="1436" t="n"/>
      <c r="AY268" s="1436" t="n"/>
      <c r="AZ268" s="1436" t="n"/>
      <c r="BA268" s="1436" t="n"/>
      <c r="BB268" s="1436" t="n"/>
      <c r="BC268" s="1436" t="n"/>
      <c r="BD268" s="1436" t="n"/>
      <c r="BE268" s="1436" t="n"/>
      <c r="BF268" s="1436" t="n"/>
      <c r="BG268" s="2627" t="n"/>
      <c r="BI268" s="1436" t="n"/>
      <c r="BJ268" s="1436" t="n"/>
      <c r="BK268" s="1436" t="n"/>
      <c r="BL268" s="1436" t="n"/>
      <c r="BM268" s="1436" t="n"/>
      <c r="BN268" s="1436" t="n"/>
      <c r="BO268" s="1436" t="n"/>
      <c r="BP268" s="1436" t="n"/>
      <c r="BQ268" s="1436" t="n"/>
      <c r="BR268" s="1436" t="n"/>
      <c r="BS268" s="1436" t="n"/>
      <c r="BT268" s="1436" t="n"/>
      <c r="BU268" s="2627" t="n"/>
    </row>
    <row r="269">
      <c r="A269" s="1436" t="n"/>
      <c r="B269" s="1486" t="n"/>
      <c r="C269" s="1456" t="n"/>
      <c r="D269" s="2627" t="n"/>
      <c r="E269" s="2627" t="n"/>
      <c r="F269" s="2627" t="n"/>
      <c r="G269" s="2627" t="n"/>
      <c r="H269" s="2627" t="n"/>
      <c r="I269" s="2627" t="n"/>
      <c r="J269" s="2627" t="n"/>
      <c r="K269" s="2627" t="n"/>
      <c r="L269" s="2627" t="n"/>
      <c r="M269" s="2627" t="n"/>
      <c r="N269" s="2627" t="n"/>
      <c r="O269" s="2627" t="n"/>
      <c r="P269" s="2627" t="n"/>
      <c r="Q269" s="1436" t="n"/>
      <c r="R269" s="1436" t="n"/>
      <c r="S269" s="2627" t="n"/>
      <c r="T269" s="2627" t="n"/>
      <c r="U269" s="2627" t="n"/>
      <c r="V269" s="2627" t="n"/>
      <c r="W269" s="2627" t="n"/>
      <c r="X269" s="2627" t="n"/>
      <c r="Y269" s="2627" t="n"/>
      <c r="Z269" s="2627" t="n"/>
      <c r="AA269" s="2627" t="n"/>
      <c r="AB269" s="2627" t="n"/>
      <c r="AC269" s="2627" t="n"/>
      <c r="AD269" s="2627" t="n"/>
      <c r="AE269" s="2627" t="n"/>
      <c r="AF269" s="1436" t="n"/>
      <c r="AG269" s="2627" t="n"/>
      <c r="AH269" s="2627" t="n"/>
      <c r="AI269" s="2627" t="n"/>
      <c r="AJ269" s="2627" t="n"/>
      <c r="AK269" s="2627" t="n"/>
      <c r="AL269" s="2627" t="n"/>
      <c r="AM269" s="2627" t="n"/>
      <c r="AN269" s="2627" t="n"/>
      <c r="AO269" s="2627" t="n"/>
      <c r="AP269" s="2627" t="n"/>
      <c r="AQ269" s="1436" t="n"/>
      <c r="AR269" s="1436" t="n"/>
      <c r="AS269" s="2627" t="n"/>
      <c r="AU269" s="1436" t="n"/>
      <c r="AV269" s="1436" t="n"/>
      <c r="AW269" s="1436" t="n"/>
      <c r="AX269" s="1436" t="n"/>
      <c r="AY269" s="1436" t="n"/>
      <c r="AZ269" s="1436" t="n"/>
      <c r="BA269" s="1436" t="n"/>
      <c r="BB269" s="1436" t="n"/>
      <c r="BC269" s="1436" t="n"/>
      <c r="BD269" s="1436" t="n"/>
      <c r="BE269" s="1436" t="n"/>
      <c r="BF269" s="1436" t="n"/>
      <c r="BG269" s="2627" t="n"/>
      <c r="BI269" s="1436" t="n"/>
      <c r="BJ269" s="1436" t="n"/>
      <c r="BK269" s="1436" t="n"/>
      <c r="BL269" s="1436" t="n"/>
      <c r="BM269" s="1436" t="n"/>
      <c r="BN269" s="1436" t="n"/>
      <c r="BO269" s="1436" t="n"/>
      <c r="BP269" s="1436" t="n"/>
      <c r="BQ269" s="1436" t="n"/>
      <c r="BR269" s="1436" t="n"/>
      <c r="BS269" s="1436" t="n"/>
      <c r="BT269" s="1436" t="n"/>
      <c r="BU269" s="2627" t="n"/>
    </row>
    <row r="270">
      <c r="A270" s="1436" t="n"/>
      <c r="B270" s="1486" t="n"/>
      <c r="C270" s="1456" t="n"/>
      <c r="D270" s="2627" t="n"/>
      <c r="E270" s="2627" t="n"/>
      <c r="F270" s="2627" t="n"/>
      <c r="G270" s="2627" t="n"/>
      <c r="H270" s="2627" t="n"/>
      <c r="I270" s="2627" t="n"/>
      <c r="J270" s="2627" t="n"/>
      <c r="K270" s="2627" t="n"/>
      <c r="L270" s="2627" t="n"/>
      <c r="M270" s="2627" t="n"/>
      <c r="N270" s="2627" t="n"/>
      <c r="O270" s="2627" t="n"/>
      <c r="P270" s="2627" t="n"/>
      <c r="Q270" s="1436" t="n"/>
      <c r="R270" s="1436" t="n"/>
      <c r="S270" s="2627" t="n"/>
      <c r="T270" s="2627" t="n"/>
      <c r="U270" s="2627" t="n"/>
      <c r="V270" s="2627" t="n"/>
      <c r="W270" s="2627" t="n"/>
      <c r="X270" s="2627" t="n"/>
      <c r="Y270" s="2627" t="n"/>
      <c r="Z270" s="2627" t="n"/>
      <c r="AA270" s="2627" t="n"/>
      <c r="AB270" s="2627" t="n"/>
      <c r="AC270" s="2627" t="n"/>
      <c r="AD270" s="2627" t="n"/>
      <c r="AE270" s="2627" t="n"/>
      <c r="AF270" s="1436" t="n"/>
      <c r="AG270" s="2627" t="n"/>
      <c r="AH270" s="2627" t="n"/>
      <c r="AI270" s="2627" t="n"/>
      <c r="AJ270" s="2627" t="n"/>
      <c r="AK270" s="2627" t="n"/>
      <c r="AL270" s="2627" t="n"/>
      <c r="AM270" s="2627" t="n"/>
      <c r="AN270" s="2627" t="n"/>
      <c r="AO270" s="2627" t="n"/>
      <c r="AP270" s="2627" t="n"/>
      <c r="AQ270" s="1436" t="n"/>
      <c r="AR270" s="1436" t="n"/>
      <c r="AS270" s="2627" t="n"/>
      <c r="AU270" s="1436" t="n"/>
      <c r="AV270" s="1436" t="n"/>
      <c r="AW270" s="1436" t="n"/>
      <c r="AX270" s="1436" t="n"/>
      <c r="AY270" s="1436" t="n"/>
      <c r="AZ270" s="1436" t="n"/>
      <c r="BA270" s="1436" t="n"/>
      <c r="BB270" s="1436" t="n"/>
      <c r="BC270" s="1436" t="n"/>
      <c r="BD270" s="1436" t="n"/>
      <c r="BE270" s="1436" t="n"/>
      <c r="BF270" s="1436" t="n"/>
      <c r="BG270" s="2627" t="n"/>
      <c r="BI270" s="1436" t="n"/>
      <c r="BJ270" s="1436" t="n"/>
      <c r="BK270" s="1436" t="n"/>
      <c r="BL270" s="1436" t="n"/>
      <c r="BM270" s="1436" t="n"/>
      <c r="BN270" s="1436" t="n"/>
      <c r="BO270" s="1436" t="n"/>
      <c r="BP270" s="1436" t="n"/>
      <c r="BQ270" s="1436" t="n"/>
      <c r="BR270" s="1436" t="n"/>
      <c r="BS270" s="1436" t="n"/>
      <c r="BT270" s="1436" t="n"/>
      <c r="BU270" s="2627" t="n"/>
    </row>
    <row r="271">
      <c r="A271" s="1436" t="n"/>
      <c r="B271" s="1486" t="n"/>
      <c r="C271" s="1456" t="n"/>
      <c r="D271" s="2627" t="n"/>
      <c r="E271" s="2627" t="n"/>
      <c r="F271" s="2627" t="n"/>
      <c r="G271" s="2627" t="n"/>
      <c r="H271" s="2627" t="n"/>
      <c r="I271" s="2627" t="n"/>
      <c r="J271" s="2627" t="n"/>
      <c r="K271" s="2627" t="n"/>
      <c r="L271" s="2627" t="n"/>
      <c r="M271" s="2627" t="n"/>
      <c r="N271" s="2627" t="n"/>
      <c r="O271" s="2627" t="n"/>
      <c r="P271" s="2627" t="n"/>
      <c r="Q271" s="1436" t="n"/>
      <c r="R271" s="1436" t="n"/>
      <c r="S271" s="2627" t="n"/>
      <c r="T271" s="2627" t="n"/>
      <c r="U271" s="2627" t="n"/>
      <c r="V271" s="2627" t="n"/>
      <c r="W271" s="2627" t="n"/>
      <c r="X271" s="2627" t="n"/>
      <c r="Y271" s="2627" t="n"/>
      <c r="Z271" s="2627" t="n"/>
      <c r="AA271" s="2627" t="n"/>
      <c r="AB271" s="2627" t="n"/>
      <c r="AC271" s="2627" t="n"/>
      <c r="AD271" s="2627" t="n"/>
      <c r="AE271" s="2627" t="n"/>
      <c r="AF271" s="1436" t="n"/>
      <c r="AG271" s="2627" t="n"/>
      <c r="AH271" s="2627" t="n"/>
      <c r="AI271" s="2627" t="n"/>
      <c r="AJ271" s="2627" t="n"/>
      <c r="AK271" s="2627" t="n"/>
      <c r="AL271" s="2627" t="n"/>
      <c r="AM271" s="2627" t="n"/>
      <c r="AN271" s="2627" t="n"/>
      <c r="AO271" s="2627" t="n"/>
      <c r="AP271" s="2627" t="n"/>
      <c r="AQ271" s="1436" t="n"/>
      <c r="AR271" s="1436" t="n"/>
      <c r="AS271" s="2627" t="n"/>
      <c r="AU271" s="1436" t="n"/>
      <c r="AV271" s="1436" t="n"/>
      <c r="AW271" s="1436" t="n"/>
      <c r="AX271" s="1436" t="n"/>
      <c r="AY271" s="1436" t="n"/>
      <c r="AZ271" s="1436" t="n"/>
      <c r="BA271" s="1436" t="n"/>
      <c r="BB271" s="1436" t="n"/>
      <c r="BC271" s="1436" t="n"/>
      <c r="BD271" s="1436" t="n"/>
      <c r="BE271" s="1436" t="n"/>
      <c r="BF271" s="1436" t="n"/>
      <c r="BG271" s="2627" t="n"/>
      <c r="BI271" s="1436" t="n"/>
      <c r="BJ271" s="1436" t="n"/>
      <c r="BK271" s="1436" t="n"/>
      <c r="BL271" s="1436" t="n"/>
      <c r="BM271" s="1436" t="n"/>
      <c r="BN271" s="1436" t="n"/>
      <c r="BO271" s="1436" t="n"/>
      <c r="BP271" s="1436" t="n"/>
      <c r="BQ271" s="1436" t="n"/>
      <c r="BR271" s="1436" t="n"/>
      <c r="BS271" s="1436" t="n"/>
      <c r="BT271" s="1436" t="n"/>
      <c r="BU271" s="2627" t="n"/>
    </row>
    <row r="272">
      <c r="A272" s="1436" t="n"/>
      <c r="B272" s="1436" t="n"/>
      <c r="C272" s="1436" t="n"/>
      <c r="D272" s="2637" t="n"/>
      <c r="E272" s="2637" t="n"/>
      <c r="F272" s="2637" t="n"/>
      <c r="G272" s="2637" t="n"/>
      <c r="H272" s="2637" t="n"/>
      <c r="I272" s="2637" t="n"/>
      <c r="J272" s="2637" t="n"/>
      <c r="K272" s="2637" t="n"/>
      <c r="L272" s="2637" t="n"/>
      <c r="M272" s="2637" t="n"/>
      <c r="N272" s="2637" t="n"/>
      <c r="O272" s="2637" t="n"/>
      <c r="P272" s="2637" t="n"/>
      <c r="Q272" s="1436" t="n"/>
      <c r="R272" s="1436" t="n"/>
      <c r="S272" s="2637" t="n"/>
      <c r="T272" s="2637" t="n"/>
      <c r="U272" s="2637" t="n"/>
      <c r="V272" s="2637" t="n"/>
      <c r="W272" s="2637" t="n"/>
      <c r="X272" s="2637" t="n"/>
      <c r="Y272" s="2637" t="n"/>
      <c r="Z272" s="2637" t="n"/>
      <c r="AA272" s="2637" t="n"/>
      <c r="AB272" s="2637" t="n"/>
      <c r="AC272" s="2637" t="n"/>
      <c r="AD272" s="2637" t="n"/>
      <c r="AE272" s="2637" t="n"/>
      <c r="AF272" s="1436" t="n"/>
      <c r="AG272" s="2637" t="n"/>
      <c r="AH272" s="2637" t="n"/>
      <c r="AI272" s="2637" t="n"/>
      <c r="AJ272" s="2637" t="n"/>
      <c r="AK272" s="2637" t="n"/>
      <c r="AL272" s="2637" t="n"/>
      <c r="AM272" s="2637" t="n"/>
      <c r="AN272" s="2637" t="n"/>
      <c r="AO272" s="2637" t="n"/>
      <c r="AP272" s="2637" t="n"/>
      <c r="AQ272" s="1436" t="n"/>
      <c r="AR272" s="1436" t="n"/>
      <c r="AS272" s="2637" t="n"/>
      <c r="AU272" s="1436" t="n"/>
      <c r="AV272" s="1436" t="n"/>
      <c r="AW272" s="1436" t="n"/>
      <c r="AX272" s="1436" t="n"/>
      <c r="AY272" s="1436" t="n"/>
      <c r="AZ272" s="1436" t="n"/>
      <c r="BA272" s="1436" t="n"/>
      <c r="BB272" s="1436" t="n"/>
      <c r="BC272" s="1436" t="n"/>
      <c r="BD272" s="1436" t="n"/>
      <c r="BE272" s="1436" t="n"/>
      <c r="BF272" s="1436" t="n"/>
      <c r="BG272" s="2637" t="n"/>
      <c r="BI272" s="1436" t="n"/>
      <c r="BJ272" s="1436" t="n"/>
      <c r="BK272" s="1436" t="n"/>
      <c r="BL272" s="1436" t="n"/>
      <c r="BM272" s="1436" t="n"/>
      <c r="BN272" s="1436" t="n"/>
      <c r="BO272" s="1436" t="n"/>
      <c r="BP272" s="1436" t="n"/>
      <c r="BQ272" s="1436" t="n"/>
      <c r="BR272" s="1436" t="n"/>
      <c r="BS272" s="1436" t="n"/>
      <c r="BT272" s="1436" t="n"/>
      <c r="BU272" s="2637" t="n"/>
    </row>
    <row r="273">
      <c r="A273" s="1436" t="n"/>
      <c r="B273" s="1436" t="n"/>
      <c r="C273" s="1436" t="n"/>
      <c r="D273" s="1436" t="n"/>
      <c r="E273" s="1436" t="n"/>
      <c r="F273" s="1436" t="n"/>
      <c r="G273" s="1436" t="n"/>
      <c r="H273" s="1436" t="n"/>
      <c r="I273" s="1436" t="n"/>
      <c r="J273" s="1436" t="n"/>
      <c r="K273" s="1436" t="n"/>
      <c r="L273" s="1436" t="n"/>
      <c r="M273" s="1436" t="n"/>
      <c r="N273" s="1436" t="n"/>
      <c r="O273" s="1436" t="n"/>
      <c r="P273" s="1436" t="n"/>
      <c r="Q273" s="1436" t="n"/>
      <c r="R273" s="1436" t="n"/>
      <c r="S273" s="1436" t="n"/>
      <c r="T273" s="1436" t="n"/>
      <c r="U273" s="1436" t="n"/>
      <c r="V273" s="1436" t="n"/>
      <c r="W273" s="1436" t="n"/>
      <c r="X273" s="1436" t="n"/>
      <c r="Y273" s="1436" t="n"/>
      <c r="Z273" s="1436" t="n"/>
      <c r="AA273" s="1436" t="n"/>
      <c r="AB273" s="1436" t="n"/>
      <c r="AC273" s="1436" t="n"/>
      <c r="AD273" s="1436" t="n"/>
      <c r="AE273" s="1436" t="n"/>
      <c r="AF273" s="1436" t="n"/>
      <c r="AG273" s="1436" t="n"/>
      <c r="AH273" s="1436" t="n"/>
      <c r="AI273" s="1436" t="n"/>
      <c r="AJ273" s="1436" t="n"/>
      <c r="AK273" s="1436" t="n"/>
      <c r="AL273" s="1436" t="n"/>
      <c r="AM273" s="1436" t="n"/>
      <c r="AN273" s="1436" t="n"/>
      <c r="AO273" s="1436" t="n"/>
      <c r="AP273" s="1436" t="n"/>
      <c r="AQ273" s="1436" t="n"/>
      <c r="AR273" s="1436" t="n"/>
      <c r="AS273" s="1436" t="n"/>
      <c r="AU273" s="1436" t="n"/>
      <c r="AV273" s="1436" t="n"/>
      <c r="AW273" s="1436" t="n"/>
      <c r="AX273" s="1436" t="n"/>
      <c r="AY273" s="1436" t="n"/>
      <c r="AZ273" s="1436" t="n"/>
      <c r="BA273" s="1436" t="n"/>
      <c r="BB273" s="1436" t="n"/>
      <c r="BC273" s="1436" t="n"/>
      <c r="BD273" s="1436" t="n"/>
      <c r="BE273" s="1436" t="n"/>
      <c r="BF273" s="1436" t="n"/>
      <c r="BG273" s="1436" t="n"/>
      <c r="BI273" s="1436" t="n"/>
      <c r="BJ273" s="1436" t="n"/>
      <c r="BK273" s="1436" t="n"/>
      <c r="BL273" s="1436" t="n"/>
      <c r="BM273" s="1436" t="n"/>
      <c r="BN273" s="1436" t="n"/>
      <c r="BO273" s="1436" t="n"/>
      <c r="BP273" s="1436" t="n"/>
      <c r="BQ273" s="1436" t="n"/>
      <c r="BR273" s="1436" t="n"/>
      <c r="BS273" s="1436" t="n"/>
      <c r="BT273" s="1436" t="n"/>
      <c r="BU273" s="1436" t="n"/>
    </row>
    <row r="274">
      <c r="A274" s="1436" t="n"/>
      <c r="B274" s="1486" t="n"/>
      <c r="C274" s="1456" t="n"/>
      <c r="D274" s="2627" t="n"/>
      <c r="E274" s="2627" t="n"/>
      <c r="F274" s="2627" t="n"/>
      <c r="G274" s="2627" t="n"/>
      <c r="H274" s="2627" t="n"/>
      <c r="I274" s="2627" t="n"/>
      <c r="J274" s="2627" t="n"/>
      <c r="K274" s="2627" t="n"/>
      <c r="L274" s="2627" t="n"/>
      <c r="M274" s="2627" t="n"/>
      <c r="N274" s="2627" t="n"/>
      <c r="O274" s="2627" t="n"/>
      <c r="P274" s="2627" t="n"/>
      <c r="Q274" s="1436" t="n"/>
      <c r="R274" s="1436" t="n"/>
      <c r="S274" s="2627" t="n"/>
      <c r="T274" s="2627" t="n"/>
      <c r="U274" s="2627" t="n"/>
      <c r="V274" s="2627" t="n"/>
      <c r="W274" s="2627" t="n"/>
      <c r="X274" s="2627" t="n"/>
      <c r="Y274" s="2627" t="n"/>
      <c r="Z274" s="2627" t="n"/>
      <c r="AA274" s="2627" t="n"/>
      <c r="AB274" s="2627" t="n"/>
      <c r="AC274" s="2627" t="n"/>
      <c r="AD274" s="2627" t="n"/>
      <c r="AE274" s="2627" t="n"/>
      <c r="AF274" s="1436" t="n"/>
      <c r="AG274" s="2627" t="n"/>
      <c r="AH274" s="2627" t="n"/>
      <c r="AI274" s="2627" t="n"/>
      <c r="AJ274" s="2627" t="n"/>
      <c r="AK274" s="2627" t="n"/>
      <c r="AL274" s="2627" t="n"/>
      <c r="AM274" s="2627" t="n"/>
      <c r="AN274" s="2627" t="n"/>
      <c r="AO274" s="2627" t="n"/>
      <c r="AP274" s="2627" t="n"/>
      <c r="AS274" s="2627" t="n"/>
      <c r="BG274" s="2627" t="n"/>
      <c r="BU274" s="2627" t="n"/>
    </row>
    <row r="275">
      <c r="A275" s="1436" t="n"/>
      <c r="B275" s="1486" t="n"/>
      <c r="C275" s="1456" t="n"/>
      <c r="D275" s="2627" t="n"/>
      <c r="E275" s="2627" t="n"/>
      <c r="F275" s="2627" t="n"/>
      <c r="G275" s="2627" t="n"/>
      <c r="H275" s="2627" t="n"/>
      <c r="I275" s="2627" t="n"/>
      <c r="J275" s="2627" t="n"/>
      <c r="K275" s="2627" t="n"/>
      <c r="L275" s="2627" t="n"/>
      <c r="M275" s="2627" t="n"/>
      <c r="N275" s="2627" t="n"/>
      <c r="O275" s="2627" t="n"/>
      <c r="P275" s="2627" t="n"/>
      <c r="Q275" s="1436" t="n"/>
      <c r="R275" s="1436" t="n"/>
      <c r="S275" s="2627" t="n"/>
      <c r="T275" s="2627" t="n"/>
      <c r="U275" s="2627" t="n"/>
      <c r="V275" s="2627" t="n"/>
      <c r="W275" s="2627" t="n"/>
      <c r="X275" s="2627" t="n"/>
      <c r="Y275" s="2627" t="n"/>
      <c r="Z275" s="2627" t="n"/>
      <c r="AA275" s="2627" t="n"/>
      <c r="AB275" s="2627" t="n"/>
      <c r="AC275" s="2627" t="n"/>
      <c r="AD275" s="2627" t="n"/>
      <c r="AE275" s="2627" t="n"/>
      <c r="AF275" s="1436" t="n"/>
      <c r="AG275" s="2627" t="n"/>
      <c r="AH275" s="2627" t="n"/>
      <c r="AI275" s="2627" t="n"/>
      <c r="AJ275" s="2627" t="n"/>
      <c r="AK275" s="2627" t="n"/>
      <c r="AL275" s="2627" t="n"/>
      <c r="AM275" s="2627" t="n"/>
      <c r="AN275" s="2627" t="n"/>
      <c r="AO275" s="2627" t="n"/>
      <c r="AP275" s="2627" t="n"/>
      <c r="AS275" s="2627" t="n"/>
      <c r="BG275" s="2627" t="n"/>
      <c r="BU275" s="2627" t="n"/>
    </row>
    <row r="276">
      <c r="A276" s="1436" t="n"/>
      <c r="B276" s="1436" t="n"/>
      <c r="C276" s="1436" t="n"/>
      <c r="D276" s="2637" t="n"/>
      <c r="E276" s="2637" t="n"/>
      <c r="F276" s="2637" t="n"/>
      <c r="G276" s="2637" t="n"/>
      <c r="H276" s="2637" t="n"/>
      <c r="I276" s="2637" t="n"/>
      <c r="J276" s="2637" t="n"/>
      <c r="K276" s="2637" t="n"/>
      <c r="L276" s="2637" t="n"/>
      <c r="M276" s="2637" t="n"/>
      <c r="N276" s="2637" t="n"/>
      <c r="O276" s="2637" t="n"/>
      <c r="P276" s="2637" t="n"/>
      <c r="Q276" s="1436" t="n"/>
      <c r="R276" s="1436" t="n"/>
      <c r="S276" s="2637" t="n"/>
      <c r="T276" s="2637" t="n"/>
      <c r="U276" s="2637" t="n"/>
      <c r="V276" s="2637" t="n"/>
      <c r="W276" s="2637" t="n"/>
      <c r="X276" s="2637" t="n"/>
      <c r="Y276" s="2637" t="n"/>
      <c r="Z276" s="2637" t="n"/>
      <c r="AA276" s="2637" t="n"/>
      <c r="AB276" s="2637" t="n"/>
      <c r="AC276" s="2637" t="n"/>
      <c r="AD276" s="2637" t="n"/>
      <c r="AE276" s="2637" t="n"/>
      <c r="AF276" s="1436" t="n"/>
      <c r="AG276" s="2637" t="n"/>
      <c r="AH276" s="2637" t="n"/>
      <c r="AI276" s="2637" t="n"/>
      <c r="AJ276" s="2637" t="n"/>
      <c r="AK276" s="2637" t="n"/>
      <c r="AL276" s="2637" t="n"/>
      <c r="AM276" s="2637" t="n"/>
      <c r="AN276" s="2637" t="n"/>
      <c r="AO276" s="2637" t="n"/>
      <c r="AP276" s="2637" t="n"/>
      <c r="AS276" s="2637" t="n"/>
      <c r="BG276" s="2637" t="n"/>
      <c r="BU276" s="2637" t="n"/>
    </row>
    <row r="277">
      <c r="A277" s="1436" t="n"/>
      <c r="B277" s="1436" t="n"/>
      <c r="C277" s="1436" t="n"/>
      <c r="D277" s="1436" t="n"/>
      <c r="E277" s="1436" t="n"/>
      <c r="F277" s="1436" t="n"/>
      <c r="G277" s="1436" t="n"/>
      <c r="H277" s="1436" t="n"/>
      <c r="I277" s="1436" t="n"/>
      <c r="J277" s="1436" t="n"/>
      <c r="K277" s="1436" t="n"/>
      <c r="L277" s="1436" t="n"/>
      <c r="M277" s="1436" t="n"/>
      <c r="N277" s="1436" t="n"/>
      <c r="O277" s="1436" t="n"/>
      <c r="P277" s="1436" t="n"/>
      <c r="Q277" s="1436" t="n"/>
      <c r="R277" s="1436" t="n"/>
      <c r="S277" s="1436" t="n"/>
      <c r="T277" s="1436" t="n"/>
      <c r="U277" s="1436" t="n"/>
      <c r="V277" s="1436" t="n"/>
      <c r="W277" s="1436" t="n"/>
      <c r="X277" s="1436" t="n"/>
      <c r="Y277" s="1436" t="n"/>
      <c r="Z277" s="1436" t="n"/>
      <c r="AA277" s="1436" t="n"/>
      <c r="AB277" s="1436" t="n"/>
      <c r="AC277" s="1436" t="n"/>
      <c r="AD277" s="1436" t="n"/>
      <c r="AE277" s="1436" t="n"/>
      <c r="AF277" s="1436" t="n"/>
      <c r="AG277" s="1436" t="n"/>
      <c r="AH277" s="1436" t="n"/>
      <c r="AI277" s="1436" t="n"/>
      <c r="AJ277" s="1436" t="n"/>
      <c r="AK277" s="1436" t="n"/>
      <c r="AL277" s="1436" t="n"/>
      <c r="AM277" s="1436" t="n"/>
      <c r="AN277" s="1436" t="n"/>
      <c r="AO277" s="1436" t="n"/>
      <c r="AP277" s="1436" t="n"/>
      <c r="AS277" s="1436" t="n"/>
      <c r="BG277" s="1436" t="n"/>
      <c r="BU277" s="1436" t="n"/>
    </row>
    <row r="278">
      <c r="A278" s="1436" t="n"/>
      <c r="B278" s="1436" t="n"/>
      <c r="C278" s="1436" t="n"/>
      <c r="D278" s="1436" t="n"/>
      <c r="E278" s="1436" t="n"/>
      <c r="F278" s="1436" t="n"/>
      <c r="G278" s="1436" t="n"/>
      <c r="H278" s="1436" t="n"/>
      <c r="I278" s="1436" t="n"/>
      <c r="J278" s="1436" t="n"/>
      <c r="K278" s="1436" t="n"/>
      <c r="L278" s="1436" t="n"/>
      <c r="M278" s="1436" t="n"/>
      <c r="N278" s="1436" t="n"/>
      <c r="O278" s="1436" t="n"/>
      <c r="P278" s="1436" t="n"/>
      <c r="Q278" s="1436" t="n"/>
      <c r="R278" s="1436" t="n"/>
      <c r="S278" s="1436" t="n"/>
      <c r="T278" s="1436" t="n"/>
      <c r="U278" s="1436" t="n"/>
      <c r="V278" s="1436" t="n"/>
      <c r="W278" s="1436" t="n"/>
      <c r="X278" s="1436" t="n"/>
      <c r="Y278" s="1436" t="n"/>
      <c r="Z278" s="1436" t="n"/>
      <c r="AA278" s="1436" t="n"/>
      <c r="AB278" s="1436" t="n"/>
      <c r="AC278" s="1436" t="n"/>
      <c r="AD278" s="1436" t="n"/>
      <c r="AE278" s="1436" t="n"/>
      <c r="AF278" s="1436" t="n"/>
      <c r="AG278" s="1436" t="n"/>
      <c r="AH278" s="1436" t="n"/>
      <c r="AI278" s="1436" t="n"/>
      <c r="AJ278" s="1436" t="n"/>
      <c r="AK278" s="1436" t="n"/>
      <c r="AL278" s="1436" t="n"/>
      <c r="AM278" s="1436" t="n"/>
      <c r="AN278" s="1436" t="n"/>
      <c r="AO278" s="1436" t="n"/>
      <c r="AP278" s="1436" t="n"/>
      <c r="AS278" s="1436" t="n"/>
      <c r="BG278" s="1436" t="n"/>
      <c r="BU278" s="1436" t="n"/>
    </row>
    <row r="279">
      <c r="A279" s="1436" t="n"/>
      <c r="B279" s="1436" t="n"/>
      <c r="C279" s="1436" t="n"/>
      <c r="D279" s="1436" t="n"/>
      <c r="E279" s="1436" t="n"/>
      <c r="F279" s="1436" t="n"/>
      <c r="G279" s="1436" t="n"/>
      <c r="H279" s="1436" t="n"/>
      <c r="I279" s="1436" t="n"/>
      <c r="J279" s="1436" t="n"/>
      <c r="K279" s="1436" t="n"/>
      <c r="L279" s="1436" t="n"/>
      <c r="M279" s="1436" t="n"/>
      <c r="N279" s="1436" t="n"/>
      <c r="O279" s="1436" t="n"/>
      <c r="P279" s="1436" t="n"/>
      <c r="Q279" s="1436" t="n"/>
      <c r="R279" s="1436" t="n"/>
      <c r="S279" s="1436" t="n"/>
      <c r="T279" s="1436" t="n"/>
      <c r="U279" s="1436" t="n"/>
      <c r="V279" s="1436" t="n"/>
      <c r="W279" s="1436" t="n"/>
      <c r="X279" s="1436" t="n"/>
      <c r="Y279" s="1436" t="n"/>
      <c r="Z279" s="1436" t="n"/>
      <c r="AA279" s="1436" t="n"/>
      <c r="AB279" s="1436" t="n"/>
      <c r="AC279" s="1436" t="n"/>
      <c r="AD279" s="1436" t="n"/>
      <c r="AE279" s="1436" t="n"/>
      <c r="AF279" s="1436" t="n"/>
      <c r="AG279" s="1436" t="n"/>
      <c r="AH279" s="1436" t="n"/>
      <c r="AI279" s="1436" t="n"/>
      <c r="AJ279" s="1436" t="n"/>
      <c r="AK279" s="1436" t="n"/>
      <c r="AL279" s="1436" t="n"/>
      <c r="AM279" s="1436" t="n"/>
      <c r="AN279" s="1436" t="n"/>
      <c r="AO279" s="1436" t="n"/>
      <c r="AP279" s="1436" t="n"/>
      <c r="AS279" s="1436" t="n"/>
      <c r="BG279" s="1436" t="n"/>
      <c r="BU279" s="1436" t="n"/>
    </row>
    <row r="280">
      <c r="A280" s="1436" t="n"/>
      <c r="B280" s="1436" t="n"/>
      <c r="C280" s="1436" t="n"/>
      <c r="D280" s="1436" t="n"/>
      <c r="E280" s="1436" t="n"/>
      <c r="F280" s="1436" t="n"/>
      <c r="G280" s="1436" t="n"/>
      <c r="H280" s="1436" t="n"/>
      <c r="I280" s="1436" t="n"/>
      <c r="J280" s="1436" t="n"/>
      <c r="K280" s="1436" t="n"/>
      <c r="L280" s="1436" t="n"/>
      <c r="M280" s="1436" t="n"/>
      <c r="N280" s="1436" t="n"/>
      <c r="O280" s="1436" t="n"/>
      <c r="P280" s="1436" t="n"/>
      <c r="Q280" s="1436" t="n"/>
      <c r="R280" s="1436" t="n"/>
      <c r="S280" s="1436" t="n"/>
      <c r="T280" s="1436" t="n"/>
      <c r="U280" s="1436" t="n"/>
      <c r="V280" s="1436" t="n"/>
      <c r="W280" s="1436" t="n"/>
      <c r="X280" s="1436" t="n"/>
      <c r="Y280" s="1436" t="n"/>
      <c r="Z280" s="1436" t="n"/>
      <c r="AA280" s="1436" t="n"/>
      <c r="AB280" s="1436" t="n"/>
      <c r="AC280" s="1436" t="n"/>
      <c r="AD280" s="1436" t="n"/>
      <c r="AE280" s="1436" t="n"/>
      <c r="AF280" s="1436" t="n"/>
      <c r="AG280" s="1436" t="n"/>
      <c r="AH280" s="1436" t="n"/>
      <c r="AI280" s="1436" t="n"/>
      <c r="AJ280" s="1436" t="n"/>
      <c r="AK280" s="1436" t="n"/>
      <c r="AL280" s="1436" t="n"/>
      <c r="AM280" s="1436" t="n"/>
      <c r="AN280" s="1436" t="n"/>
      <c r="AO280" s="1436" t="n"/>
      <c r="AP280" s="1436" t="n"/>
      <c r="AS280" s="1436" t="n"/>
      <c r="BG280" s="1436" t="n"/>
      <c r="BU280" s="1436" t="n"/>
    </row>
    <row r="281">
      <c r="A281" s="1436" t="n"/>
      <c r="B281" s="1436" t="n"/>
      <c r="C281" s="1436" t="n"/>
      <c r="D281" s="1436" t="n"/>
      <c r="E281" s="1436" t="n"/>
      <c r="F281" s="1436" t="n"/>
      <c r="G281" s="1436" t="n"/>
      <c r="H281" s="1436" t="n"/>
      <c r="I281" s="1436" t="n"/>
      <c r="J281" s="1436" t="n"/>
      <c r="K281" s="1436" t="n"/>
      <c r="L281" s="1436" t="n"/>
      <c r="M281" s="1436" t="n"/>
      <c r="N281" s="1436" t="n"/>
      <c r="O281" s="1436" t="n"/>
      <c r="P281" s="1436" t="n"/>
      <c r="Q281" s="1436" t="n"/>
      <c r="R281" s="1436" t="n"/>
      <c r="S281" s="1436" t="n"/>
      <c r="T281" s="1436" t="n"/>
      <c r="U281" s="1436" t="n"/>
      <c r="V281" s="1436" t="n"/>
      <c r="W281" s="1436" t="n"/>
      <c r="X281" s="1436" t="n"/>
      <c r="Y281" s="1436" t="n"/>
      <c r="Z281" s="1436" t="n"/>
      <c r="AA281" s="1436" t="n"/>
      <c r="AB281" s="1436" t="n"/>
      <c r="AC281" s="1436" t="n"/>
      <c r="AD281" s="1436" t="n"/>
      <c r="AE281" s="1436" t="n"/>
      <c r="AF281" s="1436" t="n"/>
      <c r="AG281" s="1436" t="n"/>
      <c r="AH281" s="1436" t="n"/>
      <c r="AI281" s="1436" t="n"/>
      <c r="AJ281" s="1436" t="n"/>
      <c r="AK281" s="1436" t="n"/>
      <c r="AL281" s="1436" t="n"/>
      <c r="AM281" s="1436" t="n"/>
      <c r="AN281" s="1436" t="n"/>
      <c r="AO281" s="1436" t="n"/>
      <c r="AP281" s="1436" t="n"/>
      <c r="AS281" s="1436" t="n"/>
      <c r="BG281" s="1436" t="n"/>
      <c r="BU281" s="1436" t="n"/>
    </row>
    <row r="282">
      <c r="A282" s="1436" t="n"/>
      <c r="B282" s="1436" t="n"/>
      <c r="C282" s="1436" t="n"/>
      <c r="D282" s="1436" t="n"/>
      <c r="E282" s="1436" t="n"/>
      <c r="F282" s="1436" t="n"/>
      <c r="G282" s="1436" t="n"/>
      <c r="H282" s="1436" t="n"/>
      <c r="I282" s="1436" t="n"/>
      <c r="J282" s="1436" t="n"/>
      <c r="K282" s="1436" t="n"/>
      <c r="L282" s="1436" t="n"/>
      <c r="M282" s="1436" t="n"/>
      <c r="N282" s="1436" t="n"/>
      <c r="O282" s="1436" t="n"/>
      <c r="P282" s="1436" t="n"/>
      <c r="Q282" s="1436" t="n"/>
      <c r="R282" s="1436" t="n"/>
      <c r="S282" s="1436" t="n"/>
      <c r="T282" s="1436" t="n"/>
      <c r="U282" s="1436" t="n"/>
      <c r="V282" s="1436" t="n"/>
      <c r="W282" s="1436" t="n"/>
      <c r="X282" s="1436" t="n"/>
      <c r="Y282" s="1436" t="n"/>
      <c r="Z282" s="1436" t="n"/>
      <c r="AA282" s="1436" t="n"/>
      <c r="AB282" s="1436" t="n"/>
      <c r="AC282" s="1436" t="n"/>
      <c r="AD282" s="1436" t="n"/>
      <c r="AE282" s="1436" t="n"/>
      <c r="AF282" s="1436" t="n"/>
      <c r="AG282" s="1436" t="n"/>
      <c r="AH282" s="1436" t="n"/>
      <c r="AI282" s="1436" t="n"/>
      <c r="AJ282" s="1436" t="n"/>
      <c r="AK282" s="1436" t="n"/>
      <c r="AL282" s="1436" t="n"/>
      <c r="AM282" s="1436" t="n"/>
      <c r="AN282" s="1436" t="n"/>
      <c r="AO282" s="1436" t="n"/>
      <c r="AP282" s="1436" t="n"/>
      <c r="AS282" s="1436" t="n"/>
      <c r="BG282" s="1436" t="n"/>
      <c r="BU282" s="1436" t="n"/>
    </row>
    <row r="283">
      <c r="A283" s="1436" t="n"/>
      <c r="B283" s="1436" t="n"/>
      <c r="C283" s="1436" t="n"/>
      <c r="D283" s="1436" t="n"/>
      <c r="E283" s="1436" t="n"/>
      <c r="F283" s="1436" t="n"/>
      <c r="G283" s="1436" t="n"/>
      <c r="H283" s="1436" t="n"/>
      <c r="I283" s="1436" t="n"/>
      <c r="J283" s="1436" t="n"/>
      <c r="K283" s="1436" t="n"/>
      <c r="L283" s="1436" t="n"/>
      <c r="M283" s="1436" t="n"/>
      <c r="N283" s="1436" t="n"/>
      <c r="O283" s="1436" t="n"/>
      <c r="P283" s="1436" t="n"/>
      <c r="Q283" s="1436" t="n"/>
      <c r="R283" s="1436" t="n"/>
      <c r="S283" s="1436" t="n"/>
      <c r="T283" s="1436" t="n"/>
      <c r="U283" s="1436" t="n"/>
      <c r="V283" s="1436" t="n"/>
      <c r="W283" s="1436" t="n"/>
      <c r="X283" s="1436" t="n"/>
      <c r="Y283" s="1436" t="n"/>
      <c r="Z283" s="1436" t="n"/>
      <c r="AA283" s="1436" t="n"/>
      <c r="AB283" s="1436" t="n"/>
      <c r="AC283" s="1436" t="n"/>
      <c r="AD283" s="1436" t="n"/>
      <c r="AE283" s="1436" t="n"/>
      <c r="AF283" s="1436" t="n"/>
      <c r="AG283" s="1436" t="n"/>
      <c r="AH283" s="1436" t="n"/>
      <c r="AI283" s="1436" t="n"/>
      <c r="AJ283" s="1436" t="n"/>
      <c r="AK283" s="1436" t="n"/>
      <c r="AL283" s="1436" t="n"/>
      <c r="AM283" s="1436" t="n"/>
      <c r="AN283" s="1436" t="n"/>
      <c r="AO283" s="1436" t="n"/>
      <c r="AP283" s="1436" t="n"/>
      <c r="AS283" s="1436" t="n"/>
      <c r="BG283" s="1436" t="n"/>
      <c r="BU283" s="1436" t="n"/>
    </row>
    <row r="284">
      <c r="A284" s="1436" t="n"/>
      <c r="B284" s="1436" t="n"/>
      <c r="C284" s="1436" t="n"/>
      <c r="D284" s="1436" t="n"/>
      <c r="E284" s="1436" t="n"/>
      <c r="F284" s="1436" t="n"/>
      <c r="G284" s="1436" t="n"/>
      <c r="H284" s="1436" t="n"/>
      <c r="I284" s="1436" t="n"/>
      <c r="J284" s="1436" t="n"/>
      <c r="K284" s="1436" t="n"/>
      <c r="L284" s="1436" t="n"/>
      <c r="M284" s="1436" t="n"/>
      <c r="N284" s="1436" t="n"/>
      <c r="O284" s="1436" t="n"/>
      <c r="P284" s="1436" t="n"/>
      <c r="Q284" s="1436" t="n"/>
      <c r="R284" s="1436" t="n"/>
      <c r="S284" s="1436" t="n"/>
      <c r="T284" s="1436" t="n"/>
      <c r="U284" s="1436" t="n"/>
      <c r="V284" s="1436" t="n"/>
      <c r="W284" s="1436" t="n"/>
      <c r="X284" s="1436" t="n"/>
      <c r="Y284" s="1436" t="n"/>
      <c r="Z284" s="1436" t="n"/>
      <c r="AA284" s="1436" t="n"/>
      <c r="AB284" s="1436" t="n"/>
      <c r="AC284" s="1436" t="n"/>
      <c r="AD284" s="1436" t="n"/>
      <c r="AE284" s="1436" t="n"/>
      <c r="AF284" s="1436" t="n"/>
      <c r="AG284" s="1436" t="n"/>
      <c r="AH284" s="1436" t="n"/>
      <c r="AI284" s="1436" t="n"/>
      <c r="AJ284" s="1436" t="n"/>
      <c r="AK284" s="1436" t="n"/>
      <c r="AL284" s="1436" t="n"/>
      <c r="AM284" s="1436" t="n"/>
      <c r="AN284" s="1436" t="n"/>
      <c r="AO284" s="1436" t="n"/>
      <c r="AP284" s="1436" t="n"/>
      <c r="AS284" s="1436" t="n"/>
      <c r="BG284" s="1436" t="n"/>
      <c r="BU284" s="1436" t="n"/>
    </row>
    <row r="285">
      <c r="A285" s="1436" t="n"/>
      <c r="B285" s="1436" t="n"/>
      <c r="C285" s="1436" t="n"/>
      <c r="D285" s="1436" t="n"/>
      <c r="E285" s="1436" t="n"/>
      <c r="F285" s="1436" t="n"/>
      <c r="G285" s="1436" t="n"/>
      <c r="H285" s="1436" t="n"/>
      <c r="I285" s="1436" t="n"/>
      <c r="J285" s="1436" t="n"/>
      <c r="K285" s="1436" t="n"/>
      <c r="L285" s="1436" t="n"/>
      <c r="M285" s="1436" t="n"/>
      <c r="N285" s="1436" t="n"/>
      <c r="O285" s="1436" t="n"/>
      <c r="P285" s="1436" t="n"/>
      <c r="Q285" s="1436" t="n"/>
      <c r="R285" s="1436" t="n"/>
      <c r="S285" s="1436" t="n"/>
      <c r="T285" s="1436" t="n"/>
      <c r="U285" s="1436" t="n"/>
      <c r="V285" s="1436" t="n"/>
      <c r="W285" s="1436" t="n"/>
      <c r="X285" s="1436" t="n"/>
      <c r="Y285" s="1436" t="n"/>
      <c r="Z285" s="1436" t="n"/>
      <c r="AA285" s="1436" t="n"/>
      <c r="AB285" s="1436" t="n"/>
      <c r="AC285" s="1436" t="n"/>
      <c r="AD285" s="1436" t="n"/>
      <c r="AE285" s="1436" t="n"/>
      <c r="AF285" s="1436" t="n"/>
      <c r="AG285" s="1436" t="n"/>
      <c r="AH285" s="1436" t="n"/>
      <c r="AI285" s="1436" t="n"/>
      <c r="AJ285" s="1436" t="n"/>
      <c r="AK285" s="1436" t="n"/>
      <c r="AL285" s="1436" t="n"/>
      <c r="AM285" s="1436" t="n"/>
      <c r="AN285" s="1436" t="n"/>
      <c r="AO285" s="1436" t="n"/>
      <c r="AP285" s="1436" t="n"/>
      <c r="AS285" s="1436" t="n"/>
      <c r="BG285" s="1436" t="n"/>
      <c r="BU285" s="1436" t="n"/>
    </row>
    <row r="286">
      <c r="A286" s="1436" t="n"/>
      <c r="B286" s="1436" t="n"/>
      <c r="C286" s="1436" t="n"/>
      <c r="D286" s="1436" t="n"/>
      <c r="E286" s="1436" t="n"/>
      <c r="F286" s="1436" t="n"/>
      <c r="G286" s="1436" t="n"/>
      <c r="H286" s="1436" t="n"/>
      <c r="I286" s="1436" t="n"/>
      <c r="J286" s="1436" t="n"/>
      <c r="K286" s="1436" t="n"/>
      <c r="L286" s="1436" t="n"/>
      <c r="M286" s="1436" t="n"/>
      <c r="N286" s="1436" t="n"/>
      <c r="O286" s="1436" t="n"/>
      <c r="P286" s="1436" t="n"/>
      <c r="Q286" s="1436" t="n"/>
      <c r="R286" s="1436" t="n"/>
      <c r="S286" s="1436" t="n"/>
      <c r="T286" s="1436" t="n"/>
      <c r="U286" s="1436" t="n"/>
      <c r="V286" s="1436" t="n"/>
      <c r="W286" s="1436" t="n"/>
      <c r="X286" s="1436" t="n"/>
      <c r="Y286" s="1436" t="n"/>
      <c r="Z286" s="1436" t="n"/>
      <c r="AA286" s="1436" t="n"/>
      <c r="AB286" s="1436" t="n"/>
      <c r="AC286" s="1436" t="n"/>
      <c r="AD286" s="1436" t="n"/>
      <c r="AE286" s="1436" t="n"/>
      <c r="AF286" s="1436" t="n"/>
      <c r="AG286" s="1436" t="n"/>
      <c r="AH286" s="1436" t="n"/>
      <c r="AI286" s="1436" t="n"/>
      <c r="AJ286" s="1436" t="n"/>
      <c r="AK286" s="1436" t="n"/>
      <c r="AL286" s="1436" t="n"/>
      <c r="AM286" s="1436" t="n"/>
      <c r="AN286" s="1436" t="n"/>
      <c r="AO286" s="1436" t="n"/>
      <c r="AP286" s="1436" t="n"/>
      <c r="AS286" s="1436" t="n"/>
      <c r="BG286" s="1436" t="n"/>
      <c r="BU286" s="1436" t="n"/>
    </row>
    <row r="287">
      <c r="A287" s="1436" t="n"/>
      <c r="B287" s="1436" t="n"/>
      <c r="C287" s="1436" t="n"/>
      <c r="D287" s="1436" t="n"/>
      <c r="E287" s="1436" t="n"/>
      <c r="F287" s="1436" t="n"/>
      <c r="G287" s="1436" t="n"/>
      <c r="H287" s="1436" t="n"/>
      <c r="I287" s="1436" t="n"/>
      <c r="J287" s="1436" t="n"/>
      <c r="K287" s="1436" t="n"/>
      <c r="L287" s="1436" t="n"/>
      <c r="M287" s="1436" t="n"/>
      <c r="N287" s="1436" t="n"/>
      <c r="O287" s="1436" t="n"/>
      <c r="P287" s="1436" t="n"/>
      <c r="Q287" s="1436" t="n"/>
      <c r="R287" s="1436" t="n"/>
      <c r="S287" s="1436" t="n"/>
      <c r="T287" s="1436" t="n"/>
      <c r="U287" s="1436" t="n"/>
      <c r="V287" s="1436" t="n"/>
      <c r="W287" s="1436" t="n"/>
      <c r="X287" s="1436" t="n"/>
      <c r="Y287" s="1436" t="n"/>
      <c r="Z287" s="1436" t="n"/>
      <c r="AA287" s="1436" t="n"/>
      <c r="AB287" s="1436" t="n"/>
      <c r="AC287" s="1436" t="n"/>
      <c r="AD287" s="1436" t="n"/>
      <c r="AE287" s="1436" t="n"/>
      <c r="AF287" s="1436" t="n"/>
      <c r="AG287" s="1436" t="n"/>
      <c r="AH287" s="1436" t="n"/>
      <c r="AI287" s="1436" t="n"/>
      <c r="AJ287" s="1436" t="n"/>
      <c r="AK287" s="1436" t="n"/>
      <c r="AL287" s="1436" t="n"/>
      <c r="AM287" s="1436" t="n"/>
      <c r="AN287" s="1436" t="n"/>
      <c r="AO287" s="1436" t="n"/>
      <c r="AP287" s="1436" t="n"/>
      <c r="AS287" s="1436" t="n"/>
      <c r="BG287" s="1436" t="n"/>
      <c r="BU287" s="1436" t="n"/>
    </row>
    <row r="288">
      <c r="A288" s="1436" t="n"/>
      <c r="B288" s="1436" t="n"/>
      <c r="C288" s="1436" t="n"/>
      <c r="D288" s="1436" t="n"/>
      <c r="E288" s="1436" t="n"/>
      <c r="F288" s="1436" t="n"/>
      <c r="G288" s="1436" t="n"/>
      <c r="H288" s="1436" t="n"/>
      <c r="I288" s="1436" t="n"/>
      <c r="J288" s="1436" t="n"/>
      <c r="K288" s="1436" t="n"/>
      <c r="L288" s="1436" t="n"/>
      <c r="M288" s="1436" t="n"/>
      <c r="N288" s="1436" t="n"/>
      <c r="O288" s="1436" t="n"/>
      <c r="P288" s="1436" t="n"/>
      <c r="Q288" s="1436" t="n"/>
      <c r="R288" s="1436" t="n"/>
      <c r="S288" s="1436" t="n"/>
      <c r="T288" s="1436" t="n"/>
      <c r="U288" s="1436" t="n"/>
      <c r="V288" s="1436" t="n"/>
      <c r="W288" s="1436" t="n"/>
      <c r="X288" s="1436" t="n"/>
      <c r="Y288" s="1436" t="n"/>
      <c r="Z288" s="1436" t="n"/>
      <c r="AA288" s="1436" t="n"/>
      <c r="AB288" s="1436" t="n"/>
      <c r="AC288" s="1436" t="n"/>
      <c r="AD288" s="1436" t="n"/>
      <c r="AE288" s="1436" t="n"/>
      <c r="AF288" s="1436" t="n"/>
      <c r="AG288" s="1436" t="n"/>
      <c r="AH288" s="1436" t="n"/>
      <c r="AI288" s="1436" t="n"/>
      <c r="AJ288" s="1436" t="n"/>
      <c r="AK288" s="1436" t="n"/>
      <c r="AL288" s="1436" t="n"/>
      <c r="AM288" s="1436" t="n"/>
      <c r="AN288" s="1436" t="n"/>
      <c r="AO288" s="1436" t="n"/>
      <c r="AP288" s="1436" t="n"/>
      <c r="AS288" s="1436" t="n"/>
      <c r="BG288" s="1436" t="n"/>
      <c r="BU288" s="1436" t="n"/>
    </row>
    <row r="289">
      <c r="A289" s="1436" t="n"/>
      <c r="B289" s="1436" t="n"/>
      <c r="C289" s="1436" t="n"/>
      <c r="D289" s="1436" t="n"/>
      <c r="E289" s="1436" t="n"/>
      <c r="F289" s="1436" t="n"/>
      <c r="G289" s="1436" t="n"/>
      <c r="H289" s="1436" t="n"/>
      <c r="I289" s="1436" t="n"/>
      <c r="J289" s="1436" t="n"/>
      <c r="K289" s="1436" t="n"/>
      <c r="L289" s="1436" t="n"/>
      <c r="M289" s="1436" t="n"/>
      <c r="N289" s="1436" t="n"/>
      <c r="O289" s="1436" t="n"/>
      <c r="P289" s="1436" t="n"/>
      <c r="Q289" s="1436" t="n"/>
      <c r="R289" s="1436" t="n"/>
      <c r="S289" s="1436" t="n"/>
      <c r="T289" s="1436" t="n"/>
      <c r="U289" s="1436" t="n"/>
      <c r="V289" s="1436" t="n"/>
      <c r="W289" s="1436" t="n"/>
      <c r="X289" s="1436" t="n"/>
      <c r="Y289" s="1436" t="n"/>
      <c r="Z289" s="1436" t="n"/>
      <c r="AA289" s="1436" t="n"/>
      <c r="AB289" s="1436" t="n"/>
      <c r="AC289" s="1436" t="n"/>
      <c r="AD289" s="1436" t="n"/>
      <c r="AE289" s="1436" t="n"/>
      <c r="AF289" s="1436" t="n"/>
      <c r="AG289" s="1436" t="n"/>
      <c r="AH289" s="1436" t="n"/>
      <c r="AI289" s="1436" t="n"/>
      <c r="AJ289" s="1436" t="n"/>
      <c r="AK289" s="1436" t="n"/>
      <c r="AL289" s="1436" t="n"/>
      <c r="AM289" s="1436" t="n"/>
      <c r="AN289" s="1436" t="n"/>
      <c r="AO289" s="1436" t="n"/>
      <c r="AP289" s="1436" t="n"/>
      <c r="AS289" s="1436" t="n"/>
      <c r="BG289" s="1436" t="n"/>
      <c r="BU289" s="1436" t="n"/>
    </row>
    <row r="290">
      <c r="A290" s="1436" t="n"/>
      <c r="B290" s="1436" t="n"/>
      <c r="C290" s="1436" t="n"/>
      <c r="D290" s="1436" t="n"/>
      <c r="E290" s="1436" t="n"/>
      <c r="F290" s="1436" t="n"/>
      <c r="G290" s="1436" t="n"/>
      <c r="H290" s="1436" t="n"/>
      <c r="I290" s="1436" t="n"/>
      <c r="J290" s="1436" t="n"/>
      <c r="K290" s="1436" t="n"/>
      <c r="L290" s="1436" t="n"/>
      <c r="M290" s="1436" t="n"/>
      <c r="N290" s="1436" t="n"/>
      <c r="O290" s="1436" t="n"/>
      <c r="P290" s="1436" t="n"/>
      <c r="Q290" s="1436" t="n"/>
      <c r="R290" s="1436" t="n"/>
      <c r="S290" s="1436" t="n"/>
      <c r="T290" s="1436" t="n"/>
      <c r="U290" s="1436" t="n"/>
      <c r="V290" s="1436" t="n"/>
      <c r="W290" s="1436" t="n"/>
      <c r="X290" s="1436" t="n"/>
      <c r="Y290" s="1436" t="n"/>
      <c r="Z290" s="1436" t="n"/>
      <c r="AA290" s="1436" t="n"/>
      <c r="AB290" s="1436" t="n"/>
      <c r="AC290" s="1436" t="n"/>
      <c r="AD290" s="1436" t="n"/>
      <c r="AE290" s="1436" t="n"/>
      <c r="AF290" s="1436" t="n"/>
      <c r="AG290" s="1436" t="n"/>
      <c r="AH290" s="1436" t="n"/>
      <c r="AI290" s="1436" t="n"/>
      <c r="AJ290" s="1436" t="n"/>
      <c r="AK290" s="1436" t="n"/>
      <c r="AL290" s="1436" t="n"/>
      <c r="AM290" s="1436" t="n"/>
      <c r="AN290" s="1436" t="n"/>
      <c r="AO290" s="1436" t="n"/>
      <c r="AP290" s="1436" t="n"/>
      <c r="AS290" s="1436" t="n"/>
      <c r="BG290" s="1436" t="n"/>
      <c r="BU290" s="1436" t="n"/>
    </row>
    <row r="291">
      <c r="A291" s="1436" t="n"/>
      <c r="B291" s="1436" t="n"/>
      <c r="C291" s="1436" t="n"/>
      <c r="D291" s="1436" t="n"/>
      <c r="E291" s="1436" t="n"/>
      <c r="F291" s="1436" t="n"/>
      <c r="G291" s="1436" t="n"/>
      <c r="H291" s="1436" t="n"/>
      <c r="I291" s="1436" t="n"/>
      <c r="J291" s="1436" t="n"/>
      <c r="K291" s="1436" t="n"/>
      <c r="L291" s="1436" t="n"/>
      <c r="M291" s="1436" t="n"/>
      <c r="N291" s="1436" t="n"/>
      <c r="O291" s="1436" t="n"/>
      <c r="P291" s="1436" t="n"/>
      <c r="Q291" s="1436" t="n"/>
      <c r="R291" s="1436" t="n"/>
      <c r="S291" s="1436" t="n"/>
      <c r="T291" s="1436" t="n"/>
      <c r="U291" s="1436" t="n"/>
      <c r="V291" s="1436" t="n"/>
      <c r="W291" s="1436" t="n"/>
      <c r="X291" s="1436" t="n"/>
      <c r="Y291" s="1436" t="n"/>
      <c r="Z291" s="1436" t="n"/>
      <c r="AA291" s="1436" t="n"/>
      <c r="AB291" s="1436" t="n"/>
      <c r="AC291" s="1436" t="n"/>
      <c r="AD291" s="1436" t="n"/>
      <c r="AE291" s="1436" t="n"/>
      <c r="AF291" s="1436" t="n"/>
      <c r="AG291" s="1436" t="n"/>
      <c r="AH291" s="1436" t="n"/>
      <c r="AI291" s="1436" t="n"/>
      <c r="AJ291" s="1436" t="n"/>
      <c r="AK291" s="1436" t="n"/>
      <c r="AL291" s="1436" t="n"/>
      <c r="AM291" s="1436" t="n"/>
      <c r="AN291" s="1436" t="n"/>
      <c r="AO291" s="1436" t="n"/>
      <c r="AP291" s="1436" t="n"/>
      <c r="AS291" s="1436" t="n"/>
      <c r="BG291" s="1436" t="n"/>
      <c r="BU291" s="1436" t="n"/>
    </row>
    <row r="292">
      <c r="A292" s="1436" t="n"/>
      <c r="B292" s="1436" t="n"/>
      <c r="C292" s="1436" t="n"/>
      <c r="D292" s="1436" t="n"/>
      <c r="E292" s="1436" t="n"/>
      <c r="F292" s="1436" t="n"/>
      <c r="G292" s="1436" t="n"/>
      <c r="H292" s="1436" t="n"/>
      <c r="I292" s="1436" t="n"/>
      <c r="J292" s="1436" t="n"/>
      <c r="K292" s="1436" t="n"/>
      <c r="L292" s="1436" t="n"/>
      <c r="M292" s="1436" t="n"/>
      <c r="N292" s="1436" t="n"/>
      <c r="O292" s="1436" t="n"/>
      <c r="P292" s="1436" t="n"/>
      <c r="Q292" s="1436" t="n"/>
      <c r="R292" s="1436" t="n"/>
      <c r="S292" s="1436" t="n"/>
      <c r="T292" s="1436" t="n"/>
      <c r="U292" s="1436" t="n"/>
      <c r="V292" s="1436" t="n"/>
      <c r="W292" s="1436" t="n"/>
      <c r="X292" s="1436" t="n"/>
      <c r="Y292" s="1436" t="n"/>
      <c r="Z292" s="1436" t="n"/>
      <c r="AA292" s="1436" t="n"/>
      <c r="AB292" s="1436" t="n"/>
      <c r="AC292" s="1436" t="n"/>
      <c r="AD292" s="1436" t="n"/>
      <c r="AE292" s="1436" t="n"/>
      <c r="AF292" s="1436" t="n"/>
      <c r="AG292" s="1436" t="n"/>
      <c r="AH292" s="1436" t="n"/>
      <c r="AI292" s="1436" t="n"/>
      <c r="AJ292" s="1436" t="n"/>
      <c r="AK292" s="1436" t="n"/>
      <c r="AL292" s="1436" t="n"/>
      <c r="AM292" s="1436" t="n"/>
      <c r="AN292" s="1436" t="n"/>
      <c r="AO292" s="1436" t="n"/>
      <c r="AP292" s="1436" t="n"/>
      <c r="AS292" s="1436" t="n"/>
      <c r="BG292" s="1436" t="n"/>
      <c r="BU292" s="1436" t="n"/>
    </row>
    <row r="293">
      <c r="A293" s="1436" t="n"/>
      <c r="B293" s="1436" t="n"/>
      <c r="C293" s="1436" t="n"/>
      <c r="D293" s="1436" t="n"/>
      <c r="E293" s="1436" t="n"/>
      <c r="F293" s="1436" t="n"/>
      <c r="G293" s="1436" t="n"/>
      <c r="H293" s="1436" t="n"/>
      <c r="I293" s="1436" t="n"/>
      <c r="J293" s="1436" t="n"/>
      <c r="K293" s="1436" t="n"/>
      <c r="L293" s="1436" t="n"/>
      <c r="M293" s="1436" t="n"/>
      <c r="N293" s="1436" t="n"/>
      <c r="O293" s="1436" t="n"/>
      <c r="P293" s="1436" t="n"/>
      <c r="Q293" s="1436" t="n"/>
      <c r="R293" s="1436" t="n"/>
      <c r="S293" s="1436" t="n"/>
      <c r="T293" s="1436" t="n"/>
      <c r="U293" s="1436" t="n"/>
      <c r="V293" s="1436" t="n"/>
      <c r="W293" s="1436" t="n"/>
      <c r="X293" s="1436" t="n"/>
      <c r="Y293" s="1436" t="n"/>
      <c r="Z293" s="1436" t="n"/>
      <c r="AA293" s="1436" t="n"/>
      <c r="AB293" s="1436" t="n"/>
      <c r="AC293" s="1436" t="n"/>
      <c r="AD293" s="1436" t="n"/>
      <c r="AE293" s="1436" t="n"/>
      <c r="AF293" s="1436" t="n"/>
      <c r="AG293" s="1436" t="n"/>
      <c r="AH293" s="1436" t="n"/>
      <c r="AI293" s="1436" t="n"/>
      <c r="AJ293" s="1436" t="n"/>
      <c r="AK293" s="1436" t="n"/>
      <c r="AL293" s="1436" t="n"/>
      <c r="AM293" s="1436" t="n"/>
      <c r="AN293" s="1436" t="n"/>
      <c r="AO293" s="1436" t="n"/>
      <c r="AP293" s="1436" t="n"/>
      <c r="AS293" s="1436" t="n"/>
      <c r="BG293" s="1436" t="n"/>
      <c r="BU293" s="1436" t="n"/>
    </row>
    <row r="294">
      <c r="A294" s="1436" t="n"/>
      <c r="B294" s="1436" t="n"/>
      <c r="C294" s="1436" t="n"/>
      <c r="D294" s="1436" t="n"/>
      <c r="E294" s="1436" t="n"/>
      <c r="F294" s="1436" t="n"/>
      <c r="G294" s="1436" t="n"/>
      <c r="H294" s="1436" t="n"/>
      <c r="I294" s="1436" t="n"/>
      <c r="J294" s="1436" t="n"/>
      <c r="K294" s="1436" t="n"/>
      <c r="L294" s="1436" t="n"/>
      <c r="M294" s="1436" t="n"/>
      <c r="N294" s="1436" t="n"/>
      <c r="O294" s="1436" t="n"/>
      <c r="P294" s="1436" t="n"/>
      <c r="Q294" s="1436" t="n"/>
      <c r="R294" s="1436" t="n"/>
      <c r="S294" s="1436" t="n"/>
      <c r="T294" s="1436" t="n"/>
      <c r="U294" s="1436" t="n"/>
      <c r="V294" s="1436" t="n"/>
      <c r="W294" s="1436" t="n"/>
      <c r="X294" s="1436" t="n"/>
      <c r="Y294" s="1436" t="n"/>
      <c r="Z294" s="1436" t="n"/>
      <c r="AA294" s="1436" t="n"/>
      <c r="AB294" s="1436" t="n"/>
      <c r="AC294" s="1436" t="n"/>
      <c r="AD294" s="1436" t="n"/>
      <c r="AE294" s="1436" t="n"/>
      <c r="AF294" s="1436" t="n"/>
      <c r="AG294" s="1436" t="n"/>
      <c r="AH294" s="1436" t="n"/>
      <c r="AI294" s="1436" t="n"/>
      <c r="AJ294" s="1436" t="n"/>
      <c r="AK294" s="1436" t="n"/>
      <c r="AL294" s="1436" t="n"/>
      <c r="AM294" s="1436" t="n"/>
      <c r="AN294" s="1436" t="n"/>
      <c r="AO294" s="1436" t="n"/>
      <c r="AP294" s="1436" t="n"/>
      <c r="AS294" s="1436" t="n"/>
      <c r="BG294" s="1436" t="n"/>
      <c r="BU294" s="1436" t="n"/>
    </row>
    <row r="295">
      <c r="A295" s="1436" t="n"/>
      <c r="B295" s="1436" t="n"/>
      <c r="C295" s="1436" t="n"/>
      <c r="D295" s="1436" t="n"/>
      <c r="E295" s="1436" t="n"/>
      <c r="F295" s="1436" t="n"/>
      <c r="G295" s="1436" t="n"/>
      <c r="H295" s="1436" t="n"/>
      <c r="I295" s="1436" t="n"/>
      <c r="J295" s="1436" t="n"/>
      <c r="K295" s="1436" t="n"/>
      <c r="L295" s="1436" t="n"/>
      <c r="M295" s="1436" t="n"/>
      <c r="N295" s="1436" t="n"/>
      <c r="O295" s="1436" t="n"/>
      <c r="P295" s="1436" t="n"/>
      <c r="Q295" s="1436" t="n"/>
      <c r="R295" s="1436" t="n"/>
      <c r="S295" s="1436" t="n"/>
      <c r="T295" s="1436" t="n"/>
      <c r="U295" s="1436" t="n"/>
      <c r="V295" s="1436" t="n"/>
      <c r="W295" s="1436" t="n"/>
      <c r="X295" s="1436" t="n"/>
      <c r="Y295" s="1436" t="n"/>
      <c r="Z295" s="1436" t="n"/>
      <c r="AA295" s="1436" t="n"/>
      <c r="AB295" s="1436" t="n"/>
      <c r="AC295" s="1436" t="n"/>
      <c r="AD295" s="1436" t="n"/>
      <c r="AE295" s="1436" t="n"/>
      <c r="AF295" s="1436" t="n"/>
      <c r="AG295" s="1436" t="n"/>
      <c r="AH295" s="1436" t="n"/>
      <c r="AI295" s="1436" t="n"/>
      <c r="AJ295" s="1436" t="n"/>
      <c r="AK295" s="1436" t="n"/>
      <c r="AL295" s="1436" t="n"/>
      <c r="AM295" s="1436" t="n"/>
      <c r="AN295" s="1436" t="n"/>
      <c r="AO295" s="1436" t="n"/>
      <c r="AP295" s="1436" t="n"/>
      <c r="AS295" s="1436" t="n"/>
      <c r="BG295" s="1436" t="n"/>
      <c r="BU295" s="1436" t="n"/>
    </row>
    <row r="296">
      <c r="A296" s="1436" t="n"/>
      <c r="B296" s="1436" t="n"/>
      <c r="C296" s="1436" t="n"/>
      <c r="D296" s="1436" t="n"/>
      <c r="E296" s="1436" t="n"/>
      <c r="F296" s="1436" t="n"/>
      <c r="G296" s="1436" t="n"/>
      <c r="H296" s="1436" t="n"/>
      <c r="I296" s="1436" t="n"/>
      <c r="J296" s="1436" t="n"/>
      <c r="K296" s="1436" t="n"/>
      <c r="L296" s="1436" t="n"/>
      <c r="M296" s="1436" t="n"/>
      <c r="N296" s="1436" t="n"/>
      <c r="O296" s="1436" t="n"/>
      <c r="P296" s="1436" t="n"/>
      <c r="Q296" s="1436" t="n"/>
      <c r="R296" s="1436" t="n"/>
      <c r="S296" s="1436" t="n"/>
      <c r="T296" s="1436" t="n"/>
      <c r="U296" s="1436" t="n"/>
      <c r="V296" s="1436" t="n"/>
      <c r="W296" s="1436" t="n"/>
      <c r="X296" s="1436" t="n"/>
      <c r="Y296" s="1436" t="n"/>
      <c r="Z296" s="1436" t="n"/>
      <c r="AA296" s="1436" t="n"/>
      <c r="AB296" s="1436" t="n"/>
      <c r="AC296" s="1436" t="n"/>
      <c r="AD296" s="1436" t="n"/>
      <c r="AE296" s="1436" t="n"/>
      <c r="AF296" s="1436" t="n"/>
      <c r="AG296" s="1436" t="n"/>
      <c r="AH296" s="1436" t="n"/>
      <c r="AI296" s="1436" t="n"/>
      <c r="AJ296" s="1436" t="n"/>
      <c r="AK296" s="1436" t="n"/>
      <c r="AL296" s="1436" t="n"/>
      <c r="AM296" s="1436" t="n"/>
      <c r="AN296" s="1436" t="n"/>
      <c r="AO296" s="1436" t="n"/>
      <c r="AP296" s="1436" t="n"/>
      <c r="AS296" s="1436" t="n"/>
      <c r="BG296" s="1436" t="n"/>
      <c r="BU296" s="1436" t="n"/>
    </row>
    <row r="297">
      <c r="A297" s="1436" t="n"/>
      <c r="B297" s="1436" t="n"/>
      <c r="C297" s="1436" t="n"/>
      <c r="D297" s="1436" t="n"/>
      <c r="E297" s="1436" t="n"/>
      <c r="F297" s="1436" t="n"/>
      <c r="G297" s="1436" t="n"/>
      <c r="H297" s="1436" t="n"/>
      <c r="I297" s="1436" t="n"/>
      <c r="J297" s="1436" t="n"/>
      <c r="K297" s="1436" t="n"/>
      <c r="L297" s="1436" t="n"/>
      <c r="M297" s="1436" t="n"/>
      <c r="N297" s="1436" t="n"/>
      <c r="O297" s="1436" t="n"/>
      <c r="P297" s="1436" t="n"/>
      <c r="Q297" s="1436" t="n"/>
      <c r="R297" s="1436" t="n"/>
      <c r="S297" s="1436" t="n"/>
      <c r="T297" s="1436" t="n"/>
      <c r="U297" s="1436" t="n"/>
      <c r="V297" s="1436" t="n"/>
      <c r="W297" s="1436" t="n"/>
      <c r="X297" s="1436" t="n"/>
      <c r="Y297" s="1436" t="n"/>
      <c r="Z297" s="1436" t="n"/>
      <c r="AA297" s="1436" t="n"/>
      <c r="AB297" s="1436" t="n"/>
      <c r="AC297" s="1436" t="n"/>
      <c r="AD297" s="1436" t="n"/>
      <c r="AE297" s="1436" t="n"/>
      <c r="AF297" s="1436" t="n"/>
      <c r="AG297" s="1436" t="n"/>
      <c r="AH297" s="1436" t="n"/>
      <c r="AI297" s="1436" t="n"/>
      <c r="AJ297" s="1436" t="n"/>
      <c r="AK297" s="1436" t="n"/>
      <c r="AL297" s="1436" t="n"/>
      <c r="AM297" s="1436" t="n"/>
      <c r="AN297" s="1436" t="n"/>
      <c r="AO297" s="1436" t="n"/>
      <c r="AP297" s="1436" t="n"/>
      <c r="AS297" s="1436" t="n"/>
      <c r="BG297" s="1436" t="n"/>
      <c r="BU297" s="1436" t="n"/>
    </row>
    <row r="298">
      <c r="A298" s="1436" t="n"/>
      <c r="B298" s="1436" t="n"/>
      <c r="C298" s="1436" t="n"/>
      <c r="D298" s="1436" t="n"/>
      <c r="E298" s="1436" t="n"/>
      <c r="F298" s="1436" t="n"/>
      <c r="G298" s="1436" t="n"/>
      <c r="H298" s="1436" t="n"/>
      <c r="I298" s="1436" t="n"/>
      <c r="J298" s="1436" t="n"/>
      <c r="K298" s="1436" t="n"/>
      <c r="L298" s="1436" t="n"/>
      <c r="M298" s="1436" t="n"/>
      <c r="N298" s="1436" t="n"/>
      <c r="O298" s="1436" t="n"/>
      <c r="P298" s="1436" t="n"/>
      <c r="Q298" s="1436" t="n"/>
      <c r="R298" s="1436" t="n"/>
      <c r="S298" s="1436" t="n"/>
      <c r="T298" s="1436" t="n"/>
      <c r="U298" s="1436" t="n"/>
      <c r="V298" s="1436" t="n"/>
      <c r="W298" s="1436" t="n"/>
      <c r="X298" s="1436" t="n"/>
      <c r="Y298" s="1436" t="n"/>
      <c r="Z298" s="1436" t="n"/>
      <c r="AA298" s="1436" t="n"/>
      <c r="AB298" s="1436" t="n"/>
      <c r="AC298" s="1436" t="n"/>
      <c r="AD298" s="1436" t="n"/>
      <c r="AE298" s="1436" t="n"/>
      <c r="AF298" s="1436" t="n"/>
      <c r="AG298" s="1436" t="n"/>
      <c r="AH298" s="1436" t="n"/>
      <c r="AI298" s="1436" t="n"/>
      <c r="AJ298" s="1436" t="n"/>
      <c r="AK298" s="1436" t="n"/>
      <c r="AL298" s="1436" t="n"/>
      <c r="AM298" s="1436" t="n"/>
      <c r="AN298" s="1436" t="n"/>
      <c r="AO298" s="1436" t="n"/>
      <c r="AP298" s="1436" t="n"/>
      <c r="AS298" s="1436" t="n"/>
      <c r="BG298" s="1436" t="n"/>
      <c r="BU298" s="1436" t="n"/>
    </row>
    <row r="299">
      <c r="A299" s="1436" t="n"/>
      <c r="B299" s="1436" t="n"/>
      <c r="C299" s="1436" t="n"/>
      <c r="D299" s="1436" t="n"/>
      <c r="E299" s="1436" t="n"/>
      <c r="F299" s="1436" t="n"/>
      <c r="G299" s="1436" t="n"/>
      <c r="H299" s="1436" t="n"/>
      <c r="I299" s="1436" t="n"/>
      <c r="J299" s="1436" t="n"/>
      <c r="K299" s="1436" t="n"/>
      <c r="L299" s="1436" t="n"/>
      <c r="M299" s="1436" t="n"/>
      <c r="N299" s="1436" t="n"/>
      <c r="O299" s="1436" t="n"/>
      <c r="P299" s="1436" t="n"/>
      <c r="Q299" s="1436" t="n"/>
      <c r="R299" s="1436" t="n"/>
      <c r="S299" s="1436" t="n"/>
      <c r="T299" s="1436" t="n"/>
      <c r="U299" s="1436" t="n"/>
      <c r="V299" s="1436" t="n"/>
      <c r="W299" s="1436" t="n"/>
      <c r="X299" s="1436" t="n"/>
      <c r="Y299" s="1436" t="n"/>
      <c r="Z299" s="1436" t="n"/>
      <c r="AA299" s="1436" t="n"/>
      <c r="AB299" s="1436" t="n"/>
      <c r="AC299" s="1436" t="n"/>
      <c r="AD299" s="1436" t="n"/>
      <c r="AE299" s="1436" t="n"/>
      <c r="AF299" s="1436" t="n"/>
      <c r="AG299" s="1436" t="n"/>
      <c r="AH299" s="1436" t="n"/>
      <c r="AI299" s="1436" t="n"/>
      <c r="AJ299" s="1436" t="n"/>
      <c r="AK299" s="1436" t="n"/>
      <c r="AL299" s="1436" t="n"/>
      <c r="AM299" s="1436" t="n"/>
      <c r="AN299" s="1436" t="n"/>
      <c r="AO299" s="1436" t="n"/>
      <c r="AP299" s="1436" t="n"/>
      <c r="AS299" s="1436" t="n"/>
      <c r="BG299" s="1436" t="n"/>
      <c r="BU299" s="1436" t="n"/>
    </row>
    <row r="300">
      <c r="A300" s="1436" t="n"/>
      <c r="B300" s="1436" t="n"/>
      <c r="C300" s="1436" t="n"/>
      <c r="D300" s="1436" t="n"/>
      <c r="E300" s="1436" t="n"/>
      <c r="F300" s="1436" t="n"/>
      <c r="G300" s="1436" t="n"/>
      <c r="H300" s="1436" t="n"/>
      <c r="I300" s="1436" t="n"/>
      <c r="J300" s="1436" t="n"/>
      <c r="K300" s="1436" t="n"/>
      <c r="L300" s="1436" t="n"/>
      <c r="M300" s="1436" t="n"/>
      <c r="N300" s="1436" t="n"/>
      <c r="O300" s="1436" t="n"/>
      <c r="P300" s="1436" t="n"/>
      <c r="Q300" s="1436" t="n"/>
      <c r="R300" s="1436" t="n"/>
      <c r="S300" s="1436" t="n"/>
      <c r="T300" s="1436" t="n"/>
      <c r="U300" s="1436" t="n"/>
      <c r="V300" s="1436" t="n"/>
      <c r="W300" s="1436" t="n"/>
      <c r="X300" s="1436" t="n"/>
      <c r="Y300" s="1436" t="n"/>
      <c r="Z300" s="1436" t="n"/>
      <c r="AA300" s="1436" t="n"/>
      <c r="AB300" s="1436" t="n"/>
      <c r="AC300" s="1436" t="n"/>
      <c r="AD300" s="1436" t="n"/>
      <c r="AE300" s="1436" t="n"/>
      <c r="AF300" s="1436" t="n"/>
      <c r="AG300" s="1436" t="n"/>
      <c r="AH300" s="1436" t="n"/>
      <c r="AI300" s="1436" t="n"/>
      <c r="AJ300" s="1436" t="n"/>
      <c r="AK300" s="1436" t="n"/>
      <c r="AL300" s="1436" t="n"/>
      <c r="AM300" s="1436" t="n"/>
      <c r="AN300" s="1436" t="n"/>
      <c r="AO300" s="1436" t="n"/>
      <c r="AP300" s="1436" t="n"/>
      <c r="AS300" s="1436" t="n"/>
      <c r="BG300" s="1436" t="n"/>
      <c r="BU300" s="1436" t="n"/>
    </row>
    <row r="301">
      <c r="A301" s="1436" t="n"/>
      <c r="B301" s="1436" t="n"/>
      <c r="C301" s="1436" t="n"/>
      <c r="D301" s="1436" t="n"/>
      <c r="E301" s="1436" t="n"/>
      <c r="F301" s="1436" t="n"/>
      <c r="G301" s="1436" t="n"/>
      <c r="H301" s="1436" t="n"/>
      <c r="I301" s="1436" t="n"/>
      <c r="J301" s="1436" t="n"/>
      <c r="K301" s="1436" t="n"/>
      <c r="L301" s="1436" t="n"/>
      <c r="M301" s="1436" t="n"/>
      <c r="N301" s="1436" t="n"/>
      <c r="O301" s="1436" t="n"/>
      <c r="P301" s="1436" t="n"/>
      <c r="Q301" s="1436" t="n"/>
      <c r="R301" s="1436" t="n"/>
      <c r="S301" s="1436" t="n"/>
      <c r="T301" s="1436" t="n"/>
      <c r="U301" s="1436" t="n"/>
      <c r="V301" s="1436" t="n"/>
      <c r="W301" s="1436" t="n"/>
      <c r="X301" s="1436" t="n"/>
      <c r="Y301" s="1436" t="n"/>
      <c r="Z301" s="1436" t="n"/>
      <c r="AA301" s="1436" t="n"/>
      <c r="AB301" s="1436" t="n"/>
      <c r="AC301" s="1436" t="n"/>
      <c r="AD301" s="1436" t="n"/>
      <c r="AE301" s="1436" t="n"/>
      <c r="AF301" s="1436" t="n"/>
      <c r="AG301" s="1436" t="n"/>
      <c r="AH301" s="1436" t="n"/>
      <c r="AI301" s="1436" t="n"/>
      <c r="AJ301" s="1436" t="n"/>
      <c r="AK301" s="1436" t="n"/>
      <c r="AL301" s="1436" t="n"/>
      <c r="AM301" s="1436" t="n"/>
      <c r="AN301" s="1436" t="n"/>
      <c r="AO301" s="1436" t="n"/>
      <c r="AP301" s="1436" t="n"/>
      <c r="AS301" s="1436" t="n"/>
      <c r="BG301" s="1436" t="n"/>
      <c r="BU301" s="1436" t="n"/>
    </row>
    <row r="302">
      <c r="A302" s="1436" t="n"/>
      <c r="B302" s="1436" t="n"/>
      <c r="C302" s="1436" t="n"/>
      <c r="D302" s="1436" t="n"/>
      <c r="E302" s="1436" t="n"/>
      <c r="F302" s="1436" t="n"/>
      <c r="G302" s="1436" t="n"/>
      <c r="H302" s="1436" t="n"/>
      <c r="I302" s="1436" t="n"/>
      <c r="J302" s="1436" t="n"/>
      <c r="K302" s="1436" t="n"/>
      <c r="L302" s="1436" t="n"/>
      <c r="M302" s="1436" t="n"/>
      <c r="N302" s="1436" t="n"/>
      <c r="O302" s="1436" t="n"/>
      <c r="P302" s="1436" t="n"/>
      <c r="Q302" s="1436" t="n"/>
      <c r="R302" s="1436" t="n"/>
      <c r="S302" s="1436" t="n"/>
      <c r="T302" s="1436" t="n"/>
      <c r="U302" s="1436" t="n"/>
      <c r="V302" s="1436" t="n"/>
      <c r="W302" s="1436" t="n"/>
      <c r="X302" s="1436" t="n"/>
      <c r="Y302" s="1436" t="n"/>
      <c r="Z302" s="1436" t="n"/>
      <c r="AA302" s="1436" t="n"/>
      <c r="AB302" s="1436" t="n"/>
      <c r="AC302" s="1436" t="n"/>
      <c r="AD302" s="1436" t="n"/>
      <c r="AE302" s="1436" t="n"/>
      <c r="AF302" s="1436" t="n"/>
      <c r="AG302" s="1436" t="n"/>
      <c r="AH302" s="1436" t="n"/>
      <c r="AI302" s="1436" t="n"/>
      <c r="AJ302" s="1436" t="n"/>
      <c r="AK302" s="1436" t="n"/>
      <c r="AL302" s="1436" t="n"/>
      <c r="AM302" s="1436" t="n"/>
      <c r="AN302" s="1436" t="n"/>
      <c r="AO302" s="1436" t="n"/>
      <c r="AP302" s="1436" t="n"/>
      <c r="AS302" s="1436" t="n"/>
      <c r="BG302" s="1436" t="n"/>
      <c r="BU302" s="1436" t="n"/>
    </row>
    <row r="303">
      <c r="A303" s="1436" t="n"/>
      <c r="B303" s="1436" t="n"/>
      <c r="C303" s="1436" t="n"/>
      <c r="D303" s="1436" t="n"/>
      <c r="E303" s="1436" t="n"/>
      <c r="F303" s="1436" t="n"/>
      <c r="G303" s="1436" t="n"/>
      <c r="H303" s="1436" t="n"/>
      <c r="I303" s="1436" t="n"/>
      <c r="J303" s="1436" t="n"/>
      <c r="K303" s="1436" t="n"/>
      <c r="L303" s="1436" t="n"/>
      <c r="M303" s="1436" t="n"/>
      <c r="N303" s="1436" t="n"/>
      <c r="O303" s="1436" t="n"/>
      <c r="P303" s="1436" t="n"/>
      <c r="Q303" s="1436" t="n"/>
      <c r="R303" s="1436" t="n"/>
      <c r="S303" s="1436" t="n"/>
      <c r="T303" s="1436" t="n"/>
      <c r="U303" s="1436" t="n"/>
      <c r="V303" s="1436" t="n"/>
      <c r="W303" s="1436" t="n"/>
      <c r="X303" s="1436" t="n"/>
      <c r="Y303" s="1436" t="n"/>
      <c r="Z303" s="1436" t="n"/>
      <c r="AA303" s="1436" t="n"/>
      <c r="AB303" s="1436" t="n"/>
      <c r="AC303" s="1436" t="n"/>
      <c r="AD303" s="1436" t="n"/>
      <c r="AE303" s="1436" t="n"/>
      <c r="AF303" s="1436" t="n"/>
      <c r="AG303" s="1436" t="n"/>
      <c r="AH303" s="1436" t="n"/>
      <c r="AI303" s="1436" t="n"/>
      <c r="AJ303" s="1436" t="n"/>
      <c r="AK303" s="1436" t="n"/>
      <c r="AL303" s="1436" t="n"/>
      <c r="AM303" s="1436" t="n"/>
      <c r="AN303" s="1436" t="n"/>
      <c r="AO303" s="1436" t="n"/>
      <c r="AP303" s="1436" t="n"/>
      <c r="AS303" s="1436" t="n"/>
      <c r="BG303" s="1436" t="n"/>
      <c r="BU303" s="1436" t="n"/>
    </row>
    <row r="304">
      <c r="A304" s="1436" t="n"/>
      <c r="B304" s="1436" t="n"/>
      <c r="C304" s="1436" t="n"/>
      <c r="D304" s="1436" t="n"/>
      <c r="E304" s="1436" t="n"/>
      <c r="F304" s="1436" t="n"/>
      <c r="G304" s="1436" t="n"/>
      <c r="H304" s="1436" t="n"/>
      <c r="I304" s="1436" t="n"/>
      <c r="J304" s="1436" t="n"/>
      <c r="K304" s="1436" t="n"/>
      <c r="L304" s="1436" t="n"/>
      <c r="M304" s="1436" t="n"/>
      <c r="N304" s="1436" t="n"/>
      <c r="O304" s="1436" t="n"/>
      <c r="P304" s="1436" t="n"/>
      <c r="Q304" s="1436" t="n"/>
      <c r="R304" s="1436" t="n"/>
      <c r="S304" s="1436" t="n"/>
      <c r="T304" s="1436" t="n"/>
      <c r="U304" s="1436" t="n"/>
      <c r="V304" s="1436" t="n"/>
      <c r="W304" s="1436" t="n"/>
      <c r="X304" s="1436" t="n"/>
      <c r="Y304" s="1436" t="n"/>
      <c r="Z304" s="1436" t="n"/>
      <c r="AA304" s="1436" t="n"/>
      <c r="AB304" s="1436" t="n"/>
      <c r="AC304" s="1436" t="n"/>
      <c r="AD304" s="1436" t="n"/>
      <c r="AE304" s="1436" t="n"/>
      <c r="AF304" s="1436" t="n"/>
      <c r="AG304" s="1436" t="n"/>
      <c r="AH304" s="1436" t="n"/>
      <c r="AI304" s="1436" t="n"/>
      <c r="AJ304" s="1436" t="n"/>
      <c r="AK304" s="1436" t="n"/>
      <c r="AL304" s="1436" t="n"/>
      <c r="AM304" s="1436" t="n"/>
      <c r="AN304" s="1436" t="n"/>
      <c r="AO304" s="1436" t="n"/>
      <c r="AP304" s="1436" t="n"/>
      <c r="AS304" s="1436" t="n"/>
      <c r="BG304" s="1436" t="n"/>
      <c r="BU304" s="1436" t="n"/>
    </row>
    <row r="305">
      <c r="A305" s="1436" t="n"/>
      <c r="B305" s="1436" t="n"/>
      <c r="C305" s="1436" t="n"/>
      <c r="D305" s="1436" t="n"/>
      <c r="E305" s="1436" t="n"/>
      <c r="F305" s="1436" t="n"/>
      <c r="G305" s="1436" t="n"/>
      <c r="H305" s="1436" t="n"/>
      <c r="I305" s="1436" t="n"/>
      <c r="J305" s="1436" t="n"/>
      <c r="K305" s="1436" t="n"/>
      <c r="L305" s="1436" t="n"/>
      <c r="M305" s="1436" t="n"/>
      <c r="N305" s="1436" t="n"/>
      <c r="O305" s="1436" t="n"/>
      <c r="P305" s="1436" t="n"/>
      <c r="Q305" s="1436" t="n"/>
      <c r="R305" s="1436" t="n"/>
      <c r="S305" s="1436" t="n"/>
      <c r="T305" s="1436" t="n"/>
      <c r="U305" s="1436" t="n"/>
      <c r="V305" s="1436" t="n"/>
      <c r="W305" s="1436" t="n"/>
      <c r="X305" s="1436" t="n"/>
      <c r="Y305" s="1436" t="n"/>
      <c r="Z305" s="1436" t="n"/>
      <c r="AA305" s="1436" t="n"/>
      <c r="AB305" s="1436" t="n"/>
      <c r="AC305" s="1436" t="n"/>
      <c r="AD305" s="1436" t="n"/>
      <c r="AE305" s="1436" t="n"/>
      <c r="AF305" s="1436" t="n"/>
      <c r="AG305" s="1436" t="n"/>
      <c r="AH305" s="1436" t="n"/>
      <c r="AI305" s="1436" t="n"/>
      <c r="AJ305" s="1436" t="n"/>
      <c r="AK305" s="1436" t="n"/>
      <c r="AL305" s="1436" t="n"/>
      <c r="AM305" s="1436" t="n"/>
      <c r="AN305" s="1436" t="n"/>
      <c r="AO305" s="1436" t="n"/>
      <c r="AP305" s="1436" t="n"/>
      <c r="AS305" s="1436" t="n"/>
      <c r="BG305" s="1436" t="n"/>
      <c r="BU305" s="1436" t="n"/>
    </row>
    <row r="306">
      <c r="A306" s="1436" t="n"/>
      <c r="B306" s="1436" t="n"/>
      <c r="C306" s="1436" t="n"/>
      <c r="D306" s="1436" t="n"/>
      <c r="E306" s="1436" t="n"/>
      <c r="F306" s="1436" t="n"/>
      <c r="G306" s="1436" t="n"/>
      <c r="H306" s="1436" t="n"/>
      <c r="I306" s="1436" t="n"/>
      <c r="J306" s="1436" t="n"/>
      <c r="K306" s="1436" t="n"/>
      <c r="L306" s="1436" t="n"/>
      <c r="M306" s="1436" t="n"/>
      <c r="N306" s="1436" t="n"/>
      <c r="O306" s="1436" t="n"/>
      <c r="P306" s="1436" t="n"/>
      <c r="Q306" s="1436" t="n"/>
      <c r="R306" s="1436" t="n"/>
      <c r="S306" s="1436" t="n"/>
      <c r="T306" s="1436" t="n"/>
      <c r="U306" s="1436" t="n"/>
      <c r="V306" s="1436" t="n"/>
      <c r="W306" s="1436" t="n"/>
      <c r="X306" s="1436" t="n"/>
      <c r="Y306" s="1436" t="n"/>
      <c r="Z306" s="1436" t="n"/>
      <c r="AA306" s="1436" t="n"/>
      <c r="AB306" s="1436" t="n"/>
      <c r="AC306" s="1436" t="n"/>
      <c r="AD306" s="1436" t="n"/>
      <c r="AE306" s="1436" t="n"/>
      <c r="AF306" s="1436" t="n"/>
      <c r="AG306" s="1436" t="n"/>
      <c r="AH306" s="1436" t="n"/>
      <c r="AI306" s="1436" t="n"/>
      <c r="AJ306" s="1436" t="n"/>
      <c r="AK306" s="1436" t="n"/>
      <c r="AL306" s="1436" t="n"/>
      <c r="AM306" s="1436" t="n"/>
      <c r="AN306" s="1436" t="n"/>
      <c r="AO306" s="1436" t="n"/>
      <c r="AP306" s="1436" t="n"/>
      <c r="AS306" s="1436" t="n"/>
      <c r="BG306" s="1436" t="n"/>
      <c r="BU306" s="1436" t="n"/>
    </row>
    <row r="307">
      <c r="A307" s="1436" t="n"/>
      <c r="B307" s="1436" t="n"/>
      <c r="C307" s="1436" t="n"/>
      <c r="D307" s="1436" t="n"/>
      <c r="E307" s="1436" t="n"/>
      <c r="F307" s="1436" t="n"/>
      <c r="G307" s="1436" t="n"/>
      <c r="H307" s="1436" t="n"/>
      <c r="I307" s="1436" t="n"/>
      <c r="J307" s="1436" t="n"/>
      <c r="K307" s="1436" t="n"/>
      <c r="L307" s="1436" t="n"/>
      <c r="M307" s="1436" t="n"/>
      <c r="N307" s="1436" t="n"/>
      <c r="O307" s="1436" t="n"/>
      <c r="P307" s="1436" t="n"/>
      <c r="Q307" s="1436" t="n"/>
      <c r="R307" s="1436" t="n"/>
      <c r="S307" s="1436" t="n"/>
      <c r="T307" s="1436" t="n"/>
      <c r="U307" s="1436" t="n"/>
      <c r="V307" s="1436" t="n"/>
      <c r="W307" s="1436" t="n"/>
      <c r="X307" s="1436" t="n"/>
      <c r="Y307" s="1436" t="n"/>
      <c r="Z307" s="1436" t="n"/>
      <c r="AA307" s="1436" t="n"/>
      <c r="AB307" s="1436" t="n"/>
      <c r="AC307" s="1436" t="n"/>
      <c r="AD307" s="1436" t="n"/>
      <c r="AE307" s="1436" t="n"/>
      <c r="AF307" s="1436" t="n"/>
      <c r="AG307" s="1436" t="n"/>
      <c r="AH307" s="1436" t="n"/>
      <c r="AI307" s="1436" t="n"/>
      <c r="AJ307" s="1436" t="n"/>
      <c r="AK307" s="1436" t="n"/>
      <c r="AL307" s="1436" t="n"/>
      <c r="AM307" s="1436" t="n"/>
      <c r="AN307" s="1436" t="n"/>
      <c r="AO307" s="1436" t="n"/>
      <c r="AP307" s="1436" t="n"/>
      <c r="AS307" s="1436" t="n"/>
      <c r="BG307" s="1436" t="n"/>
      <c r="BU307" s="1436" t="n"/>
    </row>
    <row r="308">
      <c r="A308" s="1436" t="n"/>
      <c r="B308" s="1436" t="n"/>
      <c r="C308" s="1436" t="n"/>
      <c r="D308" s="1436" t="n"/>
      <c r="E308" s="1436" t="n"/>
      <c r="F308" s="1436" t="n"/>
      <c r="G308" s="1436" t="n"/>
      <c r="H308" s="1436" t="n"/>
      <c r="I308" s="1436" t="n"/>
      <c r="J308" s="1436" t="n"/>
      <c r="K308" s="1436" t="n"/>
      <c r="L308" s="1436" t="n"/>
      <c r="M308" s="1436" t="n"/>
      <c r="N308" s="1436" t="n"/>
      <c r="O308" s="1436" t="n"/>
      <c r="P308" s="1436" t="n"/>
      <c r="Q308" s="1436" t="n"/>
      <c r="R308" s="1436" t="n"/>
      <c r="S308" s="1436" t="n"/>
      <c r="T308" s="1436" t="n"/>
      <c r="U308" s="1436" t="n"/>
      <c r="V308" s="1436" t="n"/>
      <c r="W308" s="1436" t="n"/>
      <c r="X308" s="1436" t="n"/>
      <c r="Y308" s="1436" t="n"/>
      <c r="Z308" s="1436" t="n"/>
      <c r="AA308" s="1436" t="n"/>
      <c r="AB308" s="1436" t="n"/>
      <c r="AC308" s="1436" t="n"/>
      <c r="AD308" s="1436" t="n"/>
      <c r="AE308" s="1436" t="n"/>
      <c r="AF308" s="1436" t="n"/>
      <c r="AG308" s="1436" t="n"/>
      <c r="AH308" s="1436" t="n"/>
      <c r="AI308" s="1436" t="n"/>
      <c r="AJ308" s="1436" t="n"/>
      <c r="AK308" s="1436" t="n"/>
      <c r="AL308" s="1436" t="n"/>
      <c r="AM308" s="1436" t="n"/>
      <c r="AN308" s="1436" t="n"/>
      <c r="AO308" s="1436" t="n"/>
      <c r="AP308" s="1436" t="n"/>
      <c r="AS308" s="1436" t="n"/>
      <c r="BG308" s="1436" t="n"/>
      <c r="BU308" s="1436" t="n"/>
    </row>
    <row r="309">
      <c r="A309" s="1436" t="n"/>
      <c r="B309" s="1436" t="n"/>
      <c r="C309" s="1436" t="n"/>
      <c r="D309" s="1436" t="n"/>
      <c r="E309" s="1436" t="n"/>
      <c r="F309" s="1436" t="n"/>
      <c r="G309" s="1436" t="n"/>
      <c r="H309" s="1436" t="n"/>
      <c r="I309" s="1436" t="n"/>
      <c r="J309" s="1436" t="n"/>
      <c r="K309" s="1436" t="n"/>
      <c r="L309" s="1436" t="n"/>
      <c r="M309" s="1436" t="n"/>
      <c r="N309" s="1436" t="n"/>
      <c r="O309" s="1436" t="n"/>
      <c r="P309" s="1436" t="n"/>
      <c r="Q309" s="1436" t="n"/>
      <c r="R309" s="1436" t="n"/>
      <c r="S309" s="1436" t="n"/>
      <c r="T309" s="1436" t="n"/>
      <c r="U309" s="1436" t="n"/>
      <c r="V309" s="1436" t="n"/>
      <c r="W309" s="1436" t="n"/>
      <c r="X309" s="1436" t="n"/>
      <c r="Y309" s="1436" t="n"/>
      <c r="Z309" s="1436" t="n"/>
      <c r="AA309" s="1436" t="n"/>
      <c r="AB309" s="1436" t="n"/>
      <c r="AC309" s="1436" t="n"/>
      <c r="AD309" s="1436" t="n"/>
      <c r="AE309" s="1436" t="n"/>
      <c r="AF309" s="1436" t="n"/>
      <c r="AG309" s="1436" t="n"/>
      <c r="AH309" s="1436" t="n"/>
      <c r="AI309" s="1436" t="n"/>
      <c r="AJ309" s="1436" t="n"/>
      <c r="AK309" s="1436" t="n"/>
      <c r="AL309" s="1436" t="n"/>
      <c r="AM309" s="1436" t="n"/>
      <c r="AN309" s="1436" t="n"/>
      <c r="AO309" s="1436" t="n"/>
      <c r="AP309" s="1436" t="n"/>
      <c r="AS309" s="1436" t="n"/>
      <c r="BG309" s="1436" t="n"/>
      <c r="BU309" s="1436" t="n"/>
    </row>
    <row r="310">
      <c r="A310" s="1436" t="n"/>
      <c r="B310" s="1436" t="n"/>
      <c r="C310" s="1436" t="n"/>
      <c r="D310" s="1436" t="n"/>
      <c r="E310" s="1436" t="n"/>
      <c r="F310" s="1436" t="n"/>
      <c r="G310" s="1436" t="n"/>
      <c r="H310" s="1436" t="n"/>
      <c r="I310" s="1436" t="n"/>
      <c r="J310" s="1436" t="n"/>
      <c r="K310" s="1436" t="n"/>
      <c r="L310" s="1436" t="n"/>
      <c r="M310" s="1436" t="n"/>
      <c r="N310" s="1436" t="n"/>
      <c r="O310" s="1436" t="n"/>
      <c r="P310" s="1436" t="n"/>
      <c r="Q310" s="1436" t="n"/>
      <c r="R310" s="1436" t="n"/>
      <c r="S310" s="1436" t="n"/>
      <c r="T310" s="1436" t="n"/>
      <c r="U310" s="1436" t="n"/>
      <c r="V310" s="1436" t="n"/>
      <c r="W310" s="1436" t="n"/>
      <c r="X310" s="1436" t="n"/>
      <c r="Y310" s="1436" t="n"/>
      <c r="Z310" s="1436" t="n"/>
      <c r="AA310" s="1436" t="n"/>
      <c r="AB310" s="1436" t="n"/>
      <c r="AC310" s="1436" t="n"/>
      <c r="AD310" s="1436" t="n"/>
      <c r="AE310" s="1436" t="n"/>
      <c r="AF310" s="1436" t="n"/>
      <c r="AG310" s="1436" t="n"/>
      <c r="AH310" s="1436" t="n"/>
      <c r="AI310" s="1436" t="n"/>
      <c r="AJ310" s="1436" t="n"/>
      <c r="AK310" s="1436" t="n"/>
      <c r="AL310" s="1436" t="n"/>
      <c r="AM310" s="1436" t="n"/>
      <c r="AN310" s="1436" t="n"/>
      <c r="AO310" s="1436" t="n"/>
      <c r="AP310" s="1436" t="n"/>
      <c r="AS310" s="1436" t="n"/>
      <c r="BG310" s="1436" t="n"/>
      <c r="BU310" s="1436" t="n"/>
    </row>
    <row r="311">
      <c r="A311" s="1436" t="n"/>
      <c r="B311" s="1436" t="n"/>
      <c r="C311" s="1436" t="n"/>
      <c r="D311" s="1436" t="n"/>
      <c r="E311" s="1436" t="n"/>
      <c r="F311" s="1436" t="n"/>
      <c r="G311" s="1436" t="n"/>
      <c r="H311" s="1436" t="n"/>
      <c r="I311" s="1436" t="n"/>
      <c r="J311" s="1436" t="n"/>
      <c r="K311" s="1436" t="n"/>
      <c r="L311" s="1436" t="n"/>
      <c r="M311" s="1436" t="n"/>
      <c r="N311" s="1436" t="n"/>
      <c r="O311" s="1436" t="n"/>
      <c r="P311" s="1436" t="n"/>
      <c r="Q311" s="1436" t="n"/>
      <c r="R311" s="1436" t="n"/>
      <c r="S311" s="1436" t="n"/>
      <c r="T311" s="1436" t="n"/>
      <c r="U311" s="1436" t="n"/>
      <c r="V311" s="1436" t="n"/>
      <c r="W311" s="1436" t="n"/>
      <c r="X311" s="1436" t="n"/>
      <c r="Y311" s="1436" t="n"/>
      <c r="Z311" s="1436" t="n"/>
      <c r="AA311" s="1436" t="n"/>
      <c r="AB311" s="1436" t="n"/>
      <c r="AC311" s="1436" t="n"/>
      <c r="AD311" s="1436" t="n"/>
      <c r="AE311" s="1436" t="n"/>
      <c r="AF311" s="1436" t="n"/>
      <c r="AG311" s="1436" t="n"/>
      <c r="AH311" s="1436" t="n"/>
      <c r="AI311" s="1436" t="n"/>
      <c r="AJ311" s="1436" t="n"/>
      <c r="AK311" s="1436" t="n"/>
      <c r="AL311" s="1436" t="n"/>
      <c r="AM311" s="1436" t="n"/>
      <c r="AN311" s="1436" t="n"/>
      <c r="AO311" s="1436" t="n"/>
      <c r="AP311" s="1436" t="n"/>
      <c r="AS311" s="1436" t="n"/>
      <c r="BG311" s="1436" t="n"/>
      <c r="BU311" s="1436" t="n"/>
    </row>
    <row r="312">
      <c r="A312" s="1436" t="n"/>
      <c r="B312" s="1436" t="n"/>
      <c r="C312" s="1436" t="n"/>
      <c r="D312" s="1436" t="n"/>
      <c r="E312" s="1436" t="n"/>
      <c r="F312" s="1436" t="n"/>
      <c r="G312" s="1436" t="n"/>
      <c r="H312" s="1436" t="n"/>
      <c r="I312" s="1436" t="n"/>
      <c r="J312" s="1436" t="n"/>
      <c r="K312" s="1436" t="n"/>
      <c r="L312" s="1436" t="n"/>
      <c r="M312" s="1436" t="n"/>
      <c r="N312" s="1436" t="n"/>
      <c r="O312" s="1436" t="n"/>
      <c r="P312" s="1436" t="n"/>
      <c r="Q312" s="1436" t="n"/>
      <c r="R312" s="1436" t="n"/>
      <c r="S312" s="1436" t="n"/>
      <c r="T312" s="1436" t="n"/>
      <c r="U312" s="1436" t="n"/>
      <c r="V312" s="1436" t="n"/>
      <c r="W312" s="1436" t="n"/>
      <c r="X312" s="1436" t="n"/>
      <c r="Y312" s="1436" t="n"/>
      <c r="Z312" s="1436" t="n"/>
      <c r="AA312" s="1436" t="n"/>
      <c r="AB312" s="1436" t="n"/>
      <c r="AC312" s="1436" t="n"/>
      <c r="AD312" s="1436" t="n"/>
      <c r="AE312" s="1436" t="n"/>
      <c r="AF312" s="1436" t="n"/>
      <c r="AG312" s="1436" t="n"/>
      <c r="AH312" s="1436" t="n"/>
      <c r="AI312" s="1436" t="n"/>
      <c r="AJ312" s="1436" t="n"/>
      <c r="AK312" s="1436" t="n"/>
      <c r="AL312" s="1436" t="n"/>
      <c r="AM312" s="1436" t="n"/>
      <c r="AN312" s="1436" t="n"/>
      <c r="AO312" s="1436" t="n"/>
      <c r="AP312" s="1436" t="n"/>
      <c r="AS312" s="1436" t="n"/>
      <c r="BG312" s="1436" t="n"/>
      <c r="BU312" s="1436" t="n"/>
    </row>
    <row r="313">
      <c r="A313" s="1436" t="n"/>
      <c r="B313" s="1436" t="n"/>
      <c r="C313" s="1436" t="n"/>
      <c r="D313" s="1436" t="n"/>
      <c r="E313" s="1436" t="n"/>
      <c r="F313" s="1436" t="n"/>
      <c r="G313" s="1436" t="n"/>
      <c r="H313" s="1436" t="n"/>
      <c r="I313" s="1436" t="n"/>
      <c r="J313" s="1436" t="n"/>
      <c r="K313" s="1436" t="n"/>
      <c r="L313" s="1436" t="n"/>
      <c r="M313" s="1436" t="n"/>
      <c r="N313" s="1436" t="n"/>
      <c r="O313" s="1436" t="n"/>
      <c r="P313" s="1436" t="n"/>
      <c r="Q313" s="1436" t="n"/>
      <c r="R313" s="1436" t="n"/>
      <c r="S313" s="1436" t="n"/>
      <c r="T313" s="1436" t="n"/>
      <c r="U313" s="1436" t="n"/>
      <c r="V313" s="1436" t="n"/>
      <c r="W313" s="1436" t="n"/>
      <c r="X313" s="1436" t="n"/>
      <c r="Y313" s="1436" t="n"/>
      <c r="Z313" s="1436" t="n"/>
      <c r="AA313" s="1436" t="n"/>
      <c r="AB313" s="1436" t="n"/>
      <c r="AC313" s="1436" t="n"/>
      <c r="AD313" s="1436" t="n"/>
      <c r="AE313" s="1436" t="n"/>
      <c r="AF313" s="1436" t="n"/>
      <c r="AG313" s="1436" t="n"/>
      <c r="AH313" s="1436" t="n"/>
      <c r="AI313" s="1436" t="n"/>
      <c r="AJ313" s="1436" t="n"/>
      <c r="AK313" s="1436" t="n"/>
      <c r="AL313" s="1436" t="n"/>
      <c r="AM313" s="1436" t="n"/>
      <c r="AN313" s="1436" t="n"/>
      <c r="AO313" s="1436" t="n"/>
      <c r="AP313" s="1436" t="n"/>
      <c r="AS313" s="1436" t="n"/>
      <c r="BG313" s="1436" t="n"/>
      <c r="BU313" s="1436" t="n"/>
    </row>
    <row r="314">
      <c r="A314" s="1436" t="n"/>
      <c r="B314" s="1436" t="n"/>
      <c r="C314" s="1436" t="n"/>
      <c r="D314" s="1436" t="n"/>
      <c r="E314" s="1436" t="n"/>
      <c r="F314" s="1436" t="n"/>
      <c r="G314" s="1436" t="n"/>
      <c r="H314" s="1436" t="n"/>
      <c r="I314" s="1436" t="n"/>
      <c r="J314" s="1436" t="n"/>
      <c r="K314" s="1436" t="n"/>
      <c r="L314" s="1436" t="n"/>
      <c r="M314" s="1436" t="n"/>
      <c r="N314" s="1436" t="n"/>
      <c r="O314" s="1436" t="n"/>
      <c r="P314" s="1436" t="n"/>
      <c r="Q314" s="1436" t="n"/>
      <c r="R314" s="1436" t="n"/>
      <c r="S314" s="1436" t="n"/>
      <c r="T314" s="1436" t="n"/>
      <c r="U314" s="1436" t="n"/>
      <c r="V314" s="1436" t="n"/>
      <c r="W314" s="1436" t="n"/>
      <c r="X314" s="1436" t="n"/>
      <c r="Y314" s="1436" t="n"/>
      <c r="Z314" s="1436" t="n"/>
      <c r="AA314" s="1436" t="n"/>
      <c r="AB314" s="1436" t="n"/>
      <c r="AC314" s="1436" t="n"/>
      <c r="AD314" s="1436" t="n"/>
      <c r="AE314" s="1436" t="n"/>
      <c r="AF314" s="1436" t="n"/>
      <c r="AG314" s="1436" t="n"/>
      <c r="AH314" s="1436" t="n"/>
      <c r="AI314" s="1436" t="n"/>
      <c r="AJ314" s="1436" t="n"/>
      <c r="AK314" s="1436" t="n"/>
      <c r="AL314" s="1436" t="n"/>
      <c r="AM314" s="1436" t="n"/>
      <c r="AN314" s="1436" t="n"/>
      <c r="AO314" s="1436" t="n"/>
      <c r="AP314" s="1436" t="n"/>
      <c r="AS314" s="1436" t="n"/>
      <c r="BG314" s="1436" t="n"/>
      <c r="BU314" s="1436" t="n"/>
    </row>
    <row r="315">
      <c r="A315" s="1436" t="n"/>
      <c r="B315" s="1436" t="n"/>
      <c r="C315" s="1436" t="n"/>
      <c r="D315" s="1436" t="n"/>
      <c r="E315" s="1436" t="n"/>
      <c r="F315" s="1436" t="n"/>
      <c r="G315" s="1436" t="n"/>
      <c r="H315" s="1436" t="n"/>
      <c r="I315" s="1436" t="n"/>
      <c r="J315" s="1436" t="n"/>
      <c r="K315" s="1436" t="n"/>
      <c r="L315" s="1436" t="n"/>
      <c r="M315" s="1436" t="n"/>
      <c r="N315" s="1436" t="n"/>
      <c r="O315" s="1436" t="n"/>
      <c r="P315" s="1436" t="n"/>
      <c r="Q315" s="1436" t="n"/>
      <c r="R315" s="1436" t="n"/>
      <c r="S315" s="1436" t="n"/>
      <c r="T315" s="1436" t="n"/>
      <c r="U315" s="1436" t="n"/>
      <c r="V315" s="1436" t="n"/>
      <c r="W315" s="1436" t="n"/>
      <c r="X315" s="1436" t="n"/>
      <c r="Y315" s="1436" t="n"/>
      <c r="Z315" s="1436" t="n"/>
      <c r="AA315" s="1436" t="n"/>
      <c r="AB315" s="1436" t="n"/>
      <c r="AC315" s="1436" t="n"/>
      <c r="AD315" s="1436" t="n"/>
      <c r="AE315" s="1436" t="n"/>
      <c r="AF315" s="1436" t="n"/>
      <c r="AG315" s="1436" t="n"/>
      <c r="AH315" s="1436" t="n"/>
      <c r="AI315" s="1436" t="n"/>
      <c r="AJ315" s="1436" t="n"/>
      <c r="AK315" s="1436" t="n"/>
      <c r="AL315" s="1436" t="n"/>
      <c r="AM315" s="1436" t="n"/>
      <c r="AN315" s="1436" t="n"/>
      <c r="AO315" s="1436" t="n"/>
      <c r="AP315" s="1436" t="n"/>
      <c r="AS315" s="1436" t="n"/>
      <c r="BG315" s="1436" t="n"/>
      <c r="BU315" s="1436" t="n"/>
    </row>
    <row r="316">
      <c r="A316" s="1436" t="n"/>
      <c r="B316" s="1436" t="n"/>
      <c r="C316" s="1436" t="n"/>
      <c r="D316" s="1436" t="n"/>
      <c r="E316" s="1436" t="n"/>
      <c r="F316" s="1436" t="n"/>
      <c r="G316" s="1436" t="n"/>
      <c r="H316" s="1436" t="n"/>
      <c r="I316" s="1436" t="n"/>
      <c r="J316" s="1436" t="n"/>
      <c r="K316" s="1436" t="n"/>
      <c r="L316" s="1436" t="n"/>
      <c r="M316" s="1436" t="n"/>
      <c r="N316" s="1436" t="n"/>
      <c r="O316" s="1436" t="n"/>
      <c r="P316" s="1436" t="n"/>
      <c r="Q316" s="1436" t="n"/>
      <c r="R316" s="1436" t="n"/>
      <c r="S316" s="1436" t="n"/>
      <c r="T316" s="1436" t="n"/>
      <c r="U316" s="1436" t="n"/>
      <c r="V316" s="1436" t="n"/>
      <c r="W316" s="1436" t="n"/>
      <c r="X316" s="1436" t="n"/>
      <c r="Y316" s="1436" t="n"/>
      <c r="Z316" s="1436" t="n"/>
      <c r="AA316" s="1436" t="n"/>
      <c r="AB316" s="1436" t="n"/>
      <c r="AC316" s="1436" t="n"/>
      <c r="AD316" s="1436" t="n"/>
      <c r="AE316" s="1436" t="n"/>
      <c r="AF316" s="1436" t="n"/>
      <c r="AG316" s="1436" t="n"/>
      <c r="AH316" s="1436" t="n"/>
      <c r="AI316" s="1436" t="n"/>
      <c r="AJ316" s="1436" t="n"/>
      <c r="AK316" s="1436" t="n"/>
      <c r="AL316" s="1436" t="n"/>
      <c r="AM316" s="1436" t="n"/>
      <c r="AN316" s="1436" t="n"/>
      <c r="AO316" s="1436" t="n"/>
      <c r="AP316" s="1436" t="n"/>
      <c r="AS316" s="1436" t="n"/>
      <c r="BG316" s="1436" t="n"/>
      <c r="BU316" s="1436" t="n"/>
    </row>
    <row r="317">
      <c r="A317" s="1436" t="n"/>
      <c r="B317" s="1436" t="n"/>
      <c r="C317" s="1436" t="n"/>
      <c r="D317" s="1436" t="n"/>
      <c r="E317" s="1436" t="n"/>
      <c r="F317" s="1436" t="n"/>
      <c r="G317" s="1436" t="n"/>
      <c r="H317" s="1436" t="n"/>
      <c r="I317" s="1436" t="n"/>
      <c r="J317" s="1436" t="n"/>
      <c r="K317" s="1436" t="n"/>
      <c r="L317" s="1436" t="n"/>
      <c r="M317" s="1436" t="n"/>
      <c r="N317" s="1436" t="n"/>
      <c r="O317" s="1436" t="n"/>
      <c r="P317" s="1436" t="n"/>
      <c r="Q317" s="1436" t="n"/>
      <c r="R317" s="1436" t="n"/>
      <c r="S317" s="1436" t="n"/>
      <c r="T317" s="1436" t="n"/>
      <c r="U317" s="1436" t="n"/>
      <c r="V317" s="1436" t="n"/>
      <c r="W317" s="1436" t="n"/>
      <c r="X317" s="1436" t="n"/>
      <c r="Y317" s="1436" t="n"/>
      <c r="Z317" s="1436" t="n"/>
      <c r="AA317" s="1436" t="n"/>
      <c r="AB317" s="1436" t="n"/>
      <c r="AC317" s="1436" t="n"/>
      <c r="AD317" s="1436" t="n"/>
      <c r="AE317" s="1436" t="n"/>
      <c r="AF317" s="1436" t="n"/>
      <c r="AG317" s="1436" t="n"/>
      <c r="AH317" s="1436" t="n"/>
      <c r="AI317" s="1436" t="n"/>
      <c r="AJ317" s="1436" t="n"/>
      <c r="AK317" s="1436" t="n"/>
      <c r="AL317" s="1436" t="n"/>
      <c r="AM317" s="1436" t="n"/>
      <c r="AN317" s="1436" t="n"/>
      <c r="AO317" s="1436" t="n"/>
      <c r="AP317" s="1436" t="n"/>
      <c r="AS317" s="1436" t="n"/>
      <c r="BG317" s="1436" t="n"/>
      <c r="BU317" s="1436" t="n"/>
    </row>
    <row r="318">
      <c r="A318" s="1436" t="n"/>
      <c r="B318" s="1436" t="n"/>
      <c r="C318" s="1436" t="n"/>
      <c r="D318" s="1436" t="n"/>
      <c r="E318" s="1436" t="n"/>
      <c r="F318" s="1436" t="n"/>
      <c r="G318" s="1436" t="n"/>
      <c r="H318" s="1436" t="n"/>
      <c r="I318" s="1436" t="n"/>
      <c r="J318" s="1436" t="n"/>
      <c r="K318" s="1436" t="n"/>
      <c r="L318" s="1436" t="n"/>
      <c r="M318" s="1436" t="n"/>
      <c r="N318" s="1436" t="n"/>
      <c r="O318" s="1436" t="n"/>
      <c r="P318" s="1436" t="n"/>
      <c r="Q318" s="1436" t="n"/>
      <c r="R318" s="1436" t="n"/>
      <c r="S318" s="1436" t="n"/>
      <c r="T318" s="1436" t="n"/>
      <c r="U318" s="1436" t="n"/>
      <c r="V318" s="1436" t="n"/>
      <c r="W318" s="1436" t="n"/>
      <c r="X318" s="1436" t="n"/>
      <c r="Y318" s="1436" t="n"/>
      <c r="Z318" s="1436" t="n"/>
      <c r="AA318" s="1436" t="n"/>
      <c r="AB318" s="1436" t="n"/>
      <c r="AC318" s="1436" t="n"/>
      <c r="AD318" s="1436" t="n"/>
      <c r="AE318" s="1436" t="n"/>
      <c r="AF318" s="1436" t="n"/>
      <c r="AG318" s="1436" t="n"/>
      <c r="AH318" s="1436" t="n"/>
      <c r="AI318" s="1436" t="n"/>
      <c r="AJ318" s="1436" t="n"/>
      <c r="AK318" s="1436" t="n"/>
      <c r="AL318" s="1436" t="n"/>
      <c r="AM318" s="1436" t="n"/>
      <c r="AN318" s="1436" t="n"/>
      <c r="AO318" s="1436" t="n"/>
      <c r="AP318" s="1436" t="n"/>
      <c r="AS318" s="1436" t="n"/>
      <c r="BG318" s="1436" t="n"/>
      <c r="BU318" s="1436" t="n"/>
    </row>
    <row r="319">
      <c r="A319" s="1436" t="n"/>
      <c r="B319" s="1436" t="n"/>
      <c r="C319" s="1436" t="n"/>
      <c r="D319" s="1436" t="n"/>
      <c r="E319" s="1436" t="n"/>
      <c r="F319" s="1436" t="n"/>
      <c r="G319" s="1436" t="n"/>
      <c r="H319" s="1436" t="n"/>
      <c r="I319" s="1436" t="n"/>
      <c r="J319" s="1436" t="n"/>
      <c r="K319" s="1436" t="n"/>
      <c r="L319" s="1436" t="n"/>
      <c r="M319" s="1436" t="n"/>
      <c r="N319" s="1436" t="n"/>
      <c r="O319" s="1436" t="n"/>
      <c r="P319" s="1436" t="n"/>
      <c r="Q319" s="1436" t="n"/>
      <c r="R319" s="1436" t="n"/>
      <c r="S319" s="1436" t="n"/>
      <c r="T319" s="1436" t="n"/>
      <c r="U319" s="1436" t="n"/>
      <c r="V319" s="1436" t="n"/>
      <c r="W319" s="1436" t="n"/>
      <c r="X319" s="1436" t="n"/>
      <c r="Y319" s="1436" t="n"/>
      <c r="Z319" s="1436" t="n"/>
      <c r="AA319" s="1436" t="n"/>
      <c r="AB319" s="1436" t="n"/>
      <c r="AC319" s="1436" t="n"/>
      <c r="AD319" s="1436" t="n"/>
      <c r="AE319" s="1436" t="n"/>
      <c r="AF319" s="1436" t="n"/>
      <c r="AG319" s="1436" t="n"/>
      <c r="AH319" s="1436" t="n"/>
      <c r="AI319" s="1436" t="n"/>
      <c r="AJ319" s="1436" t="n"/>
      <c r="AK319" s="1436" t="n"/>
      <c r="AL319" s="1436" t="n"/>
      <c r="AM319" s="1436" t="n"/>
      <c r="AN319" s="1436" t="n"/>
      <c r="AO319" s="1436" t="n"/>
      <c r="AP319" s="1436" t="n"/>
      <c r="AS319" s="1436" t="n"/>
      <c r="BG319" s="1436" t="n"/>
      <c r="BU319" s="1436" t="n"/>
    </row>
    <row r="320">
      <c r="A320" s="1436" t="n"/>
      <c r="B320" s="1436" t="n"/>
      <c r="C320" s="1436" t="n"/>
      <c r="D320" s="1436" t="n"/>
      <c r="E320" s="1436" t="n"/>
      <c r="F320" s="1436" t="n"/>
      <c r="G320" s="1436" t="n"/>
      <c r="H320" s="1436" t="n"/>
      <c r="I320" s="1436" t="n"/>
      <c r="J320" s="1436" t="n"/>
      <c r="K320" s="1436" t="n"/>
      <c r="L320" s="1436" t="n"/>
      <c r="M320" s="1436" t="n"/>
      <c r="N320" s="1436" t="n"/>
      <c r="O320" s="1436" t="n"/>
      <c r="P320" s="1436" t="n"/>
      <c r="Q320" s="1436" t="n"/>
      <c r="R320" s="1436" t="n"/>
      <c r="S320" s="1436" t="n"/>
      <c r="T320" s="1436" t="n"/>
      <c r="U320" s="1436" t="n"/>
      <c r="V320" s="1436" t="n"/>
      <c r="W320" s="1436" t="n"/>
      <c r="X320" s="1436" t="n"/>
      <c r="Y320" s="1436" t="n"/>
      <c r="Z320" s="1436" t="n"/>
      <c r="AA320" s="1436" t="n"/>
      <c r="AB320" s="1436" t="n"/>
      <c r="AC320" s="1436" t="n"/>
      <c r="AD320" s="1436" t="n"/>
      <c r="AE320" s="1436" t="n"/>
      <c r="AF320" s="1436" t="n"/>
      <c r="AG320" s="1436" t="n"/>
      <c r="AH320" s="1436" t="n"/>
      <c r="AI320" s="1436" t="n"/>
      <c r="AJ320" s="1436" t="n"/>
      <c r="AK320" s="1436" t="n"/>
      <c r="AL320" s="1436" t="n"/>
      <c r="AM320" s="1436" t="n"/>
      <c r="AN320" s="1436" t="n"/>
      <c r="AO320" s="1436" t="n"/>
      <c r="AP320" s="1436" t="n"/>
      <c r="AS320" s="1436" t="n"/>
      <c r="BG320" s="1436" t="n"/>
      <c r="BU320" s="1436" t="n"/>
    </row>
    <row r="321">
      <c r="A321" s="1436" t="n"/>
      <c r="B321" s="1436" t="n"/>
      <c r="C321" s="1436" t="n"/>
      <c r="D321" s="1436" t="n"/>
      <c r="E321" s="1436" t="n"/>
      <c r="F321" s="1436" t="n"/>
      <c r="G321" s="1436" t="n"/>
      <c r="H321" s="1436" t="n"/>
      <c r="I321" s="1436" t="n"/>
      <c r="J321" s="1436" t="n"/>
      <c r="K321" s="1436" t="n"/>
      <c r="L321" s="1436" t="n"/>
      <c r="M321" s="1436" t="n"/>
      <c r="N321" s="1436" t="n"/>
      <c r="O321" s="1436" t="n"/>
      <c r="P321" s="1436" t="n"/>
      <c r="Q321" s="1436" t="n"/>
      <c r="R321" s="1436" t="n"/>
      <c r="S321" s="1436" t="n"/>
      <c r="T321" s="1436" t="n"/>
      <c r="U321" s="1436" t="n"/>
      <c r="V321" s="1436" t="n"/>
      <c r="W321" s="1436" t="n"/>
      <c r="X321" s="1436" t="n"/>
      <c r="Y321" s="1436" t="n"/>
      <c r="Z321" s="1436" t="n"/>
      <c r="AA321" s="1436" t="n"/>
      <c r="AB321" s="1436" t="n"/>
      <c r="AC321" s="1436" t="n"/>
      <c r="AD321" s="1436" t="n"/>
      <c r="AE321" s="1436" t="n"/>
      <c r="AF321" s="1436" t="n"/>
      <c r="AG321" s="1436" t="n"/>
      <c r="AH321" s="1436" t="n"/>
      <c r="AI321" s="1436" t="n"/>
      <c r="AJ321" s="1436" t="n"/>
      <c r="AK321" s="1436" t="n"/>
      <c r="AL321" s="1436" t="n"/>
      <c r="AM321" s="1436" t="n"/>
      <c r="AN321" s="1436" t="n"/>
      <c r="AO321" s="1436" t="n"/>
      <c r="AP321" s="1436" t="n"/>
      <c r="AS321" s="1436" t="n"/>
      <c r="BG321" s="1436" t="n"/>
      <c r="BU321" s="1436" t="n"/>
    </row>
    <row r="322">
      <c r="A322" s="1436" t="n"/>
      <c r="B322" s="1436" t="n"/>
      <c r="C322" s="1436" t="n"/>
      <c r="D322" s="1436" t="n"/>
      <c r="E322" s="1436" t="n"/>
      <c r="F322" s="1436" t="n"/>
      <c r="G322" s="1436" t="n"/>
      <c r="H322" s="1436" t="n"/>
      <c r="I322" s="1436" t="n"/>
      <c r="J322" s="1436" t="n"/>
      <c r="K322" s="1436" t="n"/>
      <c r="L322" s="1436" t="n"/>
      <c r="M322" s="1436" t="n"/>
      <c r="N322" s="1436" t="n"/>
      <c r="O322" s="1436" t="n"/>
      <c r="P322" s="1436" t="n"/>
      <c r="Q322" s="1436" t="n"/>
      <c r="R322" s="1436" t="n"/>
      <c r="S322" s="1436" t="n"/>
      <c r="T322" s="1436" t="n"/>
      <c r="U322" s="1436" t="n"/>
      <c r="V322" s="1436" t="n"/>
      <c r="W322" s="1436" t="n"/>
      <c r="X322" s="1436" t="n"/>
      <c r="Y322" s="1436" t="n"/>
      <c r="Z322" s="1436" t="n"/>
      <c r="AA322" s="1436" t="n"/>
      <c r="AB322" s="1436" t="n"/>
      <c r="AC322" s="1436" t="n"/>
      <c r="AD322" s="1436" t="n"/>
      <c r="AE322" s="1436" t="n"/>
      <c r="AF322" s="1436" t="n"/>
      <c r="AG322" s="1436" t="n"/>
      <c r="AH322" s="1436" t="n"/>
      <c r="AI322" s="1436" t="n"/>
      <c r="AJ322" s="1436" t="n"/>
      <c r="AK322" s="1436" t="n"/>
      <c r="AL322" s="1436" t="n"/>
      <c r="AM322" s="1436" t="n"/>
      <c r="AN322" s="1436" t="n"/>
      <c r="AO322" s="1436" t="n"/>
      <c r="AP322" s="1436" t="n"/>
      <c r="AS322" s="1436" t="n"/>
      <c r="BG322" s="1436" t="n"/>
      <c r="BU322" s="1436" t="n"/>
    </row>
    <row r="323">
      <c r="A323" s="1436" t="n"/>
      <c r="B323" s="1436" t="n"/>
      <c r="C323" s="1436" t="n"/>
      <c r="D323" s="1436" t="n"/>
      <c r="E323" s="1436" t="n"/>
      <c r="F323" s="1436" t="n"/>
      <c r="G323" s="1436" t="n"/>
      <c r="H323" s="1436" t="n"/>
      <c r="I323" s="1436" t="n"/>
      <c r="J323" s="1436" t="n"/>
      <c r="K323" s="1436" t="n"/>
      <c r="L323" s="1436" t="n"/>
      <c r="M323" s="1436" t="n"/>
      <c r="N323" s="1436" t="n"/>
      <c r="O323" s="1436" t="n"/>
      <c r="P323" s="1436" t="n"/>
      <c r="Q323" s="1436" t="n"/>
      <c r="R323" s="1436" t="n"/>
      <c r="S323" s="1436" t="n"/>
      <c r="T323" s="1436" t="n"/>
      <c r="U323" s="1436" t="n"/>
      <c r="V323" s="1436" t="n"/>
      <c r="W323" s="1436" t="n"/>
      <c r="X323" s="1436" t="n"/>
      <c r="Y323" s="1436" t="n"/>
      <c r="Z323" s="1436" t="n"/>
      <c r="AA323" s="1436" t="n"/>
      <c r="AB323" s="1436" t="n"/>
      <c r="AC323" s="1436" t="n"/>
      <c r="AD323" s="1436" t="n"/>
      <c r="AE323" s="1436" t="n"/>
      <c r="AF323" s="1436" t="n"/>
      <c r="AG323" s="1436" t="n"/>
      <c r="AH323" s="1436" t="n"/>
      <c r="AI323" s="1436" t="n"/>
      <c r="AJ323" s="1436" t="n"/>
      <c r="AK323" s="1436" t="n"/>
      <c r="AL323" s="1436" t="n"/>
      <c r="AM323" s="1436" t="n"/>
      <c r="AN323" s="1436" t="n"/>
      <c r="AO323" s="1436" t="n"/>
      <c r="AP323" s="1436" t="n"/>
      <c r="AS323" s="1436" t="n"/>
      <c r="BG323" s="1436" t="n"/>
      <c r="BU323" s="1436" t="n"/>
    </row>
    <row r="324">
      <c r="A324" s="1436" t="n"/>
      <c r="B324" s="1436" t="n"/>
      <c r="C324" s="1436" t="n"/>
      <c r="D324" s="1436" t="n"/>
      <c r="E324" s="1436" t="n"/>
      <c r="F324" s="1436" t="n"/>
      <c r="G324" s="1436" t="n"/>
      <c r="H324" s="1436" t="n"/>
      <c r="I324" s="1436" t="n"/>
      <c r="J324" s="1436" t="n"/>
      <c r="K324" s="1436" t="n"/>
      <c r="L324" s="1436" t="n"/>
      <c r="M324" s="1436" t="n"/>
      <c r="N324" s="1436" t="n"/>
      <c r="O324" s="1436" t="n"/>
      <c r="P324" s="1436" t="n"/>
      <c r="Q324" s="1436" t="n"/>
      <c r="R324" s="1436" t="n"/>
      <c r="S324" s="1436" t="n"/>
      <c r="T324" s="1436" t="n"/>
      <c r="U324" s="1436" t="n"/>
      <c r="V324" s="1436" t="n"/>
      <c r="W324" s="1436" t="n"/>
      <c r="X324" s="1436" t="n"/>
      <c r="Y324" s="1436" t="n"/>
      <c r="Z324" s="1436" t="n"/>
      <c r="AA324" s="1436" t="n"/>
      <c r="AB324" s="1436" t="n"/>
      <c r="AC324" s="1436" t="n"/>
      <c r="AD324" s="1436" t="n"/>
      <c r="AE324" s="1436" t="n"/>
      <c r="AF324" s="1436" t="n"/>
      <c r="AG324" s="1436" t="n"/>
      <c r="AH324" s="1436" t="n"/>
      <c r="AI324" s="1436" t="n"/>
      <c r="AJ324" s="1436" t="n"/>
      <c r="AK324" s="1436" t="n"/>
      <c r="AL324" s="1436" t="n"/>
      <c r="AM324" s="1436" t="n"/>
      <c r="AN324" s="1436" t="n"/>
      <c r="AO324" s="1436" t="n"/>
      <c r="AP324" s="1436" t="n"/>
      <c r="AS324" s="1436" t="n"/>
      <c r="BG324" s="1436" t="n"/>
      <c r="BU324" s="1436" t="n"/>
    </row>
    <row r="325">
      <c r="A325" s="1436" t="n"/>
      <c r="B325" s="1436" t="n"/>
      <c r="C325" s="1436" t="n"/>
      <c r="D325" s="1436" t="n"/>
      <c r="E325" s="1436" t="n"/>
      <c r="F325" s="1436" t="n"/>
      <c r="G325" s="1436" t="n"/>
      <c r="H325" s="1436" t="n"/>
      <c r="I325" s="1436" t="n"/>
      <c r="J325" s="1436" t="n"/>
      <c r="K325" s="1436" t="n"/>
      <c r="L325" s="1436" t="n"/>
      <c r="M325" s="1436" t="n"/>
      <c r="N325" s="1436" t="n"/>
      <c r="O325" s="1436" t="n"/>
      <c r="P325" s="1436" t="n"/>
      <c r="Q325" s="1436" t="n"/>
      <c r="R325" s="1436" t="n"/>
      <c r="S325" s="1436" t="n"/>
      <c r="T325" s="1436" t="n"/>
      <c r="U325" s="1436" t="n"/>
      <c r="V325" s="1436" t="n"/>
      <c r="W325" s="1436" t="n"/>
      <c r="X325" s="1436" t="n"/>
      <c r="Y325" s="1436" t="n"/>
      <c r="Z325" s="1436" t="n"/>
      <c r="AA325" s="1436" t="n"/>
      <c r="AB325" s="1436" t="n"/>
      <c r="AC325" s="1436" t="n"/>
      <c r="AD325" s="1436" t="n"/>
      <c r="AE325" s="1436" t="n"/>
      <c r="AF325" s="1436" t="n"/>
      <c r="AG325" s="1436" t="n"/>
      <c r="AH325" s="1436" t="n"/>
      <c r="AI325" s="1436" t="n"/>
      <c r="AJ325" s="1436" t="n"/>
      <c r="AK325" s="1436" t="n"/>
      <c r="AL325" s="1436" t="n"/>
      <c r="AM325" s="1436" t="n"/>
      <c r="AN325" s="1436" t="n"/>
      <c r="AO325" s="1436" t="n"/>
      <c r="AP325" s="1436" t="n"/>
      <c r="AS325" s="1436" t="n"/>
      <c r="BG325" s="1436" t="n"/>
      <c r="BU325" s="1436" t="n"/>
    </row>
    <row r="326">
      <c r="A326" s="1436" t="n"/>
      <c r="B326" s="1436" t="n"/>
      <c r="C326" s="1436" t="n"/>
      <c r="D326" s="1436" t="n"/>
      <c r="E326" s="1436" t="n"/>
      <c r="F326" s="1436" t="n"/>
      <c r="G326" s="1436" t="n"/>
      <c r="H326" s="1436" t="n"/>
      <c r="I326" s="1436" t="n"/>
      <c r="J326" s="1436" t="n"/>
      <c r="K326" s="1436" t="n"/>
      <c r="L326" s="1436" t="n"/>
      <c r="M326" s="1436" t="n"/>
      <c r="N326" s="1436" t="n"/>
      <c r="O326" s="1436" t="n"/>
      <c r="P326" s="1436" t="n"/>
      <c r="Q326" s="1436" t="n"/>
      <c r="R326" s="1436" t="n"/>
      <c r="S326" s="1436" t="n"/>
      <c r="T326" s="1436" t="n"/>
      <c r="U326" s="1436" t="n"/>
      <c r="V326" s="1436" t="n"/>
      <c r="W326" s="1436" t="n"/>
      <c r="X326" s="1436" t="n"/>
      <c r="Y326" s="1436" t="n"/>
      <c r="Z326" s="1436" t="n"/>
      <c r="AA326" s="1436" t="n"/>
      <c r="AB326" s="1436" t="n"/>
      <c r="AC326" s="1436" t="n"/>
      <c r="AD326" s="1436" t="n"/>
      <c r="AE326" s="1436" t="n"/>
      <c r="AF326" s="1436" t="n"/>
      <c r="AG326" s="1436" t="n"/>
      <c r="AH326" s="1436" t="n"/>
      <c r="AI326" s="1436" t="n"/>
      <c r="AJ326" s="1436" t="n"/>
      <c r="AK326" s="1436" t="n"/>
      <c r="AL326" s="1436" t="n"/>
      <c r="AM326" s="1436" t="n"/>
      <c r="AN326" s="1436" t="n"/>
      <c r="AO326" s="1436" t="n"/>
      <c r="AP326" s="1436" t="n"/>
      <c r="AS326" s="1436" t="n"/>
      <c r="BG326" s="1436" t="n"/>
      <c r="BU326" s="1436" t="n"/>
    </row>
    <row r="327">
      <c r="A327" s="1436" t="n"/>
      <c r="B327" s="1436" t="n"/>
      <c r="C327" s="1436" t="n"/>
      <c r="D327" s="1436" t="n"/>
      <c r="E327" s="1436" t="n"/>
      <c r="F327" s="1436" t="n"/>
      <c r="G327" s="1436" t="n"/>
      <c r="H327" s="1436" t="n"/>
      <c r="I327" s="1436" t="n"/>
      <c r="J327" s="1436" t="n"/>
      <c r="K327" s="1436" t="n"/>
      <c r="L327" s="1436" t="n"/>
      <c r="M327" s="1436" t="n"/>
      <c r="N327" s="1436" t="n"/>
      <c r="O327" s="1436" t="n"/>
      <c r="P327" s="1436" t="n"/>
      <c r="Q327" s="1436" t="n"/>
      <c r="R327" s="1436" t="n"/>
      <c r="S327" s="1436" t="n"/>
      <c r="T327" s="1436" t="n"/>
      <c r="U327" s="1436" t="n"/>
      <c r="V327" s="1436" t="n"/>
      <c r="W327" s="1436" t="n"/>
      <c r="X327" s="1436" t="n"/>
      <c r="Y327" s="1436" t="n"/>
      <c r="Z327" s="1436" t="n"/>
      <c r="AA327" s="1436" t="n"/>
      <c r="AB327" s="1436" t="n"/>
      <c r="AC327" s="1436" t="n"/>
      <c r="AD327" s="1436" t="n"/>
      <c r="AE327" s="1436" t="n"/>
      <c r="AF327" s="1436" t="n"/>
      <c r="AG327" s="1436" t="n"/>
      <c r="AH327" s="1436" t="n"/>
      <c r="AI327" s="1436" t="n"/>
      <c r="AJ327" s="1436" t="n"/>
      <c r="AK327" s="1436" t="n"/>
      <c r="AL327" s="1436" t="n"/>
      <c r="AM327" s="1436" t="n"/>
      <c r="AN327" s="1436" t="n"/>
      <c r="AO327" s="1436" t="n"/>
      <c r="AP327" s="1436" t="n"/>
      <c r="AS327" s="1436" t="n"/>
      <c r="BG327" s="1436" t="n"/>
      <c r="BU327" s="1436" t="n"/>
    </row>
    <row r="328">
      <c r="A328" s="1436" t="n"/>
      <c r="B328" s="1436" t="n"/>
      <c r="C328" s="1436" t="n"/>
      <c r="D328" s="1436" t="n"/>
      <c r="E328" s="1436" t="n"/>
      <c r="F328" s="1436" t="n"/>
      <c r="G328" s="1436" t="n"/>
      <c r="H328" s="1436" t="n"/>
      <c r="I328" s="1436" t="n"/>
      <c r="J328" s="1436" t="n"/>
      <c r="K328" s="1436" t="n"/>
      <c r="L328" s="1436" t="n"/>
      <c r="M328" s="1436" t="n"/>
      <c r="N328" s="1436" t="n"/>
      <c r="O328" s="1436" t="n"/>
      <c r="P328" s="1436" t="n"/>
      <c r="Q328" s="1436" t="n"/>
      <c r="R328" s="1436" t="n"/>
      <c r="S328" s="1436" t="n"/>
      <c r="T328" s="1436" t="n"/>
      <c r="U328" s="1436" t="n"/>
      <c r="V328" s="1436" t="n"/>
      <c r="W328" s="1436" t="n"/>
      <c r="X328" s="1436" t="n"/>
      <c r="Y328" s="1436" t="n"/>
      <c r="Z328" s="1436" t="n"/>
      <c r="AA328" s="1436" t="n"/>
      <c r="AB328" s="1436" t="n"/>
      <c r="AC328" s="1436" t="n"/>
      <c r="AD328" s="1436" t="n"/>
      <c r="AE328" s="1436" t="n"/>
      <c r="AF328" s="1436" t="n"/>
      <c r="AG328" s="1436" t="n"/>
      <c r="AH328" s="1436" t="n"/>
      <c r="AI328" s="1436" t="n"/>
      <c r="AJ328" s="1436" t="n"/>
      <c r="AK328" s="1436" t="n"/>
      <c r="AL328" s="1436" t="n"/>
      <c r="AM328" s="1436" t="n"/>
      <c r="AN328" s="1436" t="n"/>
      <c r="AO328" s="1436" t="n"/>
      <c r="AP328" s="1436" t="n"/>
      <c r="AS328" s="1436" t="n"/>
      <c r="BG328" s="1436" t="n"/>
      <c r="BU328" s="1436" t="n"/>
    </row>
    <row r="329">
      <c r="A329" s="1436" t="n"/>
      <c r="B329" s="1436" t="n"/>
      <c r="C329" s="1436" t="n"/>
      <c r="D329" s="1436" t="n"/>
      <c r="E329" s="1436" t="n"/>
      <c r="F329" s="1436" t="n"/>
      <c r="G329" s="1436" t="n"/>
      <c r="H329" s="1436" t="n"/>
      <c r="I329" s="1436" t="n"/>
      <c r="J329" s="1436" t="n"/>
      <c r="K329" s="1436" t="n"/>
      <c r="L329" s="1436" t="n"/>
      <c r="M329" s="1436" t="n"/>
      <c r="N329" s="1436" t="n"/>
      <c r="O329" s="1436" t="n"/>
      <c r="P329" s="1436" t="n"/>
      <c r="Q329" s="1436" t="n"/>
      <c r="R329" s="1436" t="n"/>
      <c r="S329" s="1436" t="n"/>
      <c r="T329" s="1436" t="n"/>
      <c r="U329" s="1436" t="n"/>
      <c r="V329" s="1436" t="n"/>
      <c r="W329" s="1436" t="n"/>
      <c r="X329" s="1436" t="n"/>
      <c r="Y329" s="1436" t="n"/>
      <c r="Z329" s="1436" t="n"/>
      <c r="AA329" s="1436" t="n"/>
      <c r="AB329" s="1436" t="n"/>
      <c r="AC329" s="1436" t="n"/>
      <c r="AD329" s="1436" t="n"/>
      <c r="AE329" s="1436" t="n"/>
      <c r="AF329" s="1436" t="n"/>
      <c r="AG329" s="1436" t="n"/>
      <c r="AH329" s="1436" t="n"/>
      <c r="AI329" s="1436" t="n"/>
      <c r="AJ329" s="1436" t="n"/>
      <c r="AK329" s="1436" t="n"/>
      <c r="AL329" s="1436" t="n"/>
      <c r="AM329" s="1436" t="n"/>
      <c r="AN329" s="1436" t="n"/>
      <c r="AO329" s="1436" t="n"/>
      <c r="AP329" s="1436" t="n"/>
      <c r="AS329" s="1436" t="n"/>
      <c r="BG329" s="1436" t="n"/>
      <c r="BU329" s="1436" t="n"/>
    </row>
    <row r="330">
      <c r="A330" s="1436" t="n"/>
      <c r="B330" s="1436" t="n"/>
      <c r="C330" s="1436" t="n"/>
      <c r="D330" s="1436" t="n"/>
      <c r="E330" s="1436" t="n"/>
      <c r="F330" s="1436" t="n"/>
      <c r="G330" s="1436" t="n"/>
      <c r="H330" s="1436" t="n"/>
      <c r="I330" s="1436" t="n"/>
      <c r="J330" s="1436" t="n"/>
      <c r="K330" s="1436" t="n"/>
      <c r="L330" s="1436" t="n"/>
      <c r="M330" s="1436" t="n"/>
      <c r="N330" s="1436" t="n"/>
      <c r="O330" s="1436" t="n"/>
      <c r="P330" s="1436" t="n"/>
      <c r="Q330" s="1436" t="n"/>
      <c r="R330" s="1436" t="n"/>
      <c r="S330" s="1436" t="n"/>
      <c r="T330" s="1436" t="n"/>
      <c r="U330" s="1436" t="n"/>
      <c r="V330" s="1436" t="n"/>
      <c r="W330" s="1436" t="n"/>
      <c r="X330" s="1436" t="n"/>
      <c r="Y330" s="1436" t="n"/>
      <c r="Z330" s="1436" t="n"/>
      <c r="AA330" s="1436" t="n"/>
      <c r="AB330" s="1436" t="n"/>
      <c r="AC330" s="1436" t="n"/>
      <c r="AD330" s="1436" t="n"/>
      <c r="AE330" s="1436" t="n"/>
      <c r="AF330" s="1436" t="n"/>
      <c r="AG330" s="1436" t="n"/>
      <c r="AH330" s="1436" t="n"/>
      <c r="AI330" s="1436" t="n"/>
      <c r="AJ330" s="1436" t="n"/>
      <c r="AK330" s="1436" t="n"/>
      <c r="AL330" s="1436" t="n"/>
      <c r="AM330" s="1436" t="n"/>
      <c r="AN330" s="1436" t="n"/>
      <c r="AO330" s="1436" t="n"/>
      <c r="AP330" s="1436" t="n"/>
      <c r="AS330" s="1436" t="n"/>
      <c r="BG330" s="1436" t="n"/>
      <c r="BU330" s="1436" t="n"/>
    </row>
    <row r="331">
      <c r="A331" s="1436" t="n"/>
      <c r="B331" s="1436" t="n"/>
      <c r="C331" s="1436" t="n"/>
      <c r="D331" s="1436" t="n"/>
      <c r="E331" s="1436" t="n"/>
      <c r="F331" s="1436" t="n"/>
      <c r="G331" s="1436" t="n"/>
      <c r="H331" s="1436" t="n"/>
      <c r="I331" s="1436" t="n"/>
      <c r="J331" s="1436" t="n"/>
      <c r="K331" s="1436" t="n"/>
      <c r="L331" s="1436" t="n"/>
      <c r="M331" s="1436" t="n"/>
      <c r="N331" s="1436" t="n"/>
      <c r="O331" s="1436" t="n"/>
      <c r="P331" s="1436" t="n"/>
      <c r="Q331" s="1436" t="n"/>
      <c r="R331" s="1436" t="n"/>
      <c r="S331" s="1436" t="n"/>
      <c r="T331" s="1436" t="n"/>
      <c r="U331" s="1436" t="n"/>
      <c r="V331" s="1436" t="n"/>
      <c r="W331" s="1436" t="n"/>
      <c r="X331" s="1436" t="n"/>
      <c r="Y331" s="1436" t="n"/>
      <c r="Z331" s="1436" t="n"/>
      <c r="AA331" s="1436" t="n"/>
      <c r="AB331" s="1436" t="n"/>
      <c r="AC331" s="1436" t="n"/>
      <c r="AD331" s="1436" t="n"/>
      <c r="AE331" s="1436" t="n"/>
      <c r="AF331" s="1436" t="n"/>
      <c r="AG331" s="1436" t="n"/>
      <c r="AH331" s="1436" t="n"/>
      <c r="AI331" s="1436" t="n"/>
      <c r="AJ331" s="1436" t="n"/>
      <c r="AK331" s="1436" t="n"/>
      <c r="AL331" s="1436" t="n"/>
      <c r="AM331" s="1436" t="n"/>
      <c r="AN331" s="1436" t="n"/>
      <c r="AO331" s="1436" t="n"/>
      <c r="AP331" s="1436" t="n"/>
      <c r="AS331" s="1436" t="n"/>
      <c r="BG331" s="1436" t="n"/>
      <c r="BU331" s="1436" t="n"/>
    </row>
    <row r="332">
      <c r="A332" s="1436" t="n"/>
      <c r="B332" s="1436" t="n"/>
      <c r="C332" s="1436" t="n"/>
      <c r="D332" s="1436" t="n"/>
      <c r="E332" s="1436" t="n"/>
      <c r="F332" s="1436" t="n"/>
      <c r="G332" s="1436" t="n"/>
      <c r="H332" s="1436" t="n"/>
      <c r="I332" s="1436" t="n"/>
      <c r="J332" s="1436" t="n"/>
      <c r="K332" s="1436" t="n"/>
      <c r="L332" s="1436" t="n"/>
      <c r="M332" s="1436" t="n"/>
      <c r="N332" s="1436" t="n"/>
      <c r="O332" s="1436" t="n"/>
      <c r="P332" s="1436" t="n"/>
      <c r="Q332" s="1436" t="n"/>
      <c r="R332" s="1436" t="n"/>
      <c r="S332" s="1436" t="n"/>
      <c r="T332" s="1436" t="n"/>
      <c r="U332" s="1436" t="n"/>
      <c r="V332" s="1436" t="n"/>
      <c r="W332" s="1436" t="n"/>
      <c r="X332" s="1436" t="n"/>
      <c r="Y332" s="1436" t="n"/>
      <c r="Z332" s="1436" t="n"/>
      <c r="AA332" s="1436" t="n"/>
      <c r="AB332" s="1436" t="n"/>
      <c r="AC332" s="1436" t="n"/>
      <c r="AD332" s="1436" t="n"/>
      <c r="AE332" s="1436" t="n"/>
      <c r="AF332" s="1436" t="n"/>
      <c r="AG332" s="1436" t="n"/>
      <c r="AH332" s="1436" t="n"/>
      <c r="AI332" s="1436" t="n"/>
      <c r="AJ332" s="1436" t="n"/>
      <c r="AK332" s="1436" t="n"/>
      <c r="AL332" s="1436" t="n"/>
      <c r="AM332" s="1436" t="n"/>
      <c r="AN332" s="1436" t="n"/>
      <c r="AO332" s="1436" t="n"/>
      <c r="AP332" s="1436" t="n"/>
      <c r="AS332" s="1436" t="n"/>
      <c r="BG332" s="1436" t="n"/>
      <c r="BU332" s="1436" t="n"/>
    </row>
    <row r="333">
      <c r="A333" s="1436" t="n"/>
      <c r="B333" s="1436" t="n"/>
      <c r="C333" s="1436" t="n"/>
      <c r="D333" s="1436" t="n"/>
      <c r="E333" s="1436" t="n"/>
      <c r="F333" s="1436" t="n"/>
      <c r="G333" s="1436" t="n"/>
      <c r="H333" s="1436" t="n"/>
      <c r="I333" s="1436" t="n"/>
      <c r="J333" s="1436" t="n"/>
      <c r="K333" s="1436" t="n"/>
      <c r="L333" s="1436" t="n"/>
      <c r="M333" s="1436" t="n"/>
      <c r="N333" s="1436" t="n"/>
      <c r="O333" s="1436" t="n"/>
      <c r="P333" s="1436" t="n"/>
      <c r="Q333" s="1436" t="n"/>
      <c r="R333" s="1436" t="n"/>
      <c r="S333" s="1436" t="n"/>
      <c r="T333" s="1436" t="n"/>
      <c r="U333" s="1436" t="n"/>
      <c r="V333" s="1436" t="n"/>
      <c r="W333" s="1436" t="n"/>
      <c r="X333" s="1436" t="n"/>
      <c r="Y333" s="1436" t="n"/>
      <c r="Z333" s="1436" t="n"/>
      <c r="AA333" s="1436" t="n"/>
      <c r="AB333" s="1436" t="n"/>
      <c r="AC333" s="1436" t="n"/>
      <c r="AD333" s="1436" t="n"/>
      <c r="AE333" s="1436" t="n"/>
      <c r="AF333" s="1436" t="n"/>
      <c r="AG333" s="1436" t="n"/>
      <c r="AH333" s="1436" t="n"/>
      <c r="AI333" s="1436" t="n"/>
      <c r="AJ333" s="1436" t="n"/>
      <c r="AK333" s="1436" t="n"/>
      <c r="AL333" s="1436" t="n"/>
      <c r="AM333" s="1436" t="n"/>
      <c r="AN333" s="1436" t="n"/>
      <c r="AO333" s="1436" t="n"/>
      <c r="AP333" s="1436" t="n"/>
      <c r="AS333" s="1436" t="n"/>
      <c r="BG333" s="1436" t="n"/>
      <c r="BU333" s="1436" t="n"/>
    </row>
    <row r="334">
      <c r="A334" s="1436" t="n"/>
      <c r="B334" s="1436" t="n"/>
      <c r="C334" s="1436" t="n"/>
      <c r="D334" s="1436" t="n"/>
      <c r="E334" s="1436" t="n"/>
      <c r="F334" s="1436" t="n"/>
      <c r="G334" s="1436" t="n"/>
      <c r="H334" s="1436" t="n"/>
      <c r="I334" s="1436" t="n"/>
      <c r="J334" s="1436" t="n"/>
      <c r="K334" s="1436" t="n"/>
      <c r="L334" s="1436" t="n"/>
      <c r="M334" s="1436" t="n"/>
      <c r="N334" s="1436" t="n"/>
      <c r="O334" s="1436" t="n"/>
      <c r="P334" s="1436" t="n"/>
      <c r="Q334" s="1436" t="n"/>
      <c r="R334" s="1436" t="n"/>
      <c r="S334" s="1436" t="n"/>
      <c r="T334" s="1436" t="n"/>
      <c r="U334" s="1436" t="n"/>
      <c r="V334" s="1436" t="n"/>
      <c r="W334" s="1436" t="n"/>
      <c r="X334" s="1436" t="n"/>
      <c r="Y334" s="1436" t="n"/>
      <c r="Z334" s="1436" t="n"/>
      <c r="AA334" s="1436" t="n"/>
      <c r="AB334" s="1436" t="n"/>
      <c r="AC334" s="1436" t="n"/>
      <c r="AD334" s="1436" t="n"/>
      <c r="AE334" s="1436" t="n"/>
      <c r="AF334" s="1436" t="n"/>
      <c r="AG334" s="1436" t="n"/>
      <c r="AH334" s="1436" t="n"/>
      <c r="AI334" s="1436" t="n"/>
      <c r="AJ334" s="1436" t="n"/>
      <c r="AK334" s="1436" t="n"/>
      <c r="AL334" s="1436" t="n"/>
      <c r="AM334" s="1436" t="n"/>
      <c r="AN334" s="1436" t="n"/>
      <c r="AO334" s="1436" t="n"/>
      <c r="AP334" s="1436" t="n"/>
      <c r="AS334" s="1436" t="n"/>
      <c r="BG334" s="1436" t="n"/>
      <c r="BU334" s="1436" t="n"/>
    </row>
    <row r="335">
      <c r="A335" s="1436" t="n"/>
      <c r="B335" s="1436" t="n"/>
      <c r="C335" s="1436" t="n"/>
      <c r="D335" s="1436" t="n"/>
      <c r="E335" s="1436" t="n"/>
      <c r="F335" s="1436" t="n"/>
      <c r="G335" s="1436" t="n"/>
      <c r="H335" s="1436" t="n"/>
      <c r="I335" s="1436" t="n"/>
      <c r="J335" s="1436" t="n"/>
      <c r="K335" s="1436" t="n"/>
      <c r="L335" s="1436" t="n"/>
      <c r="M335" s="1436" t="n"/>
      <c r="N335" s="1436" t="n"/>
      <c r="O335" s="1436" t="n"/>
      <c r="P335" s="1436" t="n"/>
      <c r="Q335" s="1436" t="n"/>
      <c r="R335" s="1436" t="n"/>
      <c r="S335" s="1436" t="n"/>
      <c r="T335" s="1436" t="n"/>
      <c r="U335" s="1436" t="n"/>
      <c r="V335" s="1436" t="n"/>
      <c r="W335" s="1436" t="n"/>
      <c r="X335" s="1436" t="n"/>
      <c r="Y335" s="1436" t="n"/>
      <c r="Z335" s="1436" t="n"/>
      <c r="AA335" s="1436" t="n"/>
      <c r="AB335" s="1436" t="n"/>
      <c r="AC335" s="1436" t="n"/>
      <c r="AD335" s="1436" t="n"/>
      <c r="AE335" s="1436" t="n"/>
      <c r="AF335" s="1436" t="n"/>
      <c r="AG335" s="1436" t="n"/>
      <c r="AH335" s="1436" t="n"/>
      <c r="AI335" s="1436" t="n"/>
      <c r="AJ335" s="1436" t="n"/>
      <c r="AK335" s="1436" t="n"/>
      <c r="AL335" s="1436" t="n"/>
      <c r="AM335" s="1436" t="n"/>
      <c r="AN335" s="1436" t="n"/>
      <c r="AO335" s="1436" t="n"/>
      <c r="AP335" s="1436" t="n"/>
      <c r="AS335" s="1436" t="n"/>
      <c r="BG335" s="1436" t="n"/>
      <c r="BU335" s="1436" t="n"/>
    </row>
    <row r="336">
      <c r="A336" s="1436" t="n"/>
      <c r="B336" s="1436" t="n"/>
      <c r="C336" s="1436" t="n"/>
      <c r="D336" s="1436" t="n"/>
      <c r="E336" s="1436" t="n"/>
      <c r="F336" s="1436" t="n"/>
      <c r="G336" s="1436" t="n"/>
      <c r="H336" s="1436" t="n"/>
      <c r="I336" s="1436" t="n"/>
      <c r="J336" s="1436" t="n"/>
      <c r="K336" s="1436" t="n"/>
      <c r="L336" s="1436" t="n"/>
      <c r="M336" s="1436" t="n"/>
      <c r="N336" s="1436" t="n"/>
      <c r="O336" s="1436" t="n"/>
      <c r="P336" s="1436" t="n"/>
      <c r="Q336" s="1436" t="n"/>
      <c r="R336" s="1436" t="n"/>
      <c r="S336" s="1436" t="n"/>
      <c r="T336" s="1436" t="n"/>
      <c r="U336" s="1436" t="n"/>
      <c r="V336" s="1436" t="n"/>
      <c r="W336" s="1436" t="n"/>
      <c r="X336" s="1436" t="n"/>
      <c r="Y336" s="1436" t="n"/>
      <c r="Z336" s="1436" t="n"/>
      <c r="AA336" s="1436" t="n"/>
      <c r="AB336" s="1436" t="n"/>
      <c r="AC336" s="1436" t="n"/>
      <c r="AD336" s="1436" t="n"/>
      <c r="AE336" s="1436" t="n"/>
      <c r="AF336" s="1436" t="n"/>
      <c r="AG336" s="1436" t="n"/>
      <c r="AH336" s="1436" t="n"/>
      <c r="AI336" s="1436" t="n"/>
      <c r="AJ336" s="1436" t="n"/>
      <c r="AK336" s="1436" t="n"/>
      <c r="AL336" s="1436" t="n"/>
      <c r="AM336" s="1436" t="n"/>
      <c r="AN336" s="1436" t="n"/>
      <c r="AO336" s="1436" t="n"/>
      <c r="AP336" s="1436" t="n"/>
      <c r="AS336" s="1436" t="n"/>
      <c r="BG336" s="1436" t="n"/>
      <c r="BU336" s="1436" t="n"/>
    </row>
    <row r="337">
      <c r="A337" s="1436" t="n"/>
      <c r="B337" s="1436" t="n"/>
      <c r="C337" s="1436" t="n"/>
      <c r="D337" s="1436" t="n"/>
      <c r="E337" s="1436" t="n"/>
      <c r="F337" s="1436" t="n"/>
      <c r="G337" s="1436" t="n"/>
      <c r="H337" s="1436" t="n"/>
      <c r="I337" s="1436" t="n"/>
      <c r="J337" s="1436" t="n"/>
      <c r="K337" s="1436" t="n"/>
      <c r="L337" s="1436" t="n"/>
      <c r="M337" s="1436" t="n"/>
      <c r="N337" s="1436" t="n"/>
      <c r="O337" s="1436" t="n"/>
      <c r="P337" s="1436" t="n"/>
      <c r="Q337" s="1436" t="n"/>
      <c r="R337" s="1436" t="n"/>
      <c r="S337" s="1436" t="n"/>
      <c r="T337" s="1436" t="n"/>
      <c r="U337" s="1436" t="n"/>
      <c r="V337" s="1436" t="n"/>
      <c r="W337" s="1436" t="n"/>
      <c r="X337" s="1436" t="n"/>
      <c r="Y337" s="1436" t="n"/>
      <c r="Z337" s="1436" t="n"/>
      <c r="AA337" s="1436" t="n"/>
      <c r="AB337" s="1436" t="n"/>
      <c r="AC337" s="1436" t="n"/>
      <c r="AD337" s="1436" t="n"/>
      <c r="AE337" s="1436" t="n"/>
      <c r="AF337" s="1436" t="n"/>
      <c r="AG337" s="1436" t="n"/>
      <c r="AH337" s="1436" t="n"/>
      <c r="AI337" s="1436" t="n"/>
      <c r="AJ337" s="1436" t="n"/>
      <c r="AK337" s="1436" t="n"/>
      <c r="AL337" s="1436" t="n"/>
      <c r="AM337" s="1436" t="n"/>
      <c r="AN337" s="1436" t="n"/>
      <c r="AO337" s="1436" t="n"/>
      <c r="AP337" s="1436" t="n"/>
      <c r="AS337" s="1436" t="n"/>
      <c r="BG337" s="1436" t="n"/>
      <c r="BU337" s="1436" t="n"/>
    </row>
    <row r="338">
      <c r="A338" s="1436" t="n"/>
      <c r="B338" s="1436" t="n"/>
      <c r="C338" s="1436" t="n"/>
      <c r="D338" s="1436" t="n"/>
      <c r="E338" s="1436" t="n"/>
      <c r="F338" s="1436" t="n"/>
      <c r="G338" s="1436" t="n"/>
      <c r="H338" s="1436" t="n"/>
      <c r="I338" s="1436" t="n"/>
      <c r="J338" s="1436" t="n"/>
      <c r="K338" s="1436" t="n"/>
      <c r="L338" s="1436" t="n"/>
      <c r="M338" s="1436" t="n"/>
      <c r="N338" s="1436" t="n"/>
      <c r="O338" s="1436" t="n"/>
      <c r="P338" s="1436" t="n"/>
      <c r="Q338" s="1436" t="n"/>
      <c r="R338" s="1436" t="n"/>
      <c r="S338" s="1436" t="n"/>
      <c r="T338" s="1436" t="n"/>
      <c r="U338" s="1436" t="n"/>
      <c r="V338" s="1436" t="n"/>
      <c r="W338" s="1436" t="n"/>
      <c r="X338" s="1436" t="n"/>
      <c r="Y338" s="1436" t="n"/>
      <c r="Z338" s="1436" t="n"/>
      <c r="AA338" s="1436" t="n"/>
      <c r="AB338" s="1436" t="n"/>
      <c r="AC338" s="1436" t="n"/>
      <c r="AD338" s="1436" t="n"/>
      <c r="AE338" s="1436" t="n"/>
      <c r="AF338" s="1436" t="n"/>
      <c r="AG338" s="1436" t="n"/>
      <c r="AH338" s="1436" t="n"/>
      <c r="AI338" s="1436" t="n"/>
      <c r="AJ338" s="1436" t="n"/>
      <c r="AK338" s="1436" t="n"/>
      <c r="AL338" s="1436" t="n"/>
      <c r="AM338" s="1436" t="n"/>
      <c r="AN338" s="1436" t="n"/>
      <c r="AO338" s="1436" t="n"/>
      <c r="AP338" s="1436" t="n"/>
      <c r="AS338" s="1436" t="n"/>
      <c r="BG338" s="1436" t="n"/>
      <c r="BU338" s="1436" t="n"/>
    </row>
    <row r="339">
      <c r="A339" s="1436" t="n"/>
      <c r="B339" s="1436" t="n"/>
      <c r="C339" s="1436" t="n"/>
      <c r="D339" s="1436" t="n"/>
      <c r="E339" s="1436" t="n"/>
      <c r="F339" s="1436" t="n"/>
      <c r="G339" s="1436" t="n"/>
      <c r="H339" s="1436" t="n"/>
      <c r="I339" s="1436" t="n"/>
      <c r="J339" s="1436" t="n"/>
      <c r="K339" s="1436" t="n"/>
      <c r="L339" s="1436" t="n"/>
      <c r="M339" s="1436" t="n"/>
      <c r="N339" s="1436" t="n"/>
      <c r="O339" s="1436" t="n"/>
      <c r="P339" s="1436" t="n"/>
      <c r="Q339" s="1436" t="n"/>
      <c r="R339" s="1436" t="n"/>
      <c r="S339" s="1436" t="n"/>
      <c r="T339" s="1436" t="n"/>
      <c r="U339" s="1436" t="n"/>
      <c r="V339" s="1436" t="n"/>
      <c r="W339" s="1436" t="n"/>
      <c r="X339" s="1436" t="n"/>
      <c r="Y339" s="1436" t="n"/>
      <c r="Z339" s="1436" t="n"/>
      <c r="AA339" s="1436" t="n"/>
      <c r="AB339" s="1436" t="n"/>
      <c r="AC339" s="1436" t="n"/>
      <c r="AD339" s="1436" t="n"/>
      <c r="AE339" s="1436" t="n"/>
      <c r="AF339" s="1436" t="n"/>
      <c r="AG339" s="1436" t="n"/>
      <c r="AH339" s="1436" t="n"/>
      <c r="AI339" s="1436" t="n"/>
      <c r="AJ339" s="1436" t="n"/>
      <c r="AK339" s="1436" t="n"/>
      <c r="AL339" s="1436" t="n"/>
      <c r="AM339" s="1436" t="n"/>
      <c r="AN339" s="1436" t="n"/>
      <c r="AO339" s="1436" t="n"/>
      <c r="AP339" s="1436" t="n"/>
      <c r="AS339" s="1436" t="n"/>
      <c r="BG339" s="1436" t="n"/>
      <c r="BU339" s="1436" t="n"/>
    </row>
    <row r="340">
      <c r="A340" s="1436" t="n"/>
      <c r="B340" s="1436" t="n"/>
      <c r="C340" s="1436" t="n"/>
      <c r="D340" s="1436" t="n"/>
      <c r="E340" s="1436" t="n"/>
      <c r="F340" s="1436" t="n"/>
      <c r="G340" s="1436" t="n"/>
      <c r="H340" s="1436" t="n"/>
      <c r="I340" s="1436" t="n"/>
      <c r="J340" s="1436" t="n"/>
      <c r="K340" s="1436" t="n"/>
      <c r="L340" s="1436" t="n"/>
      <c r="M340" s="1436" t="n"/>
      <c r="N340" s="1436" t="n"/>
      <c r="O340" s="1436" t="n"/>
      <c r="P340" s="1436" t="n"/>
      <c r="Q340" s="1436" t="n"/>
      <c r="R340" s="1436" t="n"/>
      <c r="S340" s="1436" t="n"/>
      <c r="T340" s="1436" t="n"/>
      <c r="U340" s="1436" t="n"/>
      <c r="V340" s="1436" t="n"/>
      <c r="W340" s="1436" t="n"/>
      <c r="X340" s="1436" t="n"/>
      <c r="Y340" s="1436" t="n"/>
      <c r="Z340" s="1436" t="n"/>
      <c r="AA340" s="1436" t="n"/>
      <c r="AB340" s="1436" t="n"/>
      <c r="AC340" s="1436" t="n"/>
      <c r="AD340" s="1436" t="n"/>
      <c r="AE340" s="1436" t="n"/>
      <c r="AF340" s="1436" t="n"/>
      <c r="AG340" s="1436" t="n"/>
      <c r="AH340" s="1436" t="n"/>
      <c r="AI340" s="1436" t="n"/>
      <c r="AJ340" s="1436" t="n"/>
      <c r="AK340" s="1436" t="n"/>
      <c r="AL340" s="1436" t="n"/>
      <c r="AM340" s="1436" t="n"/>
      <c r="AN340" s="1436" t="n"/>
      <c r="AO340" s="1436" t="n"/>
      <c r="AP340" s="1436" t="n"/>
      <c r="AS340" s="1436" t="n"/>
      <c r="BG340" s="1436" t="n"/>
      <c r="BU340" s="1436" t="n"/>
    </row>
    <row r="341">
      <c r="A341" s="1436" t="n"/>
      <c r="B341" s="1436" t="n"/>
      <c r="C341" s="1436" t="n"/>
      <c r="D341" s="1436" t="n"/>
      <c r="E341" s="1436" t="n"/>
      <c r="F341" s="1436" t="n"/>
      <c r="G341" s="1436" t="n"/>
      <c r="H341" s="1436" t="n"/>
      <c r="I341" s="1436" t="n"/>
      <c r="J341" s="1436" t="n"/>
      <c r="K341" s="1436" t="n"/>
      <c r="L341" s="1436" t="n"/>
      <c r="M341" s="1436" t="n"/>
      <c r="N341" s="1436" t="n"/>
      <c r="O341" s="1436" t="n"/>
      <c r="P341" s="1436" t="n"/>
      <c r="Q341" s="1436" t="n"/>
      <c r="R341" s="1436" t="n"/>
      <c r="S341" s="1436" t="n"/>
      <c r="T341" s="1436" t="n"/>
      <c r="U341" s="1436" t="n"/>
      <c r="V341" s="1436" t="n"/>
      <c r="W341" s="1436" t="n"/>
      <c r="X341" s="1436" t="n"/>
      <c r="Y341" s="1436" t="n"/>
      <c r="Z341" s="1436" t="n"/>
      <c r="AA341" s="1436" t="n"/>
      <c r="AB341" s="1436" t="n"/>
      <c r="AC341" s="1436" t="n"/>
      <c r="AD341" s="1436" t="n"/>
      <c r="AE341" s="1436" t="n"/>
      <c r="AF341" s="1436" t="n"/>
      <c r="AG341" s="1436" t="n"/>
      <c r="AH341" s="1436" t="n"/>
      <c r="AI341" s="1436" t="n"/>
      <c r="AJ341" s="1436" t="n"/>
      <c r="AK341" s="1436" t="n"/>
      <c r="AL341" s="1436" t="n"/>
      <c r="AM341" s="1436" t="n"/>
      <c r="AN341" s="1436" t="n"/>
      <c r="AO341" s="1436" t="n"/>
      <c r="AP341" s="1436" t="n"/>
      <c r="AS341" s="1436" t="n"/>
      <c r="BG341" s="1436" t="n"/>
      <c r="BU341" s="1436" t="n"/>
    </row>
    <row r="342">
      <c r="A342" s="1436" t="n"/>
      <c r="B342" s="1436" t="n"/>
      <c r="C342" s="1436" t="n"/>
      <c r="D342" s="1436" t="n"/>
      <c r="E342" s="1436" t="n"/>
      <c r="F342" s="1436" t="n"/>
      <c r="G342" s="1436" t="n"/>
      <c r="H342" s="1436" t="n"/>
      <c r="I342" s="1436" t="n"/>
      <c r="J342" s="1436" t="n"/>
      <c r="K342" s="1436" t="n"/>
      <c r="L342" s="1436" t="n"/>
      <c r="M342" s="1436" t="n"/>
      <c r="N342" s="1436" t="n"/>
      <c r="O342" s="1436" t="n"/>
      <c r="P342" s="1436" t="n"/>
      <c r="Q342" s="1436" t="n"/>
      <c r="R342" s="1436" t="n"/>
      <c r="S342" s="1436" t="n"/>
      <c r="T342" s="1436" t="n"/>
      <c r="U342" s="1436" t="n"/>
      <c r="V342" s="1436" t="n"/>
      <c r="W342" s="1436" t="n"/>
      <c r="X342" s="1436" t="n"/>
      <c r="Y342" s="1436" t="n"/>
      <c r="Z342" s="1436" t="n"/>
      <c r="AA342" s="1436" t="n"/>
      <c r="AB342" s="1436" t="n"/>
      <c r="AC342" s="1436" t="n"/>
      <c r="AD342" s="1436" t="n"/>
      <c r="AE342" s="1436" t="n"/>
      <c r="AF342" s="1436" t="n"/>
      <c r="AG342" s="1436" t="n"/>
      <c r="AH342" s="1436" t="n"/>
      <c r="AI342" s="1436" t="n"/>
      <c r="AJ342" s="1436" t="n"/>
      <c r="AK342" s="1436" t="n"/>
      <c r="AL342" s="1436" t="n"/>
      <c r="AM342" s="1436" t="n"/>
      <c r="AN342" s="1436" t="n"/>
      <c r="AO342" s="1436" t="n"/>
      <c r="AP342" s="1436" t="n"/>
      <c r="AS342" s="1436" t="n"/>
      <c r="BG342" s="1436" t="n"/>
      <c r="BU342" s="1436" t="n"/>
    </row>
    <row r="343">
      <c r="A343" s="1436" t="n"/>
      <c r="B343" s="1436" t="n"/>
      <c r="C343" s="1436" t="n"/>
      <c r="D343" s="1436" t="n"/>
      <c r="E343" s="1436" t="n"/>
      <c r="F343" s="1436" t="n"/>
      <c r="G343" s="1436" t="n"/>
      <c r="H343" s="1436" t="n"/>
      <c r="I343" s="1436" t="n"/>
      <c r="J343" s="1436" t="n"/>
      <c r="K343" s="1436" t="n"/>
      <c r="L343" s="1436" t="n"/>
      <c r="M343" s="1436" t="n"/>
      <c r="N343" s="1436" t="n"/>
      <c r="O343" s="1436" t="n"/>
      <c r="P343" s="1436" t="n"/>
      <c r="Q343" s="1436" t="n"/>
      <c r="R343" s="1436" t="n"/>
      <c r="S343" s="1436" t="n"/>
      <c r="T343" s="1436" t="n"/>
      <c r="U343" s="1436" t="n"/>
      <c r="V343" s="1436" t="n"/>
      <c r="W343" s="1436" t="n"/>
      <c r="X343" s="1436" t="n"/>
      <c r="Y343" s="1436" t="n"/>
      <c r="Z343" s="1436" t="n"/>
      <c r="AA343" s="1436" t="n"/>
      <c r="AB343" s="1436" t="n"/>
      <c r="AC343" s="1436" t="n"/>
      <c r="AD343" s="1436" t="n"/>
      <c r="AE343" s="1436" t="n"/>
      <c r="AF343" s="1436" t="n"/>
      <c r="AG343" s="1436" t="n"/>
      <c r="AH343" s="1436" t="n"/>
      <c r="AI343" s="1436" t="n"/>
      <c r="AJ343" s="1436" t="n"/>
      <c r="AK343" s="1436" t="n"/>
      <c r="AL343" s="1436" t="n"/>
      <c r="AM343" s="1436" t="n"/>
      <c r="AN343" s="1436" t="n"/>
      <c r="AO343" s="1436" t="n"/>
      <c r="AP343" s="1436" t="n"/>
      <c r="AS343" s="1436" t="n"/>
      <c r="BG343" s="1436" t="n"/>
      <c r="BU343" s="1436" t="n"/>
    </row>
    <row r="344">
      <c r="A344" s="1436" t="n"/>
      <c r="B344" s="1436" t="n"/>
      <c r="C344" s="1436" t="n"/>
      <c r="D344" s="1436" t="n"/>
      <c r="E344" s="1436" t="n"/>
      <c r="F344" s="1436" t="n"/>
      <c r="G344" s="1436" t="n"/>
      <c r="H344" s="1436" t="n"/>
      <c r="I344" s="1436" t="n"/>
      <c r="J344" s="1436" t="n"/>
      <c r="K344" s="1436" t="n"/>
      <c r="L344" s="1436" t="n"/>
      <c r="M344" s="1436" t="n"/>
      <c r="N344" s="1436" t="n"/>
      <c r="O344" s="1436" t="n"/>
      <c r="P344" s="1436" t="n"/>
      <c r="Q344" s="1436" t="n"/>
      <c r="R344" s="1436" t="n"/>
      <c r="S344" s="1436" t="n"/>
      <c r="T344" s="1436" t="n"/>
      <c r="U344" s="1436" t="n"/>
      <c r="V344" s="1436" t="n"/>
      <c r="W344" s="1436" t="n"/>
      <c r="X344" s="1436" t="n"/>
      <c r="Y344" s="1436" t="n"/>
      <c r="Z344" s="1436" t="n"/>
      <c r="AA344" s="1436" t="n"/>
      <c r="AB344" s="1436" t="n"/>
      <c r="AC344" s="1436" t="n"/>
      <c r="AD344" s="1436" t="n"/>
      <c r="AE344" s="1436" t="n"/>
      <c r="AF344" s="1436" t="n"/>
      <c r="AG344" s="1436" t="n"/>
      <c r="AH344" s="1436" t="n"/>
      <c r="AI344" s="1436" t="n"/>
      <c r="AJ344" s="1436" t="n"/>
      <c r="AK344" s="1436" t="n"/>
      <c r="AL344" s="1436" t="n"/>
      <c r="AM344" s="1436" t="n"/>
      <c r="AN344" s="1436" t="n"/>
      <c r="AO344" s="1436" t="n"/>
      <c r="AP344" s="1436" t="n"/>
      <c r="AS344" s="1436" t="n"/>
      <c r="BG344" s="1436" t="n"/>
      <c r="BU344" s="1436" t="n"/>
    </row>
    <row r="345">
      <c r="A345" s="1436" t="n"/>
      <c r="B345" s="1436" t="n"/>
      <c r="C345" s="1436" t="n"/>
      <c r="D345" s="1436" t="n"/>
      <c r="E345" s="1436" t="n"/>
      <c r="F345" s="1436" t="n"/>
      <c r="G345" s="1436" t="n"/>
      <c r="H345" s="1436" t="n"/>
      <c r="I345" s="1436" t="n"/>
      <c r="J345" s="1436" t="n"/>
      <c r="K345" s="1436" t="n"/>
      <c r="L345" s="1436" t="n"/>
      <c r="M345" s="1436" t="n"/>
      <c r="N345" s="1436" t="n"/>
      <c r="O345" s="1436" t="n"/>
      <c r="P345" s="1436" t="n"/>
      <c r="Q345" s="1436" t="n"/>
      <c r="R345" s="1436" t="n"/>
      <c r="S345" s="1436" t="n"/>
      <c r="T345" s="1436" t="n"/>
      <c r="U345" s="1436" t="n"/>
      <c r="V345" s="1436" t="n"/>
      <c r="W345" s="1436" t="n"/>
      <c r="X345" s="1436" t="n"/>
      <c r="Y345" s="1436" t="n"/>
      <c r="Z345" s="1436" t="n"/>
      <c r="AA345" s="1436" t="n"/>
      <c r="AB345" s="1436" t="n"/>
      <c r="AC345" s="1436" t="n"/>
      <c r="AD345" s="1436" t="n"/>
      <c r="AE345" s="1436" t="n"/>
      <c r="AF345" s="1436" t="n"/>
      <c r="AG345" s="1436" t="n"/>
      <c r="AH345" s="1436" t="n"/>
      <c r="AI345" s="1436" t="n"/>
      <c r="AJ345" s="1436" t="n"/>
      <c r="AK345" s="1436" t="n"/>
      <c r="AL345" s="1436" t="n"/>
      <c r="AM345" s="1436" t="n"/>
      <c r="AN345" s="1436" t="n"/>
      <c r="AO345" s="1436" t="n"/>
      <c r="AP345" s="1436" t="n"/>
      <c r="AS345" s="1436" t="n"/>
      <c r="BG345" s="1436" t="n"/>
      <c r="BU345" s="1436" t="n"/>
    </row>
    <row r="346">
      <c r="A346" s="1436" t="n"/>
      <c r="B346" s="1436" t="n"/>
      <c r="C346" s="1436" t="n"/>
      <c r="D346" s="1436" t="n"/>
      <c r="E346" s="1436" t="n"/>
      <c r="F346" s="1436" t="n"/>
      <c r="G346" s="1436" t="n"/>
      <c r="H346" s="1436" t="n"/>
      <c r="I346" s="1436" t="n"/>
      <c r="J346" s="1436" t="n"/>
      <c r="K346" s="1436" t="n"/>
      <c r="L346" s="1436" t="n"/>
      <c r="M346" s="1436" t="n"/>
      <c r="N346" s="1436" t="n"/>
      <c r="O346" s="1436" t="n"/>
      <c r="P346" s="1436" t="n"/>
      <c r="Q346" s="1436" t="n"/>
      <c r="R346" s="1436" t="n"/>
      <c r="S346" s="1436" t="n"/>
      <c r="T346" s="1436" t="n"/>
      <c r="U346" s="1436" t="n"/>
      <c r="V346" s="1436" t="n"/>
      <c r="W346" s="1436" t="n"/>
      <c r="X346" s="1436" t="n"/>
      <c r="Y346" s="1436" t="n"/>
      <c r="Z346" s="1436" t="n"/>
      <c r="AA346" s="1436" t="n"/>
      <c r="AB346" s="1436" t="n"/>
      <c r="AC346" s="1436" t="n"/>
      <c r="AD346" s="1436" t="n"/>
      <c r="AE346" s="1436" t="n"/>
      <c r="AF346" s="1436" t="n"/>
      <c r="AG346" s="1436" t="n"/>
      <c r="AH346" s="1436" t="n"/>
      <c r="AI346" s="1436" t="n"/>
      <c r="AJ346" s="1436" t="n"/>
      <c r="AK346" s="1436" t="n"/>
      <c r="AL346" s="1436" t="n"/>
      <c r="AM346" s="1436" t="n"/>
      <c r="AN346" s="1436" t="n"/>
      <c r="AO346" s="1436" t="n"/>
      <c r="AP346" s="1436" t="n"/>
      <c r="AS346" s="1436" t="n"/>
      <c r="BG346" s="1436" t="n"/>
      <c r="BU346" s="1436" t="n"/>
    </row>
    <row r="347">
      <c r="A347" s="1436" t="n"/>
      <c r="B347" s="1436" t="n"/>
      <c r="C347" s="1436" t="n"/>
      <c r="D347" s="1436" t="n"/>
      <c r="E347" s="1436" t="n"/>
      <c r="F347" s="1436" t="n"/>
      <c r="G347" s="1436" t="n"/>
      <c r="H347" s="1436" t="n"/>
      <c r="I347" s="1436" t="n"/>
      <c r="J347" s="1436" t="n"/>
      <c r="K347" s="1436" t="n"/>
      <c r="L347" s="1436" t="n"/>
      <c r="M347" s="1436" t="n"/>
      <c r="N347" s="1436" t="n"/>
      <c r="O347" s="1436" t="n"/>
      <c r="P347" s="1436" t="n"/>
      <c r="Q347" s="1436" t="n"/>
      <c r="R347" s="1436" t="n"/>
      <c r="S347" s="1436" t="n"/>
      <c r="T347" s="1436" t="n"/>
      <c r="U347" s="1436" t="n"/>
      <c r="V347" s="1436" t="n"/>
      <c r="W347" s="1436" t="n"/>
      <c r="X347" s="1436" t="n"/>
      <c r="Y347" s="1436" t="n"/>
      <c r="Z347" s="1436" t="n"/>
      <c r="AA347" s="1436" t="n"/>
      <c r="AB347" s="1436" t="n"/>
      <c r="AC347" s="1436" t="n"/>
      <c r="AD347" s="1436" t="n"/>
      <c r="AE347" s="1436" t="n"/>
      <c r="AF347" s="1436" t="n"/>
      <c r="AG347" s="1436" t="n"/>
      <c r="AH347" s="1436" t="n"/>
      <c r="AI347" s="1436" t="n"/>
      <c r="AJ347" s="1436" t="n"/>
      <c r="AK347" s="1436" t="n"/>
      <c r="AL347" s="1436" t="n"/>
      <c r="AM347" s="1436" t="n"/>
      <c r="AN347" s="1436" t="n"/>
      <c r="AO347" s="1436" t="n"/>
      <c r="AP347" s="1436" t="n"/>
      <c r="AS347" s="1436" t="n"/>
      <c r="BG347" s="1436" t="n"/>
      <c r="BU347" s="1436" t="n"/>
    </row>
    <row r="348">
      <c r="A348" s="1436" t="n"/>
      <c r="B348" s="1436" t="n"/>
      <c r="C348" s="1436" t="n"/>
      <c r="D348" s="1436" t="n"/>
      <c r="E348" s="1436" t="n"/>
      <c r="F348" s="1436" t="n"/>
      <c r="G348" s="1436" t="n"/>
      <c r="H348" s="1436" t="n"/>
      <c r="I348" s="1436" t="n"/>
      <c r="J348" s="1436" t="n"/>
      <c r="K348" s="1436" t="n"/>
      <c r="L348" s="1436" t="n"/>
      <c r="M348" s="1436" t="n"/>
      <c r="N348" s="1436" t="n"/>
      <c r="O348" s="1436" t="n"/>
      <c r="P348" s="1436" t="n"/>
      <c r="Q348" s="1436" t="n"/>
      <c r="R348" s="1436" t="n"/>
      <c r="S348" s="1436" t="n"/>
      <c r="T348" s="1436" t="n"/>
      <c r="U348" s="1436" t="n"/>
      <c r="V348" s="1436" t="n"/>
      <c r="W348" s="1436" t="n"/>
      <c r="X348" s="1436" t="n"/>
      <c r="Y348" s="1436" t="n"/>
      <c r="Z348" s="1436" t="n"/>
      <c r="AA348" s="1436" t="n"/>
      <c r="AB348" s="1436" t="n"/>
      <c r="AC348" s="1436" t="n"/>
      <c r="AD348" s="1436" t="n"/>
      <c r="AE348" s="1436" t="n"/>
      <c r="AF348" s="1436" t="n"/>
      <c r="AG348" s="1436" t="n"/>
      <c r="AH348" s="1436" t="n"/>
      <c r="AI348" s="1436" t="n"/>
      <c r="AJ348" s="1436" t="n"/>
      <c r="AK348" s="1436" t="n"/>
      <c r="AL348" s="1436" t="n"/>
      <c r="AM348" s="1436" t="n"/>
      <c r="AN348" s="1436" t="n"/>
      <c r="AO348" s="1436" t="n"/>
      <c r="AP348" s="1436" t="n"/>
      <c r="AS348" s="1436" t="n"/>
      <c r="BG348" s="1436" t="n"/>
      <c r="BU348" s="1436" t="n"/>
    </row>
    <row r="349">
      <c r="A349" s="1436" t="n"/>
      <c r="B349" s="1436" t="n"/>
      <c r="C349" s="1436" t="n"/>
      <c r="D349" s="1436" t="n"/>
      <c r="E349" s="1436" t="n"/>
      <c r="F349" s="1436" t="n"/>
      <c r="G349" s="1436" t="n"/>
      <c r="H349" s="1436" t="n"/>
      <c r="I349" s="1436" t="n"/>
      <c r="J349" s="1436" t="n"/>
      <c r="K349" s="1436" t="n"/>
      <c r="L349" s="1436" t="n"/>
      <c r="M349" s="1436" t="n"/>
      <c r="N349" s="1436" t="n"/>
      <c r="O349" s="1436" t="n"/>
      <c r="P349" s="1436" t="n"/>
      <c r="Q349" s="1436" t="n"/>
      <c r="R349" s="1436" t="n"/>
      <c r="S349" s="1436" t="n"/>
      <c r="T349" s="1436" t="n"/>
      <c r="U349" s="1436" t="n"/>
      <c r="V349" s="1436" t="n"/>
      <c r="W349" s="1436" t="n"/>
      <c r="X349" s="1436" t="n"/>
      <c r="Y349" s="1436" t="n"/>
      <c r="Z349" s="1436" t="n"/>
      <c r="AA349" s="1436" t="n"/>
      <c r="AB349" s="1436" t="n"/>
      <c r="AC349" s="1436" t="n"/>
      <c r="AD349" s="1436" t="n"/>
      <c r="AE349" s="1436" t="n"/>
      <c r="AF349" s="1436" t="n"/>
      <c r="AG349" s="1436" t="n"/>
      <c r="AH349" s="1436" t="n"/>
      <c r="AI349" s="1436" t="n"/>
      <c r="AJ349" s="1436" t="n"/>
      <c r="AK349" s="1436" t="n"/>
      <c r="AL349" s="1436" t="n"/>
      <c r="AM349" s="1436" t="n"/>
      <c r="AN349" s="1436" t="n"/>
      <c r="AO349" s="1436" t="n"/>
      <c r="AP349" s="1436" t="n"/>
      <c r="AS349" s="1436" t="n"/>
      <c r="BG349" s="1436" t="n"/>
      <c r="BU349" s="1436" t="n"/>
    </row>
    <row r="350">
      <c r="A350" s="1436" t="n"/>
      <c r="B350" s="1436" t="n"/>
      <c r="C350" s="1436" t="n"/>
      <c r="D350" s="1436" t="n"/>
      <c r="E350" s="1436" t="n"/>
      <c r="F350" s="1436" t="n"/>
      <c r="G350" s="1436" t="n"/>
      <c r="H350" s="1436" t="n"/>
      <c r="I350" s="1436" t="n"/>
      <c r="J350" s="1436" t="n"/>
      <c r="K350" s="1436" t="n"/>
      <c r="L350" s="1436" t="n"/>
      <c r="M350" s="1436" t="n"/>
      <c r="N350" s="1436" t="n"/>
      <c r="O350" s="1436" t="n"/>
      <c r="P350" s="1436" t="n"/>
      <c r="Q350" s="1436" t="n"/>
      <c r="R350" s="1436" t="n"/>
      <c r="S350" s="1436" t="n"/>
      <c r="T350" s="1436" t="n"/>
      <c r="U350" s="1436" t="n"/>
      <c r="V350" s="1436" t="n"/>
      <c r="W350" s="1436" t="n"/>
      <c r="X350" s="1436" t="n"/>
      <c r="Y350" s="1436" t="n"/>
      <c r="Z350" s="1436" t="n"/>
      <c r="AA350" s="1436" t="n"/>
      <c r="AB350" s="1436" t="n"/>
      <c r="AC350" s="1436" t="n"/>
      <c r="AD350" s="1436" t="n"/>
      <c r="AE350" s="1436" t="n"/>
      <c r="AF350" s="1436" t="n"/>
      <c r="AG350" s="1436" t="n"/>
      <c r="AH350" s="1436" t="n"/>
      <c r="AI350" s="1436" t="n"/>
      <c r="AJ350" s="1436" t="n"/>
      <c r="AK350" s="1436" t="n"/>
      <c r="AL350" s="1436" t="n"/>
      <c r="AM350" s="1436" t="n"/>
      <c r="AN350" s="1436" t="n"/>
      <c r="AO350" s="1436" t="n"/>
      <c r="AP350" s="1436" t="n"/>
      <c r="AS350" s="1436" t="n"/>
      <c r="BG350" s="1436" t="n"/>
      <c r="BU350" s="1436" t="n"/>
    </row>
    <row r="351">
      <c r="A351" s="1436" t="n"/>
      <c r="B351" s="1436" t="n"/>
      <c r="C351" s="1436" t="n"/>
      <c r="D351" s="1436" t="n"/>
      <c r="E351" s="1436" t="n"/>
      <c r="F351" s="1436" t="n"/>
      <c r="G351" s="1436" t="n"/>
      <c r="H351" s="1436" t="n"/>
      <c r="I351" s="1436" t="n"/>
      <c r="J351" s="1436" t="n"/>
      <c r="K351" s="1436" t="n"/>
      <c r="L351" s="1436" t="n"/>
      <c r="M351" s="1436" t="n"/>
      <c r="N351" s="1436" t="n"/>
      <c r="O351" s="1436" t="n"/>
      <c r="P351" s="1436" t="n"/>
      <c r="Q351" s="1436" t="n"/>
      <c r="R351" s="1436" t="n"/>
      <c r="S351" s="1436" t="n"/>
      <c r="T351" s="1436" t="n"/>
      <c r="U351" s="1436" t="n"/>
      <c r="V351" s="1436" t="n"/>
      <c r="W351" s="1436" t="n"/>
      <c r="X351" s="1436" t="n"/>
      <c r="Y351" s="1436" t="n"/>
      <c r="Z351" s="1436" t="n"/>
      <c r="AA351" s="1436" t="n"/>
      <c r="AB351" s="1436" t="n"/>
      <c r="AC351" s="1436" t="n"/>
      <c r="AD351" s="1436" t="n"/>
      <c r="AE351" s="1436" t="n"/>
      <c r="AF351" s="1436" t="n"/>
      <c r="AG351" s="1436" t="n"/>
      <c r="AH351" s="1436" t="n"/>
      <c r="AI351" s="1436" t="n"/>
      <c r="AJ351" s="1436" t="n"/>
      <c r="AK351" s="1436" t="n"/>
      <c r="AL351" s="1436" t="n"/>
      <c r="AM351" s="1436" t="n"/>
      <c r="AN351" s="1436" t="n"/>
      <c r="AO351" s="1436" t="n"/>
      <c r="AP351" s="1436" t="n"/>
      <c r="AS351" s="1436" t="n"/>
      <c r="BG351" s="1436" t="n"/>
      <c r="BU351" s="1436" t="n"/>
    </row>
    <row r="352">
      <c r="A352" s="1436" t="n"/>
      <c r="B352" s="1436" t="n"/>
      <c r="C352" s="1436" t="n"/>
      <c r="D352" s="1436" t="n"/>
      <c r="E352" s="1436" t="n"/>
      <c r="F352" s="1436" t="n"/>
      <c r="G352" s="1436" t="n"/>
      <c r="H352" s="1436" t="n"/>
      <c r="I352" s="1436" t="n"/>
      <c r="J352" s="1436" t="n"/>
      <c r="K352" s="1436" t="n"/>
      <c r="L352" s="1436" t="n"/>
      <c r="M352" s="1436" t="n"/>
      <c r="N352" s="1436" t="n"/>
      <c r="O352" s="1436" t="n"/>
      <c r="P352" s="1436" t="n"/>
      <c r="Q352" s="1436" t="n"/>
      <c r="R352" s="1436" t="n"/>
      <c r="S352" s="1436" t="n"/>
      <c r="T352" s="1436" t="n"/>
      <c r="U352" s="1436" t="n"/>
      <c r="V352" s="1436" t="n"/>
      <c r="W352" s="1436" t="n"/>
      <c r="X352" s="1436" t="n"/>
      <c r="Y352" s="1436" t="n"/>
      <c r="Z352" s="1436" t="n"/>
      <c r="AA352" s="1436" t="n"/>
      <c r="AB352" s="1436" t="n"/>
      <c r="AC352" s="1436" t="n"/>
      <c r="AD352" s="1436" t="n"/>
      <c r="AE352" s="1436" t="n"/>
      <c r="AF352" s="1436" t="n"/>
      <c r="AG352" s="1436" t="n"/>
      <c r="AH352" s="1436" t="n"/>
      <c r="AI352" s="1436" t="n"/>
      <c r="AJ352" s="1436" t="n"/>
      <c r="AK352" s="1436" t="n"/>
      <c r="AL352" s="1436" t="n"/>
      <c r="AM352" s="1436" t="n"/>
      <c r="AN352" s="1436" t="n"/>
      <c r="AO352" s="1436" t="n"/>
      <c r="AP352" s="1436" t="n"/>
      <c r="AS352" s="1436" t="n"/>
      <c r="BG352" s="1436" t="n"/>
      <c r="BU352" s="1436" t="n"/>
    </row>
    <row r="353">
      <c r="A353" s="1436" t="n"/>
      <c r="B353" s="1436" t="n"/>
      <c r="C353" s="1436" t="n"/>
      <c r="D353" s="1436" t="n"/>
      <c r="E353" s="1436" t="n"/>
      <c r="F353" s="1436" t="n"/>
      <c r="G353" s="1436" t="n"/>
      <c r="H353" s="1436" t="n"/>
      <c r="I353" s="1436" t="n"/>
      <c r="J353" s="1436" t="n"/>
      <c r="K353" s="1436" t="n"/>
      <c r="L353" s="1436" t="n"/>
      <c r="M353" s="1436" t="n"/>
      <c r="N353" s="1436" t="n"/>
      <c r="O353" s="1436" t="n"/>
      <c r="P353" s="1436" t="n"/>
      <c r="Q353" s="1436" t="n"/>
      <c r="R353" s="1436" t="n"/>
      <c r="S353" s="1436" t="n"/>
      <c r="T353" s="1436" t="n"/>
      <c r="U353" s="1436" t="n"/>
      <c r="V353" s="1436" t="n"/>
      <c r="W353" s="1436" t="n"/>
      <c r="X353" s="1436" t="n"/>
      <c r="Y353" s="1436" t="n"/>
      <c r="Z353" s="1436" t="n"/>
      <c r="AA353" s="1436" t="n"/>
      <c r="AB353" s="1436" t="n"/>
      <c r="AC353" s="1436" t="n"/>
      <c r="AD353" s="1436" t="n"/>
      <c r="AE353" s="1436" t="n"/>
      <c r="AF353" s="1436" t="n"/>
      <c r="AG353" s="1436" t="n"/>
      <c r="AH353" s="1436" t="n"/>
      <c r="AI353" s="1436" t="n"/>
      <c r="AJ353" s="1436" t="n"/>
      <c r="AK353" s="1436" t="n"/>
      <c r="AL353" s="1436" t="n"/>
      <c r="AM353" s="1436" t="n"/>
      <c r="AN353" s="1436" t="n"/>
      <c r="AO353" s="1436" t="n"/>
      <c r="AP353" s="1436" t="n"/>
      <c r="AS353" s="1436" t="n"/>
      <c r="BG353" s="1436" t="n"/>
      <c r="BU353" s="1436" t="n"/>
    </row>
    <row r="354">
      <c r="A354" s="1436" t="n"/>
      <c r="B354" s="1436" t="n"/>
      <c r="C354" s="1436" t="n"/>
      <c r="D354" s="1436" t="n"/>
      <c r="E354" s="1436" t="n"/>
      <c r="F354" s="1436" t="n"/>
      <c r="G354" s="1436" t="n"/>
      <c r="H354" s="1436" t="n"/>
      <c r="I354" s="1436" t="n"/>
      <c r="J354" s="1436" t="n"/>
      <c r="K354" s="1436" t="n"/>
      <c r="L354" s="1436" t="n"/>
      <c r="M354" s="1436" t="n"/>
      <c r="N354" s="1436" t="n"/>
      <c r="O354" s="1436" t="n"/>
      <c r="P354" s="1436" t="n"/>
      <c r="Q354" s="1436" t="n"/>
      <c r="R354" s="1436" t="n"/>
      <c r="S354" s="1436" t="n"/>
      <c r="T354" s="1436" t="n"/>
      <c r="U354" s="1436" t="n"/>
      <c r="V354" s="1436" t="n"/>
      <c r="W354" s="1436" t="n"/>
      <c r="X354" s="1436" t="n"/>
      <c r="Y354" s="1436" t="n"/>
      <c r="Z354" s="1436" t="n"/>
      <c r="AA354" s="1436" t="n"/>
      <c r="AB354" s="1436" t="n"/>
      <c r="AC354" s="1436" t="n"/>
      <c r="AD354" s="1436" t="n"/>
      <c r="AE354" s="1436" t="n"/>
      <c r="AF354" s="1436" t="n"/>
      <c r="AG354" s="1436" t="n"/>
      <c r="AH354" s="1436" t="n"/>
      <c r="AI354" s="1436" t="n"/>
      <c r="AJ354" s="1436" t="n"/>
      <c r="AK354" s="1436" t="n"/>
      <c r="AL354" s="1436" t="n"/>
      <c r="AM354" s="1436" t="n"/>
      <c r="AN354" s="1436" t="n"/>
      <c r="AO354" s="1436" t="n"/>
      <c r="AP354" s="1436" t="n"/>
      <c r="AS354" s="1436" t="n"/>
      <c r="BG354" s="1436" t="n"/>
      <c r="BU354" s="1436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/>
  </sheetPr>
  <dimension ref="A2:AH143"/>
  <sheetViews>
    <sheetView showGridLines="0" zoomScaleNormal="100" workbookViewId="0">
      <pane ySplit="7" topLeftCell="A71" activePane="bottomLeft" state="frozen"/>
      <selection pane="bottomLeft" activeCell="C105" sqref="C105"/>
    </sheetView>
  </sheetViews>
  <sheetFormatPr baseColWidth="8" defaultColWidth="7" defaultRowHeight="20.1" customHeight="1"/>
  <cols>
    <col width="5" customWidth="1" style="1062" min="1" max="1"/>
    <col width="13.75" customWidth="1" style="1062" min="2" max="20"/>
    <col width="12.125" customWidth="1" style="1062" min="21" max="35"/>
    <col width="7" customWidth="1" style="1062" min="36" max="16384"/>
  </cols>
  <sheetData>
    <row r="1" ht="24.95" customHeight="1"/>
    <row r="2" ht="24.95" customHeight="1">
      <c r="B2" s="1063" t="inlineStr">
        <is>
          <t>PPT파일선택</t>
        </is>
      </c>
      <c r="C2" s="1697" t="inlineStr">
        <is>
          <t>C:\Users\IJH\Desktop\자금팀\카탈리스터(컴투버스)\자금계획\2026년\2026.07\카탈리스터_7월 자금운용계획(260714).pptx</t>
        </is>
      </c>
      <c r="D2" s="2644" t="n"/>
      <c r="E2" s="2644" t="n"/>
      <c r="F2" s="2644" t="n"/>
      <c r="G2" s="2645" t="n"/>
    </row>
    <row r="3" ht="24.95" customHeight="1">
      <c r="B3" s="1063" t="inlineStr">
        <is>
          <t>선택PPT파일열기</t>
        </is>
      </c>
      <c r="C3" s="1064" t="inlineStr">
        <is>
          <t>슬라이드갯수</t>
        </is>
      </c>
      <c r="D3" s="2646" t="inlineStr">
        <is>
          <t>1 ~ 6</t>
        </is>
      </c>
      <c r="E3" s="1066" t="inlineStr">
        <is>
          <t>뉴PPT프로젝트</t>
        </is>
      </c>
      <c r="F3" s="1067" t="n"/>
      <c r="G3" s="1066" t="inlineStr">
        <is>
          <t>PPT파일모두닫기</t>
        </is>
      </c>
    </row>
    <row r="4" ht="5.1" customHeight="1"/>
    <row r="5" ht="24.95" customHeight="1"/>
    <row r="6" ht="24.95" customHeight="1">
      <c r="B6" s="1063" t="inlineStr">
        <is>
          <t>테이블리셋</t>
        </is>
      </c>
      <c r="C6" s="1063" t="inlineStr">
        <is>
          <t>테이블호출</t>
        </is>
      </c>
    </row>
    <row r="7" ht="24.95" customHeight="1">
      <c r="B7" s="1068" t="inlineStr">
        <is>
          <t>슬라이드 페이지</t>
        </is>
      </c>
      <c r="C7" s="1071" t="inlineStr">
        <is>
          <t>테이블 이름</t>
        </is>
      </c>
      <c r="D7" s="1068" t="inlineStr">
        <is>
          <t>행(row)</t>
        </is>
      </c>
      <c r="E7" s="1068" t="inlineStr">
        <is>
          <t>열(column)</t>
        </is>
      </c>
      <c r="R7" s="1069" t="n"/>
      <c r="S7" s="1070" t="n"/>
      <c r="U7" s="1069" t="n"/>
      <c r="V7" s="1069" t="n"/>
      <c r="W7" s="1069" t="n"/>
      <c r="X7" s="1069" t="n"/>
      <c r="Y7" s="1069" t="n"/>
      <c r="Z7" s="1069" t="n"/>
      <c r="AA7" s="1069" t="n"/>
      <c r="AB7" s="1069" t="n"/>
      <c r="AC7" s="1069" t="n"/>
      <c r="AD7" s="1069" t="n"/>
      <c r="AE7" s="1069" t="n"/>
      <c r="AF7" s="1069" t="n"/>
      <c r="AG7" s="1069" t="n"/>
      <c r="AH7" s="1069" t="n"/>
    </row>
    <row r="8" ht="20.1" customFormat="1" customHeight="1" s="1069" thickBot="1">
      <c r="A8" s="1070" t="n"/>
      <c r="B8" s="1072" t="n">
        <v>2</v>
      </c>
      <c r="C8" s="1073" t="inlineStr">
        <is>
          <t>Table 15</t>
        </is>
      </c>
      <c r="D8" s="1072" t="n">
        <v>9</v>
      </c>
      <c r="E8" s="1072" t="n">
        <v>5</v>
      </c>
    </row>
    <row r="9" ht="20.1" customHeight="1">
      <c r="D9" s="1719" t="inlineStr">
        <is>
          <t>구분</t>
        </is>
      </c>
      <c r="E9" s="1075">
        <f>'1-1'!F6</f>
        <v/>
      </c>
      <c r="F9" s="1076">
        <f>'1-1'!G6</f>
        <v/>
      </c>
      <c r="G9" s="1077">
        <f>'1-1'!H6</f>
        <v/>
      </c>
      <c r="H9" s="1700">
        <f>'1-1'!I6</f>
        <v/>
      </c>
    </row>
    <row r="10" ht="20.1" customHeight="1">
      <c r="D10" s="1692" t="inlineStr">
        <is>
          <t xml:space="preserve"> A. 기초잔고</t>
        </is>
      </c>
      <c r="E10" s="2647">
        <f>'1-1'!F7</f>
        <v/>
      </c>
      <c r="F10" s="2648">
        <f>'1-1'!G7</f>
        <v/>
      </c>
      <c r="G10" s="2649">
        <f>'1-1'!H7</f>
        <v/>
      </c>
      <c r="H10" s="1084">
        <f>'1-1'!I7</f>
        <v/>
      </c>
    </row>
    <row r="11" ht="20.1" customHeight="1">
      <c r="D11" s="1694" t="inlineStr">
        <is>
          <t xml:space="preserve"> B. 수입</t>
        </is>
      </c>
      <c r="E11" s="2650">
        <f>'1-1'!F8</f>
        <v/>
      </c>
      <c r="F11" s="2651">
        <f>'1-1'!G8</f>
        <v/>
      </c>
      <c r="G11" s="2652">
        <f>'1-1'!H8</f>
        <v/>
      </c>
      <c r="H11" s="1085">
        <f>'1-1'!I8</f>
        <v/>
      </c>
    </row>
    <row r="12" ht="20.1" customHeight="1">
      <c r="D12" s="1779" t="inlineStr">
        <is>
          <t xml:space="preserve"> </t>
        </is>
      </c>
      <c r="E12" s="2653" t="n"/>
      <c r="F12" s="2654" t="n"/>
      <c r="G12" s="2655" t="n"/>
      <c r="H12" s="1176" t="n"/>
    </row>
    <row r="13" ht="20.1" customHeight="1">
      <c r="D13" s="1694" t="inlineStr">
        <is>
          <t xml:space="preserve"> C. 지출</t>
        </is>
      </c>
      <c r="E13" s="2650">
        <f>'1-1'!F10</f>
        <v/>
      </c>
      <c r="F13" s="2651">
        <f>'1-1'!G10</f>
        <v/>
      </c>
      <c r="G13" s="2652">
        <f>'1-1'!H10</f>
        <v/>
      </c>
      <c r="H13" s="1085">
        <f>'1-1'!I10</f>
        <v/>
      </c>
    </row>
    <row r="14" ht="20.1" customHeight="1">
      <c r="D14" s="1779" t="inlineStr">
        <is>
          <t xml:space="preserve"> </t>
        </is>
      </c>
      <c r="E14" s="2653" t="n"/>
      <c r="F14" s="2654" t="n"/>
      <c r="G14" s="2656" t="n"/>
      <c r="H14" s="1086">
        <f>'1-1'!I11</f>
        <v/>
      </c>
    </row>
    <row r="15" ht="20.1" customHeight="1">
      <c r="D15" s="1692" t="inlineStr">
        <is>
          <t xml:space="preserve"> D. 자금수지차 (=B-C)</t>
        </is>
      </c>
      <c r="E15" s="2657">
        <f>'1-1'!F12</f>
        <v/>
      </c>
      <c r="F15" s="2658">
        <f>'1-1'!G12</f>
        <v/>
      </c>
      <c r="G15" s="2649">
        <f>'1-1'!H12</f>
        <v/>
      </c>
      <c r="H15" s="1087" t="n"/>
    </row>
    <row r="16" ht="20.1" customHeight="1">
      <c r="D16" s="1692" t="inlineStr">
        <is>
          <t xml:space="preserve"> E. 자금조달</t>
        </is>
      </c>
      <c r="E16" s="2659" t="n">
        <v>0</v>
      </c>
      <c r="F16" s="2660" t="n">
        <v>0</v>
      </c>
      <c r="G16" s="2649" t="n">
        <v>0</v>
      </c>
      <c r="H16" s="1087" t="n"/>
    </row>
    <row r="17" ht="20.1" customHeight="1" thickBot="1">
      <c r="D17" s="1781" t="inlineStr">
        <is>
          <t xml:space="preserve"> F. 기말잔고 (=A+D+E)</t>
        </is>
      </c>
      <c r="E17" s="2661">
        <f>'1-1'!F14</f>
        <v/>
      </c>
      <c r="F17" s="2662">
        <f>'1-1'!G14</f>
        <v/>
      </c>
      <c r="G17" s="2663">
        <f>'1-1'!H14</f>
        <v/>
      </c>
      <c r="H17" s="1088">
        <f>'1-1'!I14</f>
        <v/>
      </c>
    </row>
    <row r="18" ht="20.1" customFormat="1" customHeight="1" s="1069">
      <c r="A18" s="1070" t="n"/>
      <c r="B18" s="1072" t="n">
        <v>2</v>
      </c>
      <c r="C18" s="1073" t="inlineStr">
        <is>
          <t>Table 10</t>
        </is>
      </c>
      <c r="D18" s="1072" t="n">
        <v>11</v>
      </c>
      <c r="E18" s="1072" t="n">
        <v>5</v>
      </c>
    </row>
    <row r="19" ht="20.1" customHeight="1">
      <c r="D19" s="2664" t="inlineStr">
        <is>
          <t xml:space="preserve"> 구분 </t>
        </is>
      </c>
      <c r="E19" s="2665">
        <f>'1-2'!D4</f>
        <v/>
      </c>
      <c r="F19" s="2666" t="n"/>
      <c r="G19" s="2667" t="n"/>
      <c r="H19" s="2664" t="inlineStr">
        <is>
          <t>비고</t>
        </is>
      </c>
    </row>
    <row r="20" ht="20.1" customHeight="1">
      <c r="D20" s="2668" t="n"/>
      <c r="E20" s="1089" t="inlineStr">
        <is>
          <t>원화</t>
        </is>
      </c>
      <c r="F20" s="1090" t="inlineStr">
        <is>
          <t>외화($)</t>
        </is>
      </c>
      <c r="G20" s="1091" t="inlineStr">
        <is>
          <t>환산 계</t>
        </is>
      </c>
      <c r="H20" s="2668" t="n"/>
    </row>
    <row r="21" ht="20.1" customHeight="1">
      <c r="D21" s="1092" t="inlineStr">
        <is>
          <t>A. 기초 유동잔고</t>
        </is>
      </c>
      <c r="E21" s="2669">
        <f>'1-2'!D6</f>
        <v/>
      </c>
      <c r="F21" s="2670">
        <f>'1-2'!E6</f>
        <v/>
      </c>
      <c r="G21" s="2671">
        <f>'1-2'!F6</f>
        <v/>
      </c>
      <c r="H21" s="1093" t="inlineStr">
        <is>
          <t xml:space="preserve"> </t>
        </is>
      </c>
    </row>
    <row r="22" ht="20.1" customHeight="1">
      <c r="D22" s="1094" t="inlineStr">
        <is>
          <t xml:space="preserve">B. 수입 </t>
        </is>
      </c>
      <c r="E22" s="2672">
        <f>'1-2'!D7</f>
        <v/>
      </c>
      <c r="F22" s="2673">
        <f>'1-2'!E7</f>
        <v/>
      </c>
      <c r="G22" s="2674">
        <f>'1-2'!F7</f>
        <v/>
      </c>
      <c r="H22" s="1095" t="inlineStr">
        <is>
          <t xml:space="preserve"> </t>
        </is>
      </c>
    </row>
    <row r="23" ht="20.1" customHeight="1">
      <c r="D23" s="1096" t="inlineStr">
        <is>
          <t>C. 지출</t>
        </is>
      </c>
      <c r="E23" s="2675">
        <f>'1-2'!D8</f>
        <v/>
      </c>
      <c r="F23" s="2676">
        <f>'1-2'!E8</f>
        <v/>
      </c>
      <c r="G23" s="2677">
        <f>'1-2'!F8</f>
        <v/>
      </c>
      <c r="H23" s="1097" t="inlineStr">
        <is>
          <t xml:space="preserve"> </t>
        </is>
      </c>
    </row>
    <row r="24" ht="20.1" customHeight="1">
      <c r="D24" s="1098" t="inlineStr">
        <is>
          <t>D. 자금수지차 (=B-C)</t>
        </is>
      </c>
      <c r="E24" s="2678">
        <f>'1-2'!D9</f>
        <v/>
      </c>
      <c r="F24" s="2679">
        <f>'1-2'!E9</f>
        <v/>
      </c>
      <c r="G24" s="2680">
        <f>'1-2'!F9</f>
        <v/>
      </c>
      <c r="H24" s="1099" t="inlineStr">
        <is>
          <t xml:space="preserve"> </t>
        </is>
      </c>
    </row>
    <row r="25" ht="20.1" customHeight="1">
      <c r="D25" s="1781" t="inlineStr">
        <is>
          <t xml:space="preserve">E. 자금과부족 (=A+D) </t>
        </is>
      </c>
      <c r="E25" s="2681">
        <f>'1-2'!D10</f>
        <v/>
      </c>
      <c r="F25" s="2682">
        <f>'1-2'!E10</f>
        <v/>
      </c>
      <c r="G25" s="2683">
        <f>'1-2'!F10</f>
        <v/>
      </c>
      <c r="H25" s="1100" t="inlineStr">
        <is>
          <t xml:space="preserve"> </t>
        </is>
      </c>
    </row>
    <row r="26" ht="20.1" customHeight="1">
      <c r="D26" s="1092" t="inlineStr">
        <is>
          <t>F. 운용자금 활용(해지)</t>
        </is>
      </c>
      <c r="E26" s="2684">
        <f>'1-2'!D11</f>
        <v/>
      </c>
      <c r="F26" s="2685">
        <f>'1-2'!E11</f>
        <v/>
      </c>
      <c r="G26" s="2686">
        <f>'1-2'!F11</f>
        <v/>
      </c>
      <c r="H26" s="1082" t="inlineStr">
        <is>
          <t xml:space="preserve"> </t>
        </is>
      </c>
    </row>
    <row r="27" ht="20.1" customHeight="1" thickBot="1">
      <c r="D27" s="1101" t="inlineStr">
        <is>
          <t>G. 예치 전 기말 유동잔고(=E+F)</t>
        </is>
      </c>
      <c r="E27" s="2687">
        <f>'1-2'!D12</f>
        <v/>
      </c>
      <c r="F27" s="2688">
        <f>'1-2'!E12</f>
        <v/>
      </c>
      <c r="G27" s="2689">
        <f>'1-2'!F12</f>
        <v/>
      </c>
      <c r="H27" s="1082" t="inlineStr">
        <is>
          <t xml:space="preserve"> </t>
        </is>
      </c>
    </row>
    <row r="28" ht="20.1" customHeight="1" thickBot="1">
      <c r="D28" s="1102" t="inlineStr">
        <is>
          <t>H. 예치 자금(=G-K)</t>
        </is>
      </c>
      <c r="E28" s="2690">
        <f>'1-2'!D13</f>
        <v/>
      </c>
      <c r="F28" s="2691">
        <f>'1-2'!E13</f>
        <v/>
      </c>
      <c r="G28" s="2692">
        <f>'1-2'!F13</f>
        <v/>
      </c>
      <c r="H28" s="1103" t="inlineStr">
        <is>
          <t xml:space="preserve"> </t>
        </is>
      </c>
    </row>
    <row r="29" ht="20.1" customHeight="1">
      <c r="D29" s="1104" t="inlineStr">
        <is>
          <t>I. 기말 유동잔고</t>
        </is>
      </c>
      <c r="E29" s="2693">
        <f>'1-2'!D14</f>
        <v/>
      </c>
      <c r="F29" s="2694">
        <f>'1-2'!E14</f>
        <v/>
      </c>
      <c r="G29" s="2695">
        <f>'1-2'!F14</f>
        <v/>
      </c>
      <c r="H29" s="1082" t="inlineStr">
        <is>
          <t xml:space="preserve"> </t>
        </is>
      </c>
    </row>
    <row r="30" ht="20.1" customFormat="1" customHeight="1" s="1069" thickBot="1">
      <c r="A30" s="1070" t="n"/>
      <c r="B30" s="1072" t="n">
        <v>3</v>
      </c>
      <c r="C30" s="1073" t="inlineStr">
        <is>
          <t>Table 9</t>
        </is>
      </c>
      <c r="D30" s="1072" t="n">
        <v>9</v>
      </c>
      <c r="E30" s="1072" t="n">
        <v>9</v>
      </c>
    </row>
    <row r="31" ht="20.1" customHeight="1">
      <c r="D31" s="1719" t="inlineStr">
        <is>
          <t>구분</t>
        </is>
      </c>
      <c r="E31" s="2696" t="n"/>
      <c r="F31" s="1075">
        <f>'2-1'!E4</f>
        <v/>
      </c>
      <c r="G31" s="2666" t="n"/>
      <c r="H31" s="2697" t="n"/>
      <c r="I31" s="1116">
        <f>'2-1'!H4</f>
        <v/>
      </c>
      <c r="J31" s="2698" t="n"/>
      <c r="K31" s="2699" t="n"/>
      <c r="L31" s="2700" t="inlineStr">
        <is>
          <t>비고</t>
        </is>
      </c>
    </row>
    <row r="32" ht="20.1" customHeight="1">
      <c r="D32" s="2701" t="n"/>
      <c r="E32" s="2702" t="n"/>
      <c r="F32" s="1105" t="inlineStr">
        <is>
          <t>원화</t>
        </is>
      </c>
      <c r="G32" s="1106" t="inlineStr">
        <is>
          <t>외화($)</t>
        </is>
      </c>
      <c r="H32" s="1107" t="inlineStr">
        <is>
          <t>환산 계</t>
        </is>
      </c>
      <c r="I32" s="1108" t="inlineStr">
        <is>
          <t>원화</t>
        </is>
      </c>
      <c r="J32" s="1106" t="inlineStr">
        <is>
          <t>외화($)</t>
        </is>
      </c>
      <c r="K32" s="1107" t="inlineStr">
        <is>
          <t>환산 계</t>
        </is>
      </c>
      <c r="L32" s="2703" t="n"/>
    </row>
    <row r="33" ht="20.1" customHeight="1">
      <c r="D33" s="1692" t="inlineStr">
        <is>
          <t>A. 기초자금</t>
        </is>
      </c>
      <c r="E33" s="2704" t="n"/>
      <c r="F33" s="2684">
        <f>'2-1'!E6</f>
        <v/>
      </c>
      <c r="G33" s="2705">
        <f>'2-1'!F6</f>
        <v/>
      </c>
      <c r="H33" s="2647">
        <f>'2-1'!G6</f>
        <v/>
      </c>
      <c r="I33" s="2706">
        <f>'2-1'!H6</f>
        <v/>
      </c>
      <c r="J33" s="2705">
        <f>'2-1'!I6</f>
        <v/>
      </c>
      <c r="K33" s="2647">
        <f>'2-1'!J6</f>
        <v/>
      </c>
      <c r="L33" s="1103" t="inlineStr">
        <is>
          <t xml:space="preserve"> </t>
        </is>
      </c>
    </row>
    <row r="34" ht="20.1" customHeight="1">
      <c r="D34" s="1692" t="inlineStr">
        <is>
          <t>B. 해지(감소)</t>
        </is>
      </c>
      <c r="E34" s="2704" t="n"/>
      <c r="F34" s="2684">
        <f>'2-1'!E7</f>
        <v/>
      </c>
      <c r="G34" s="2705">
        <f>'2-1'!F7</f>
        <v/>
      </c>
      <c r="H34" s="2647">
        <f>'2-1'!G7</f>
        <v/>
      </c>
      <c r="I34" s="2706">
        <f>'2-1'!H7</f>
        <v/>
      </c>
      <c r="J34" s="2705">
        <f>'2-1'!I7</f>
        <v/>
      </c>
      <c r="K34" s="2647">
        <f>'2-1'!J7</f>
        <v/>
      </c>
      <c r="L34" s="1103" t="inlineStr">
        <is>
          <t xml:space="preserve"> </t>
        </is>
      </c>
    </row>
    <row r="35" ht="20.1" customHeight="1">
      <c r="D35" s="1694" t="inlineStr">
        <is>
          <t>C. 금융기관예치</t>
        </is>
      </c>
      <c r="E35" s="2696" t="n"/>
      <c r="F35" s="2672">
        <f>'2-1'!E8</f>
        <v/>
      </c>
      <c r="G35" s="2707">
        <f>'2-1'!F8</f>
        <v/>
      </c>
      <c r="H35" s="2708">
        <f>'2-1'!G8</f>
        <v/>
      </c>
      <c r="I35" s="2709">
        <f>'2-1'!H8</f>
        <v/>
      </c>
      <c r="J35" s="2707">
        <f>'2-1'!I8</f>
        <v/>
      </c>
      <c r="K35" s="2708">
        <f>'2-1'!J8</f>
        <v/>
      </c>
      <c r="L35" s="1109" t="inlineStr">
        <is>
          <t xml:space="preserve"> </t>
        </is>
      </c>
    </row>
    <row r="36" ht="20.1" customHeight="1">
      <c r="D36" s="1801" t="n"/>
      <c r="E36" s="1110" t="inlineStr">
        <is>
          <t>재예치</t>
        </is>
      </c>
      <c r="F36" s="2710">
        <f>'2-1'!E9</f>
        <v/>
      </c>
      <c r="G36" s="2711">
        <f>'2-1'!F9</f>
        <v/>
      </c>
      <c r="H36" s="2712">
        <f>'2-1'!G9</f>
        <v/>
      </c>
      <c r="I36" s="2713">
        <f>'2-1'!H9</f>
        <v/>
      </c>
      <c r="J36" s="2711">
        <f>'2-1'!I9</f>
        <v/>
      </c>
      <c r="K36" s="2712">
        <f>'2-1'!J9</f>
        <v/>
      </c>
      <c r="L36" s="1111" t="inlineStr">
        <is>
          <t xml:space="preserve"> </t>
        </is>
      </c>
    </row>
    <row r="37" ht="20.1" customHeight="1">
      <c r="D37" s="1112" t="n"/>
      <c r="E37" s="1113" t="inlineStr">
        <is>
          <t>신규예치</t>
        </is>
      </c>
      <c r="F37" s="2714">
        <f>'2-1'!E10</f>
        <v/>
      </c>
      <c r="G37" s="2715">
        <f>'2-1'!F10</f>
        <v/>
      </c>
      <c r="H37" s="2716">
        <f>'2-1'!G10</f>
        <v/>
      </c>
      <c r="I37" s="2717">
        <f>'2-1'!H10</f>
        <v/>
      </c>
      <c r="J37" s="2715">
        <f>'2-1'!I10</f>
        <v/>
      </c>
      <c r="K37" s="2716">
        <f>'2-1'!J10</f>
        <v/>
      </c>
      <c r="L37" s="1114" t="inlineStr">
        <is>
          <t xml:space="preserve"> </t>
        </is>
      </c>
    </row>
    <row r="38" ht="20.1" customHeight="1">
      <c r="D38" s="1696" t="inlineStr">
        <is>
          <t>D. 운용자금 증감 (=C-B)</t>
        </is>
      </c>
      <c r="E38" s="2704" t="n"/>
      <c r="F38" s="2718">
        <f>'2-1'!E11</f>
        <v/>
      </c>
      <c r="G38" s="2719">
        <f>'2-1'!F11</f>
        <v/>
      </c>
      <c r="H38" s="2720">
        <f>'2-1'!G11</f>
        <v/>
      </c>
      <c r="I38" s="2721">
        <f>'2-1'!H11</f>
        <v/>
      </c>
      <c r="J38" s="2722">
        <f>'2-1'!I11</f>
        <v/>
      </c>
      <c r="K38" s="2723">
        <f>'2-1'!J11</f>
        <v/>
      </c>
      <c r="L38" s="1115" t="inlineStr">
        <is>
          <t xml:space="preserve"> </t>
        </is>
      </c>
    </row>
    <row r="39" ht="20.1" customHeight="1" thickBot="1">
      <c r="D39" s="1692" t="inlineStr">
        <is>
          <t>E. 기말자금 (=A+D)</t>
        </is>
      </c>
      <c r="E39" s="2704" t="n"/>
      <c r="F39" s="2684">
        <f>'2-1'!E12</f>
        <v/>
      </c>
      <c r="G39" s="2705">
        <f>'2-1'!F12</f>
        <v/>
      </c>
      <c r="H39" s="2647">
        <f>'2-1'!G12</f>
        <v/>
      </c>
      <c r="I39" s="2724">
        <f>'2-1'!H12</f>
        <v/>
      </c>
      <c r="J39" s="2725">
        <f>'2-1'!I12</f>
        <v/>
      </c>
      <c r="K39" s="2726">
        <f>'2-1'!J12</f>
        <v/>
      </c>
      <c r="L39" s="1103" t="inlineStr">
        <is>
          <t xml:space="preserve"> </t>
        </is>
      </c>
    </row>
    <row r="40" ht="20.1" customFormat="1" customHeight="1" s="1069" thickBot="1">
      <c r="A40" s="1070" t="n"/>
      <c r="B40" s="1072" t="n">
        <v>3</v>
      </c>
      <c r="C40" s="1073" t="inlineStr">
        <is>
          <t>Table 13</t>
        </is>
      </c>
      <c r="D40" s="1072" t="n">
        <v>10</v>
      </c>
      <c r="E40" s="1072" t="n">
        <v>6</v>
      </c>
    </row>
    <row r="41" ht="20.1" customHeight="1">
      <c r="D41" s="1719" t="inlineStr">
        <is>
          <t>구분</t>
        </is>
      </c>
      <c r="E41" s="2704" t="n"/>
      <c r="F41" s="1075">
        <f>'2-2'!F5</f>
        <v/>
      </c>
      <c r="G41" s="1116">
        <f>'2-2'!G5</f>
        <v/>
      </c>
      <c r="H41" s="1077">
        <f>'2-2'!H5</f>
        <v/>
      </c>
      <c r="I41" s="1700">
        <f>'2-2'!I5</f>
        <v/>
      </c>
    </row>
    <row r="42" ht="20.1" customHeight="1">
      <c r="D42" s="1117" t="inlineStr">
        <is>
          <t>A. 유동자금</t>
        </is>
      </c>
      <c r="E42" s="1118" t="inlineStr">
        <is>
          <t>원화</t>
        </is>
      </c>
      <c r="F42" s="2727">
        <f>'2-2'!F6</f>
        <v/>
      </c>
      <c r="G42" s="2728">
        <f>'2-2'!G6</f>
        <v/>
      </c>
      <c r="H42" s="2729">
        <f>'2-2'!H6</f>
        <v/>
      </c>
      <c r="I42" s="1125">
        <f>'2-2'!I6</f>
        <v/>
      </c>
    </row>
    <row r="43" ht="20.1" customHeight="1">
      <c r="D43" s="1120" t="inlineStr">
        <is>
          <t xml:space="preserve"> </t>
        </is>
      </c>
      <c r="E43" s="1121" t="inlineStr">
        <is>
          <t>외화($)</t>
        </is>
      </c>
      <c r="F43" s="2730">
        <f>'2-2'!F7</f>
        <v/>
      </c>
      <c r="G43" s="2731">
        <f>'2-2'!G7</f>
        <v/>
      </c>
      <c r="H43" s="2732">
        <f>'2-2'!H7</f>
        <v/>
      </c>
      <c r="I43" s="1122">
        <f>'2-2'!I7</f>
        <v/>
      </c>
    </row>
    <row r="44" ht="20.1" customHeight="1">
      <c r="D44" s="1721" t="inlineStr">
        <is>
          <t>환산 계</t>
        </is>
      </c>
      <c r="E44" s="2702" t="n"/>
      <c r="F44" s="2733">
        <f>'2-2'!F10</f>
        <v/>
      </c>
      <c r="G44" s="2734">
        <f>'2-2'!G10</f>
        <v/>
      </c>
      <c r="H44" s="2735">
        <f>'2-2'!H10</f>
        <v/>
      </c>
      <c r="I44" s="1123" t="inlineStr">
        <is>
          <t xml:space="preserve"> </t>
        </is>
      </c>
    </row>
    <row r="45" ht="20.1" customHeight="1">
      <c r="D45" s="1117" t="inlineStr">
        <is>
          <t>B. 운용자금</t>
        </is>
      </c>
      <c r="E45" s="1118" t="inlineStr">
        <is>
          <t>원화</t>
        </is>
      </c>
      <c r="F45" s="2727">
        <f>'2-2'!F11</f>
        <v/>
      </c>
      <c r="G45" s="2728">
        <f>'2-2'!G11</f>
        <v/>
      </c>
      <c r="H45" s="2736">
        <f>'2-2'!H11</f>
        <v/>
      </c>
      <c r="I45" s="749" t="n"/>
    </row>
    <row r="46" ht="20.1" customHeight="1">
      <c r="D46" s="1120" t="inlineStr">
        <is>
          <t xml:space="preserve"> </t>
        </is>
      </c>
      <c r="E46" s="1121" t="inlineStr">
        <is>
          <t>외화($)</t>
        </is>
      </c>
      <c r="F46" s="2730">
        <f>'2-2'!F12</f>
        <v/>
      </c>
      <c r="G46" s="2731">
        <f>'2-2'!G12</f>
        <v/>
      </c>
      <c r="H46" s="2737">
        <f>'2-2'!H12</f>
        <v/>
      </c>
      <c r="I46" s="1122" t="inlineStr">
        <is>
          <t xml:space="preserve"> </t>
        </is>
      </c>
    </row>
    <row r="47" ht="20.1" customHeight="1">
      <c r="D47" s="1721" t="inlineStr">
        <is>
          <t>환산 계</t>
        </is>
      </c>
      <c r="E47" s="2702" t="n"/>
      <c r="F47" s="2733">
        <f>'2-2'!F13</f>
        <v/>
      </c>
      <c r="G47" s="2734">
        <f>'2-2'!G13</f>
        <v/>
      </c>
      <c r="H47" s="2738">
        <f>'2-2'!H13</f>
        <v/>
      </c>
      <c r="I47" s="1097" t="inlineStr">
        <is>
          <t xml:space="preserve"> </t>
        </is>
      </c>
    </row>
    <row r="48" ht="20.1" customHeight="1">
      <c r="D48" s="1117" t="inlineStr">
        <is>
          <t>C. 기말자금</t>
        </is>
      </c>
      <c r="E48" s="1118" t="inlineStr">
        <is>
          <t>원화</t>
        </is>
      </c>
      <c r="F48" s="2727">
        <f>'2-2'!F14</f>
        <v/>
      </c>
      <c r="G48" s="2728">
        <f>'2-2'!G14</f>
        <v/>
      </c>
      <c r="H48" s="2739">
        <f>'2-2'!H14</f>
        <v/>
      </c>
      <c r="I48" s="1119" t="inlineStr">
        <is>
          <t xml:space="preserve"> </t>
        </is>
      </c>
    </row>
    <row r="49" ht="20.1" customHeight="1">
      <c r="D49" s="1120" t="inlineStr">
        <is>
          <t xml:space="preserve">   (=A+B)</t>
        </is>
      </c>
      <c r="E49" s="1121" t="inlineStr">
        <is>
          <t>외화($)</t>
        </is>
      </c>
      <c r="F49" s="2730">
        <f>'2-2'!F15</f>
        <v/>
      </c>
      <c r="G49" s="2731">
        <f>'2-2'!G15</f>
        <v/>
      </c>
      <c r="H49" s="2737">
        <f>'2-2'!H15</f>
        <v/>
      </c>
      <c r="I49" s="1122" t="inlineStr">
        <is>
          <t xml:space="preserve"> </t>
        </is>
      </c>
    </row>
    <row r="50" ht="20.1" customHeight="1" thickBot="1">
      <c r="D50" s="1721" t="inlineStr">
        <is>
          <t xml:space="preserve"> 　환산 계</t>
        </is>
      </c>
      <c r="E50" s="2702" t="n"/>
      <c r="F50" s="2740">
        <f>'2-2'!F16</f>
        <v/>
      </c>
      <c r="G50" s="2741">
        <f>'2-2'!G16</f>
        <v/>
      </c>
      <c r="H50" s="2742">
        <f>'2-2'!H16</f>
        <v/>
      </c>
      <c r="I50" s="1124" t="inlineStr">
        <is>
          <t xml:space="preserve"> </t>
        </is>
      </c>
    </row>
    <row r="51" ht="20.1" customFormat="1" customHeight="1" s="1069">
      <c r="A51" s="1070" t="n"/>
      <c r="B51" s="1072" t="n">
        <v>4</v>
      </c>
      <c r="C51" s="1073" t="inlineStr">
        <is>
          <t>Table 1</t>
        </is>
      </c>
      <c r="D51" s="1072" t="n">
        <v>26</v>
      </c>
      <c r="E51" s="1072" t="n">
        <v>21</v>
      </c>
    </row>
    <row r="52" ht="20.1" customHeight="1">
      <c r="D52" s="2743" t="inlineStr">
        <is>
          <t>구분</t>
        </is>
      </c>
      <c r="E52" s="2744" t="n"/>
      <c r="F52" s="2744" t="n"/>
      <c r="G52" s="2696" t="n"/>
      <c r="H52" s="2745" t="inlineStr">
        <is>
          <t>2024년</t>
        </is>
      </c>
      <c r="I52" s="2696" t="n"/>
      <c r="J52" s="2746" t="inlineStr">
        <is>
          <t>2025년</t>
        </is>
      </c>
      <c r="K52" s="2666" t="n"/>
      <c r="L52" s="2666" t="n"/>
      <c r="M52" s="2666" t="n"/>
      <c r="N52" s="2666" t="n"/>
      <c r="O52" s="2666" t="n"/>
      <c r="P52" s="2666" t="n"/>
      <c r="Q52" s="2666" t="n"/>
      <c r="R52" s="2666" t="n"/>
      <c r="S52" s="2666" t="n"/>
      <c r="T52" s="2666" t="n"/>
      <c r="U52" s="2666" t="n"/>
      <c r="V52" s="2666" t="n"/>
      <c r="W52" s="2704" t="n"/>
      <c r="X52" s="2747" t="inlineStr">
        <is>
          <t>세부사항</t>
        </is>
      </c>
    </row>
    <row r="53" ht="20.1" customHeight="1">
      <c r="D53" s="2748" t="n"/>
      <c r="G53" s="2749" t="n"/>
      <c r="H53" s="2750" t="inlineStr">
        <is>
          <t>실적</t>
        </is>
      </c>
      <c r="I53" s="2751" t="n"/>
      <c r="J53" s="1709" t="inlineStr">
        <is>
          <t>실적</t>
        </is>
      </c>
      <c r="K53" s="2666" t="n"/>
      <c r="L53" s="2666" t="n"/>
      <c r="M53" s="2666" t="n"/>
      <c r="N53" s="2666" t="n"/>
      <c r="O53" s="2666" t="n"/>
      <c r="P53" s="2666" t="n"/>
      <c r="Q53" s="1718" t="inlineStr">
        <is>
          <t>계획</t>
        </is>
      </c>
      <c r="R53" s="2666" t="n"/>
      <c r="S53" s="2666" t="n"/>
      <c r="T53" s="2666" t="n"/>
      <c r="U53" s="2704" t="n"/>
      <c r="V53" s="1715" t="inlineStr">
        <is>
          <t xml:space="preserve"> </t>
        </is>
      </c>
      <c r="W53" s="1716" t="inlineStr">
        <is>
          <t xml:space="preserve"> </t>
        </is>
      </c>
      <c r="X53" s="2752" t="n"/>
    </row>
    <row r="54" ht="20.1" customHeight="1">
      <c r="D54" s="2753" t="n"/>
      <c r="E54" s="2701" t="n"/>
      <c r="F54" s="2701" t="n"/>
      <c r="G54" s="2702" t="n"/>
      <c r="H54" s="1128" t="inlineStr">
        <is>
          <t>합계</t>
        </is>
      </c>
      <c r="I54" s="1129" t="inlineStr">
        <is>
          <t>평균</t>
        </is>
      </c>
      <c r="J54" s="1130" t="inlineStr">
        <is>
          <t>1월</t>
        </is>
      </c>
      <c r="K54" s="1131" t="inlineStr">
        <is>
          <t>2월</t>
        </is>
      </c>
      <c r="L54" s="1131" t="inlineStr">
        <is>
          <t>3월</t>
        </is>
      </c>
      <c r="M54" s="1131" t="inlineStr">
        <is>
          <t>4월</t>
        </is>
      </c>
      <c r="N54" s="1131" t="inlineStr">
        <is>
          <t>5월</t>
        </is>
      </c>
      <c r="O54" s="1131" t="inlineStr">
        <is>
          <t xml:space="preserve"> 6월 </t>
        </is>
      </c>
      <c r="P54" s="1131" t="inlineStr">
        <is>
          <t xml:space="preserve"> 7월 </t>
        </is>
      </c>
      <c r="Q54" s="1131" t="inlineStr">
        <is>
          <t xml:space="preserve"> 8월 </t>
        </is>
      </c>
      <c r="R54" s="1131" t="inlineStr">
        <is>
          <t xml:space="preserve"> 9월 </t>
        </is>
      </c>
      <c r="S54" s="1131" t="inlineStr">
        <is>
          <t xml:space="preserve"> 10월 </t>
        </is>
      </c>
      <c r="T54" s="1131" t="inlineStr">
        <is>
          <t xml:space="preserve"> 11월 </t>
        </is>
      </c>
      <c r="U54" s="1132" t="inlineStr">
        <is>
          <t xml:space="preserve"> 12월 </t>
        </is>
      </c>
      <c r="V54" s="1128" t="inlineStr">
        <is>
          <t xml:space="preserve"> 합계 </t>
        </is>
      </c>
      <c r="W54" s="1129" t="inlineStr">
        <is>
          <t xml:space="preserve"> 월평균 </t>
        </is>
      </c>
      <c r="X54" s="2754" t="n"/>
    </row>
    <row r="55" ht="20.1" customHeight="1">
      <c r="D55" s="2755" t="inlineStr">
        <is>
          <t>A. 기초잔고</t>
        </is>
      </c>
      <c r="E55" s="2666" t="n"/>
      <c r="F55" s="2666" t="n"/>
      <c r="G55" s="2704" t="n"/>
      <c r="H55" s="1133">
        <f>'2025년 자금실적'!F11</f>
        <v/>
      </c>
      <c r="I55" s="1134" t="n"/>
      <c r="J55" s="1135">
        <f>'2025년 자금실적'!H11</f>
        <v/>
      </c>
      <c r="K55" s="1136">
        <f>'2025년 자금실적'!I11</f>
        <v/>
      </c>
      <c r="L55" s="1136">
        <f>'2025년 자금실적'!J11</f>
        <v/>
      </c>
      <c r="M55" s="1136">
        <f>'2025년 자금실적'!K11</f>
        <v/>
      </c>
      <c r="N55" s="1136">
        <f>'2025년 자금실적'!L11</f>
        <v/>
      </c>
      <c r="O55" s="1136">
        <f>'2025년 자금실적'!M11</f>
        <v/>
      </c>
      <c r="P55" s="1136">
        <f>'2025년 자금실적'!N11</f>
        <v/>
      </c>
      <c r="Q55" s="1136">
        <f>'2025년 자금실적'!O11</f>
        <v/>
      </c>
      <c r="R55" s="1136">
        <f>'2025년 자금실적'!P11</f>
        <v/>
      </c>
      <c r="S55" s="1136">
        <f>'2025년 자금실적'!Q11</f>
        <v/>
      </c>
      <c r="T55" s="1136">
        <f>'2025년 자금실적'!R11</f>
        <v/>
      </c>
      <c r="U55" s="1137">
        <f>'2025년 자금실적'!S11</f>
        <v/>
      </c>
      <c r="V55" s="1133">
        <f>'2025년 자금실적'!T11</f>
        <v/>
      </c>
      <c r="W55" s="1138">
        <f>'2025년 자금실적'!U11</f>
        <v/>
      </c>
      <c r="X55" s="1153" t="inlineStr">
        <is>
          <t xml:space="preserve"> </t>
        </is>
      </c>
    </row>
    <row r="56" ht="20.1" customHeight="1" thickBot="1">
      <c r="D56" s="2756" t="inlineStr">
        <is>
          <t>B. 수입</t>
        </is>
      </c>
      <c r="E56" s="2757" t="n"/>
      <c r="F56" s="2757" t="n"/>
      <c r="G56" s="2758" t="n"/>
      <c r="H56" s="2759">
        <f>'2025년 자금실적'!F12</f>
        <v/>
      </c>
      <c r="I56" s="2760">
        <f>'2025년 자금실적'!G12</f>
        <v/>
      </c>
      <c r="J56" s="2761">
        <f>'2025년 자금실적'!H12</f>
        <v/>
      </c>
      <c r="K56" s="2762">
        <f>'2025년 자금실적'!I12</f>
        <v/>
      </c>
      <c r="L56" s="2762">
        <f>'2025년 자금실적'!J12</f>
        <v/>
      </c>
      <c r="M56" s="2762">
        <f>'2025년 자금실적'!K12</f>
        <v/>
      </c>
      <c r="N56" s="2762">
        <f>'2025년 자금실적'!L12</f>
        <v/>
      </c>
      <c r="O56" s="2762">
        <f>'2025년 자금실적'!M12</f>
        <v/>
      </c>
      <c r="P56" s="2762">
        <f>'2025년 자금실적'!N12</f>
        <v/>
      </c>
      <c r="Q56" s="2762">
        <f>'2025년 자금실적'!O12</f>
        <v/>
      </c>
      <c r="R56" s="2762">
        <f>'2025년 자금실적'!P12</f>
        <v/>
      </c>
      <c r="S56" s="2762">
        <f>'2025년 자금실적'!Q12</f>
        <v/>
      </c>
      <c r="T56" s="2762">
        <f>'2025년 자금실적'!R12</f>
        <v/>
      </c>
      <c r="U56" s="2763">
        <f>'2025년 자금실적'!S12</f>
        <v/>
      </c>
      <c r="V56" s="2759">
        <f>'2025년 자금실적'!T12</f>
        <v/>
      </c>
      <c r="W56" s="2760">
        <f>'2025년 자금실적'!U12</f>
        <v/>
      </c>
      <c r="X56" s="1154" t="inlineStr">
        <is>
          <t xml:space="preserve"> </t>
        </is>
      </c>
    </row>
    <row r="57" ht="20.1" customHeight="1" thickBot="1">
      <c r="D57" s="1147" t="inlineStr">
        <is>
          <t xml:space="preserve"> </t>
        </is>
      </c>
      <c r="E57" s="2764" t="inlineStr">
        <is>
          <t>경상</t>
        </is>
      </c>
      <c r="F57" s="2765" t="n"/>
      <c r="G57" s="2766" t="n"/>
      <c r="H57" s="2767">
        <f>'2025년 자금실적'!F13</f>
        <v/>
      </c>
      <c r="I57" s="2768">
        <f>'2025년 자금실적'!G13</f>
        <v/>
      </c>
      <c r="J57" s="2769">
        <f>'2025년 자금실적'!H13</f>
        <v/>
      </c>
      <c r="K57" s="2770">
        <f>'2025년 자금실적'!I13</f>
        <v/>
      </c>
      <c r="L57" s="2770">
        <f>'2025년 자금실적'!J13</f>
        <v/>
      </c>
      <c r="M57" s="2770">
        <f>'2025년 자금실적'!K13</f>
        <v/>
      </c>
      <c r="N57" s="2770">
        <f>'2025년 자금실적'!L13</f>
        <v/>
      </c>
      <c r="O57" s="2770">
        <f>'2025년 자금실적'!M13</f>
        <v/>
      </c>
      <c r="P57" s="2770">
        <f>'2025년 자금실적'!N13</f>
        <v/>
      </c>
      <c r="Q57" s="2770">
        <f>'2025년 자금실적'!O13</f>
        <v/>
      </c>
      <c r="R57" s="2770">
        <f>'2025년 자금실적'!P13</f>
        <v/>
      </c>
      <c r="S57" s="2770">
        <f>'2025년 자금실적'!Q13</f>
        <v/>
      </c>
      <c r="T57" s="2770">
        <f>'2025년 자금실적'!R13</f>
        <v/>
      </c>
      <c r="U57" s="2771">
        <f>'2025년 자금실적'!S13</f>
        <v/>
      </c>
      <c r="V57" s="2767">
        <f>'2025년 자금실적'!T13</f>
        <v/>
      </c>
      <c r="W57" s="2768">
        <f>'2025년 자금실적'!U13</f>
        <v/>
      </c>
      <c r="X57" s="1155" t="inlineStr">
        <is>
          <t xml:space="preserve"> ○ 이자수익 등</t>
        </is>
      </c>
    </row>
    <row r="58" ht="20.1" customHeight="1">
      <c r="D58" s="2772" t="n"/>
      <c r="E58" s="2773" t="inlineStr">
        <is>
          <t>비경상</t>
        </is>
      </c>
      <c r="F58" s="2774" t="n"/>
      <c r="G58" s="2775" t="n"/>
      <c r="H58" s="2776">
        <f>'2025년 자금실적'!F14</f>
        <v/>
      </c>
      <c r="I58" s="2777">
        <f>'2025년 자금실적'!G14</f>
        <v/>
      </c>
      <c r="J58" s="2778">
        <f>'2025년 자금실적'!H14</f>
        <v/>
      </c>
      <c r="K58" s="2779">
        <f>'2025년 자금실적'!I14</f>
        <v/>
      </c>
      <c r="L58" s="2779">
        <f>'2025년 자금실적'!J14</f>
        <v/>
      </c>
      <c r="M58" s="2779">
        <f>'2025년 자금실적'!K14</f>
        <v/>
      </c>
      <c r="N58" s="2779">
        <f>'2025년 자금실적'!L14</f>
        <v/>
      </c>
      <c r="O58" s="2779">
        <f>'2025년 자금실적'!M14</f>
        <v/>
      </c>
      <c r="P58" s="2779">
        <f>'2025년 자금실적'!N14</f>
        <v/>
      </c>
      <c r="Q58" s="2779">
        <f>'2025년 자금실적'!O14</f>
        <v/>
      </c>
      <c r="R58" s="2779">
        <f>'2025년 자금실적'!P14</f>
        <v/>
      </c>
      <c r="S58" s="2779">
        <f>'2025년 자금실적'!Q14</f>
        <v/>
      </c>
      <c r="T58" s="2779">
        <f>'2025년 자금실적'!R14</f>
        <v/>
      </c>
      <c r="U58" s="2780">
        <f>'2025년 자금실적'!S14</f>
        <v/>
      </c>
      <c r="V58" s="2776">
        <f>'2025년 자금실적'!T14</f>
        <v/>
      </c>
      <c r="W58" s="2777">
        <f>'2025년 자금실적'!U14</f>
        <v/>
      </c>
      <c r="X58" s="1156" t="inlineStr">
        <is>
          <t xml:space="preserve"> ○ 세금환급, 전산자산 양수도대금 등</t>
        </is>
      </c>
    </row>
    <row r="59" ht="20.1" customHeight="1" thickBot="1">
      <c r="D59" s="2756" t="inlineStr">
        <is>
          <t>C. 지출</t>
        </is>
      </c>
      <c r="E59" s="2757" t="n"/>
      <c r="F59" s="2757" t="n"/>
      <c r="G59" s="2758" t="n"/>
      <c r="H59" s="2759">
        <f>'2025년 자금실적'!F15</f>
        <v/>
      </c>
      <c r="I59" s="2760">
        <f>'2025년 자금실적'!G15</f>
        <v/>
      </c>
      <c r="J59" s="2761">
        <f>'2025년 자금실적'!H15</f>
        <v/>
      </c>
      <c r="K59" s="2762">
        <f>'2025년 자금실적'!I15</f>
        <v/>
      </c>
      <c r="L59" s="2762">
        <f>'2025년 자금실적'!J15</f>
        <v/>
      </c>
      <c r="M59" s="2762">
        <f>'2025년 자금실적'!K15</f>
        <v/>
      </c>
      <c r="N59" s="2762">
        <f>'2025년 자금실적'!L15</f>
        <v/>
      </c>
      <c r="O59" s="2762">
        <f>'2025년 자금실적'!M15</f>
        <v/>
      </c>
      <c r="P59" s="2762">
        <f>'2025년 자금실적'!N15</f>
        <v/>
      </c>
      <c r="Q59" s="2762">
        <f>'2025년 자금실적'!O15</f>
        <v/>
      </c>
      <c r="R59" s="2762">
        <f>'2025년 자금실적'!P15</f>
        <v/>
      </c>
      <c r="S59" s="2762">
        <f>'2025년 자금실적'!Q15</f>
        <v/>
      </c>
      <c r="T59" s="2762">
        <f>'2025년 자금실적'!R15</f>
        <v/>
      </c>
      <c r="U59" s="2763">
        <f>'2025년 자금실적'!S15</f>
        <v/>
      </c>
      <c r="V59" s="2759">
        <f>'2025년 자금실적'!T15</f>
        <v/>
      </c>
      <c r="W59" s="2760">
        <f>'2025년 자금실적'!U15</f>
        <v/>
      </c>
      <c r="X59" s="1154" t="inlineStr">
        <is>
          <t xml:space="preserve"> </t>
        </is>
      </c>
    </row>
    <row r="60" ht="20.1" customHeight="1" thickBot="1">
      <c r="D60" s="1141" t="inlineStr">
        <is>
          <t xml:space="preserve"> </t>
        </is>
      </c>
      <c r="E60" s="2764" t="inlineStr">
        <is>
          <t>경상</t>
        </is>
      </c>
      <c r="F60" s="2765" t="n"/>
      <c r="G60" s="2766" t="n"/>
      <c r="H60" s="2781">
        <f>'2025년 자금실적'!F16</f>
        <v/>
      </c>
      <c r="I60" s="2782">
        <f>'2025년 자금실적'!G16</f>
        <v/>
      </c>
      <c r="J60" s="2783">
        <f>'2025년 자금실적'!H16</f>
        <v/>
      </c>
      <c r="K60" s="2784">
        <f>'2025년 자금실적'!I16</f>
        <v/>
      </c>
      <c r="L60" s="2784">
        <f>'2025년 자금실적'!J16</f>
        <v/>
      </c>
      <c r="M60" s="2784">
        <f>'2025년 자금실적'!K16</f>
        <v/>
      </c>
      <c r="N60" s="2784">
        <f>'2025년 자금실적'!L16</f>
        <v/>
      </c>
      <c r="O60" s="2784">
        <f>'2025년 자금실적'!M16</f>
        <v/>
      </c>
      <c r="P60" s="2784">
        <f>'2025년 자금실적'!N16</f>
        <v/>
      </c>
      <c r="Q60" s="2784">
        <f>'2025년 자금실적'!O16</f>
        <v/>
      </c>
      <c r="R60" s="2784">
        <f>'2025년 자금실적'!P16</f>
        <v/>
      </c>
      <c r="S60" s="2784">
        <f>'2025년 자금실적'!Q16</f>
        <v/>
      </c>
      <c r="T60" s="2784">
        <f>'2025년 자금실적'!R16</f>
        <v/>
      </c>
      <c r="U60" s="2785">
        <f>'2025년 자금실적'!S16</f>
        <v/>
      </c>
      <c r="V60" s="2781">
        <f>'2025년 자금실적'!T16</f>
        <v/>
      </c>
      <c r="W60" s="2782">
        <f>'2025년 자금실적'!U16</f>
        <v/>
      </c>
      <c r="X60" s="1157" t="inlineStr">
        <is>
          <t xml:space="preserve"> </t>
        </is>
      </c>
    </row>
    <row r="61" ht="20.1" customHeight="1" thickBot="1">
      <c r="D61" s="2786" t="n"/>
      <c r="E61" s="1139" t="inlineStr">
        <is>
          <t xml:space="preserve"> </t>
        </is>
      </c>
      <c r="F61" s="2787" t="inlineStr">
        <is>
          <t>인건비</t>
        </is>
      </c>
      <c r="G61" s="2788" t="n"/>
      <c r="H61" s="2767">
        <f>'2025년 자금실적'!F17</f>
        <v/>
      </c>
      <c r="I61" s="2768">
        <f>'2025년 자금실적'!G17</f>
        <v/>
      </c>
      <c r="J61" s="2769">
        <f>'2025년 자금실적'!H17</f>
        <v/>
      </c>
      <c r="K61" s="2770">
        <f>'2025년 자금실적'!I17</f>
        <v/>
      </c>
      <c r="L61" s="2770">
        <f>'2025년 자금실적'!J17</f>
        <v/>
      </c>
      <c r="M61" s="2770">
        <f>'2025년 자금실적'!K17</f>
        <v/>
      </c>
      <c r="N61" s="2770">
        <f>'2025년 자금실적'!L17</f>
        <v/>
      </c>
      <c r="O61" s="2770">
        <f>'2025년 자금실적'!M17</f>
        <v/>
      </c>
      <c r="P61" s="2770">
        <f>'2025년 자금실적'!N17</f>
        <v/>
      </c>
      <c r="Q61" s="2770">
        <f>'2025년 자금실적'!O17</f>
        <v/>
      </c>
      <c r="R61" s="2770">
        <f>'2025년 자금실적'!P17</f>
        <v/>
      </c>
      <c r="S61" s="2770">
        <f>'2025년 자금실적'!Q17</f>
        <v/>
      </c>
      <c r="T61" s="2770">
        <f>'2025년 자금실적'!R17</f>
        <v/>
      </c>
      <c r="U61" s="2771">
        <f>'2025년 자금실적'!S17</f>
        <v/>
      </c>
      <c r="V61" s="2767">
        <f>'2025년 자금실적'!T17</f>
        <v/>
      </c>
      <c r="W61" s="2768">
        <f>'2025년 자금실적'!U17</f>
        <v/>
      </c>
      <c r="X61" s="1158" t="inlineStr">
        <is>
          <t xml:space="preserve"> </t>
        </is>
      </c>
    </row>
    <row r="62" ht="20.1" customHeight="1" thickBot="1">
      <c r="D62" s="2786" t="n"/>
      <c r="E62" s="1139" t="inlineStr">
        <is>
          <t xml:space="preserve"> </t>
        </is>
      </c>
      <c r="F62" s="1144" t="inlineStr">
        <is>
          <t>S/W, H/W 매입</t>
        </is>
      </c>
      <c r="G62" s="2749" t="n"/>
      <c r="H62" s="2789">
        <f>'2025년 자금실적'!F18</f>
        <v/>
      </c>
      <c r="I62" s="2790">
        <f>'2025년 자금실적'!G18</f>
        <v/>
      </c>
      <c r="J62" s="2791">
        <f>'2025년 자금실적'!H18</f>
        <v/>
      </c>
      <c r="K62" s="2792">
        <f>'2025년 자금실적'!I18</f>
        <v/>
      </c>
      <c r="L62" s="2792">
        <f>'2025년 자금실적'!J18</f>
        <v/>
      </c>
      <c r="M62" s="2792">
        <f>'2025년 자금실적'!K18</f>
        <v/>
      </c>
      <c r="N62" s="2792">
        <f>'2025년 자금실적'!L18</f>
        <v/>
      </c>
      <c r="O62" s="2792">
        <f>'2025년 자금실적'!M18</f>
        <v/>
      </c>
      <c r="P62" s="2792">
        <f>'2025년 자금실적'!N18</f>
        <v/>
      </c>
      <c r="Q62" s="2792">
        <f>'2025년 자금실적'!O18</f>
        <v/>
      </c>
      <c r="R62" s="2792">
        <f>'2025년 자금실적'!P18</f>
        <v/>
      </c>
      <c r="S62" s="2792">
        <f>'2025년 자금실적'!Q18</f>
        <v/>
      </c>
      <c r="T62" s="2792">
        <f>'2025년 자금실적'!R18</f>
        <v/>
      </c>
      <c r="U62" s="2793">
        <f>'2025년 자금실적'!S18</f>
        <v/>
      </c>
      <c r="V62" s="2789">
        <f>'2025년 자금실적'!T18</f>
        <v/>
      </c>
      <c r="W62" s="2790">
        <f>'2025년 자금실적'!U18</f>
        <v/>
      </c>
      <c r="X62" s="1159" t="inlineStr">
        <is>
          <t xml:space="preserve"> </t>
        </is>
      </c>
    </row>
    <row r="63" ht="20.1" customHeight="1" thickBot="1">
      <c r="D63" s="2794" t="n"/>
      <c r="E63" s="1140" t="inlineStr">
        <is>
          <t xml:space="preserve"> </t>
        </is>
      </c>
      <c r="F63" s="1144" t="inlineStr">
        <is>
          <t xml:space="preserve">기타 </t>
        </is>
      </c>
      <c r="G63" s="2749" t="n"/>
      <c r="H63" s="2795">
        <f>'2025년 자금실적'!F19</f>
        <v/>
      </c>
      <c r="I63" s="2796">
        <f>'2025년 자금실적'!G19</f>
        <v/>
      </c>
      <c r="J63" s="2797">
        <f>'2025년 자금실적'!H19</f>
        <v/>
      </c>
      <c r="K63" s="2798">
        <f>'2025년 자금실적'!I19</f>
        <v/>
      </c>
      <c r="L63" s="2798">
        <f>'2025년 자금실적'!J19</f>
        <v/>
      </c>
      <c r="M63" s="2798">
        <f>'2025년 자금실적'!K19</f>
        <v/>
      </c>
      <c r="N63" s="2798">
        <f>'2025년 자금실적'!L19</f>
        <v/>
      </c>
      <c r="O63" s="2798">
        <f>'2025년 자금실적'!M19</f>
        <v/>
      </c>
      <c r="P63" s="2798">
        <f>'2025년 자금실적'!N19</f>
        <v/>
      </c>
      <c r="Q63" s="2798">
        <f>'2025년 자금실적'!O19</f>
        <v/>
      </c>
      <c r="R63" s="2798">
        <f>'2025년 자금실적'!P19</f>
        <v/>
      </c>
      <c r="S63" s="2798">
        <f>'2025년 자금실적'!Q19</f>
        <v/>
      </c>
      <c r="T63" s="2798">
        <f>'2025년 자금실적'!R19</f>
        <v/>
      </c>
      <c r="U63" s="2799">
        <f>'2025년 자금실적'!S19</f>
        <v/>
      </c>
      <c r="V63" s="2795">
        <f>'2025년 자금실적'!T19</f>
        <v/>
      </c>
      <c r="W63" s="2796">
        <f>'2025년 자금실적'!U19</f>
        <v/>
      </c>
      <c r="X63" s="1160" t="inlineStr">
        <is>
          <t xml:space="preserve"> </t>
        </is>
      </c>
    </row>
    <row r="64" ht="20.1" customHeight="1" thickBot="1">
      <c r="D64" s="1141" t="inlineStr">
        <is>
          <t xml:space="preserve"> </t>
        </is>
      </c>
      <c r="E64" s="1142" t="inlineStr">
        <is>
          <t xml:space="preserve"> </t>
        </is>
      </c>
      <c r="F64" s="1142" t="inlineStr">
        <is>
          <t xml:space="preserve"> </t>
        </is>
      </c>
      <c r="G64" s="1143" t="inlineStr">
        <is>
          <t>제세공과금</t>
        </is>
      </c>
      <c r="H64" s="2767">
        <f>'2025년 자금실적'!F20</f>
        <v/>
      </c>
      <c r="I64" s="2768">
        <f>'2025년 자금실적'!G20</f>
        <v/>
      </c>
      <c r="J64" s="2800">
        <f>'2025년 자금실적'!H20</f>
        <v/>
      </c>
      <c r="K64" s="2801">
        <f>'2025년 자금실적'!I20</f>
        <v/>
      </c>
      <c r="L64" s="2801">
        <f>'2025년 자금실적'!J20</f>
        <v/>
      </c>
      <c r="M64" s="2801">
        <f>'2025년 자금실적'!K20</f>
        <v/>
      </c>
      <c r="N64" s="2801">
        <f>'2025년 자금실적'!L20</f>
        <v/>
      </c>
      <c r="O64" s="2801">
        <f>'2025년 자금실적'!M20</f>
        <v/>
      </c>
      <c r="P64" s="2801">
        <f>'2025년 자금실적'!N20</f>
        <v/>
      </c>
      <c r="Q64" s="2801">
        <f>'2025년 자금실적'!O20</f>
        <v/>
      </c>
      <c r="R64" s="2801">
        <f>'2025년 자금실적'!P20</f>
        <v/>
      </c>
      <c r="S64" s="2801">
        <f>'2025년 자금실적'!Q20</f>
        <v/>
      </c>
      <c r="T64" s="2801">
        <f>'2025년 자금실적'!R20</f>
        <v/>
      </c>
      <c r="U64" s="2802">
        <f>'2025년 자금실적'!S20</f>
        <v/>
      </c>
      <c r="V64" s="2767">
        <f>'2025년 자금실적'!T20</f>
        <v/>
      </c>
      <c r="W64" s="2768">
        <f>'2025년 자금실적'!U20</f>
        <v/>
      </c>
      <c r="X64" s="1158" t="inlineStr">
        <is>
          <t xml:space="preserve"> ○ 원천세 등</t>
        </is>
      </c>
    </row>
    <row r="65" ht="20.1" customHeight="1" thickBot="1">
      <c r="D65" s="1141" t="inlineStr">
        <is>
          <t xml:space="preserve"> </t>
        </is>
      </c>
      <c r="E65" s="1142" t="inlineStr">
        <is>
          <t xml:space="preserve"> </t>
        </is>
      </c>
      <c r="F65" s="1142" t="inlineStr">
        <is>
          <t xml:space="preserve"> </t>
        </is>
      </c>
      <c r="G65" s="1144" t="inlineStr">
        <is>
          <t>전산관련지출</t>
        </is>
      </c>
      <c r="H65" s="2789">
        <f>'2025년 자금실적'!F21</f>
        <v/>
      </c>
      <c r="I65" s="2790">
        <f>'2025년 자금실적'!G21</f>
        <v/>
      </c>
      <c r="J65" s="2803">
        <f>'2025년 자금실적'!H21</f>
        <v/>
      </c>
      <c r="K65" s="2804">
        <f>'2025년 자금실적'!I21</f>
        <v/>
      </c>
      <c r="L65" s="2804">
        <f>'2025년 자금실적'!J21</f>
        <v/>
      </c>
      <c r="M65" s="2804">
        <f>'2025년 자금실적'!K21</f>
        <v/>
      </c>
      <c r="N65" s="2804">
        <f>'2025년 자금실적'!L21</f>
        <v/>
      </c>
      <c r="O65" s="2804">
        <f>'2025년 자금실적'!M21</f>
        <v/>
      </c>
      <c r="P65" s="2804">
        <f>'2025년 자금실적'!N21</f>
        <v/>
      </c>
      <c r="Q65" s="2804">
        <f>'2025년 자금실적'!O21</f>
        <v/>
      </c>
      <c r="R65" s="2804">
        <f>'2025년 자금실적'!P21</f>
        <v/>
      </c>
      <c r="S65" s="2804">
        <f>'2025년 자금실적'!Q21</f>
        <v/>
      </c>
      <c r="T65" s="2804">
        <f>'2025년 자금실적'!R21</f>
        <v/>
      </c>
      <c r="U65" s="2805">
        <f>'2025년 자금실적'!S21</f>
        <v/>
      </c>
      <c r="V65" s="2789">
        <f>'2025년 자금실적'!T21</f>
        <v/>
      </c>
      <c r="W65" s="2790">
        <f>'2025년 자금실적'!U21</f>
        <v/>
      </c>
      <c r="X65" s="1159" t="inlineStr">
        <is>
          <t xml:space="preserve"> </t>
        </is>
      </c>
    </row>
    <row r="66" ht="20.1" customHeight="1" thickBot="1">
      <c r="D66" s="1141" t="inlineStr">
        <is>
          <t xml:space="preserve"> </t>
        </is>
      </c>
      <c r="E66" s="1142" t="inlineStr">
        <is>
          <t xml:space="preserve"> </t>
        </is>
      </c>
      <c r="F66" s="1142" t="inlineStr">
        <is>
          <t xml:space="preserve"> </t>
        </is>
      </c>
      <c r="G66" s="1144" t="inlineStr">
        <is>
          <t>경영, 운영용역비</t>
        </is>
      </c>
      <c r="H66" s="2789">
        <f>'2025년 자금실적'!F22</f>
        <v/>
      </c>
      <c r="I66" s="2790">
        <f>'2025년 자금실적'!G22</f>
        <v/>
      </c>
      <c r="J66" s="2803">
        <f>'2025년 자금실적'!H22</f>
        <v/>
      </c>
      <c r="K66" s="2804">
        <f>'2025년 자금실적'!I22</f>
        <v/>
      </c>
      <c r="L66" s="2804">
        <f>'2025년 자금실적'!J22</f>
        <v/>
      </c>
      <c r="M66" s="2804">
        <f>'2025년 자금실적'!K22</f>
        <v/>
      </c>
      <c r="N66" s="2804">
        <f>'2025년 자금실적'!L22</f>
        <v/>
      </c>
      <c r="O66" s="2804">
        <f>'2025년 자금실적'!M22</f>
        <v/>
      </c>
      <c r="P66" s="2804">
        <f>'2025년 자금실적'!N22</f>
        <v/>
      </c>
      <c r="Q66" s="2804">
        <f>'2025년 자금실적'!O22</f>
        <v/>
      </c>
      <c r="R66" s="2804">
        <f>'2025년 자금실적'!P22</f>
        <v/>
      </c>
      <c r="S66" s="2804">
        <f>'2025년 자금실적'!Q22</f>
        <v/>
      </c>
      <c r="T66" s="2804">
        <f>'2025년 자금실적'!R22</f>
        <v/>
      </c>
      <c r="U66" s="2805">
        <f>'2025년 자금실적'!S22</f>
        <v/>
      </c>
      <c r="V66" s="2789">
        <f>'2025년 자금실적'!T22</f>
        <v/>
      </c>
      <c r="W66" s="2790">
        <f>'2025년 자금실적'!U22</f>
        <v/>
      </c>
      <c r="X66" s="1159" t="inlineStr">
        <is>
          <t xml:space="preserve"> ○ 분기별 그룹사 공용비용 등</t>
        </is>
      </c>
    </row>
    <row r="67" ht="20.1" customHeight="1" thickBot="1">
      <c r="D67" s="1141" t="inlineStr">
        <is>
          <t xml:space="preserve"> </t>
        </is>
      </c>
      <c r="E67" s="1142" t="inlineStr">
        <is>
          <t xml:space="preserve"> </t>
        </is>
      </c>
      <c r="F67" s="1142" t="inlineStr">
        <is>
          <t xml:space="preserve"> </t>
        </is>
      </c>
      <c r="G67" s="1144" t="inlineStr">
        <is>
          <t>복리후생비</t>
        </is>
      </c>
      <c r="H67" s="2789">
        <f>'2025년 자금실적'!F23</f>
        <v/>
      </c>
      <c r="I67" s="2790">
        <f>'2025년 자금실적'!G23</f>
        <v/>
      </c>
      <c r="J67" s="2803">
        <f>'2025년 자금실적'!H23</f>
        <v/>
      </c>
      <c r="K67" s="2804">
        <f>'2025년 자금실적'!I23</f>
        <v/>
      </c>
      <c r="L67" s="2804">
        <f>'2025년 자금실적'!J23</f>
        <v/>
      </c>
      <c r="M67" s="2804">
        <f>'2025년 자금실적'!K23</f>
        <v/>
      </c>
      <c r="N67" s="2804">
        <f>'2025년 자금실적'!L23</f>
        <v/>
      </c>
      <c r="O67" s="2804">
        <f>'2025년 자금실적'!M23</f>
        <v/>
      </c>
      <c r="P67" s="2804">
        <f>'2025년 자금실적'!N23</f>
        <v/>
      </c>
      <c r="Q67" s="2804">
        <f>'2025년 자금실적'!O23</f>
        <v/>
      </c>
      <c r="R67" s="2804">
        <f>'2025년 자금실적'!P23</f>
        <v/>
      </c>
      <c r="S67" s="2804">
        <f>'2025년 자금실적'!Q23</f>
        <v/>
      </c>
      <c r="T67" s="2804">
        <f>'2025년 자금실적'!R23</f>
        <v/>
      </c>
      <c r="U67" s="2805">
        <f>'2025년 자금실적'!S23</f>
        <v/>
      </c>
      <c r="V67" s="2789">
        <f>'2025년 자금실적'!T23</f>
        <v/>
      </c>
      <c r="W67" s="2790">
        <f>'2025년 자금실적'!U23</f>
        <v/>
      </c>
      <c r="X67" s="1159" t="inlineStr">
        <is>
          <t xml:space="preserve"> </t>
        </is>
      </c>
    </row>
    <row r="68" ht="20.1" customHeight="1" thickBot="1">
      <c r="D68" s="1141" t="inlineStr">
        <is>
          <t xml:space="preserve"> </t>
        </is>
      </c>
      <c r="E68" s="1142" t="inlineStr">
        <is>
          <t xml:space="preserve"> </t>
        </is>
      </c>
      <c r="F68" s="1142" t="inlineStr">
        <is>
          <t xml:space="preserve"> </t>
        </is>
      </c>
      <c r="G68" s="1144" t="inlineStr">
        <is>
          <t>식당, 카페 등 운영비</t>
        </is>
      </c>
      <c r="H68" s="2789">
        <f>'2025년 자금실적'!F24</f>
        <v/>
      </c>
      <c r="I68" s="2790">
        <f>'2025년 자금실적'!G24</f>
        <v/>
      </c>
      <c r="J68" s="2803">
        <f>'2025년 자금실적'!H24</f>
        <v/>
      </c>
      <c r="K68" s="2804">
        <f>'2025년 자금실적'!I24</f>
        <v/>
      </c>
      <c r="L68" s="2804">
        <f>'2025년 자금실적'!J24</f>
        <v/>
      </c>
      <c r="M68" s="2804">
        <f>'2025년 자금실적'!K24</f>
        <v/>
      </c>
      <c r="N68" s="2804">
        <f>'2025년 자금실적'!L24</f>
        <v/>
      </c>
      <c r="O68" s="2804">
        <f>'2025년 자금실적'!M24</f>
        <v/>
      </c>
      <c r="P68" s="2804">
        <f>'2025년 자금실적'!N24</f>
        <v/>
      </c>
      <c r="Q68" s="2804">
        <f>'2025년 자금실적'!O24</f>
        <v/>
      </c>
      <c r="R68" s="2804">
        <f>'2025년 자금실적'!P24</f>
        <v/>
      </c>
      <c r="S68" s="2804">
        <f>'2025년 자금실적'!Q24</f>
        <v/>
      </c>
      <c r="T68" s="2804">
        <f>'2025년 자금실적'!R24</f>
        <v/>
      </c>
      <c r="U68" s="2805">
        <f>'2025년 자금실적'!S24</f>
        <v/>
      </c>
      <c r="V68" s="2789">
        <f>'2025년 자금실적'!T24</f>
        <v/>
      </c>
      <c r="W68" s="2790">
        <f>'2025년 자금실적'!U24</f>
        <v/>
      </c>
      <c r="X68" s="1159" t="inlineStr">
        <is>
          <t xml:space="preserve"> </t>
        </is>
      </c>
    </row>
    <row r="69" ht="20.1" customHeight="1" thickBot="1">
      <c r="D69" s="1141" t="inlineStr">
        <is>
          <t xml:space="preserve"> </t>
        </is>
      </c>
      <c r="E69" s="1142" t="inlineStr">
        <is>
          <t xml:space="preserve"> </t>
        </is>
      </c>
      <c r="F69" s="1142" t="inlineStr">
        <is>
          <t xml:space="preserve"> </t>
        </is>
      </c>
      <c r="G69" s="1144" t="inlineStr">
        <is>
          <t xml:space="preserve">직원비용, 복지포인트 </t>
        </is>
      </c>
      <c r="H69" s="2789">
        <f>'2025년 자금실적'!F25</f>
        <v/>
      </c>
      <c r="I69" s="2790">
        <f>'2025년 자금실적'!G25</f>
        <v/>
      </c>
      <c r="J69" s="2803">
        <f>'2025년 자금실적'!H25</f>
        <v/>
      </c>
      <c r="K69" s="2804">
        <f>'2025년 자금실적'!I25</f>
        <v/>
      </c>
      <c r="L69" s="2804">
        <f>'2025년 자금실적'!J25</f>
        <v/>
      </c>
      <c r="M69" s="2804">
        <f>'2025년 자금실적'!K25</f>
        <v/>
      </c>
      <c r="N69" s="2804">
        <f>'2025년 자금실적'!L25</f>
        <v/>
      </c>
      <c r="O69" s="2804">
        <f>'2025년 자금실적'!M25</f>
        <v/>
      </c>
      <c r="P69" s="2804">
        <f>'2025년 자금실적'!N25</f>
        <v/>
      </c>
      <c r="Q69" s="2804">
        <f>'2025년 자금실적'!O25</f>
        <v/>
      </c>
      <c r="R69" s="2804">
        <f>'2025년 자금실적'!P25</f>
        <v/>
      </c>
      <c r="S69" s="2804">
        <f>'2025년 자금실적'!Q25</f>
        <v/>
      </c>
      <c r="T69" s="2804">
        <f>'2025년 자금실적'!R25</f>
        <v/>
      </c>
      <c r="U69" s="2805">
        <f>'2025년 자금실적'!S25</f>
        <v/>
      </c>
      <c r="V69" s="2789">
        <f>'2025년 자금실적'!T25</f>
        <v/>
      </c>
      <c r="W69" s="2790">
        <f>'2025년 자금실적'!U25</f>
        <v/>
      </c>
      <c r="X69" s="1159" t="inlineStr">
        <is>
          <t xml:space="preserve"> </t>
        </is>
      </c>
    </row>
    <row r="70" ht="20.1" customHeight="1" thickBot="1">
      <c r="D70" s="1141" t="inlineStr">
        <is>
          <t xml:space="preserve"> </t>
        </is>
      </c>
      <c r="E70" s="1142" t="inlineStr">
        <is>
          <t xml:space="preserve"> </t>
        </is>
      </c>
      <c r="F70" s="1142" t="inlineStr">
        <is>
          <t xml:space="preserve"> </t>
        </is>
      </c>
      <c r="G70" s="1144" t="inlineStr">
        <is>
          <t>임차료, 관리비</t>
        </is>
      </c>
      <c r="H70" s="2789">
        <f>'2025년 자금실적'!F26</f>
        <v/>
      </c>
      <c r="I70" s="2790">
        <f>'2025년 자금실적'!G26</f>
        <v/>
      </c>
      <c r="J70" s="2803">
        <f>'2025년 자금실적'!H26</f>
        <v/>
      </c>
      <c r="K70" s="2804">
        <f>'2025년 자금실적'!I26</f>
        <v/>
      </c>
      <c r="L70" s="2804">
        <f>'2025년 자금실적'!J26</f>
        <v/>
      </c>
      <c r="M70" s="2804">
        <f>'2025년 자금실적'!K26</f>
        <v/>
      </c>
      <c r="N70" s="2804">
        <f>'2025년 자금실적'!L26</f>
        <v/>
      </c>
      <c r="O70" s="2804">
        <f>'2025년 자금실적'!M26</f>
        <v/>
      </c>
      <c r="P70" s="2804">
        <f>'2025년 자금실적'!N26</f>
        <v/>
      </c>
      <c r="Q70" s="2804">
        <f>'2025년 자금실적'!O26</f>
        <v/>
      </c>
      <c r="R70" s="2804">
        <f>'2025년 자금실적'!P26</f>
        <v/>
      </c>
      <c r="S70" s="2804">
        <f>'2025년 자금실적'!Q26</f>
        <v/>
      </c>
      <c r="T70" s="2804">
        <f>'2025년 자금실적'!R26</f>
        <v/>
      </c>
      <c r="U70" s="2805">
        <f>'2025년 자금실적'!S26</f>
        <v/>
      </c>
      <c r="V70" s="2789">
        <f>'2025년 자금실적'!T26</f>
        <v/>
      </c>
      <c r="W70" s="2790">
        <f>'2025년 자금실적'!U26</f>
        <v/>
      </c>
      <c r="X70" s="1159" t="inlineStr">
        <is>
          <t xml:space="preserve"> </t>
        </is>
      </c>
    </row>
    <row r="71" ht="20.1" customHeight="1" thickBot="1">
      <c r="D71" s="1141" t="inlineStr">
        <is>
          <t xml:space="preserve"> </t>
        </is>
      </c>
      <c r="E71" s="1142" t="inlineStr">
        <is>
          <t xml:space="preserve"> </t>
        </is>
      </c>
      <c r="F71" s="1142" t="inlineStr">
        <is>
          <t xml:space="preserve"> </t>
        </is>
      </c>
      <c r="G71" s="1144" t="inlineStr">
        <is>
          <t>지급수수료</t>
        </is>
      </c>
      <c r="H71" s="2789">
        <f>'2025년 자금실적'!F27</f>
        <v/>
      </c>
      <c r="I71" s="2790">
        <f>'2025년 자금실적'!G27</f>
        <v/>
      </c>
      <c r="J71" s="2803">
        <f>'2025년 자금실적'!H27</f>
        <v/>
      </c>
      <c r="K71" s="2804">
        <f>'2025년 자금실적'!I27</f>
        <v/>
      </c>
      <c r="L71" s="2804">
        <f>'2025년 자금실적'!J27</f>
        <v/>
      </c>
      <c r="M71" s="2804">
        <f>'2025년 자금실적'!K27</f>
        <v/>
      </c>
      <c r="N71" s="2804">
        <f>'2025년 자금실적'!L27</f>
        <v/>
      </c>
      <c r="O71" s="2804">
        <f>'2025년 자금실적'!M27</f>
        <v/>
      </c>
      <c r="P71" s="2804">
        <f>'2025년 자금실적'!N27</f>
        <v/>
      </c>
      <c r="Q71" s="2804">
        <f>'2025년 자금실적'!O27</f>
        <v/>
      </c>
      <c r="R71" s="2804">
        <f>'2025년 자금실적'!P27</f>
        <v/>
      </c>
      <c r="S71" s="2804">
        <f>'2025년 자금실적'!Q27</f>
        <v/>
      </c>
      <c r="T71" s="2804">
        <f>'2025년 자금실적'!R27</f>
        <v/>
      </c>
      <c r="U71" s="2805">
        <f>'2025년 자금실적'!S27</f>
        <v/>
      </c>
      <c r="V71" s="2789">
        <f>'2025년 자금실적'!T27</f>
        <v/>
      </c>
      <c r="W71" s="2790">
        <f>'2025년 자금실적'!U27</f>
        <v/>
      </c>
      <c r="X71" s="1159" t="inlineStr">
        <is>
          <t xml:space="preserve"> ○ 등기비용, 퇴직연금관리수수료 등</t>
        </is>
      </c>
    </row>
    <row r="72" ht="20.1" customHeight="1" thickBot="1">
      <c r="D72" s="1141" t="inlineStr">
        <is>
          <t xml:space="preserve"> </t>
        </is>
      </c>
      <c r="E72" s="1145" t="inlineStr">
        <is>
          <t xml:space="preserve"> </t>
        </is>
      </c>
      <c r="F72" s="1145" t="inlineStr">
        <is>
          <t xml:space="preserve"> </t>
        </is>
      </c>
      <c r="G72" s="1146" t="inlineStr">
        <is>
          <t>통신비등</t>
        </is>
      </c>
      <c r="H72" s="2795">
        <f>'2025년 자금실적'!F28</f>
        <v/>
      </c>
      <c r="I72" s="2796">
        <f>'2025년 자금실적'!G28</f>
        <v/>
      </c>
      <c r="J72" s="2806">
        <f>'2025년 자금실적'!H28</f>
        <v/>
      </c>
      <c r="K72" s="2807">
        <f>'2025년 자금실적'!I28</f>
        <v/>
      </c>
      <c r="L72" s="2807">
        <f>'2025년 자금실적'!J28</f>
        <v/>
      </c>
      <c r="M72" s="2807">
        <f>'2025년 자금실적'!K28</f>
        <v/>
      </c>
      <c r="N72" s="2807">
        <f>'2025년 자금실적'!L28</f>
        <v/>
      </c>
      <c r="O72" s="2807">
        <f>'2025년 자금실적'!M28</f>
        <v/>
      </c>
      <c r="P72" s="2807">
        <f>'2025년 자금실적'!N28</f>
        <v/>
      </c>
      <c r="Q72" s="2807">
        <f>'2025년 자금실적'!O28</f>
        <v/>
      </c>
      <c r="R72" s="2807">
        <f>'2025년 자금실적'!P28</f>
        <v/>
      </c>
      <c r="S72" s="2807">
        <f>'2025년 자금실적'!Q28</f>
        <v/>
      </c>
      <c r="T72" s="2807">
        <f>'2025년 자금실적'!R28</f>
        <v/>
      </c>
      <c r="U72" s="2808">
        <f>'2025년 자금실적'!S28</f>
        <v/>
      </c>
      <c r="V72" s="2795">
        <f>'2025년 자금실적'!T28</f>
        <v/>
      </c>
      <c r="W72" s="2796">
        <f>'2025년 자금실적'!U28</f>
        <v/>
      </c>
      <c r="X72" s="1160" t="inlineStr">
        <is>
          <t xml:space="preserve"> </t>
        </is>
      </c>
    </row>
    <row r="73" ht="20.1" customHeight="1">
      <c r="D73" s="1147" t="inlineStr">
        <is>
          <t xml:space="preserve"> </t>
        </is>
      </c>
      <c r="E73" s="2809" t="inlineStr">
        <is>
          <t>비경상</t>
        </is>
      </c>
      <c r="F73" s="2810" t="n"/>
      <c r="G73" s="2811" t="n"/>
      <c r="H73" s="1148" t="inlineStr">
        <is>
          <t>-</t>
        </is>
      </c>
      <c r="I73" s="1149" t="inlineStr">
        <is>
          <t>-</t>
        </is>
      </c>
      <c r="J73" s="1150" t="inlineStr">
        <is>
          <t>-</t>
        </is>
      </c>
      <c r="K73" s="1151" t="inlineStr">
        <is>
          <t>-</t>
        </is>
      </c>
      <c r="L73" s="1151" t="inlineStr">
        <is>
          <t>-</t>
        </is>
      </c>
      <c r="M73" s="1151" t="inlineStr">
        <is>
          <t>-</t>
        </is>
      </c>
      <c r="N73" s="1151" t="inlineStr">
        <is>
          <t>-</t>
        </is>
      </c>
      <c r="O73" s="1151" t="inlineStr">
        <is>
          <t>-</t>
        </is>
      </c>
      <c r="P73" s="1151" t="inlineStr">
        <is>
          <t>-</t>
        </is>
      </c>
      <c r="Q73" s="1151" t="inlineStr">
        <is>
          <t>-</t>
        </is>
      </c>
      <c r="R73" s="1151" t="inlineStr">
        <is>
          <t>-</t>
        </is>
      </c>
      <c r="S73" s="1151" t="inlineStr">
        <is>
          <t>-</t>
        </is>
      </c>
      <c r="T73" s="1151" t="inlineStr">
        <is>
          <t>-</t>
        </is>
      </c>
      <c r="U73" s="1152" t="inlineStr">
        <is>
          <t>-</t>
        </is>
      </c>
      <c r="V73" s="1148" t="inlineStr">
        <is>
          <t>-</t>
        </is>
      </c>
      <c r="W73" s="1149" t="inlineStr">
        <is>
          <t>-</t>
        </is>
      </c>
      <c r="X73" s="1161" t="n"/>
    </row>
    <row r="74" ht="20.1" customHeight="1" thickBot="1">
      <c r="D74" s="2756" t="inlineStr">
        <is>
          <t>D. 자금수지차 (=B-C)</t>
        </is>
      </c>
      <c r="E74" s="2757" t="n"/>
      <c r="F74" s="2757" t="n"/>
      <c r="G74" s="2758" t="n"/>
      <c r="H74" s="2812">
        <f>'2025년 자금실적'!F34</f>
        <v/>
      </c>
      <c r="I74" s="2813">
        <f>'2025년 자금실적'!G34</f>
        <v/>
      </c>
      <c r="J74" s="2814">
        <f>'2025년 자금실적'!H34</f>
        <v/>
      </c>
      <c r="K74" s="2815">
        <f>'2025년 자금실적'!I34</f>
        <v/>
      </c>
      <c r="L74" s="2815">
        <f>'2025년 자금실적'!J34</f>
        <v/>
      </c>
      <c r="M74" s="2815">
        <f>'2025년 자금실적'!K34</f>
        <v/>
      </c>
      <c r="N74" s="2815">
        <f>'2025년 자금실적'!L34</f>
        <v/>
      </c>
      <c r="O74" s="2815">
        <f>'2025년 자금실적'!M34</f>
        <v/>
      </c>
      <c r="P74" s="2815">
        <f>'2025년 자금실적'!N34</f>
        <v/>
      </c>
      <c r="Q74" s="2815">
        <f>'2025년 자금실적'!O34</f>
        <v/>
      </c>
      <c r="R74" s="2815">
        <f>'2025년 자금실적'!P34</f>
        <v/>
      </c>
      <c r="S74" s="2815">
        <f>'2025년 자금실적'!Q34</f>
        <v/>
      </c>
      <c r="T74" s="2815">
        <f>'2025년 자금실적'!R34</f>
        <v/>
      </c>
      <c r="U74" s="2816">
        <f>'2025년 자금실적'!S34</f>
        <v/>
      </c>
      <c r="V74" s="2812">
        <f>'2025년 자금실적'!T34</f>
        <v/>
      </c>
      <c r="W74" s="2813">
        <f>'2025년 자금실적'!U34</f>
        <v/>
      </c>
      <c r="X74" s="1162" t="inlineStr">
        <is>
          <t xml:space="preserve"> </t>
        </is>
      </c>
    </row>
    <row r="75" ht="20.1" customHeight="1">
      <c r="D75" s="1147" t="inlineStr">
        <is>
          <t xml:space="preserve"> </t>
        </is>
      </c>
      <c r="E75" s="2773" t="inlineStr">
        <is>
          <t xml:space="preserve"> D-1. 경상수지차</t>
        </is>
      </c>
      <c r="F75" s="2774" t="n"/>
      <c r="G75" s="2775" t="n"/>
      <c r="H75" s="2817">
        <f>'2025년 자금실적'!F35</f>
        <v/>
      </c>
      <c r="I75" s="2818">
        <f>'2025년 자금실적'!G35</f>
        <v/>
      </c>
      <c r="J75" s="2819">
        <f>'2025년 자금실적'!H35</f>
        <v/>
      </c>
      <c r="K75" s="2820">
        <f>'2025년 자금실적'!I35</f>
        <v/>
      </c>
      <c r="L75" s="2820">
        <f>'2025년 자금실적'!J35</f>
        <v/>
      </c>
      <c r="M75" s="2820">
        <f>'2025년 자금실적'!K35</f>
        <v/>
      </c>
      <c r="N75" s="2820">
        <f>'2025년 자금실적'!L35</f>
        <v/>
      </c>
      <c r="O75" s="2820">
        <f>'2025년 자금실적'!M35</f>
        <v/>
      </c>
      <c r="P75" s="2820">
        <f>'2025년 자금실적'!N35</f>
        <v/>
      </c>
      <c r="Q75" s="2820">
        <f>'2025년 자금실적'!O35</f>
        <v/>
      </c>
      <c r="R75" s="2820">
        <f>'2025년 자금실적'!P35</f>
        <v/>
      </c>
      <c r="S75" s="2820">
        <f>'2025년 자금실적'!Q35</f>
        <v/>
      </c>
      <c r="T75" s="2820">
        <f>'2025년 자금실적'!R35</f>
        <v/>
      </c>
      <c r="U75" s="2821">
        <f>'2025년 자금실적'!S35</f>
        <v/>
      </c>
      <c r="V75" s="2817">
        <f>'2025년 자금실적'!T35</f>
        <v/>
      </c>
      <c r="W75" s="2818">
        <f>'2025년 자금실적'!U35</f>
        <v/>
      </c>
      <c r="X75" s="1163" t="inlineStr">
        <is>
          <t xml:space="preserve"> </t>
        </is>
      </c>
    </row>
    <row r="76" ht="20.1" customHeight="1">
      <c r="D76" s="1745" t="inlineStr">
        <is>
          <t>E. 자금조달(증자)</t>
        </is>
      </c>
      <c r="E76" s="2666" t="n"/>
      <c r="F76" s="2666" t="n"/>
      <c r="G76" s="2704" t="n"/>
      <c r="H76" s="2822">
        <f>'2025년 자금실적'!F36</f>
        <v/>
      </c>
      <c r="I76" s="2823">
        <f>'2025년 자금실적'!G36</f>
        <v/>
      </c>
      <c r="J76" s="2824">
        <f>'2025년 자금실적'!H36</f>
        <v/>
      </c>
      <c r="K76" s="2825">
        <f>'2025년 자금실적'!I36</f>
        <v/>
      </c>
      <c r="L76" s="2825">
        <f>'2025년 자금실적'!J36</f>
        <v/>
      </c>
      <c r="M76" s="2825">
        <f>'2025년 자금실적'!K36</f>
        <v/>
      </c>
      <c r="N76" s="2825">
        <f>'2025년 자금실적'!L36</f>
        <v/>
      </c>
      <c r="O76" s="2825">
        <f>'2025년 자금실적'!M36</f>
        <v/>
      </c>
      <c r="P76" s="2825">
        <f>'2025년 자금실적'!N36</f>
        <v/>
      </c>
      <c r="Q76" s="2825">
        <f>'2025년 자금실적'!O36</f>
        <v/>
      </c>
      <c r="R76" s="2825">
        <f>'2025년 자금실적'!P36</f>
        <v/>
      </c>
      <c r="S76" s="2825">
        <f>'2025년 자금실적'!Q36</f>
        <v/>
      </c>
      <c r="T76" s="2825">
        <f>'2025년 자금실적'!R36</f>
        <v/>
      </c>
      <c r="U76" s="2826">
        <f>'2025년 자금실적'!S36</f>
        <v/>
      </c>
      <c r="V76" s="2827">
        <f>'2025년 자금실적'!T36</f>
        <v/>
      </c>
      <c r="W76" s="2823">
        <f>'2025년 자금실적'!U36</f>
        <v/>
      </c>
      <c r="X76" s="1164" t="inlineStr">
        <is>
          <t xml:space="preserve"> </t>
        </is>
      </c>
    </row>
    <row r="77" ht="20.1" customHeight="1">
      <c r="D77" s="2828" t="inlineStr">
        <is>
          <t>F. 기말잔고(=A+D+E)</t>
        </is>
      </c>
      <c r="E77" s="2666" t="n"/>
      <c r="F77" s="2666" t="n"/>
      <c r="G77" s="2704" t="n"/>
      <c r="H77" s="2829">
        <f>'2025년 자금실적'!F40</f>
        <v/>
      </c>
      <c r="I77" s="2830">
        <f>'2025년 자금실적'!G40</f>
        <v/>
      </c>
      <c r="J77" s="2831">
        <f>'2025년 자금실적'!H40</f>
        <v/>
      </c>
      <c r="K77" s="2832">
        <f>'2025년 자금실적'!I40</f>
        <v/>
      </c>
      <c r="L77" s="2832">
        <f>'2025년 자금실적'!J40</f>
        <v/>
      </c>
      <c r="M77" s="2832">
        <f>'2025년 자금실적'!K40</f>
        <v/>
      </c>
      <c r="N77" s="2832">
        <f>'2025년 자금실적'!L40</f>
        <v/>
      </c>
      <c r="O77" s="2832">
        <f>'2025년 자금실적'!M40</f>
        <v/>
      </c>
      <c r="P77" s="2832">
        <f>'2025년 자금실적'!N40</f>
        <v/>
      </c>
      <c r="Q77" s="2832">
        <f>'2025년 자금실적'!O40</f>
        <v/>
      </c>
      <c r="R77" s="2832">
        <f>'2025년 자금실적'!P40</f>
        <v/>
      </c>
      <c r="S77" s="2832">
        <f>'2025년 자금실적'!Q40</f>
        <v/>
      </c>
      <c r="T77" s="2832">
        <f>'2025년 자금실적'!R40</f>
        <v/>
      </c>
      <c r="U77" s="2833">
        <f>'2025년 자금실적'!S40</f>
        <v/>
      </c>
      <c r="V77" s="2829">
        <f>'2025년 자금실적'!T40</f>
        <v/>
      </c>
      <c r="W77" s="2834">
        <f>'2025년 자금실적'!U40</f>
        <v/>
      </c>
      <c r="X77" s="1165" t="inlineStr">
        <is>
          <t xml:space="preserve"> </t>
        </is>
      </c>
    </row>
    <row r="78" ht="20.1" customFormat="1" customHeight="1" s="1069">
      <c r="A78" s="1070" t="n"/>
      <c r="B78" s="1072" t="n">
        <v>5</v>
      </c>
      <c r="C78" s="1073" t="inlineStr">
        <is>
          <t>Table 1</t>
        </is>
      </c>
      <c r="D78" s="1072" t="n">
        <v>26</v>
      </c>
      <c r="E78" s="1072" t="n">
        <v>21</v>
      </c>
    </row>
    <row r="79" ht="20.1" customHeight="1">
      <c r="D79" s="2743" t="inlineStr">
        <is>
          <t>구분</t>
        </is>
      </c>
      <c r="E79" s="2744" t="n"/>
      <c r="F79" s="2744" t="n"/>
      <c r="G79" s="2696" t="n"/>
      <c r="H79" s="2745" t="inlineStr">
        <is>
          <t>2025년</t>
        </is>
      </c>
      <c r="I79" s="2696" t="n"/>
      <c r="J79" s="2746" t="inlineStr">
        <is>
          <t>2026년</t>
        </is>
      </c>
      <c r="K79" s="2666" t="n"/>
      <c r="L79" s="2666" t="n"/>
      <c r="M79" s="2666" t="n"/>
      <c r="N79" s="2666" t="n"/>
      <c r="O79" s="2666" t="n"/>
      <c r="P79" s="2666" t="n"/>
      <c r="Q79" s="2666" t="n"/>
      <c r="R79" s="2666" t="n"/>
      <c r="S79" s="2666" t="n"/>
      <c r="T79" s="2666" t="n"/>
      <c r="U79" s="2666" t="n"/>
      <c r="V79" s="2666" t="n"/>
      <c r="W79" s="2704" t="n"/>
      <c r="X79" s="2747" t="inlineStr">
        <is>
          <t>세부사항</t>
        </is>
      </c>
    </row>
    <row r="80" ht="20.1" customHeight="1">
      <c r="D80" s="2748" t="n"/>
      <c r="G80" s="2749" t="n"/>
      <c r="H80" s="2750" t="inlineStr">
        <is>
          <t>실적</t>
        </is>
      </c>
      <c r="I80" s="2751" t="n"/>
      <c r="J80" s="1709" t="inlineStr">
        <is>
          <t>실적</t>
        </is>
      </c>
      <c r="K80" s="2666" t="n"/>
      <c r="L80" s="2666" t="n"/>
      <c r="M80" s="2666" t="n"/>
      <c r="N80" s="2666" t="n"/>
      <c r="O80" s="2666" t="n"/>
      <c r="P80" s="2666" t="n"/>
      <c r="Q80" s="1718" t="inlineStr">
        <is>
          <t>계획</t>
        </is>
      </c>
      <c r="R80" s="2666" t="n"/>
      <c r="S80" s="2666" t="n"/>
      <c r="T80" s="2666" t="n"/>
      <c r="U80" s="2704" t="n"/>
      <c r="V80" s="1715" t="inlineStr">
        <is>
          <t xml:space="preserve"> </t>
        </is>
      </c>
      <c r="W80" s="1716" t="inlineStr">
        <is>
          <t xml:space="preserve"> </t>
        </is>
      </c>
      <c r="X80" s="2752" t="n"/>
    </row>
    <row r="81" ht="20.1" customHeight="1">
      <c r="D81" s="2753" t="n"/>
      <c r="E81" s="2701" t="n"/>
      <c r="F81" s="2701" t="n"/>
      <c r="G81" s="2702" t="n"/>
      <c r="H81" s="1128" t="inlineStr">
        <is>
          <t>합계</t>
        </is>
      </c>
      <c r="I81" s="1129" t="inlineStr">
        <is>
          <t>평균</t>
        </is>
      </c>
      <c r="J81" s="1130" t="inlineStr">
        <is>
          <t>1월</t>
        </is>
      </c>
      <c r="K81" s="1131" t="inlineStr">
        <is>
          <t>2월</t>
        </is>
      </c>
      <c r="L81" s="1131" t="inlineStr">
        <is>
          <t>3월</t>
        </is>
      </c>
      <c r="M81" s="1131" t="inlineStr">
        <is>
          <t>4월</t>
        </is>
      </c>
      <c r="N81" s="1131" t="inlineStr">
        <is>
          <t>5월</t>
        </is>
      </c>
      <c r="O81" s="1131" t="inlineStr">
        <is>
          <t xml:space="preserve"> 6월 </t>
        </is>
      </c>
      <c r="P81" s="1131" t="inlineStr">
        <is>
          <t xml:space="preserve"> 7월 </t>
        </is>
      </c>
      <c r="Q81" s="1131" t="inlineStr">
        <is>
          <t xml:space="preserve"> 8월 </t>
        </is>
      </c>
      <c r="R81" s="1131" t="inlineStr">
        <is>
          <t xml:space="preserve"> 9월 </t>
        </is>
      </c>
      <c r="S81" s="1131" t="inlineStr">
        <is>
          <t xml:space="preserve"> 10월 </t>
        </is>
      </c>
      <c r="T81" s="1131" t="inlineStr">
        <is>
          <t xml:space="preserve"> 11월 </t>
        </is>
      </c>
      <c r="U81" s="1132" t="inlineStr">
        <is>
          <t xml:space="preserve"> 12월 </t>
        </is>
      </c>
      <c r="V81" s="1128" t="inlineStr">
        <is>
          <t xml:space="preserve"> 합계 </t>
        </is>
      </c>
      <c r="W81" s="1129" t="inlineStr">
        <is>
          <t xml:space="preserve"> 월평균 </t>
        </is>
      </c>
      <c r="X81" s="2754" t="n"/>
    </row>
    <row r="82" ht="20.1" customHeight="1">
      <c r="D82" s="2755" t="inlineStr">
        <is>
          <t>A. 기초잔고</t>
        </is>
      </c>
      <c r="E82" s="2666" t="n"/>
      <c r="F82" s="2666" t="n"/>
      <c r="G82" s="2704" t="n"/>
      <c r="H82" s="1133">
        <f>'2026년 자금실적'!F11</f>
        <v/>
      </c>
      <c r="I82" s="1134">
        <f>'2026년 자금실적'!G11</f>
        <v/>
      </c>
      <c r="J82" s="1135">
        <f>'2026년 자금실적'!H11</f>
        <v/>
      </c>
      <c r="K82" s="1136">
        <f>'2026년 자금실적'!I11</f>
        <v/>
      </c>
      <c r="L82" s="1136">
        <f>'2026년 자금실적'!J11</f>
        <v/>
      </c>
      <c r="M82" s="1136">
        <f>'2026년 자금실적'!K11</f>
        <v/>
      </c>
      <c r="N82" s="1136">
        <f>'2026년 자금실적'!L11</f>
        <v/>
      </c>
      <c r="O82" s="1136">
        <f>'2026년 자금실적'!M11</f>
        <v/>
      </c>
      <c r="P82" s="1136">
        <f>'2026년 자금실적'!N11</f>
        <v/>
      </c>
      <c r="Q82" s="1136">
        <f>'2026년 자금실적'!O11</f>
        <v/>
      </c>
      <c r="R82" s="1136">
        <f>'2026년 자금실적'!P11</f>
        <v/>
      </c>
      <c r="S82" s="1136">
        <f>'2026년 자금실적'!Q11</f>
        <v/>
      </c>
      <c r="T82" s="1136">
        <f>'2026년 자금실적'!R11</f>
        <v/>
      </c>
      <c r="U82" s="1137">
        <f>'2026년 자금실적'!S11</f>
        <v/>
      </c>
      <c r="V82" s="1133">
        <f>'2026년 자금실적'!T11</f>
        <v/>
      </c>
      <c r="W82" s="1138">
        <f>'2026년 자금실적'!U11</f>
        <v/>
      </c>
      <c r="X82" s="1153" t="inlineStr">
        <is>
          <t xml:space="preserve"> </t>
        </is>
      </c>
    </row>
    <row r="83" ht="20.1" customHeight="1" thickBot="1">
      <c r="D83" s="2756" t="inlineStr">
        <is>
          <t>B. 수입</t>
        </is>
      </c>
      <c r="E83" s="2757" t="n"/>
      <c r="F83" s="2757" t="n"/>
      <c r="G83" s="2758" t="n"/>
      <c r="H83" s="2759">
        <f>'2026년 자금실적'!F12</f>
        <v/>
      </c>
      <c r="I83" s="2760">
        <f>'2026년 자금실적'!G12</f>
        <v/>
      </c>
      <c r="J83" s="2761">
        <f>'2026년 자금실적'!H12</f>
        <v/>
      </c>
      <c r="K83" s="2762">
        <f>'2026년 자금실적'!I12</f>
        <v/>
      </c>
      <c r="L83" s="2762">
        <f>'2026년 자금실적'!J12</f>
        <v/>
      </c>
      <c r="M83" s="2762">
        <f>'2026년 자금실적'!K12</f>
        <v/>
      </c>
      <c r="N83" s="2762">
        <f>'2026년 자금실적'!L12</f>
        <v/>
      </c>
      <c r="O83" s="2762">
        <f>'2026년 자금실적'!M12</f>
        <v/>
      </c>
      <c r="P83" s="2762">
        <f>'2026년 자금실적'!N12</f>
        <v/>
      </c>
      <c r="Q83" s="2762">
        <f>'2026년 자금실적'!O12</f>
        <v/>
      </c>
      <c r="R83" s="2762">
        <f>'2026년 자금실적'!P12</f>
        <v/>
      </c>
      <c r="S83" s="2762">
        <f>'2026년 자금실적'!Q12</f>
        <v/>
      </c>
      <c r="T83" s="2762">
        <f>'2026년 자금실적'!R12</f>
        <v/>
      </c>
      <c r="U83" s="2763">
        <f>'2026년 자금실적'!S12</f>
        <v/>
      </c>
      <c r="V83" s="2759">
        <f>'2026년 자금실적'!T12</f>
        <v/>
      </c>
      <c r="W83" s="2760">
        <f>'2026년 자금실적'!U12</f>
        <v/>
      </c>
      <c r="X83" s="1154" t="n"/>
    </row>
    <row r="84" ht="20.1" customHeight="1" thickBot="1">
      <c r="D84" s="1147" t="inlineStr">
        <is>
          <t xml:space="preserve"> </t>
        </is>
      </c>
      <c r="E84" s="2764" t="inlineStr">
        <is>
          <t>경상</t>
        </is>
      </c>
      <c r="F84" s="2765" t="n"/>
      <c r="G84" s="2766" t="n"/>
      <c r="H84" s="2767">
        <f>'2026년 자금실적'!F13</f>
        <v/>
      </c>
      <c r="I84" s="2768">
        <f>'2026년 자금실적'!G13</f>
        <v/>
      </c>
      <c r="J84" s="2769">
        <f>'2026년 자금실적'!H13</f>
        <v/>
      </c>
      <c r="K84" s="2770">
        <f>'2026년 자금실적'!I13</f>
        <v/>
      </c>
      <c r="L84" s="2770">
        <f>'2026년 자금실적'!J13</f>
        <v/>
      </c>
      <c r="M84" s="2770">
        <f>'2026년 자금실적'!K13</f>
        <v/>
      </c>
      <c r="N84" s="2770">
        <f>'2026년 자금실적'!L13</f>
        <v/>
      </c>
      <c r="O84" s="2770">
        <f>'2026년 자금실적'!M13</f>
        <v/>
      </c>
      <c r="P84" s="2770">
        <f>'2026년 자금실적'!N13</f>
        <v/>
      </c>
      <c r="Q84" s="2770">
        <f>'2026년 자금실적'!O13</f>
        <v/>
      </c>
      <c r="R84" s="2770">
        <f>'2026년 자금실적'!P13</f>
        <v/>
      </c>
      <c r="S84" s="2770">
        <f>'2026년 자금실적'!Q13</f>
        <v/>
      </c>
      <c r="T84" s="2770">
        <f>'2026년 자금실적'!R13</f>
        <v/>
      </c>
      <c r="U84" s="2771">
        <f>'2026년 자금실적'!S13</f>
        <v/>
      </c>
      <c r="V84" s="2767">
        <f>'2026년 자금실적'!T13</f>
        <v/>
      </c>
      <c r="W84" s="2768">
        <f>'2026년 자금실적'!U13</f>
        <v/>
      </c>
      <c r="X84" s="1155">
        <f>'2026년 자금실적'!V13</f>
        <v/>
      </c>
    </row>
    <row r="85" ht="20.1" customHeight="1">
      <c r="D85" s="2772" t="n"/>
      <c r="E85" s="2773" t="inlineStr">
        <is>
          <t>비경상</t>
        </is>
      </c>
      <c r="F85" s="2774" t="n"/>
      <c r="G85" s="2775" t="n"/>
      <c r="H85" s="2776">
        <f>'2026년 자금실적'!F14</f>
        <v/>
      </c>
      <c r="I85" s="2777">
        <f>'2026년 자금실적'!G14</f>
        <v/>
      </c>
      <c r="J85" s="2778">
        <f>'2026년 자금실적'!H14</f>
        <v/>
      </c>
      <c r="K85" s="2779">
        <f>'2026년 자금실적'!I14</f>
        <v/>
      </c>
      <c r="L85" s="2779">
        <f>'2026년 자금실적'!J14</f>
        <v/>
      </c>
      <c r="M85" s="2779">
        <f>'2026년 자금실적'!K14</f>
        <v/>
      </c>
      <c r="N85" s="2779">
        <f>'2026년 자금실적'!L14</f>
        <v/>
      </c>
      <c r="O85" s="2779">
        <f>'2026년 자금실적'!M14</f>
        <v/>
      </c>
      <c r="P85" s="2779">
        <f>'2026년 자금실적'!N14</f>
        <v/>
      </c>
      <c r="Q85" s="2779">
        <f>'2026년 자금실적'!O14</f>
        <v/>
      </c>
      <c r="R85" s="2779">
        <f>'2026년 자금실적'!P14</f>
        <v/>
      </c>
      <c r="S85" s="2779">
        <f>'2026년 자금실적'!Q14</f>
        <v/>
      </c>
      <c r="T85" s="2779">
        <f>'2026년 자금실적'!R14</f>
        <v/>
      </c>
      <c r="U85" s="2780">
        <f>'2026년 자금실적'!S14</f>
        <v/>
      </c>
      <c r="V85" s="2776">
        <f>'2026년 자금실적'!T14</f>
        <v/>
      </c>
      <c r="W85" s="2777">
        <f>'2026년 자금실적'!U14</f>
        <v/>
      </c>
      <c r="X85" s="1156">
        <f>'2026년 자금실적'!V14</f>
        <v/>
      </c>
    </row>
    <row r="86" ht="20.1" customHeight="1" thickBot="1">
      <c r="D86" s="2756" t="inlineStr">
        <is>
          <t>C. 지출</t>
        </is>
      </c>
      <c r="E86" s="2757" t="n"/>
      <c r="F86" s="2757" t="n"/>
      <c r="G86" s="2758" t="n"/>
      <c r="H86" s="2759">
        <f>'2026년 자금실적'!F15</f>
        <v/>
      </c>
      <c r="I86" s="2760">
        <f>'2026년 자금실적'!G15</f>
        <v/>
      </c>
      <c r="J86" s="2761">
        <f>'2026년 자금실적'!H15</f>
        <v/>
      </c>
      <c r="K86" s="2762">
        <f>'2026년 자금실적'!I15</f>
        <v/>
      </c>
      <c r="L86" s="2762">
        <f>'2026년 자금실적'!J15</f>
        <v/>
      </c>
      <c r="M86" s="2762">
        <f>'2026년 자금실적'!K15</f>
        <v/>
      </c>
      <c r="N86" s="2762">
        <f>'2026년 자금실적'!L15</f>
        <v/>
      </c>
      <c r="O86" s="2762">
        <f>'2026년 자금실적'!M15</f>
        <v/>
      </c>
      <c r="P86" s="2762">
        <f>'2026년 자금실적'!N15</f>
        <v/>
      </c>
      <c r="Q86" s="2762">
        <f>'2026년 자금실적'!O15</f>
        <v/>
      </c>
      <c r="R86" s="2762">
        <f>'2026년 자금실적'!P15</f>
        <v/>
      </c>
      <c r="S86" s="2762">
        <f>'2026년 자금실적'!Q15</f>
        <v/>
      </c>
      <c r="T86" s="2762">
        <f>'2026년 자금실적'!R15</f>
        <v/>
      </c>
      <c r="U86" s="2763">
        <f>'2026년 자금실적'!S15</f>
        <v/>
      </c>
      <c r="V86" s="2759">
        <f>'2026년 자금실적'!T15</f>
        <v/>
      </c>
      <c r="W86" s="2760">
        <f>'2026년 자금실적'!U15</f>
        <v/>
      </c>
      <c r="X86" s="1154" t="n"/>
    </row>
    <row r="87" ht="20.1" customHeight="1" thickBot="1">
      <c r="D87" s="1141" t="inlineStr">
        <is>
          <t xml:space="preserve"> </t>
        </is>
      </c>
      <c r="E87" s="2764" t="inlineStr">
        <is>
          <t>경상</t>
        </is>
      </c>
      <c r="F87" s="2765" t="n"/>
      <c r="G87" s="2766" t="n"/>
      <c r="H87" s="2781">
        <f>'2026년 자금실적'!F16</f>
        <v/>
      </c>
      <c r="I87" s="2782">
        <f>'2026년 자금실적'!G16</f>
        <v/>
      </c>
      <c r="J87" s="2783">
        <f>'2026년 자금실적'!H16</f>
        <v/>
      </c>
      <c r="K87" s="2784">
        <f>'2026년 자금실적'!I16</f>
        <v/>
      </c>
      <c r="L87" s="2784">
        <f>'2026년 자금실적'!J16</f>
        <v/>
      </c>
      <c r="M87" s="2784">
        <f>'2026년 자금실적'!K16</f>
        <v/>
      </c>
      <c r="N87" s="2784">
        <f>'2026년 자금실적'!L16</f>
        <v/>
      </c>
      <c r="O87" s="2784">
        <f>'2026년 자금실적'!M16</f>
        <v/>
      </c>
      <c r="P87" s="2784">
        <f>'2026년 자금실적'!N16</f>
        <v/>
      </c>
      <c r="Q87" s="2784">
        <f>'2026년 자금실적'!O16</f>
        <v/>
      </c>
      <c r="R87" s="2784">
        <f>'2026년 자금실적'!P16</f>
        <v/>
      </c>
      <c r="S87" s="2784">
        <f>'2026년 자금실적'!Q16</f>
        <v/>
      </c>
      <c r="T87" s="2784">
        <f>'2026년 자금실적'!R16</f>
        <v/>
      </c>
      <c r="U87" s="2785">
        <f>'2026년 자금실적'!S16</f>
        <v/>
      </c>
      <c r="V87" s="2781">
        <f>'2026년 자금실적'!T16</f>
        <v/>
      </c>
      <c r="W87" s="2782">
        <f>'2026년 자금실적'!U16</f>
        <v/>
      </c>
      <c r="X87" s="1157" t="n"/>
    </row>
    <row r="88" ht="20.1" customHeight="1" thickBot="1">
      <c r="D88" s="2786" t="n"/>
      <c r="E88" s="1139" t="inlineStr">
        <is>
          <t xml:space="preserve"> </t>
        </is>
      </c>
      <c r="F88" s="2787" t="inlineStr">
        <is>
          <t>인건비</t>
        </is>
      </c>
      <c r="G88" s="2788" t="n"/>
      <c r="H88" s="2767">
        <f>'2026년 자금실적'!F17</f>
        <v/>
      </c>
      <c r="I88" s="2768">
        <f>'2026년 자금실적'!G17</f>
        <v/>
      </c>
      <c r="J88" s="2769">
        <f>'2026년 자금실적'!H17</f>
        <v/>
      </c>
      <c r="K88" s="2770">
        <f>'2026년 자금실적'!I17</f>
        <v/>
      </c>
      <c r="L88" s="2770">
        <f>'2026년 자금실적'!J17</f>
        <v/>
      </c>
      <c r="M88" s="2770">
        <f>'2026년 자금실적'!K17</f>
        <v/>
      </c>
      <c r="N88" s="2770">
        <f>'2026년 자금실적'!L17</f>
        <v/>
      </c>
      <c r="O88" s="2770">
        <f>'2026년 자금실적'!M17</f>
        <v/>
      </c>
      <c r="P88" s="2770">
        <f>'2026년 자금실적'!N17</f>
        <v/>
      </c>
      <c r="Q88" s="2770">
        <f>'2026년 자금실적'!O17</f>
        <v/>
      </c>
      <c r="R88" s="2770">
        <f>'2026년 자금실적'!P17</f>
        <v/>
      </c>
      <c r="S88" s="2770">
        <f>'2026년 자금실적'!Q17</f>
        <v/>
      </c>
      <c r="T88" s="2770">
        <f>'2026년 자금실적'!R17</f>
        <v/>
      </c>
      <c r="U88" s="2771">
        <f>'2026년 자금실적'!S17</f>
        <v/>
      </c>
      <c r="V88" s="2767">
        <f>'2026년 자금실적'!T17</f>
        <v/>
      </c>
      <c r="W88" s="2768">
        <f>'2026년 자금실적'!U17</f>
        <v/>
      </c>
      <c r="X88" s="1158">
        <f>'2026년 자금실적'!V17</f>
        <v/>
      </c>
    </row>
    <row r="89" ht="20.1" customHeight="1" thickBot="1">
      <c r="D89" s="2786" t="n"/>
      <c r="E89" s="1139" t="inlineStr">
        <is>
          <t xml:space="preserve"> </t>
        </is>
      </c>
      <c r="F89" s="1144" t="inlineStr">
        <is>
          <t>S/W, H/W 매입</t>
        </is>
      </c>
      <c r="G89" s="2749" t="n"/>
      <c r="H89" s="2789">
        <f>'2026년 자금실적'!F18</f>
        <v/>
      </c>
      <c r="I89" s="2790">
        <f>'2026년 자금실적'!G18</f>
        <v/>
      </c>
      <c r="J89" s="2791">
        <f>'2026년 자금실적'!H18</f>
        <v/>
      </c>
      <c r="K89" s="2792">
        <f>'2026년 자금실적'!I18</f>
        <v/>
      </c>
      <c r="L89" s="2792">
        <f>'2026년 자금실적'!J18</f>
        <v/>
      </c>
      <c r="M89" s="2792">
        <f>'2026년 자금실적'!K18</f>
        <v/>
      </c>
      <c r="N89" s="2792">
        <f>'2026년 자금실적'!L18</f>
        <v/>
      </c>
      <c r="O89" s="2792">
        <f>'2026년 자금실적'!M18</f>
        <v/>
      </c>
      <c r="P89" s="2792">
        <f>'2026년 자금실적'!N18</f>
        <v/>
      </c>
      <c r="Q89" s="2792">
        <f>'2026년 자금실적'!O18</f>
        <v/>
      </c>
      <c r="R89" s="2792">
        <f>'2026년 자금실적'!P18</f>
        <v/>
      </c>
      <c r="S89" s="2792">
        <f>'2026년 자금실적'!Q18</f>
        <v/>
      </c>
      <c r="T89" s="2792">
        <f>'2026년 자금실적'!R18</f>
        <v/>
      </c>
      <c r="U89" s="2793">
        <f>'2026년 자금실적'!S18</f>
        <v/>
      </c>
      <c r="V89" s="2789">
        <f>'2026년 자금실적'!T18</f>
        <v/>
      </c>
      <c r="W89" s="2790">
        <f>'2026년 자금실적'!U18</f>
        <v/>
      </c>
      <c r="X89" s="1159">
        <f>'2026년 자금실적'!V18</f>
        <v/>
      </c>
    </row>
    <row r="90" ht="20.1" customHeight="1" thickBot="1">
      <c r="D90" s="2794" t="n"/>
      <c r="E90" s="1140" t="inlineStr">
        <is>
          <t xml:space="preserve"> </t>
        </is>
      </c>
      <c r="F90" s="1144" t="inlineStr">
        <is>
          <t xml:space="preserve">기타 </t>
        </is>
      </c>
      <c r="G90" s="2749" t="n"/>
      <c r="H90" s="2795">
        <f>'2026년 자금실적'!F19</f>
        <v/>
      </c>
      <c r="I90" s="2796">
        <f>'2026년 자금실적'!G19</f>
        <v/>
      </c>
      <c r="J90" s="2797">
        <f>'2026년 자금실적'!H19</f>
        <v/>
      </c>
      <c r="K90" s="2798">
        <f>'2026년 자금실적'!I19</f>
        <v/>
      </c>
      <c r="L90" s="2798">
        <f>'2026년 자금실적'!J19</f>
        <v/>
      </c>
      <c r="M90" s="2798">
        <f>'2026년 자금실적'!K19</f>
        <v/>
      </c>
      <c r="N90" s="2798">
        <f>'2026년 자금실적'!L19</f>
        <v/>
      </c>
      <c r="O90" s="2798">
        <f>'2026년 자금실적'!M19</f>
        <v/>
      </c>
      <c r="P90" s="2798">
        <f>'2026년 자금실적'!N19</f>
        <v/>
      </c>
      <c r="Q90" s="2798">
        <f>'2026년 자금실적'!O19</f>
        <v/>
      </c>
      <c r="R90" s="2798">
        <f>'2026년 자금실적'!P19</f>
        <v/>
      </c>
      <c r="S90" s="2798">
        <f>'2026년 자금실적'!Q19</f>
        <v/>
      </c>
      <c r="T90" s="2798">
        <f>'2026년 자금실적'!R19</f>
        <v/>
      </c>
      <c r="U90" s="2799">
        <f>'2026년 자금실적'!S19</f>
        <v/>
      </c>
      <c r="V90" s="2795">
        <f>'2026년 자금실적'!T19</f>
        <v/>
      </c>
      <c r="W90" s="2796">
        <f>'2026년 자금실적'!U19</f>
        <v/>
      </c>
      <c r="X90" s="1160" t="n"/>
    </row>
    <row r="91" ht="20.1" customHeight="1" thickBot="1">
      <c r="D91" s="1141" t="inlineStr">
        <is>
          <t xml:space="preserve"> </t>
        </is>
      </c>
      <c r="E91" s="1142" t="inlineStr">
        <is>
          <t xml:space="preserve"> </t>
        </is>
      </c>
      <c r="F91" s="1142" t="inlineStr">
        <is>
          <t xml:space="preserve"> </t>
        </is>
      </c>
      <c r="G91" s="1143" t="inlineStr">
        <is>
          <t>제세공과금</t>
        </is>
      </c>
      <c r="H91" s="2767">
        <f>'2026년 자금실적'!F20</f>
        <v/>
      </c>
      <c r="I91" s="2768">
        <f>'2026년 자금실적'!G20</f>
        <v/>
      </c>
      <c r="J91" s="2800">
        <f>'2026년 자금실적'!H20</f>
        <v/>
      </c>
      <c r="K91" s="2801">
        <f>'2026년 자금실적'!I20</f>
        <v/>
      </c>
      <c r="L91" s="2801">
        <f>'2026년 자금실적'!J20</f>
        <v/>
      </c>
      <c r="M91" s="2801">
        <f>'2026년 자금실적'!K20</f>
        <v/>
      </c>
      <c r="N91" s="2801">
        <f>'2026년 자금실적'!L20</f>
        <v/>
      </c>
      <c r="O91" s="2801">
        <f>'2026년 자금실적'!M20</f>
        <v/>
      </c>
      <c r="P91" s="2801">
        <f>'2026년 자금실적'!N20</f>
        <v/>
      </c>
      <c r="Q91" s="2801">
        <f>'2026년 자금실적'!O20</f>
        <v/>
      </c>
      <c r="R91" s="2801">
        <f>'2026년 자금실적'!P20</f>
        <v/>
      </c>
      <c r="S91" s="2801">
        <f>'2026년 자금실적'!Q20</f>
        <v/>
      </c>
      <c r="T91" s="2801">
        <f>'2026년 자금실적'!R20</f>
        <v/>
      </c>
      <c r="U91" s="2802">
        <f>'2026년 자금실적'!S20</f>
        <v/>
      </c>
      <c r="V91" s="2767">
        <f>'2026년 자금실적'!T20</f>
        <v/>
      </c>
      <c r="W91" s="2768">
        <f>'2026년 자금실적'!U20</f>
        <v/>
      </c>
      <c r="X91" s="1158">
        <f>'2026년 자금실적'!V20</f>
        <v/>
      </c>
    </row>
    <row r="92" ht="20.1" customHeight="1" thickBot="1">
      <c r="D92" s="1141" t="inlineStr">
        <is>
          <t xml:space="preserve"> </t>
        </is>
      </c>
      <c r="E92" s="1142" t="inlineStr">
        <is>
          <t xml:space="preserve"> </t>
        </is>
      </c>
      <c r="F92" s="1142" t="inlineStr">
        <is>
          <t xml:space="preserve"> </t>
        </is>
      </c>
      <c r="G92" s="1144" t="inlineStr">
        <is>
          <t>전산관련지출</t>
        </is>
      </c>
      <c r="H92" s="2789">
        <f>'2026년 자금실적'!F21</f>
        <v/>
      </c>
      <c r="I92" s="2790">
        <f>'2026년 자금실적'!G21</f>
        <v/>
      </c>
      <c r="J92" s="2803">
        <f>'2026년 자금실적'!H21</f>
        <v/>
      </c>
      <c r="K92" s="2804">
        <f>'2026년 자금실적'!I21</f>
        <v/>
      </c>
      <c r="L92" s="2804">
        <f>'2026년 자금실적'!J21</f>
        <v/>
      </c>
      <c r="M92" s="2804">
        <f>'2026년 자금실적'!K21</f>
        <v/>
      </c>
      <c r="N92" s="2804">
        <f>'2026년 자금실적'!L21</f>
        <v/>
      </c>
      <c r="O92" s="2804">
        <f>'2026년 자금실적'!M21</f>
        <v/>
      </c>
      <c r="P92" s="2804">
        <f>'2026년 자금실적'!N21</f>
        <v/>
      </c>
      <c r="Q92" s="2804">
        <f>'2026년 자금실적'!O21</f>
        <v/>
      </c>
      <c r="R92" s="2804">
        <f>'2026년 자금실적'!P21</f>
        <v/>
      </c>
      <c r="S92" s="2804">
        <f>'2026년 자금실적'!Q21</f>
        <v/>
      </c>
      <c r="T92" s="2804">
        <f>'2026년 자금실적'!R21</f>
        <v/>
      </c>
      <c r="U92" s="2805">
        <f>'2026년 자금실적'!S21</f>
        <v/>
      </c>
      <c r="V92" s="2789">
        <f>'2026년 자금실적'!T21</f>
        <v/>
      </c>
      <c r="W92" s="2790">
        <f>'2026년 자금실적'!U21</f>
        <v/>
      </c>
      <c r="X92" s="1159" t="n"/>
    </row>
    <row r="93" ht="20.1" customHeight="1" thickBot="1">
      <c r="D93" s="1141" t="inlineStr">
        <is>
          <t xml:space="preserve"> </t>
        </is>
      </c>
      <c r="E93" s="1142" t="inlineStr">
        <is>
          <t xml:space="preserve"> </t>
        </is>
      </c>
      <c r="F93" s="1142" t="inlineStr">
        <is>
          <t xml:space="preserve"> </t>
        </is>
      </c>
      <c r="G93" s="1144" t="inlineStr">
        <is>
          <t>경영, 운영용역비</t>
        </is>
      </c>
      <c r="H93" s="2789">
        <f>'2026년 자금실적'!F22</f>
        <v/>
      </c>
      <c r="I93" s="2790">
        <f>'2026년 자금실적'!G22</f>
        <v/>
      </c>
      <c r="J93" s="2803">
        <f>'2026년 자금실적'!H22</f>
        <v/>
      </c>
      <c r="K93" s="2804">
        <f>'2026년 자금실적'!I22</f>
        <v/>
      </c>
      <c r="L93" s="2804">
        <f>'2026년 자금실적'!J22</f>
        <v/>
      </c>
      <c r="M93" s="2804">
        <f>'2026년 자금실적'!K22</f>
        <v/>
      </c>
      <c r="N93" s="2804">
        <f>'2026년 자금실적'!L22</f>
        <v/>
      </c>
      <c r="O93" s="2804">
        <f>'2026년 자금실적'!M22</f>
        <v/>
      </c>
      <c r="P93" s="2804">
        <f>'2026년 자금실적'!N22</f>
        <v/>
      </c>
      <c r="Q93" s="2804">
        <f>'2026년 자금실적'!O22</f>
        <v/>
      </c>
      <c r="R93" s="2804">
        <f>'2026년 자금실적'!P22</f>
        <v/>
      </c>
      <c r="S93" s="2804">
        <f>'2026년 자금실적'!Q22</f>
        <v/>
      </c>
      <c r="T93" s="2804">
        <f>'2026년 자금실적'!R22</f>
        <v/>
      </c>
      <c r="U93" s="2805">
        <f>'2026년 자금실적'!S22</f>
        <v/>
      </c>
      <c r="V93" s="2789">
        <f>'2026년 자금실적'!T22</f>
        <v/>
      </c>
      <c r="W93" s="2790">
        <f>'2026년 자금실적'!U22</f>
        <v/>
      </c>
      <c r="X93" s="1159">
        <f>'2026년 자금실적'!V22</f>
        <v/>
      </c>
    </row>
    <row r="94" ht="20.1" customHeight="1" thickBot="1">
      <c r="D94" s="1141" t="inlineStr">
        <is>
          <t xml:space="preserve"> </t>
        </is>
      </c>
      <c r="E94" s="1142" t="inlineStr">
        <is>
          <t xml:space="preserve"> </t>
        </is>
      </c>
      <c r="F94" s="1142" t="inlineStr">
        <is>
          <t xml:space="preserve"> </t>
        </is>
      </c>
      <c r="G94" s="1144" t="inlineStr">
        <is>
          <t>복리후생비</t>
        </is>
      </c>
      <c r="H94" s="2789">
        <f>'2026년 자금실적'!F23</f>
        <v/>
      </c>
      <c r="I94" s="2790">
        <f>'2026년 자금실적'!G23</f>
        <v/>
      </c>
      <c r="J94" s="2803">
        <f>'2026년 자금실적'!H23</f>
        <v/>
      </c>
      <c r="K94" s="2804">
        <f>'2026년 자금실적'!I23</f>
        <v/>
      </c>
      <c r="L94" s="2804">
        <f>'2026년 자금실적'!J23</f>
        <v/>
      </c>
      <c r="M94" s="2804">
        <f>'2026년 자금실적'!K23</f>
        <v/>
      </c>
      <c r="N94" s="2804">
        <f>'2026년 자금실적'!L23</f>
        <v/>
      </c>
      <c r="O94" s="2804">
        <f>'2026년 자금실적'!M23</f>
        <v/>
      </c>
      <c r="P94" s="2804">
        <f>'2026년 자금실적'!N23</f>
        <v/>
      </c>
      <c r="Q94" s="2804">
        <f>'2026년 자금실적'!O23</f>
        <v/>
      </c>
      <c r="R94" s="2804">
        <f>'2026년 자금실적'!P23</f>
        <v/>
      </c>
      <c r="S94" s="2804">
        <f>'2026년 자금실적'!Q23</f>
        <v/>
      </c>
      <c r="T94" s="2804">
        <f>'2026년 자금실적'!R23</f>
        <v/>
      </c>
      <c r="U94" s="2805">
        <f>'2026년 자금실적'!S23</f>
        <v/>
      </c>
      <c r="V94" s="2789">
        <f>'2026년 자금실적'!T23</f>
        <v/>
      </c>
      <c r="W94" s="2790">
        <f>'2026년 자금실적'!U23</f>
        <v/>
      </c>
      <c r="X94" s="1159">
        <f>'2026년 자금실적'!V23</f>
        <v/>
      </c>
    </row>
    <row r="95" ht="20.1" customHeight="1" thickBot="1">
      <c r="D95" s="1141" t="inlineStr">
        <is>
          <t xml:space="preserve"> </t>
        </is>
      </c>
      <c r="E95" s="1142" t="inlineStr">
        <is>
          <t xml:space="preserve"> </t>
        </is>
      </c>
      <c r="F95" s="1142" t="inlineStr">
        <is>
          <t xml:space="preserve"> </t>
        </is>
      </c>
      <c r="G95" s="1144" t="inlineStr">
        <is>
          <t>식당, 카페 등 운영비</t>
        </is>
      </c>
      <c r="H95" s="2789">
        <f>'2026년 자금실적'!F24</f>
        <v/>
      </c>
      <c r="I95" s="2790">
        <f>'2026년 자금실적'!G24</f>
        <v/>
      </c>
      <c r="J95" s="2803">
        <f>'2026년 자금실적'!H24</f>
        <v/>
      </c>
      <c r="K95" s="2804">
        <f>'2026년 자금실적'!I24</f>
        <v/>
      </c>
      <c r="L95" s="2804">
        <f>'2026년 자금실적'!J24</f>
        <v/>
      </c>
      <c r="M95" s="2804">
        <f>'2026년 자금실적'!K24</f>
        <v/>
      </c>
      <c r="N95" s="2804">
        <f>'2026년 자금실적'!L24</f>
        <v/>
      </c>
      <c r="O95" s="2804">
        <f>'2026년 자금실적'!M24</f>
        <v/>
      </c>
      <c r="P95" s="2804">
        <f>'2026년 자금실적'!N24</f>
        <v/>
      </c>
      <c r="Q95" s="2804">
        <f>'2026년 자금실적'!O24</f>
        <v/>
      </c>
      <c r="R95" s="2804">
        <f>'2026년 자금실적'!P24</f>
        <v/>
      </c>
      <c r="S95" s="2804">
        <f>'2026년 자금실적'!Q24</f>
        <v/>
      </c>
      <c r="T95" s="2804">
        <f>'2026년 자금실적'!R24</f>
        <v/>
      </c>
      <c r="U95" s="2805">
        <f>'2026년 자금실적'!S24</f>
        <v/>
      </c>
      <c r="V95" s="2789">
        <f>'2026년 자금실적'!T24</f>
        <v/>
      </c>
      <c r="W95" s="2790">
        <f>'2026년 자금실적'!U24</f>
        <v/>
      </c>
      <c r="X95" s="1159" t="n"/>
    </row>
    <row r="96" ht="20.1" customHeight="1" thickBot="1">
      <c r="D96" s="1141" t="inlineStr">
        <is>
          <t xml:space="preserve"> </t>
        </is>
      </c>
      <c r="E96" s="1142" t="inlineStr">
        <is>
          <t xml:space="preserve"> </t>
        </is>
      </c>
      <c r="F96" s="1142" t="inlineStr">
        <is>
          <t xml:space="preserve"> </t>
        </is>
      </c>
      <c r="G96" s="1144" t="inlineStr">
        <is>
          <t xml:space="preserve">직원비용, 복지포인트 </t>
        </is>
      </c>
      <c r="H96" s="2789">
        <f>'2026년 자금실적'!F25</f>
        <v/>
      </c>
      <c r="I96" s="2790">
        <f>'2026년 자금실적'!G25</f>
        <v/>
      </c>
      <c r="J96" s="2803">
        <f>'2026년 자금실적'!H25</f>
        <v/>
      </c>
      <c r="K96" s="2804">
        <f>'2026년 자금실적'!I25</f>
        <v/>
      </c>
      <c r="L96" s="2804">
        <f>'2026년 자금실적'!J25</f>
        <v/>
      </c>
      <c r="M96" s="2804">
        <f>'2026년 자금실적'!K25</f>
        <v/>
      </c>
      <c r="N96" s="2804">
        <f>'2026년 자금실적'!L25</f>
        <v/>
      </c>
      <c r="O96" s="2804">
        <f>'2026년 자금실적'!M25</f>
        <v/>
      </c>
      <c r="P96" s="2804">
        <f>'2026년 자금실적'!N25</f>
        <v/>
      </c>
      <c r="Q96" s="2804">
        <f>'2026년 자금실적'!O25</f>
        <v/>
      </c>
      <c r="R96" s="2804">
        <f>'2026년 자금실적'!P25</f>
        <v/>
      </c>
      <c r="S96" s="2804">
        <f>'2026년 자금실적'!Q25</f>
        <v/>
      </c>
      <c r="T96" s="2804">
        <f>'2026년 자금실적'!R25</f>
        <v/>
      </c>
      <c r="U96" s="2805">
        <f>'2026년 자금실적'!S25</f>
        <v/>
      </c>
      <c r="V96" s="2789">
        <f>'2026년 자금실적'!T25</f>
        <v/>
      </c>
      <c r="W96" s="2790">
        <f>'2026년 자금실적'!U25</f>
        <v/>
      </c>
      <c r="X96" s="1159" t="n"/>
    </row>
    <row r="97" ht="20.1" customHeight="1" thickBot="1">
      <c r="D97" s="1141" t="inlineStr">
        <is>
          <t xml:space="preserve"> </t>
        </is>
      </c>
      <c r="E97" s="1142" t="inlineStr">
        <is>
          <t xml:space="preserve"> </t>
        </is>
      </c>
      <c r="F97" s="1142" t="inlineStr">
        <is>
          <t xml:space="preserve"> </t>
        </is>
      </c>
      <c r="G97" s="1144" t="inlineStr">
        <is>
          <t>임차료, 관리비</t>
        </is>
      </c>
      <c r="H97" s="2789">
        <f>'2026년 자금실적'!F26</f>
        <v/>
      </c>
      <c r="I97" s="2790">
        <f>'2026년 자금실적'!G26</f>
        <v/>
      </c>
      <c r="J97" s="2803">
        <f>'2026년 자금실적'!H26</f>
        <v/>
      </c>
      <c r="K97" s="2804">
        <f>'2026년 자금실적'!I26</f>
        <v/>
      </c>
      <c r="L97" s="2804">
        <f>'2026년 자금실적'!J26</f>
        <v/>
      </c>
      <c r="M97" s="2804">
        <f>'2026년 자금실적'!K26</f>
        <v/>
      </c>
      <c r="N97" s="2804">
        <f>'2026년 자금실적'!L26</f>
        <v/>
      </c>
      <c r="O97" s="2804">
        <f>'2026년 자금실적'!M26</f>
        <v/>
      </c>
      <c r="P97" s="2804">
        <f>'2026년 자금실적'!N26</f>
        <v/>
      </c>
      <c r="Q97" s="2804">
        <f>'2026년 자금실적'!O26</f>
        <v/>
      </c>
      <c r="R97" s="2804">
        <f>'2026년 자금실적'!P26</f>
        <v/>
      </c>
      <c r="S97" s="2804">
        <f>'2026년 자금실적'!Q26</f>
        <v/>
      </c>
      <c r="T97" s="2804">
        <f>'2026년 자금실적'!R26</f>
        <v/>
      </c>
      <c r="U97" s="2805">
        <f>'2026년 자금실적'!S26</f>
        <v/>
      </c>
      <c r="V97" s="2789">
        <f>'2026년 자금실적'!T26</f>
        <v/>
      </c>
      <c r="W97" s="2790">
        <f>'2026년 자금실적'!U26</f>
        <v/>
      </c>
      <c r="X97" s="1159" t="n"/>
    </row>
    <row r="98" ht="20.1" customHeight="1" thickBot="1">
      <c r="D98" s="1141" t="inlineStr">
        <is>
          <t xml:space="preserve"> </t>
        </is>
      </c>
      <c r="E98" s="1142" t="inlineStr">
        <is>
          <t xml:space="preserve"> </t>
        </is>
      </c>
      <c r="F98" s="1142" t="inlineStr">
        <is>
          <t xml:space="preserve"> </t>
        </is>
      </c>
      <c r="G98" s="1144" t="inlineStr">
        <is>
          <t>지급수수료</t>
        </is>
      </c>
      <c r="H98" s="2789">
        <f>'2026년 자금실적'!F27</f>
        <v/>
      </c>
      <c r="I98" s="2790">
        <f>'2026년 자금실적'!G27</f>
        <v/>
      </c>
      <c r="J98" s="2803">
        <f>'2026년 자금실적'!H27</f>
        <v/>
      </c>
      <c r="K98" s="2804">
        <f>'2026년 자금실적'!I27</f>
        <v/>
      </c>
      <c r="L98" s="2804">
        <f>'2026년 자금실적'!J27</f>
        <v/>
      </c>
      <c r="M98" s="2804">
        <f>'2026년 자금실적'!K27</f>
        <v/>
      </c>
      <c r="N98" s="2804">
        <f>'2026년 자금실적'!L27</f>
        <v/>
      </c>
      <c r="O98" s="2804">
        <f>'2026년 자금실적'!M27</f>
        <v/>
      </c>
      <c r="P98" s="2804">
        <f>'2026년 자금실적'!N27</f>
        <v/>
      </c>
      <c r="Q98" s="2804">
        <f>'2026년 자금실적'!O27</f>
        <v/>
      </c>
      <c r="R98" s="2804">
        <f>'2026년 자금실적'!P27</f>
        <v/>
      </c>
      <c r="S98" s="2804">
        <f>'2026년 자금실적'!Q27</f>
        <v/>
      </c>
      <c r="T98" s="2804">
        <f>'2026년 자금실적'!R27</f>
        <v/>
      </c>
      <c r="U98" s="2805">
        <f>'2026년 자금실적'!S27</f>
        <v/>
      </c>
      <c r="V98" s="2789">
        <f>'2026년 자금실적'!T27</f>
        <v/>
      </c>
      <c r="W98" s="2790">
        <f>'2026년 자금실적'!U27</f>
        <v/>
      </c>
      <c r="X98" s="1159" t="n"/>
    </row>
    <row r="99" ht="20.1" customHeight="1" thickBot="1">
      <c r="D99" s="1141" t="inlineStr">
        <is>
          <t xml:space="preserve"> </t>
        </is>
      </c>
      <c r="E99" s="1145" t="inlineStr">
        <is>
          <t xml:space="preserve"> </t>
        </is>
      </c>
      <c r="F99" s="1145" t="inlineStr">
        <is>
          <t xml:space="preserve"> </t>
        </is>
      </c>
      <c r="G99" s="1146" t="inlineStr">
        <is>
          <t>통신비등</t>
        </is>
      </c>
      <c r="H99" s="2795">
        <f>'2026년 자금실적'!F28</f>
        <v/>
      </c>
      <c r="I99" s="2796">
        <f>'2026년 자금실적'!G28</f>
        <v/>
      </c>
      <c r="J99" s="2806">
        <f>'2026년 자금실적'!H28</f>
        <v/>
      </c>
      <c r="K99" s="2807">
        <f>'2026년 자금실적'!I28</f>
        <v/>
      </c>
      <c r="L99" s="2807">
        <f>'2026년 자금실적'!J28</f>
        <v/>
      </c>
      <c r="M99" s="2807">
        <f>'2026년 자금실적'!K28</f>
        <v/>
      </c>
      <c r="N99" s="2807">
        <f>'2026년 자금실적'!L28</f>
        <v/>
      </c>
      <c r="O99" s="2807">
        <f>'2026년 자금실적'!M28</f>
        <v/>
      </c>
      <c r="P99" s="2807">
        <f>'2026년 자금실적'!N28</f>
        <v/>
      </c>
      <c r="Q99" s="2807">
        <f>'2026년 자금실적'!O28</f>
        <v/>
      </c>
      <c r="R99" s="2807">
        <f>'2026년 자금실적'!P28</f>
        <v/>
      </c>
      <c r="S99" s="2807">
        <f>'2026년 자금실적'!Q28</f>
        <v/>
      </c>
      <c r="T99" s="2807">
        <f>'2026년 자금실적'!R28</f>
        <v/>
      </c>
      <c r="U99" s="2808">
        <f>'2026년 자금실적'!S28</f>
        <v/>
      </c>
      <c r="V99" s="2795">
        <f>'2026년 자금실적'!T28</f>
        <v/>
      </c>
      <c r="W99" s="2796">
        <f>'2026년 자금실적'!U28</f>
        <v/>
      </c>
      <c r="X99" s="1160" t="n"/>
    </row>
    <row r="100" ht="20.1" customHeight="1">
      <c r="D100" s="1147" t="inlineStr">
        <is>
          <t xml:space="preserve"> </t>
        </is>
      </c>
      <c r="E100" s="2809" t="inlineStr">
        <is>
          <t>비경상</t>
        </is>
      </c>
      <c r="F100" s="2810" t="n"/>
      <c r="G100" s="2811" t="n"/>
      <c r="H100" s="1148">
        <f>'2026년 자금실적'!F29</f>
        <v/>
      </c>
      <c r="I100" s="2835">
        <f>'2026년 자금실적'!G29</f>
        <v/>
      </c>
      <c r="J100" s="2836">
        <f>'2026년 자금실적'!H29</f>
        <v/>
      </c>
      <c r="K100" s="2837">
        <f>'2026년 자금실적'!I29</f>
        <v/>
      </c>
      <c r="L100" s="2837">
        <f>'2026년 자금실적'!J29</f>
        <v/>
      </c>
      <c r="M100" s="2837">
        <f>'2026년 자금실적'!K29</f>
        <v/>
      </c>
      <c r="N100" s="2837">
        <f>'2026년 자금실적'!L29</f>
        <v/>
      </c>
      <c r="O100" s="2837">
        <f>'2026년 자금실적'!M29</f>
        <v/>
      </c>
      <c r="P100" s="2837">
        <f>'2026년 자금실적'!N29</f>
        <v/>
      </c>
      <c r="Q100" s="2837">
        <f>'2026년 자금실적'!O29</f>
        <v/>
      </c>
      <c r="R100" s="2837">
        <f>'2026년 자금실적'!P29</f>
        <v/>
      </c>
      <c r="S100" s="2837">
        <f>'2026년 자금실적'!Q29</f>
        <v/>
      </c>
      <c r="T100" s="2837">
        <f>'2026년 자금실적'!R29</f>
        <v/>
      </c>
      <c r="U100" s="2838">
        <f>'2026년 자금실적'!S29</f>
        <v/>
      </c>
      <c r="V100" s="2839">
        <f>'2026년 자금실적'!T29</f>
        <v/>
      </c>
      <c r="W100" s="2840">
        <f>'2026년 자금실적'!U29</f>
        <v/>
      </c>
      <c r="X100" s="1511">
        <f>'2026년 자금실적'!V33</f>
        <v/>
      </c>
    </row>
    <row r="101" ht="20.1" customHeight="1" thickBot="1">
      <c r="D101" s="2756" t="inlineStr">
        <is>
          <t>D. 자금수지차 (=B-C)</t>
        </is>
      </c>
      <c r="E101" s="2757" t="n"/>
      <c r="F101" s="2757" t="n"/>
      <c r="G101" s="2758" t="n"/>
      <c r="H101" s="2812">
        <f>'2026년 자금실적'!F35</f>
        <v/>
      </c>
      <c r="I101" s="2813">
        <f>'2026년 자금실적'!G35</f>
        <v/>
      </c>
      <c r="J101" s="2814">
        <f>'2026년 자금실적'!H35</f>
        <v/>
      </c>
      <c r="K101" s="2815">
        <f>'2026년 자금실적'!I35</f>
        <v/>
      </c>
      <c r="L101" s="2815">
        <f>'2026년 자금실적'!J35</f>
        <v/>
      </c>
      <c r="M101" s="2815">
        <f>'2026년 자금실적'!K35</f>
        <v/>
      </c>
      <c r="N101" s="2815">
        <f>'2026년 자금실적'!L35</f>
        <v/>
      </c>
      <c r="O101" s="2815">
        <f>'2026년 자금실적'!M35</f>
        <v/>
      </c>
      <c r="P101" s="2815">
        <f>'2026년 자금실적'!N35</f>
        <v/>
      </c>
      <c r="Q101" s="2815">
        <f>'2026년 자금실적'!O35</f>
        <v/>
      </c>
      <c r="R101" s="2815">
        <f>'2026년 자금실적'!P35</f>
        <v/>
      </c>
      <c r="S101" s="2815">
        <f>'2026년 자금실적'!Q35</f>
        <v/>
      </c>
      <c r="T101" s="2815">
        <f>'2026년 자금실적'!R35</f>
        <v/>
      </c>
      <c r="U101" s="2816">
        <f>'2026년 자금실적'!S35</f>
        <v/>
      </c>
      <c r="V101" s="2812">
        <f>'2026년 자금실적'!T35</f>
        <v/>
      </c>
      <c r="W101" s="2813">
        <f>'2026년 자금실적'!U35</f>
        <v/>
      </c>
      <c r="X101" s="1162" t="n"/>
    </row>
    <row r="102" ht="20.1" customHeight="1">
      <c r="D102" s="1147" t="inlineStr">
        <is>
          <t xml:space="preserve"> </t>
        </is>
      </c>
      <c r="E102" s="2773" t="inlineStr">
        <is>
          <t xml:space="preserve"> D-1. 경상수지차</t>
        </is>
      </c>
      <c r="F102" s="2774" t="n"/>
      <c r="G102" s="2775" t="n"/>
      <c r="H102" s="2817">
        <f>'2026년 자금실적'!F36</f>
        <v/>
      </c>
      <c r="I102" s="2818">
        <f>'2026년 자금실적'!G36</f>
        <v/>
      </c>
      <c r="J102" s="2819">
        <f>'2026년 자금실적'!H36</f>
        <v/>
      </c>
      <c r="K102" s="2820">
        <f>'2026년 자금실적'!I36</f>
        <v/>
      </c>
      <c r="L102" s="2820">
        <f>'2026년 자금실적'!J36</f>
        <v/>
      </c>
      <c r="M102" s="2820">
        <f>'2026년 자금실적'!K36</f>
        <v/>
      </c>
      <c r="N102" s="2820">
        <f>'2026년 자금실적'!L36</f>
        <v/>
      </c>
      <c r="O102" s="2820">
        <f>'2026년 자금실적'!M36</f>
        <v/>
      </c>
      <c r="P102" s="2820">
        <f>'2026년 자금실적'!N36</f>
        <v/>
      </c>
      <c r="Q102" s="2820">
        <f>'2026년 자금실적'!O36</f>
        <v/>
      </c>
      <c r="R102" s="2820">
        <f>'2026년 자금실적'!P36</f>
        <v/>
      </c>
      <c r="S102" s="2820">
        <f>'2026년 자금실적'!Q36</f>
        <v/>
      </c>
      <c r="T102" s="2820">
        <f>'2026년 자금실적'!R36</f>
        <v/>
      </c>
      <c r="U102" s="2821">
        <f>'2026년 자금실적'!S36</f>
        <v/>
      </c>
      <c r="V102" s="2817">
        <f>'2026년 자금실적'!T36</f>
        <v/>
      </c>
      <c r="W102" s="2818">
        <f>'2026년 자금실적'!U36</f>
        <v/>
      </c>
      <c r="X102" s="1163" t="n"/>
    </row>
    <row r="103" ht="20.1" customHeight="1">
      <c r="D103" s="1745" t="inlineStr">
        <is>
          <t>E. 자금조달(증자)</t>
        </is>
      </c>
      <c r="E103" s="2666" t="n"/>
      <c r="F103" s="2666" t="n"/>
      <c r="G103" s="2704" t="n"/>
      <c r="H103" s="2822">
        <f>'2026년 자금실적'!F37</f>
        <v/>
      </c>
      <c r="I103" s="2823">
        <f>'2026년 자금실적'!G37</f>
        <v/>
      </c>
      <c r="J103" s="2824">
        <f>'2026년 자금실적'!H37</f>
        <v/>
      </c>
      <c r="K103" s="2825">
        <f>'2026년 자금실적'!I37</f>
        <v/>
      </c>
      <c r="L103" s="2825">
        <f>'2026년 자금실적'!J37</f>
        <v/>
      </c>
      <c r="M103" s="2825">
        <f>'2026년 자금실적'!K37</f>
        <v/>
      </c>
      <c r="N103" s="2825">
        <f>'2026년 자금실적'!L37</f>
        <v/>
      </c>
      <c r="O103" s="2825">
        <f>'2026년 자금실적'!M37</f>
        <v/>
      </c>
      <c r="P103" s="2825">
        <f>'2026년 자금실적'!N37</f>
        <v/>
      </c>
      <c r="Q103" s="2825">
        <f>'2026년 자금실적'!O37</f>
        <v/>
      </c>
      <c r="R103" s="2825">
        <f>'2026년 자금실적'!P37</f>
        <v/>
      </c>
      <c r="S103" s="2825">
        <f>'2026년 자금실적'!Q37</f>
        <v/>
      </c>
      <c r="T103" s="2825">
        <f>'2026년 자금실적'!R37</f>
        <v/>
      </c>
      <c r="U103" s="2826">
        <f>'2026년 자금실적'!S37</f>
        <v/>
      </c>
      <c r="V103" s="2827">
        <f>'2026년 자금실적'!T37</f>
        <v/>
      </c>
      <c r="W103" s="2823">
        <f>'2026년 자금실적'!U37</f>
        <v/>
      </c>
      <c r="X103" s="1164" t="n"/>
    </row>
    <row r="104" ht="20.1" customHeight="1">
      <c r="D104" s="2828" t="inlineStr">
        <is>
          <t>F. 기말잔고(=A+D+E)</t>
        </is>
      </c>
      <c r="E104" s="2666" t="n"/>
      <c r="F104" s="2666" t="n"/>
      <c r="G104" s="2704" t="n"/>
      <c r="H104" s="2829">
        <f>'2026년 자금실적'!F41</f>
        <v/>
      </c>
      <c r="I104" s="2830">
        <f>'2026년 자금실적'!G41</f>
        <v/>
      </c>
      <c r="J104" s="2831">
        <f>'2026년 자금실적'!H41</f>
        <v/>
      </c>
      <c r="K104" s="2832">
        <f>'2026년 자금실적'!I41</f>
        <v/>
      </c>
      <c r="L104" s="2832">
        <f>'2026년 자금실적'!J41</f>
        <v/>
      </c>
      <c r="M104" s="2832">
        <f>'2026년 자금실적'!K41</f>
        <v/>
      </c>
      <c r="N104" s="2832">
        <f>'2026년 자금실적'!L41</f>
        <v/>
      </c>
      <c r="O104" s="2832">
        <f>'2026년 자금실적'!M41</f>
        <v/>
      </c>
      <c r="P104" s="2832">
        <f>'2026년 자금실적'!N41</f>
        <v/>
      </c>
      <c r="Q104" s="2832">
        <f>'2026년 자금실적'!O41</f>
        <v/>
      </c>
      <c r="R104" s="2832">
        <f>'2026년 자금실적'!P41</f>
        <v/>
      </c>
      <c r="S104" s="2832">
        <f>'2026년 자금실적'!Q41</f>
        <v/>
      </c>
      <c r="T104" s="2832">
        <f>'2026년 자금실적'!R41</f>
        <v/>
      </c>
      <c r="U104" s="2833">
        <f>'2026년 자금실적'!S41</f>
        <v/>
      </c>
      <c r="V104" s="2829">
        <f>'2026년 자금실적'!T41</f>
        <v/>
      </c>
      <c r="W104" s="2834">
        <f>'2026년 자금실적'!U41</f>
        <v/>
      </c>
      <c r="X104" s="1165" t="n"/>
    </row>
    <row r="105" ht="20.1" customFormat="1" customHeight="1" s="1069" thickBot="1">
      <c r="A105" s="1070" t="n"/>
      <c r="B105" s="1072" t="n">
        <v>6</v>
      </c>
      <c r="C105" s="1073" t="inlineStr">
        <is>
          <t>Table 2</t>
        </is>
      </c>
      <c r="D105" s="1072" t="n">
        <v>38</v>
      </c>
      <c r="E105" s="1072" t="n">
        <v>17</v>
      </c>
    </row>
    <row r="106" ht="20.1" customHeight="1">
      <c r="D106" s="1719" t="inlineStr">
        <is>
          <t>구분</t>
        </is>
      </c>
      <c r="E106" s="2744" t="n"/>
      <c r="F106" s="2744" t="n"/>
      <c r="G106" s="2744" t="n"/>
      <c r="H106" s="2744" t="n"/>
      <c r="I106" s="2744" t="n"/>
      <c r="J106" s="2744" t="n"/>
      <c r="K106" s="2744" t="n"/>
      <c r="L106" s="2696" t="n"/>
      <c r="M106" s="1075">
        <f>'3p'!G4</f>
        <v/>
      </c>
      <c r="N106" s="2666" t="n"/>
      <c r="O106" s="2697" t="n"/>
      <c r="P106" s="1116">
        <f>'3p'!J4</f>
        <v/>
      </c>
      <c r="Q106" s="2698" t="n"/>
      <c r="R106" s="2699" t="n"/>
      <c r="S106" s="1077" t="inlineStr">
        <is>
          <t>b-a</t>
        </is>
      </c>
      <c r="T106" s="1700" t="inlineStr">
        <is>
          <t>비고</t>
        </is>
      </c>
    </row>
    <row r="107" ht="20.1" customHeight="1">
      <c r="D107" s="2701" t="n"/>
      <c r="E107" s="2701" t="n"/>
      <c r="F107" s="2701" t="n"/>
      <c r="G107" s="2701" t="n"/>
      <c r="H107" s="2701" t="n"/>
      <c r="I107" s="2701" t="n"/>
      <c r="J107" s="2701" t="n"/>
      <c r="K107" s="2701" t="n"/>
      <c r="L107" s="2702" t="n"/>
      <c r="M107" s="1105" t="inlineStr">
        <is>
          <t>원화</t>
        </is>
      </c>
      <c r="N107" s="1106" t="inlineStr">
        <is>
          <t>외화($)</t>
        </is>
      </c>
      <c r="O107" s="1166" t="inlineStr">
        <is>
          <t>환산계(a)</t>
        </is>
      </c>
      <c r="P107" s="1108" t="inlineStr">
        <is>
          <t>원화</t>
        </is>
      </c>
      <c r="Q107" s="1106" t="inlineStr">
        <is>
          <t>외화($)</t>
        </is>
      </c>
      <c r="R107" s="1166" t="inlineStr">
        <is>
          <t>환산계(b)</t>
        </is>
      </c>
      <c r="S107" s="2841" t="n"/>
      <c r="T107" s="2842" t="n"/>
    </row>
    <row r="108" ht="20.1" customHeight="1">
      <c r="D108" s="1692" t="inlineStr">
        <is>
          <t>A. 기초유동잔고</t>
        </is>
      </c>
      <c r="E108" s="2666" t="n"/>
      <c r="F108" s="2666" t="n"/>
      <c r="G108" s="2666" t="n"/>
      <c r="H108" s="2666" t="n"/>
      <c r="I108" s="2666" t="n"/>
      <c r="J108" s="2666" t="n"/>
      <c r="K108" s="2666" t="n"/>
      <c r="L108" s="2704" t="n"/>
      <c r="M108" s="2684">
        <f>'3p'!G6</f>
        <v/>
      </c>
      <c r="N108" s="2705">
        <f>'3p'!H6</f>
        <v/>
      </c>
      <c r="O108" s="2647">
        <f>'3p'!I6</f>
        <v/>
      </c>
      <c r="P108" s="2706">
        <f>'3p'!J6</f>
        <v/>
      </c>
      <c r="Q108" s="2705">
        <f>'3p'!K6</f>
        <v/>
      </c>
      <c r="R108" s="2647">
        <f>'3p'!L6</f>
        <v/>
      </c>
      <c r="S108" s="2843">
        <f>'3p'!M6</f>
        <v/>
      </c>
      <c r="T108" s="1339">
        <f>IF(ISBLANK('3p'!N6)=TRUE,"",'3p'!N6)</f>
        <v/>
      </c>
    </row>
    <row r="109" ht="20.1" customHeight="1">
      <c r="D109" s="1694" t="inlineStr">
        <is>
          <t>B. 수지차(=수입-지출)</t>
        </is>
      </c>
      <c r="E109" s="2744" t="n"/>
      <c r="F109" s="2744" t="n"/>
      <c r="G109" s="2744" t="n"/>
      <c r="H109" s="2744" t="n"/>
      <c r="I109" s="2744" t="n"/>
      <c r="J109" s="2744" t="n"/>
      <c r="K109" s="2744" t="n"/>
      <c r="L109" s="2696" t="n"/>
      <c r="M109" s="2672">
        <f>'3p'!G7</f>
        <v/>
      </c>
      <c r="N109" s="2707">
        <f>'3p'!H7</f>
        <v/>
      </c>
      <c r="O109" s="2708">
        <f>'3p'!I7</f>
        <v/>
      </c>
      <c r="P109" s="2709">
        <f>'3p'!J7</f>
        <v/>
      </c>
      <c r="Q109" s="2707">
        <f>'3p'!K7</f>
        <v/>
      </c>
      <c r="R109" s="2708">
        <f>'3p'!L7</f>
        <v/>
      </c>
      <c r="S109" s="2844">
        <f>'3p'!M7</f>
        <v/>
      </c>
      <c r="T109" s="1340">
        <f>IF(ISBLANK('3p'!N7)=TRUE,"",'3p'!N7)</f>
        <v/>
      </c>
    </row>
    <row r="110" ht="20.1" customHeight="1">
      <c r="D110" s="1769" t="inlineStr">
        <is>
          <t xml:space="preserve"> </t>
        </is>
      </c>
      <c r="E110" s="1170" t="inlineStr">
        <is>
          <t>수입</t>
        </is>
      </c>
      <c r="F110" s="2845" t="n"/>
      <c r="G110" s="2845" t="n"/>
      <c r="H110" s="2845" t="n"/>
      <c r="I110" s="2845" t="n"/>
      <c r="J110" s="2845" t="n"/>
      <c r="K110" s="2845" t="n"/>
      <c r="L110" s="2846" t="n"/>
      <c r="M110" s="2847">
        <f>'3p'!G8</f>
        <v/>
      </c>
      <c r="N110" s="2848">
        <f>'3p'!H8</f>
        <v/>
      </c>
      <c r="O110" s="2849">
        <f>'3p'!I8</f>
        <v/>
      </c>
      <c r="P110" s="2850">
        <f>'3p'!J8</f>
        <v/>
      </c>
      <c r="Q110" s="2848">
        <f>'3p'!K8</f>
        <v/>
      </c>
      <c r="R110" s="2849">
        <f>'3p'!L8</f>
        <v/>
      </c>
      <c r="S110" s="2851">
        <f>'3p'!M8</f>
        <v/>
      </c>
      <c r="T110" s="1341" t="n"/>
    </row>
    <row r="111" ht="20.1" customHeight="1">
      <c r="D111" s="1769" t="inlineStr">
        <is>
          <t xml:space="preserve"> </t>
        </is>
      </c>
      <c r="E111" s="1168" t="inlineStr">
        <is>
          <t xml:space="preserve"> </t>
        </is>
      </c>
      <c r="G111" s="2852" t="n"/>
      <c r="H111" s="1170" t="inlineStr">
        <is>
          <t>매출</t>
        </is>
      </c>
      <c r="I111" s="2845" t="n"/>
      <c r="J111" s="2845" t="n"/>
      <c r="K111" s="2845" t="n"/>
      <c r="L111" s="2846" t="n"/>
      <c r="M111" s="2853">
        <f>'3p'!G9</f>
        <v/>
      </c>
      <c r="N111" s="2854">
        <f>'3p'!H9</f>
        <v/>
      </c>
      <c r="O111" s="2855">
        <f>'3p'!I9</f>
        <v/>
      </c>
      <c r="P111" s="2856">
        <f>'3p'!J9</f>
        <v/>
      </c>
      <c r="Q111" s="2854">
        <f>'3p'!K9</f>
        <v/>
      </c>
      <c r="R111" s="2855">
        <f>'3p'!L9</f>
        <v/>
      </c>
      <c r="S111" s="2857">
        <f>'3p'!M9</f>
        <v/>
      </c>
      <c r="T111" s="1342">
        <f>IF(ISBLANK('3p'!N9)=TRUE,"",'3p'!N9)</f>
        <v/>
      </c>
    </row>
    <row r="112" ht="20.1" customHeight="1">
      <c r="D112" s="1769" t="inlineStr">
        <is>
          <t xml:space="preserve"> </t>
        </is>
      </c>
      <c r="E112" s="1168" t="inlineStr">
        <is>
          <t xml:space="preserve"> </t>
        </is>
      </c>
      <c r="G112" s="2852" t="n"/>
      <c r="H112" s="1171" t="inlineStr">
        <is>
          <t>세금환급</t>
        </is>
      </c>
      <c r="L112" s="2749" t="n"/>
      <c r="M112" s="2858">
        <f>'3p'!G10</f>
        <v/>
      </c>
      <c r="N112" s="2859">
        <f>'3p'!H10</f>
        <v/>
      </c>
      <c r="O112" s="2860">
        <f>'3p'!I10</f>
        <v/>
      </c>
      <c r="P112" s="2861">
        <f>'3p'!J10</f>
        <v/>
      </c>
      <c r="Q112" s="2859">
        <f>'3p'!K10</f>
        <v/>
      </c>
      <c r="R112" s="2860">
        <f>'3p'!L10</f>
        <v/>
      </c>
      <c r="S112" s="2862">
        <f>'3p'!M10</f>
        <v/>
      </c>
      <c r="T112" s="1173">
        <f>IF(ISBLANK('3p'!N10)=TRUE,"",'3p'!N10)</f>
        <v/>
      </c>
    </row>
    <row r="113" ht="20.1" customHeight="1">
      <c r="D113" s="1769" t="inlineStr">
        <is>
          <t xml:space="preserve"> </t>
        </is>
      </c>
      <c r="E113" s="1168" t="inlineStr">
        <is>
          <t xml:space="preserve"> </t>
        </is>
      </c>
      <c r="G113" s="2852" t="n"/>
      <c r="H113" s="1171" t="inlineStr">
        <is>
          <t>이자수익</t>
        </is>
      </c>
      <c r="L113" s="2749" t="n"/>
      <c r="M113" s="2858">
        <f>'3p'!G11</f>
        <v/>
      </c>
      <c r="N113" s="2859">
        <f>'3p'!H11</f>
        <v/>
      </c>
      <c r="O113" s="2860">
        <f>'3p'!I11</f>
        <v/>
      </c>
      <c r="P113" s="2861">
        <f>'3p'!J11</f>
        <v/>
      </c>
      <c r="Q113" s="2859">
        <f>'3p'!K11</f>
        <v/>
      </c>
      <c r="R113" s="2860">
        <f>'3p'!L11</f>
        <v/>
      </c>
      <c r="S113" s="2862">
        <f>'3p'!M11</f>
        <v/>
      </c>
      <c r="T113" s="1173">
        <f>IF(ISBLANK('3p'!N11)=TRUE,"",'3p'!N11)</f>
        <v/>
      </c>
    </row>
    <row r="114" ht="20.1" customHeight="1">
      <c r="D114" s="1769" t="inlineStr">
        <is>
          <t xml:space="preserve"> </t>
        </is>
      </c>
      <c r="E114" s="1169" t="inlineStr">
        <is>
          <t xml:space="preserve"> </t>
        </is>
      </c>
      <c r="F114" s="2863" t="n"/>
      <c r="G114" s="2864" t="n"/>
      <c r="H114" s="2865" t="inlineStr">
        <is>
          <t>기타</t>
        </is>
      </c>
      <c r="I114" s="2863" t="n"/>
      <c r="J114" s="2863" t="n"/>
      <c r="K114" s="2863" t="n"/>
      <c r="L114" s="2866" t="n"/>
      <c r="M114" s="2867">
        <f>'3p'!G12</f>
        <v/>
      </c>
      <c r="N114" s="2868">
        <f>'3p'!H12</f>
        <v/>
      </c>
      <c r="O114" s="2730">
        <f>'3p'!I12</f>
        <v/>
      </c>
      <c r="P114" s="2869">
        <f>'3p'!J12</f>
        <v/>
      </c>
      <c r="Q114" s="2868">
        <f>'3p'!K12</f>
        <v/>
      </c>
      <c r="R114" s="2730">
        <f>'3p'!L12</f>
        <v/>
      </c>
      <c r="S114" s="2870">
        <f>'3p'!M12</f>
        <v/>
      </c>
      <c r="T114" s="1343">
        <f>IF(ISBLANK('3p'!N12)=TRUE,"",'3p'!N12)</f>
        <v/>
      </c>
    </row>
    <row r="115" ht="20.1" customHeight="1">
      <c r="D115" s="1769" t="inlineStr">
        <is>
          <t xml:space="preserve"> </t>
        </is>
      </c>
      <c r="E115" s="1170" t="inlineStr">
        <is>
          <t>지출</t>
        </is>
      </c>
      <c r="F115" s="2845" t="n"/>
      <c r="G115" s="2845" t="n"/>
      <c r="H115" s="2845" t="n"/>
      <c r="I115" s="2845" t="n"/>
      <c r="J115" s="2845" t="n"/>
      <c r="K115" s="2845" t="n"/>
      <c r="L115" s="2846" t="n"/>
      <c r="M115" s="2847">
        <f>'3p'!G13</f>
        <v/>
      </c>
      <c r="N115" s="2848">
        <f>'3p'!H13</f>
        <v/>
      </c>
      <c r="O115" s="2849">
        <f>'3p'!I13</f>
        <v/>
      </c>
      <c r="P115" s="2850">
        <f>'3p'!J13</f>
        <v/>
      </c>
      <c r="Q115" s="2848">
        <f>'3p'!K13</f>
        <v/>
      </c>
      <c r="R115" s="2849">
        <f>'3p'!L13</f>
        <v/>
      </c>
      <c r="S115" s="2851">
        <f>'3p'!M13</f>
        <v/>
      </c>
      <c r="T115" s="1341">
        <f>IF(ISBLANK('3p'!N13)=TRUE,"",'3p'!N13)</f>
        <v/>
      </c>
    </row>
    <row r="116" ht="20.1" customHeight="1">
      <c r="D116" s="1769" t="inlineStr">
        <is>
          <t xml:space="preserve"> </t>
        </is>
      </c>
      <c r="E116" s="1168" t="inlineStr">
        <is>
          <t xml:space="preserve"> </t>
        </is>
      </c>
      <c r="H116" s="2852" t="n"/>
      <c r="I116" s="1170" t="inlineStr">
        <is>
          <t>인건비</t>
        </is>
      </c>
      <c r="J116" s="2845" t="n"/>
      <c r="K116" s="2845" t="n"/>
      <c r="L116" s="2846" t="n"/>
      <c r="M116" s="2847">
        <f>'3p'!G14</f>
        <v/>
      </c>
      <c r="N116" s="2848">
        <f>'3p'!H14</f>
        <v/>
      </c>
      <c r="O116" s="2849">
        <f>'3p'!I14</f>
        <v/>
      </c>
      <c r="P116" s="2850">
        <f>'3p'!J14</f>
        <v/>
      </c>
      <c r="Q116" s="2848">
        <f>'3p'!K14</f>
        <v/>
      </c>
      <c r="R116" s="2849">
        <f>'3p'!L14</f>
        <v/>
      </c>
      <c r="S116" s="2851">
        <f>'3p'!M14</f>
        <v/>
      </c>
      <c r="T116" s="1341">
        <f>IF(ISBLANK('3p'!N14)=TRUE,"",'3p'!N14)</f>
        <v/>
      </c>
    </row>
    <row r="117" ht="20.1" customHeight="1">
      <c r="D117" s="1769" t="inlineStr">
        <is>
          <t xml:space="preserve"> </t>
        </is>
      </c>
      <c r="E117" s="1168" t="inlineStr">
        <is>
          <t xml:space="preserve"> </t>
        </is>
      </c>
      <c r="H117" s="2852" t="n"/>
      <c r="I117" s="1168" t="inlineStr">
        <is>
          <t xml:space="preserve"> </t>
        </is>
      </c>
      <c r="J117" s="2871" t="inlineStr">
        <is>
          <t>급여</t>
        </is>
      </c>
      <c r="K117" s="2845" t="n"/>
      <c r="L117" s="2872" t="n"/>
      <c r="M117" s="2873">
        <f>'3p'!G15</f>
        <v/>
      </c>
      <c r="N117" s="2854">
        <f>'3p'!H15</f>
        <v/>
      </c>
      <c r="O117" s="2855">
        <f>'3p'!I15</f>
        <v/>
      </c>
      <c r="P117" s="2856">
        <f>'3p'!J15</f>
        <v/>
      </c>
      <c r="Q117" s="2854">
        <f>'3p'!K15</f>
        <v/>
      </c>
      <c r="R117" s="2855">
        <f>'3p'!L15</f>
        <v/>
      </c>
      <c r="S117" s="2857">
        <f>'3p'!M15</f>
        <v/>
      </c>
      <c r="T117" s="1342">
        <f>IF(ISBLANK('3p'!N15)=TRUE,"",'3p'!N15)</f>
        <v/>
      </c>
    </row>
    <row r="118" ht="20.1" customHeight="1">
      <c r="D118" s="1769" t="inlineStr">
        <is>
          <t xml:space="preserve"> </t>
        </is>
      </c>
      <c r="E118" s="1168" t="inlineStr">
        <is>
          <t xml:space="preserve"> </t>
        </is>
      </c>
      <c r="H118" s="2852" t="n"/>
      <c r="I118" s="1168" t="inlineStr">
        <is>
          <t xml:space="preserve"> </t>
        </is>
      </c>
      <c r="J118" s="1171" t="inlineStr">
        <is>
          <t>상여</t>
        </is>
      </c>
      <c r="L118" s="2749" t="n"/>
      <c r="M118" s="2858">
        <f>'3p'!G16</f>
        <v/>
      </c>
      <c r="N118" s="2859">
        <f>'3p'!H16</f>
        <v/>
      </c>
      <c r="O118" s="2860">
        <f>'3p'!I16</f>
        <v/>
      </c>
      <c r="P118" s="2861">
        <f>'3p'!J16</f>
        <v/>
      </c>
      <c r="Q118" s="2859">
        <f>'3p'!K16</f>
        <v/>
      </c>
      <c r="R118" s="2860">
        <f>'3p'!L16</f>
        <v/>
      </c>
      <c r="S118" s="2862">
        <f>'3p'!M16</f>
        <v/>
      </c>
      <c r="T118" s="1344">
        <f>IF(ISBLANK('3p'!N16)=TRUE,"",'3p'!N16)</f>
        <v/>
      </c>
    </row>
    <row r="119" ht="20.1" customHeight="1">
      <c r="D119" s="1769" t="inlineStr">
        <is>
          <t xml:space="preserve"> </t>
        </is>
      </c>
      <c r="E119" s="1168" t="inlineStr">
        <is>
          <t xml:space="preserve"> </t>
        </is>
      </c>
      <c r="H119" s="2852" t="n"/>
      <c r="I119" s="1168" t="inlineStr">
        <is>
          <t xml:space="preserve"> </t>
        </is>
      </c>
      <c r="J119" s="1171" t="inlineStr">
        <is>
          <t>퇴직연금</t>
        </is>
      </c>
      <c r="L119" s="2749" t="n"/>
      <c r="M119" s="2858">
        <f>'3p'!G17</f>
        <v/>
      </c>
      <c r="N119" s="2859">
        <f>'3p'!H17</f>
        <v/>
      </c>
      <c r="O119" s="2860">
        <f>'3p'!I17</f>
        <v/>
      </c>
      <c r="P119" s="2861">
        <f>'3p'!J17</f>
        <v/>
      </c>
      <c r="Q119" s="2859">
        <f>'3p'!K17</f>
        <v/>
      </c>
      <c r="R119" s="2860">
        <f>'3p'!L17</f>
        <v/>
      </c>
      <c r="S119" s="2862">
        <f>'3p'!M17</f>
        <v/>
      </c>
      <c r="T119" s="1344">
        <f>IF(ISBLANK('3p'!N17)=TRUE,"",'3p'!N17)</f>
        <v/>
      </c>
    </row>
    <row r="120" ht="20.1" customHeight="1">
      <c r="D120" s="1769" t="inlineStr">
        <is>
          <t xml:space="preserve"> </t>
        </is>
      </c>
      <c r="E120" s="1168" t="inlineStr">
        <is>
          <t xml:space="preserve"> </t>
        </is>
      </c>
      <c r="H120" s="2852" t="n"/>
      <c r="I120" s="1169" t="inlineStr">
        <is>
          <t xml:space="preserve"> </t>
        </is>
      </c>
      <c r="J120" s="1121" t="inlineStr">
        <is>
          <t>4대보험료</t>
        </is>
      </c>
      <c r="K120" s="2863" t="n"/>
      <c r="L120" s="2751" t="n"/>
      <c r="M120" s="2874">
        <f>'3p'!G18</f>
        <v/>
      </c>
      <c r="N120" s="2868">
        <f>'3p'!H18</f>
        <v/>
      </c>
      <c r="O120" s="2730">
        <f>'3p'!I18</f>
        <v/>
      </c>
      <c r="P120" s="2869">
        <f>'3p'!J18</f>
        <v/>
      </c>
      <c r="Q120" s="2868">
        <f>'3p'!K18</f>
        <v/>
      </c>
      <c r="R120" s="2730">
        <f>'3p'!L18</f>
        <v/>
      </c>
      <c r="S120" s="2870">
        <f>'3p'!M18</f>
        <v/>
      </c>
      <c r="T120" s="1343">
        <f>IF(ISBLANK('3p'!N18)=TRUE,"",'3p'!N18)</f>
        <v/>
      </c>
    </row>
    <row r="121" ht="20.1" customHeight="1">
      <c r="D121" s="1769" t="inlineStr">
        <is>
          <t xml:space="preserve"> </t>
        </is>
      </c>
      <c r="E121" s="1168" t="inlineStr">
        <is>
          <t xml:space="preserve"> </t>
        </is>
      </c>
      <c r="H121" s="2852" t="n"/>
      <c r="I121" s="2875" t="inlineStr">
        <is>
          <t>마케팅비</t>
        </is>
      </c>
      <c r="J121" s="2876" t="n"/>
      <c r="K121" s="2876" t="n"/>
      <c r="L121" s="2877" t="n"/>
      <c r="M121" s="2847">
        <f>'3p'!G19</f>
        <v/>
      </c>
      <c r="N121" s="2848">
        <f>'3p'!H19</f>
        <v/>
      </c>
      <c r="O121" s="2849">
        <f>'3p'!I19</f>
        <v/>
      </c>
      <c r="P121" s="2850">
        <f>'3p'!J19</f>
        <v/>
      </c>
      <c r="Q121" s="2848">
        <f>'3p'!K19</f>
        <v/>
      </c>
      <c r="R121" s="2849">
        <f>'3p'!L19</f>
        <v/>
      </c>
      <c r="S121" s="2851">
        <f>'3p'!M19</f>
        <v/>
      </c>
      <c r="T121" s="1341">
        <f>IF(ISBLANK('3p'!N19)=TRUE,"",'3p'!N19)</f>
        <v/>
      </c>
    </row>
    <row r="122" ht="20.1" customHeight="1">
      <c r="D122" s="1769" t="inlineStr">
        <is>
          <t xml:space="preserve"> </t>
        </is>
      </c>
      <c r="E122" s="1168" t="inlineStr">
        <is>
          <t xml:space="preserve"> </t>
        </is>
      </c>
      <c r="H122" s="2852" t="n"/>
      <c r="I122" s="1170" t="inlineStr">
        <is>
          <t>제세공과금</t>
        </is>
      </c>
      <c r="J122" s="2845" t="n"/>
      <c r="K122" s="2845" t="n"/>
      <c r="L122" s="2846" t="n"/>
      <c r="M122" s="2847">
        <f>'3p'!G20</f>
        <v/>
      </c>
      <c r="N122" s="2848">
        <f>'3p'!H20</f>
        <v/>
      </c>
      <c r="O122" s="2849">
        <f>'3p'!I20</f>
        <v/>
      </c>
      <c r="P122" s="2850">
        <f>'3p'!J20</f>
        <v/>
      </c>
      <c r="Q122" s="2848">
        <f>'3p'!K20</f>
        <v/>
      </c>
      <c r="R122" s="2849">
        <f>'3p'!L20</f>
        <v/>
      </c>
      <c r="S122" s="2851">
        <f>'3p'!M20</f>
        <v/>
      </c>
      <c r="T122" s="1341">
        <f>IF(ISBLANK('3p'!N20)=TRUE,"",'3p'!N20)</f>
        <v/>
      </c>
    </row>
    <row r="123" ht="20.1" customHeight="1">
      <c r="D123" s="1769" t="inlineStr">
        <is>
          <t xml:space="preserve"> </t>
        </is>
      </c>
      <c r="E123" s="1168" t="inlineStr">
        <is>
          <t xml:space="preserve"> </t>
        </is>
      </c>
      <c r="H123" s="2852" t="n"/>
      <c r="I123" s="1168" t="inlineStr">
        <is>
          <t xml:space="preserve"> </t>
        </is>
      </c>
      <c r="K123" s="2852" t="n"/>
      <c r="L123" s="1170" t="inlineStr">
        <is>
          <t>법인세</t>
        </is>
      </c>
      <c r="M123" s="2853">
        <f>'3p'!G21</f>
        <v/>
      </c>
      <c r="N123" s="2854">
        <f>'3p'!H21</f>
        <v/>
      </c>
      <c r="O123" s="2855">
        <f>'3p'!I21</f>
        <v/>
      </c>
      <c r="P123" s="2856">
        <f>'3p'!J21</f>
        <v/>
      </c>
      <c r="Q123" s="2854">
        <f>'3p'!K21</f>
        <v/>
      </c>
      <c r="R123" s="2855">
        <f>'3p'!L21</f>
        <v/>
      </c>
      <c r="S123" s="2857">
        <f>'3p'!M21</f>
        <v/>
      </c>
      <c r="T123" s="1342">
        <f>IF(ISBLANK('3p'!N21)=TRUE,"",'3p'!N21)</f>
        <v/>
      </c>
    </row>
    <row r="124" ht="20.1" customHeight="1">
      <c r="D124" s="1769" t="inlineStr">
        <is>
          <t xml:space="preserve"> </t>
        </is>
      </c>
      <c r="E124" s="1168" t="inlineStr">
        <is>
          <t xml:space="preserve"> </t>
        </is>
      </c>
      <c r="H124" s="2852" t="n"/>
      <c r="I124" s="1168" t="inlineStr">
        <is>
          <t xml:space="preserve"> </t>
        </is>
      </c>
      <c r="K124" s="2852" t="n"/>
      <c r="L124" s="1171" t="inlineStr">
        <is>
          <t>부가가치세</t>
        </is>
      </c>
      <c r="M124" s="2858">
        <f>'3p'!G22</f>
        <v/>
      </c>
      <c r="N124" s="2859">
        <f>'3p'!H22</f>
        <v/>
      </c>
      <c r="O124" s="2860">
        <f>'3p'!I22</f>
        <v/>
      </c>
      <c r="P124" s="2861">
        <f>'3p'!J22</f>
        <v/>
      </c>
      <c r="Q124" s="2859">
        <f>'3p'!K22</f>
        <v/>
      </c>
      <c r="R124" s="2860">
        <f>'3p'!L22</f>
        <v/>
      </c>
      <c r="S124" s="2862">
        <f>'3p'!M22</f>
        <v/>
      </c>
      <c r="T124" s="1344">
        <f>IF(ISBLANK('3p'!N22)=TRUE,"",'3p'!N22)</f>
        <v/>
      </c>
    </row>
    <row r="125" ht="20.1" customHeight="1">
      <c r="D125" s="1769" t="inlineStr">
        <is>
          <t xml:space="preserve"> </t>
        </is>
      </c>
      <c r="E125" s="1168" t="inlineStr">
        <is>
          <t xml:space="preserve"> </t>
        </is>
      </c>
      <c r="H125" s="2852" t="n"/>
      <c r="I125" s="1168" t="inlineStr">
        <is>
          <t xml:space="preserve"> </t>
        </is>
      </c>
      <c r="K125" s="2852" t="n"/>
      <c r="L125" s="1171" t="inlineStr">
        <is>
          <t>원천세</t>
        </is>
      </c>
      <c r="M125" s="2858">
        <f>'3p'!G23</f>
        <v/>
      </c>
      <c r="N125" s="2859">
        <f>'3p'!H23</f>
        <v/>
      </c>
      <c r="O125" s="2860">
        <f>'3p'!I23</f>
        <v/>
      </c>
      <c r="P125" s="2861">
        <f>'3p'!J23</f>
        <v/>
      </c>
      <c r="Q125" s="2859">
        <f>'3p'!K23</f>
        <v/>
      </c>
      <c r="R125" s="2860">
        <f>'3p'!L23</f>
        <v/>
      </c>
      <c r="S125" s="2862">
        <f>'3p'!M23</f>
        <v/>
      </c>
      <c r="T125" s="1344">
        <f>IF(ISBLANK('3p'!N23)=TRUE,"",'3p'!N23)</f>
        <v/>
      </c>
    </row>
    <row r="126" ht="20.1" customHeight="1">
      <c r="D126" s="1769" t="inlineStr">
        <is>
          <t xml:space="preserve"> </t>
        </is>
      </c>
      <c r="E126" s="1168" t="inlineStr">
        <is>
          <t xml:space="preserve"> </t>
        </is>
      </c>
      <c r="H126" s="2852" t="n"/>
      <c r="I126" s="1168" t="inlineStr">
        <is>
          <t xml:space="preserve"> </t>
        </is>
      </c>
      <c r="K126" s="2852" t="n"/>
      <c r="L126" s="1121" t="inlineStr">
        <is>
          <t>기타제세공과금</t>
        </is>
      </c>
      <c r="M126" s="2874">
        <f>'3p'!G24</f>
        <v/>
      </c>
      <c r="N126" s="2868">
        <f>'3p'!H24</f>
        <v/>
      </c>
      <c r="O126" s="2730">
        <f>'3p'!I24</f>
        <v/>
      </c>
      <c r="P126" s="2869">
        <f>'3p'!J24</f>
        <v/>
      </c>
      <c r="Q126" s="2868">
        <f>'3p'!K24</f>
        <v/>
      </c>
      <c r="R126" s="2730">
        <f>'3p'!L24</f>
        <v/>
      </c>
      <c r="S126" s="2870">
        <f>'3p'!M24</f>
        <v/>
      </c>
      <c r="T126" s="1343">
        <f>IF(ISBLANK('3p'!N24)=TRUE,"",'3p'!N24)</f>
        <v/>
      </c>
    </row>
    <row r="127" ht="20.1" customHeight="1">
      <c r="D127" s="1769" t="inlineStr">
        <is>
          <t xml:space="preserve"> </t>
        </is>
      </c>
      <c r="E127" s="1168" t="inlineStr">
        <is>
          <t xml:space="preserve"> </t>
        </is>
      </c>
      <c r="H127" s="2852" t="n"/>
      <c r="I127" s="1121" t="inlineStr">
        <is>
          <t>자산매입</t>
        </is>
      </c>
      <c r="J127" s="2863" t="n"/>
      <c r="K127" s="2863" t="n"/>
      <c r="L127" s="2751" t="n"/>
      <c r="M127" s="2847">
        <f>'3p'!G26</f>
        <v/>
      </c>
      <c r="N127" s="2848">
        <f>'3p'!H26</f>
        <v/>
      </c>
      <c r="O127" s="2849">
        <f>'3p'!I26</f>
        <v/>
      </c>
      <c r="P127" s="2850">
        <f>'3p'!J26</f>
        <v/>
      </c>
      <c r="Q127" s="2848">
        <f>'3p'!K26</f>
        <v/>
      </c>
      <c r="R127" s="2849">
        <f>'3p'!L26</f>
        <v/>
      </c>
      <c r="S127" s="2851">
        <f>'3p'!M26</f>
        <v/>
      </c>
      <c r="T127" s="1341">
        <f>IF(ISBLANK('3p'!N25)=TRUE,"",'3p'!N25)</f>
        <v/>
      </c>
    </row>
    <row r="128" ht="20.1" customHeight="1">
      <c r="D128" s="1769" t="n"/>
      <c r="E128" s="1767" t="n"/>
      <c r="F128" s="1768" t="n"/>
      <c r="G128" s="1768" t="n"/>
      <c r="H128" s="1769" t="n"/>
      <c r="I128" s="1121" t="inlineStr">
        <is>
          <t>투자금</t>
        </is>
      </c>
      <c r="J128" s="2863" t="n"/>
      <c r="K128" s="2863" t="n"/>
      <c r="L128" s="2751" t="n"/>
      <c r="M128" s="2847">
        <f>'3p'!G27</f>
        <v/>
      </c>
      <c r="N128" s="2848">
        <f>'3p'!H27</f>
        <v/>
      </c>
      <c r="O128" s="2849">
        <f>'3p'!I27</f>
        <v/>
      </c>
      <c r="P128" s="2850">
        <f>'3p'!J27</f>
        <v/>
      </c>
      <c r="Q128" s="2848">
        <f>'3p'!K27</f>
        <v/>
      </c>
      <c r="R128" s="2849">
        <f>'3p'!L27</f>
        <v/>
      </c>
      <c r="S128" s="2851">
        <f>'3p'!M27</f>
        <v/>
      </c>
      <c r="T128" s="1341">
        <f>IF(ISBLANK('3p'!N27)=TRUE,"",'3p'!N27)</f>
        <v/>
      </c>
    </row>
    <row r="129" ht="20.1" customHeight="1">
      <c r="D129" s="1769" t="inlineStr">
        <is>
          <t xml:space="preserve"> </t>
        </is>
      </c>
      <c r="E129" s="1168" t="inlineStr">
        <is>
          <t xml:space="preserve"> </t>
        </is>
      </c>
      <c r="H129" s="2852" t="n"/>
      <c r="I129" s="1170" t="inlineStr">
        <is>
          <t>기타</t>
        </is>
      </c>
      <c r="J129" s="2845" t="n"/>
      <c r="K129" s="2845" t="n"/>
      <c r="L129" s="2846" t="n"/>
      <c r="M129" s="2847">
        <f>'3p'!G28</f>
        <v/>
      </c>
      <c r="N129" s="2848">
        <f>'3p'!H28</f>
        <v/>
      </c>
      <c r="O129" s="2849">
        <f>'3p'!I28</f>
        <v/>
      </c>
      <c r="P129" s="2850">
        <f>'3p'!J28</f>
        <v/>
      </c>
      <c r="Q129" s="2848">
        <f>'3p'!K28</f>
        <v/>
      </c>
      <c r="R129" s="2849">
        <f>'3p'!L28</f>
        <v/>
      </c>
      <c r="S129" s="2851">
        <f>'3p'!M28</f>
        <v/>
      </c>
      <c r="T129" s="1341">
        <f>IF(ISBLANK('3p'!N26)=TRUE,"",'3p'!N26)</f>
        <v/>
      </c>
    </row>
    <row r="130" ht="20.1" customHeight="1">
      <c r="D130" s="1769" t="inlineStr">
        <is>
          <t xml:space="preserve"> </t>
        </is>
      </c>
      <c r="E130" s="1168" t="inlineStr">
        <is>
          <t xml:space="preserve"> </t>
        </is>
      </c>
      <c r="H130" s="2852" t="n"/>
      <c r="I130" s="1168" t="inlineStr">
        <is>
          <t xml:space="preserve"> </t>
        </is>
      </c>
      <c r="J130" s="2852" t="n"/>
      <c r="K130" s="1170" t="inlineStr">
        <is>
          <t>전산관련지출</t>
        </is>
      </c>
      <c r="L130" s="2846" t="n"/>
      <c r="M130" s="2853">
        <f>'3p'!G29</f>
        <v/>
      </c>
      <c r="N130" s="2854">
        <f>'3p'!H29</f>
        <v/>
      </c>
      <c r="O130" s="2855">
        <f>'3p'!I29</f>
        <v/>
      </c>
      <c r="P130" s="2856">
        <f>'3p'!J29</f>
        <v/>
      </c>
      <c r="Q130" s="2854">
        <f>'3p'!K29</f>
        <v/>
      </c>
      <c r="R130" s="2855">
        <f>'3p'!L29</f>
        <v/>
      </c>
      <c r="S130" s="2857">
        <f>'3p'!M29</f>
        <v/>
      </c>
      <c r="T130" s="1342">
        <f>IF(ISBLANK('3p'!N28)=TRUE,"",'3p'!N28)</f>
        <v/>
      </c>
    </row>
    <row r="131" ht="20.1" customHeight="1">
      <c r="D131" s="1769" t="inlineStr">
        <is>
          <t xml:space="preserve"> </t>
        </is>
      </c>
      <c r="E131" s="1168" t="inlineStr">
        <is>
          <t xml:space="preserve"> </t>
        </is>
      </c>
      <c r="H131" s="2852" t="n"/>
      <c r="I131" s="1168" t="inlineStr">
        <is>
          <t xml:space="preserve"> </t>
        </is>
      </c>
      <c r="J131" s="2852" t="n"/>
      <c r="K131" s="1171" t="inlineStr">
        <is>
          <t>경영, 운영용역비</t>
        </is>
      </c>
      <c r="L131" s="2749" t="n"/>
      <c r="M131" s="2858">
        <f>'3p'!G31</f>
        <v/>
      </c>
      <c r="N131" s="2859">
        <f>'3p'!H31</f>
        <v/>
      </c>
      <c r="O131" s="2860">
        <f>'3p'!I31</f>
        <v/>
      </c>
      <c r="P131" s="2861">
        <f>'3p'!J31</f>
        <v/>
      </c>
      <c r="Q131" s="2859">
        <f>'3p'!K31</f>
        <v/>
      </c>
      <c r="R131" s="2860">
        <f>'3p'!L31</f>
        <v/>
      </c>
      <c r="S131" s="2862">
        <f>'3p'!M31</f>
        <v/>
      </c>
      <c r="T131" s="1173">
        <f>IF(ISBLANK('3p'!N31)=TRUE,"",'3p'!N31)</f>
        <v/>
      </c>
    </row>
    <row r="132" ht="20.1" customHeight="1">
      <c r="D132" s="1777" t="inlineStr">
        <is>
          <t xml:space="preserve"> </t>
        </is>
      </c>
      <c r="E132" s="2878" t="inlineStr">
        <is>
          <t xml:space="preserve"> </t>
        </is>
      </c>
      <c r="F132" s="2701" t="n"/>
      <c r="G132" s="2701" t="n"/>
      <c r="H132" s="2879" t="n"/>
      <c r="I132" s="2878" t="inlineStr">
        <is>
          <t xml:space="preserve"> </t>
        </is>
      </c>
      <c r="J132" s="2879" t="n"/>
      <c r="K132" s="2880" t="inlineStr">
        <is>
          <t>기타</t>
        </is>
      </c>
      <c r="L132" s="2702" t="n"/>
      <c r="M132" s="2881">
        <f>'3p'!G32</f>
        <v/>
      </c>
      <c r="N132" s="2882">
        <f>'3p'!H32</f>
        <v/>
      </c>
      <c r="O132" s="2883">
        <f>'3p'!I32</f>
        <v/>
      </c>
      <c r="P132" s="2884">
        <f>'3p'!J32</f>
        <v/>
      </c>
      <c r="Q132" s="2882">
        <f>'3p'!K32</f>
        <v/>
      </c>
      <c r="R132" s="2883">
        <f>'3p'!L32</f>
        <v/>
      </c>
      <c r="S132" s="2885">
        <f>'3p'!M32</f>
        <v/>
      </c>
      <c r="T132" s="1174">
        <f>IF(ISBLANK('3p'!N32)=TRUE,"",'3p'!N30)</f>
        <v/>
      </c>
    </row>
    <row r="133" ht="20.1" customHeight="1">
      <c r="D133" s="1694" t="inlineStr">
        <is>
          <t>C. 운용자금 입지출(=해지-예치)</t>
        </is>
      </c>
      <c r="E133" s="2744" t="n"/>
      <c r="F133" s="2744" t="n"/>
      <c r="G133" s="2744" t="n"/>
      <c r="H133" s="2744" t="n"/>
      <c r="I133" s="2744" t="n"/>
      <c r="J133" s="2744" t="n"/>
      <c r="K133" s="2744" t="n"/>
      <c r="L133" s="2696" t="n"/>
      <c r="M133" s="2672">
        <f>'3p'!G39</f>
        <v/>
      </c>
      <c r="N133" s="2707">
        <f>'3p'!H39</f>
        <v/>
      </c>
      <c r="O133" s="2708">
        <f>'3p'!I39</f>
        <v/>
      </c>
      <c r="P133" s="2709">
        <f>'3p'!J39</f>
        <v/>
      </c>
      <c r="Q133" s="2707">
        <f>'3p'!K39</f>
        <v/>
      </c>
      <c r="R133" s="2708">
        <f>'3p'!L39</f>
        <v/>
      </c>
      <c r="S133" s="2844">
        <f>'3p'!M39</f>
        <v/>
      </c>
      <c r="T133" s="1340" t="n"/>
    </row>
    <row r="134" ht="20.1" customHeight="1">
      <c r="D134" s="1769" t="inlineStr">
        <is>
          <t xml:space="preserve"> </t>
        </is>
      </c>
      <c r="E134" s="2852" t="n"/>
      <c r="F134" s="1170" t="inlineStr">
        <is>
          <t>해지(입금)</t>
        </is>
      </c>
      <c r="G134" s="2845" t="n"/>
      <c r="H134" s="2845" t="n"/>
      <c r="I134" s="2845" t="n"/>
      <c r="J134" s="2845" t="n"/>
      <c r="K134" s="2845" t="n"/>
      <c r="L134" s="2846" t="n"/>
      <c r="M134" s="2853">
        <f>'3p'!G40</f>
        <v/>
      </c>
      <c r="N134" s="2854">
        <f>'3p'!H40</f>
        <v/>
      </c>
      <c r="O134" s="2855">
        <f>'3p'!I40</f>
        <v/>
      </c>
      <c r="P134" s="2856">
        <f>'3p'!J40</f>
        <v/>
      </c>
      <c r="Q134" s="2854">
        <f>'3p'!K40</f>
        <v/>
      </c>
      <c r="R134" s="2855">
        <f>'3p'!L40</f>
        <v/>
      </c>
      <c r="S134" s="2857">
        <f>'3p'!M40</f>
        <v/>
      </c>
      <c r="T134" s="1175">
        <f>IF(ISBLANK('3p'!N40)=TRUE,"",'3p'!N40)</f>
        <v/>
      </c>
    </row>
    <row r="135" ht="20.1" customHeight="1">
      <c r="D135" s="1777" t="inlineStr">
        <is>
          <t xml:space="preserve"> </t>
        </is>
      </c>
      <c r="E135" s="2879" t="n"/>
      <c r="F135" s="2880" t="inlineStr">
        <is>
          <t>예치(지출)</t>
        </is>
      </c>
      <c r="G135" s="2701" t="n"/>
      <c r="H135" s="2701" t="n"/>
      <c r="I135" s="2701" t="n"/>
      <c r="J135" s="2701" t="n"/>
      <c r="K135" s="2701" t="n"/>
      <c r="L135" s="2702" t="n"/>
      <c r="M135" s="2881">
        <f>'3p'!G41</f>
        <v/>
      </c>
      <c r="N135" s="2882">
        <f>'3p'!H41</f>
        <v/>
      </c>
      <c r="O135" s="2883">
        <f>'3p'!I41</f>
        <v/>
      </c>
      <c r="P135" s="2884">
        <f>'3p'!J41</f>
        <v/>
      </c>
      <c r="Q135" s="2882">
        <f>'3p'!K41</f>
        <v/>
      </c>
      <c r="R135" s="2883">
        <f>'3p'!L41</f>
        <v/>
      </c>
      <c r="S135" s="2885">
        <f>'3p'!M41</f>
        <v/>
      </c>
      <c r="T135" s="1345">
        <f>IF(ISBLANK('3p'!N33)=TRUE,"",'3p'!N33)</f>
        <v/>
      </c>
    </row>
    <row r="136" ht="20.1" customHeight="1">
      <c r="D136" s="1694" t="inlineStr">
        <is>
          <t>D. FX</t>
        </is>
      </c>
      <c r="E136" s="2744" t="n"/>
      <c r="F136" s="2744" t="n"/>
      <c r="G136" s="2744" t="n"/>
      <c r="H136" s="2744" t="n"/>
      <c r="I136" s="2744" t="n"/>
      <c r="J136" s="2744" t="n"/>
      <c r="K136" s="2744" t="n"/>
      <c r="L136" s="2696" t="n"/>
      <c r="M136" s="2672">
        <f>'3p'!G42</f>
        <v/>
      </c>
      <c r="N136" s="2707">
        <f>'3p'!H42</f>
        <v/>
      </c>
      <c r="O136" s="2708">
        <f>'3p'!I42</f>
        <v/>
      </c>
      <c r="P136" s="2709">
        <f>'3p'!J42</f>
        <v/>
      </c>
      <c r="Q136" s="2707">
        <f>'3p'!K42</f>
        <v/>
      </c>
      <c r="R136" s="2708">
        <f>'3p'!L42</f>
        <v/>
      </c>
      <c r="S136" s="2844">
        <f>'3p'!M42</f>
        <v/>
      </c>
      <c r="T136" s="1340">
        <f>IF(ISBLANK('3p'!N34)=TRUE,"",'3p'!N34)</f>
        <v/>
      </c>
    </row>
    <row r="137" ht="20.1" customHeight="1">
      <c r="D137" s="1769" t="inlineStr">
        <is>
          <t xml:space="preserve"> </t>
        </is>
      </c>
      <c r="E137" s="2852" t="n"/>
      <c r="F137" s="1170" t="inlineStr">
        <is>
          <t>입금</t>
        </is>
      </c>
      <c r="G137" s="2845" t="n"/>
      <c r="H137" s="2845" t="n"/>
      <c r="I137" s="2845" t="n"/>
      <c r="J137" s="2845" t="n"/>
      <c r="K137" s="2845" t="n"/>
      <c r="L137" s="2846" t="n"/>
      <c r="M137" s="2853">
        <f>'3p'!G43</f>
        <v/>
      </c>
      <c r="N137" s="2854">
        <f>'3p'!H43</f>
        <v/>
      </c>
      <c r="O137" s="2855">
        <f>'3p'!I43</f>
        <v/>
      </c>
      <c r="P137" s="2856">
        <f>'3p'!J43</f>
        <v/>
      </c>
      <c r="Q137" s="2854">
        <f>'3p'!K43</f>
        <v/>
      </c>
      <c r="R137" s="2855">
        <f>'3p'!L43</f>
        <v/>
      </c>
      <c r="S137" s="2857">
        <f>'3p'!M43</f>
        <v/>
      </c>
      <c r="T137" s="1342">
        <f>IF(ISBLANK('3p'!N43)=TRUE,"",'3p'!N43)</f>
        <v/>
      </c>
    </row>
    <row r="138" ht="20.1" customHeight="1">
      <c r="D138" s="1777" t="inlineStr">
        <is>
          <t xml:space="preserve"> </t>
        </is>
      </c>
      <c r="E138" s="2879" t="n"/>
      <c r="F138" s="2880" t="inlineStr">
        <is>
          <t>출금</t>
        </is>
      </c>
      <c r="G138" s="2701" t="n"/>
      <c r="H138" s="2701" t="n"/>
      <c r="I138" s="2701" t="n"/>
      <c r="J138" s="2701" t="n"/>
      <c r="K138" s="2701" t="n"/>
      <c r="L138" s="2702" t="n"/>
      <c r="M138" s="2881">
        <f>'3p'!G44</f>
        <v/>
      </c>
      <c r="N138" s="2882">
        <f>'3p'!H44</f>
        <v/>
      </c>
      <c r="O138" s="2883">
        <f>'3p'!I44</f>
        <v/>
      </c>
      <c r="P138" s="2884">
        <f>'3p'!J44</f>
        <v/>
      </c>
      <c r="Q138" s="2882">
        <f>'3p'!K44</f>
        <v/>
      </c>
      <c r="R138" s="2883">
        <f>'3p'!L44</f>
        <v/>
      </c>
      <c r="S138" s="2885">
        <f>'3p'!M44</f>
        <v/>
      </c>
      <c r="T138" s="1345">
        <f>IF(ISBLANK('3p'!N44)=TRUE,"",'3p'!N44)</f>
        <v/>
      </c>
    </row>
    <row r="139" ht="20.1" customHeight="1">
      <c r="D139" s="1694" t="inlineStr">
        <is>
          <t>E. 조달</t>
        </is>
      </c>
      <c r="E139" s="2744" t="n"/>
      <c r="F139" s="2744" t="n"/>
      <c r="G139" s="2744" t="n"/>
      <c r="H139" s="2744" t="n"/>
      <c r="I139" s="2744" t="n"/>
      <c r="J139" s="2744" t="n"/>
      <c r="K139" s="2744" t="n"/>
      <c r="L139" s="2696" t="n"/>
      <c r="M139" s="2672">
        <f>'3p'!G45</f>
        <v/>
      </c>
      <c r="N139" s="2707">
        <f>'3p'!H45</f>
        <v/>
      </c>
      <c r="O139" s="2708">
        <f>'3p'!I45</f>
        <v/>
      </c>
      <c r="P139" s="2709">
        <f>'3p'!J45</f>
        <v/>
      </c>
      <c r="Q139" s="2707">
        <f>'3p'!K45</f>
        <v/>
      </c>
      <c r="R139" s="2708">
        <f>'3p'!L45</f>
        <v/>
      </c>
      <c r="S139" s="2844">
        <f>'3p'!M45</f>
        <v/>
      </c>
      <c r="T139" s="1340">
        <f>IF(ISBLANK('3p'!N45)=TRUE,"",'3p'!N45)</f>
        <v/>
      </c>
    </row>
    <row r="140" ht="20.1" customHeight="1">
      <c r="D140" s="1769" t="inlineStr">
        <is>
          <t xml:space="preserve"> </t>
        </is>
      </c>
      <c r="F140" s="2852" t="n"/>
      <c r="G140" s="1170" t="inlineStr">
        <is>
          <t>입금</t>
        </is>
      </c>
      <c r="H140" s="2845" t="n"/>
      <c r="I140" s="2845" t="n"/>
      <c r="J140" s="2845" t="n"/>
      <c r="K140" s="2845" t="n"/>
      <c r="L140" s="2846" t="n"/>
      <c r="M140" s="2853">
        <f>'3p'!G46</f>
        <v/>
      </c>
      <c r="N140" s="2854">
        <f>'3p'!H46</f>
        <v/>
      </c>
      <c r="O140" s="2855">
        <f>'3p'!I46</f>
        <v/>
      </c>
      <c r="P140" s="2856">
        <f>'3p'!J46</f>
        <v/>
      </c>
      <c r="Q140" s="2854">
        <f>'3p'!K46</f>
        <v/>
      </c>
      <c r="R140" s="2855">
        <f>'3p'!L46</f>
        <v/>
      </c>
      <c r="S140" s="2857">
        <f>'3p'!M46</f>
        <v/>
      </c>
      <c r="T140" s="1342">
        <f>IF(ISBLANK('3p'!N46)=TRUE,"",'3p'!N46)</f>
        <v/>
      </c>
    </row>
    <row r="141" ht="20.1" customHeight="1">
      <c r="D141" s="1777" t="inlineStr">
        <is>
          <t xml:space="preserve"> </t>
        </is>
      </c>
      <c r="E141" s="2701" t="n"/>
      <c r="F141" s="2879" t="n"/>
      <c r="G141" s="2880" t="inlineStr">
        <is>
          <t>출금</t>
        </is>
      </c>
      <c r="H141" s="2701" t="n"/>
      <c r="I141" s="2701" t="n"/>
      <c r="J141" s="2701" t="n"/>
      <c r="K141" s="2701" t="n"/>
      <c r="L141" s="2702" t="n"/>
      <c r="M141" s="2881">
        <f>'3p'!G47</f>
        <v/>
      </c>
      <c r="N141" s="2882">
        <f>'3p'!H47</f>
        <v/>
      </c>
      <c r="O141" s="2883">
        <f>'3p'!I47</f>
        <v/>
      </c>
      <c r="P141" s="2884">
        <f>'3p'!J47</f>
        <v/>
      </c>
      <c r="Q141" s="2882">
        <f>'3p'!K47</f>
        <v/>
      </c>
      <c r="R141" s="2883">
        <f>'3p'!L47</f>
        <v/>
      </c>
      <c r="S141" s="2885">
        <f>'3p'!M47</f>
        <v/>
      </c>
      <c r="T141" s="1345">
        <f>IF(ISBLANK('3p'!N47)=TRUE,"",'3p'!N47)</f>
        <v/>
      </c>
    </row>
    <row r="142" ht="20.1" customHeight="1">
      <c r="D142" s="1692" t="inlineStr">
        <is>
          <t>F. 유동자금 증감(=B+C+D+E)</t>
        </is>
      </c>
      <c r="E142" s="2666" t="n"/>
      <c r="F142" s="2666" t="n"/>
      <c r="G142" s="2666" t="n"/>
      <c r="H142" s="2666" t="n"/>
      <c r="I142" s="2666" t="n"/>
      <c r="J142" s="2666" t="n"/>
      <c r="K142" s="2666" t="n"/>
      <c r="L142" s="2704" t="n"/>
      <c r="M142" s="2684">
        <f>'3p'!G48</f>
        <v/>
      </c>
      <c r="N142" s="2705">
        <f>'3p'!H48</f>
        <v/>
      </c>
      <c r="O142" s="2647">
        <f>'3p'!I48</f>
        <v/>
      </c>
      <c r="P142" s="2706">
        <f>'3p'!J48</f>
        <v/>
      </c>
      <c r="Q142" s="2705">
        <f>'3p'!K48</f>
        <v/>
      </c>
      <c r="R142" s="2647">
        <f>'3p'!L48</f>
        <v/>
      </c>
      <c r="S142" s="2843">
        <f>'3p'!M48</f>
        <v/>
      </c>
      <c r="T142" s="1339">
        <f>IF(ISBLANK('3p'!N48)=TRUE,"",'3p'!N48)</f>
        <v/>
      </c>
    </row>
    <row r="143" ht="20.1" customHeight="1" thickBot="1">
      <c r="D143" s="1781" t="inlineStr">
        <is>
          <t>G. 기말유동잔고(=A+F)</t>
        </is>
      </c>
      <c r="E143" s="2666" t="n"/>
      <c r="F143" s="2666" t="n"/>
      <c r="G143" s="2666" t="n"/>
      <c r="H143" s="2666" t="n"/>
      <c r="I143" s="2666" t="n"/>
      <c r="J143" s="2666" t="n"/>
      <c r="K143" s="2666" t="n"/>
      <c r="L143" s="2704" t="n"/>
      <c r="M143" s="2886">
        <f>'3p'!G49</f>
        <v/>
      </c>
      <c r="N143" s="2887">
        <f>'3p'!H49</f>
        <v/>
      </c>
      <c r="O143" s="2888">
        <f>'3p'!I49</f>
        <v/>
      </c>
      <c r="P143" s="2889">
        <f>'3p'!J49</f>
        <v/>
      </c>
      <c r="Q143" s="2890">
        <f>'3p'!K49</f>
        <v/>
      </c>
      <c r="R143" s="2891">
        <f>'3p'!L49</f>
        <v/>
      </c>
      <c r="S143" s="2892">
        <f>'3p'!M49</f>
        <v/>
      </c>
      <c r="T143" s="1346">
        <f>IF(ISBLANK('3p'!N41)=TRUE,"",'3p'!N41)</f>
        <v/>
      </c>
    </row>
  </sheetData>
  <mergeCells count="133">
    <mergeCell ref="J117:L117"/>
    <mergeCell ref="H53:I53"/>
    <mergeCell ref="I125:K125"/>
    <mergeCell ref="D60:D63"/>
    <mergeCell ref="Q53:U53"/>
    <mergeCell ref="G141:L141"/>
    <mergeCell ref="D74:G74"/>
    <mergeCell ref="D82:G82"/>
    <mergeCell ref="J119:L119"/>
    <mergeCell ref="D55:G55"/>
    <mergeCell ref="E125:H125"/>
    <mergeCell ref="D59:G59"/>
    <mergeCell ref="F31:H31"/>
    <mergeCell ref="J118:L118"/>
    <mergeCell ref="E57:G57"/>
    <mergeCell ref="M106:O106"/>
    <mergeCell ref="D135:E135"/>
    <mergeCell ref="I131:J131"/>
    <mergeCell ref="E129:H129"/>
    <mergeCell ref="K131:L131"/>
    <mergeCell ref="H52:I52"/>
    <mergeCell ref="H79:I79"/>
    <mergeCell ref="D31:E32"/>
    <mergeCell ref="D134:E134"/>
    <mergeCell ref="E131:H131"/>
    <mergeCell ref="D87:D90"/>
    <mergeCell ref="D77:G77"/>
    <mergeCell ref="I129:L129"/>
    <mergeCell ref="D86:G86"/>
    <mergeCell ref="Q80:U80"/>
    <mergeCell ref="E58:G58"/>
    <mergeCell ref="L31:L32"/>
    <mergeCell ref="F138:L138"/>
    <mergeCell ref="H111:L111"/>
    <mergeCell ref="D106:L107"/>
    <mergeCell ref="D33:E33"/>
    <mergeCell ref="I121:L121"/>
    <mergeCell ref="F88:G88"/>
    <mergeCell ref="D35:E35"/>
    <mergeCell ref="E119:H119"/>
    <mergeCell ref="T106:T107"/>
    <mergeCell ref="D56:G56"/>
    <mergeCell ref="E116:H116"/>
    <mergeCell ref="D138:E138"/>
    <mergeCell ref="E60:G60"/>
    <mergeCell ref="D34:E34"/>
    <mergeCell ref="F63:G63"/>
    <mergeCell ref="E84:G84"/>
    <mergeCell ref="E114:G114"/>
    <mergeCell ref="X52:X54"/>
    <mergeCell ref="E122:H122"/>
    <mergeCell ref="H19:H20"/>
    <mergeCell ref="E127:H127"/>
    <mergeCell ref="F137:L137"/>
    <mergeCell ref="D47:E47"/>
    <mergeCell ref="D142:L142"/>
    <mergeCell ref="E112:G112"/>
    <mergeCell ref="F62:G62"/>
    <mergeCell ref="D101:G101"/>
    <mergeCell ref="D52:G54"/>
    <mergeCell ref="H80:I80"/>
    <mergeCell ref="D39:E39"/>
    <mergeCell ref="F61:G61"/>
    <mergeCell ref="E111:G111"/>
    <mergeCell ref="I122:L122"/>
    <mergeCell ref="I127:L127"/>
    <mergeCell ref="D38:E38"/>
    <mergeCell ref="E73:G73"/>
    <mergeCell ref="E115:L115"/>
    <mergeCell ref="D103:G103"/>
    <mergeCell ref="D139:L139"/>
    <mergeCell ref="J52:W52"/>
    <mergeCell ref="E19:G19"/>
    <mergeCell ref="E124:H124"/>
    <mergeCell ref="H112:L112"/>
    <mergeCell ref="F89:G89"/>
    <mergeCell ref="X79:X81"/>
    <mergeCell ref="H114:L114"/>
    <mergeCell ref="D57:D58"/>
    <mergeCell ref="I123:K123"/>
    <mergeCell ref="E121:H121"/>
    <mergeCell ref="E130:H130"/>
    <mergeCell ref="E113:G113"/>
    <mergeCell ref="E117:H117"/>
    <mergeCell ref="E100:G100"/>
    <mergeCell ref="D143:L143"/>
    <mergeCell ref="D79:G81"/>
    <mergeCell ref="P106:R106"/>
    <mergeCell ref="E123:H123"/>
    <mergeCell ref="E132:H132"/>
    <mergeCell ref="J79:W79"/>
    <mergeCell ref="D133:L133"/>
    <mergeCell ref="C2:G2"/>
    <mergeCell ref="E102:G102"/>
    <mergeCell ref="I31:K31"/>
    <mergeCell ref="G140:L140"/>
    <mergeCell ref="J53:P53"/>
    <mergeCell ref="E110:L110"/>
    <mergeCell ref="D109:L109"/>
    <mergeCell ref="D76:G76"/>
    <mergeCell ref="J80:P80"/>
    <mergeCell ref="E118:H118"/>
    <mergeCell ref="D140:F140"/>
    <mergeCell ref="E87:G87"/>
    <mergeCell ref="S106:S107"/>
    <mergeCell ref="D136:L136"/>
    <mergeCell ref="D83:G83"/>
    <mergeCell ref="D141:F141"/>
    <mergeCell ref="E120:H120"/>
    <mergeCell ref="I128:L128"/>
    <mergeCell ref="H113:L113"/>
    <mergeCell ref="F134:L134"/>
    <mergeCell ref="D41:E41"/>
    <mergeCell ref="E85:G85"/>
    <mergeCell ref="I130:J130"/>
    <mergeCell ref="K130:L130"/>
    <mergeCell ref="E126:H126"/>
    <mergeCell ref="I116:L116"/>
    <mergeCell ref="F90:G90"/>
    <mergeCell ref="E75:G75"/>
    <mergeCell ref="D104:G104"/>
    <mergeCell ref="D137:E137"/>
    <mergeCell ref="I132:J132"/>
    <mergeCell ref="K132:L132"/>
    <mergeCell ref="J120:L120"/>
    <mergeCell ref="I124:K124"/>
    <mergeCell ref="D19:D20"/>
    <mergeCell ref="F135:L135"/>
    <mergeCell ref="I126:K126"/>
    <mergeCell ref="D50:E50"/>
    <mergeCell ref="D44:E44"/>
    <mergeCell ref="D84:D85"/>
    <mergeCell ref="D108:L108"/>
  </mergeCells>
  <conditionalFormatting sqref="E11:F17">
    <cfRule type="cellIs" priority="1" operator="equal" dxfId="0">
      <formula>0</formula>
    </cfRule>
  </conditionalFormatting>
  <conditionalFormatting sqref="G10:G17">
    <cfRule type="cellIs" priority="2" operator="equal" dxfId="0">
      <formula>0</formula>
    </cfRule>
  </conditionalFormatting>
  <pageMargins left="0.7" right="0.7" top="0.75" bottom="0.75" header="0.3" footer="0.3"/>
  <pageSetup orientation="portrait" paperSize="9"/>
</worksheet>
</file>

<file path=xl/worksheets/sheet1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1:X43"/>
  <sheetViews>
    <sheetView showGridLines="0" zoomScaleNormal="100" workbookViewId="0">
      <selection activeCell="A1" sqref="A1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5.875" customWidth="1" style="2243" min="6" max="19"/>
    <col width="50.875" customWidth="1" style="2243" min="20" max="20"/>
    <col width="7.875" customWidth="1" style="383" min="21" max="21"/>
    <col width="8.875" customWidth="1" style="383" min="22" max="22"/>
    <col width="8.875" bestFit="1" customWidth="1" style="386" min="23" max="23"/>
    <col width="9.375" bestFit="1" customWidth="1" style="386" min="24" max="24"/>
    <col width="8.875" customWidth="1" style="383" min="25" max="16384"/>
  </cols>
  <sheetData>
    <row r="1" ht="19.7" customHeight="1">
      <c r="A1" s="382" t="inlineStr">
        <is>
          <t>2023년 카탈리스터 자금수지 실적</t>
        </is>
      </c>
      <c r="T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245" t="n"/>
      <c r="I2" s="2245" t="n"/>
      <c r="J2" s="2245" t="n"/>
      <c r="K2" s="2245" t="n"/>
      <c r="L2" s="2245" t="n"/>
      <c r="M2" s="2245" t="n"/>
      <c r="N2" s="2245" t="n"/>
      <c r="O2" s="2245" t="n"/>
      <c r="P2" s="2245" t="n"/>
      <c r="Q2" s="2245" t="n"/>
      <c r="R2" s="2245" t="n"/>
      <c r="S2" s="2245" t="n"/>
      <c r="T2" s="2245" t="n"/>
    </row>
    <row r="7">
      <c r="B7" s="390" t="n"/>
      <c r="C7" s="391" t="n"/>
      <c r="D7" s="391" t="n"/>
      <c r="E7" s="391" t="n"/>
      <c r="F7" s="391" t="n"/>
      <c r="G7" s="391" t="n"/>
      <c r="H7" s="391" t="n"/>
      <c r="I7" s="391" t="n"/>
      <c r="J7" s="391" t="n"/>
      <c r="K7" s="391" t="n"/>
      <c r="L7" s="391" t="n"/>
      <c r="M7" s="391" t="n"/>
      <c r="N7" s="391" t="n"/>
      <c r="O7" s="391" t="n"/>
      <c r="P7" s="391" t="n"/>
      <c r="Q7" s="391" t="n"/>
      <c r="R7" s="391" t="n"/>
      <c r="S7" s="391" t="n"/>
      <c r="T7" s="392" t="inlineStr">
        <is>
          <t>(단위 : 억원)</t>
        </is>
      </c>
    </row>
    <row r="8" ht="16.35" customHeight="1">
      <c r="B8" s="2321" t="inlineStr">
        <is>
          <t>구분</t>
        </is>
      </c>
      <c r="C8" s="1941" t="n"/>
      <c r="D8" s="1941" t="n"/>
      <c r="E8" s="1941" t="n"/>
      <c r="F8" s="2247" t="inlineStr">
        <is>
          <t>2023년</t>
        </is>
      </c>
      <c r="G8" s="1941" t="n"/>
      <c r="H8" s="1941" t="n"/>
      <c r="I8" s="1941" t="n"/>
      <c r="J8" s="1941" t="n"/>
      <c r="K8" s="1941" t="n"/>
      <c r="L8" s="1941" t="n"/>
      <c r="M8" s="1941" t="n"/>
      <c r="N8" s="1941" t="n"/>
      <c r="O8" s="1941" t="n"/>
      <c r="P8" s="1941" t="n"/>
      <c r="Q8" s="1941" t="n"/>
      <c r="R8" s="1941" t="n"/>
      <c r="S8" s="1929" t="n"/>
      <c r="T8" s="2321" t="inlineStr">
        <is>
          <t>세부사항</t>
        </is>
      </c>
      <c r="V8" s="383" t="n">
        <v>12</v>
      </c>
    </row>
    <row r="9" ht="16.35" customHeight="1">
      <c r="F9" s="567" t="inlineStr">
        <is>
          <t>실적</t>
        </is>
      </c>
      <c r="G9" s="1864" t="n"/>
      <c r="H9" s="1864" t="n"/>
      <c r="I9" s="1864" t="n"/>
      <c r="J9" s="1864" t="n"/>
      <c r="K9" s="1864" t="n"/>
      <c r="L9" s="1864" t="n"/>
      <c r="M9" s="1864" t="n"/>
      <c r="N9" s="1864" t="n"/>
      <c r="O9" s="1864" t="n"/>
      <c r="P9" s="1864" t="n"/>
      <c r="Q9" s="1865" t="n"/>
      <c r="R9" s="543" t="n"/>
      <c r="S9" s="544" t="n"/>
    </row>
    <row r="10">
      <c r="B10" s="1866" t="n"/>
      <c r="C10" s="1866" t="n"/>
      <c r="D10" s="1866" t="n"/>
      <c r="E10" s="1866" t="n"/>
      <c r="F10" s="528" t="inlineStr">
        <is>
          <t>1월</t>
        </is>
      </c>
      <c r="G10" s="529" t="inlineStr">
        <is>
          <t>2월</t>
        </is>
      </c>
      <c r="H10" s="529" t="inlineStr">
        <is>
          <t>3월</t>
        </is>
      </c>
      <c r="I10" s="529" t="inlineStr">
        <is>
          <t>4월</t>
        </is>
      </c>
      <c r="J10" s="529" t="inlineStr">
        <is>
          <t>5월</t>
        </is>
      </c>
      <c r="K10" s="529" t="inlineStr">
        <is>
          <t>6월</t>
        </is>
      </c>
      <c r="L10" s="529" t="inlineStr">
        <is>
          <t>7월</t>
        </is>
      </c>
      <c r="M10" s="529" t="inlineStr">
        <is>
          <t>8월</t>
        </is>
      </c>
      <c r="N10" s="529" t="inlineStr">
        <is>
          <t>9월</t>
        </is>
      </c>
      <c r="O10" s="529" t="inlineStr">
        <is>
          <t>10월</t>
        </is>
      </c>
      <c r="P10" s="545" t="inlineStr">
        <is>
          <t>11월</t>
        </is>
      </c>
      <c r="Q10" s="567" t="inlineStr">
        <is>
          <t>12월</t>
        </is>
      </c>
      <c r="R10" s="555" t="inlineStr">
        <is>
          <t>합계</t>
        </is>
      </c>
      <c r="S10" s="530" t="inlineStr">
        <is>
          <t>월평균</t>
        </is>
      </c>
      <c r="T10" s="1866" t="n"/>
    </row>
    <row r="11" customFormat="1" s="399">
      <c r="B11" s="2341" t="inlineStr">
        <is>
          <t xml:space="preserve"> A. 기초잔고</t>
        </is>
      </c>
      <c r="C11" s="1866" t="n"/>
      <c r="D11" s="1866" t="n"/>
      <c r="E11" s="1866" t="n"/>
      <c r="F11" s="2473" t="n">
        <v>212</v>
      </c>
      <c r="G11" s="2254">
        <f>F42</f>
        <v/>
      </c>
      <c r="H11" s="2254">
        <f>G42</f>
        <v/>
      </c>
      <c r="I11" s="2254">
        <f>H42</f>
        <v/>
      </c>
      <c r="J11" s="2254">
        <f>I42</f>
        <v/>
      </c>
      <c r="K11" s="2254">
        <f>J42</f>
        <v/>
      </c>
      <c r="L11" s="2254">
        <f>K42</f>
        <v/>
      </c>
      <c r="M11" s="2254">
        <f>L42</f>
        <v/>
      </c>
      <c r="N11" s="2254">
        <f>M42</f>
        <v/>
      </c>
      <c r="O11" s="2254">
        <f>N42</f>
        <v/>
      </c>
      <c r="P11" s="2893">
        <f>O42</f>
        <v/>
      </c>
      <c r="Q11" s="2894">
        <f>P42</f>
        <v/>
      </c>
      <c r="R11" s="2474">
        <f>F11</f>
        <v/>
      </c>
      <c r="S11" s="2257">
        <f>R11/$V$8</f>
        <v/>
      </c>
      <c r="T11" s="406" t="n"/>
      <c r="W11" s="407" t="n"/>
      <c r="X11" s="407" t="n"/>
    </row>
    <row r="12">
      <c r="B12" s="1662" t="inlineStr">
        <is>
          <t xml:space="preserve"> B. 수입</t>
        </is>
      </c>
      <c r="C12" s="1941" t="n"/>
      <c r="D12" s="1941" t="n"/>
      <c r="E12" s="1941" t="n"/>
      <c r="F12" s="2478">
        <f>SUM(F13:F15)</f>
        <v/>
      </c>
      <c r="G12" s="2260">
        <f>SUM(G13:G15)</f>
        <v/>
      </c>
      <c r="H12" s="2260">
        <f>SUM(H13:H15)</f>
        <v/>
      </c>
      <c r="I12" s="2260">
        <f>SUM(I13:I15)</f>
        <v/>
      </c>
      <c r="J12" s="2260">
        <f>SUM(J13:J15)</f>
        <v/>
      </c>
      <c r="K12" s="2260">
        <f>SUM(K13:K15)</f>
        <v/>
      </c>
      <c r="L12" s="2260">
        <f>SUM(L13:L15)</f>
        <v/>
      </c>
      <c r="M12" s="2260">
        <f>SUM(M13:M15)</f>
        <v/>
      </c>
      <c r="N12" s="2260">
        <f>SUM(N13:N15)</f>
        <v/>
      </c>
      <c r="O12" s="2260">
        <f>SUM(O13:O15)</f>
        <v/>
      </c>
      <c r="P12" s="2895">
        <f>SUM(P13:P15)</f>
        <v/>
      </c>
      <c r="Q12" s="2896">
        <f>SUM(Q13:Q15)</f>
        <v/>
      </c>
      <c r="R12" s="2479">
        <f>SUM(R13,R15)</f>
        <v/>
      </c>
      <c r="S12" s="2263">
        <f>R12/$V$8</f>
        <v/>
      </c>
      <c r="T12" s="414" t="n"/>
    </row>
    <row r="13" ht="17.45" customHeight="1">
      <c r="B13" s="415" t="n"/>
      <c r="C13" s="1650" t="inlineStr">
        <is>
          <t>경상</t>
        </is>
      </c>
      <c r="D13" s="2265" t="n"/>
      <c r="E13" s="2265" t="n"/>
      <c r="F13" s="2483" t="n"/>
      <c r="G13" s="2484" t="n"/>
      <c r="H13" s="2269" t="n">
        <v>0.6899999999999999</v>
      </c>
      <c r="I13" s="2269" t="n"/>
      <c r="J13" s="2269" t="n"/>
      <c r="K13" s="2269" t="n">
        <v>0.3</v>
      </c>
      <c r="L13" s="2269" t="n">
        <v>1.3</v>
      </c>
      <c r="M13" s="2269" t="n"/>
      <c r="N13" s="2269" t="n">
        <v>0.3</v>
      </c>
      <c r="O13" s="2269" t="n">
        <v>0.41</v>
      </c>
      <c r="P13" s="2897" t="n">
        <v>0.1</v>
      </c>
      <c r="Q13" s="2898" t="n">
        <v>0.13</v>
      </c>
      <c r="R13" s="2485">
        <f>SUM(F13:Q13)</f>
        <v/>
      </c>
      <c r="S13" s="2272">
        <f>R13/$V$8</f>
        <v/>
      </c>
      <c r="T13" s="422" t="inlineStr">
        <is>
          <t xml:space="preserve"> 이자수익 등</t>
        </is>
      </c>
    </row>
    <row r="14">
      <c r="B14" s="415" t="n"/>
      <c r="C14" s="423" t="n"/>
      <c r="D14" s="415" t="n"/>
      <c r="E14" s="415" t="n"/>
      <c r="F14" s="2489" t="n"/>
      <c r="G14" s="2275" t="n"/>
      <c r="H14" s="2275" t="n"/>
      <c r="I14" s="2275" t="n"/>
      <c r="J14" s="2275" t="n"/>
      <c r="K14" s="2275" t="n"/>
      <c r="L14" s="2275" t="n"/>
      <c r="M14" s="2275" t="n"/>
      <c r="N14" s="2275" t="n"/>
      <c r="O14" s="2275" t="n"/>
      <c r="P14" s="2899" t="n"/>
      <c r="Q14" s="2900" t="n"/>
      <c r="R14" s="2490" t="n"/>
      <c r="S14" s="2278" t="n"/>
      <c r="T14" s="430" t="n"/>
    </row>
    <row r="15" ht="17.45" customHeight="1">
      <c r="B15" s="415" t="n"/>
      <c r="C15" s="1666" t="inlineStr">
        <is>
          <t>비경상</t>
        </is>
      </c>
      <c r="D15" s="2265" t="n"/>
      <c r="E15" s="2265" t="n"/>
      <c r="F15" s="2494" t="n"/>
      <c r="G15" s="2280" t="n">
        <v>2.1</v>
      </c>
      <c r="H15" s="2280" t="n"/>
      <c r="I15" s="2280" t="n">
        <v>0.2</v>
      </c>
      <c r="J15" s="2280" t="n">
        <v>1.01</v>
      </c>
      <c r="K15" s="2280" t="n">
        <v>0.9</v>
      </c>
      <c r="L15" s="2280" t="n">
        <v>1.5</v>
      </c>
      <c r="M15" s="2280" t="n">
        <v>0.9</v>
      </c>
      <c r="N15" s="2280" t="n"/>
      <c r="O15" s="2280" t="n"/>
      <c r="P15" s="2901" t="n">
        <v>4.7</v>
      </c>
      <c r="Q15" s="2902" t="n">
        <v>2.08</v>
      </c>
      <c r="R15" s="2495">
        <f>SUM(F15:Q15)</f>
        <v/>
      </c>
      <c r="S15" s="2283">
        <f>R15/$V$8</f>
        <v/>
      </c>
      <c r="T15" s="422" t="inlineStr">
        <is>
          <t>세금 환급, 자산양수도 대금 등</t>
        </is>
      </c>
    </row>
    <row r="16" ht="18.6" customHeight="1">
      <c r="B16" s="415" t="n"/>
      <c r="C16" s="435" t="n"/>
      <c r="D16" s="436" t="n"/>
      <c r="E16" s="436" t="n"/>
      <c r="F16" s="2499" t="n"/>
      <c r="G16" s="2286" t="n"/>
      <c r="H16" s="2286" t="n"/>
      <c r="I16" s="2286" t="n"/>
      <c r="J16" s="2286" t="n"/>
      <c r="K16" s="2286" t="n"/>
      <c r="L16" s="2286" t="n"/>
      <c r="M16" s="2286" t="n"/>
      <c r="N16" s="2286" t="n"/>
      <c r="O16" s="2286" t="n"/>
      <c r="P16" s="2903" t="n"/>
      <c r="Q16" s="2904" t="n"/>
      <c r="R16" s="2500" t="n"/>
      <c r="S16" s="2289" t="n"/>
      <c r="T16" s="443" t="n"/>
      <c r="W16" s="444" t="n"/>
    </row>
    <row r="17">
      <c r="B17" s="1662" t="inlineStr">
        <is>
          <t xml:space="preserve"> C. 지출</t>
        </is>
      </c>
      <c r="C17" s="1941" t="n"/>
      <c r="D17" s="1941" t="n"/>
      <c r="E17" s="1941" t="n"/>
      <c r="F17" s="2504" t="n">
        <v>12.8</v>
      </c>
      <c r="G17" s="2292" t="n">
        <v>15.1</v>
      </c>
      <c r="H17" s="2292" t="n">
        <v>12.95</v>
      </c>
      <c r="I17" s="2292" t="n">
        <v>18.5</v>
      </c>
      <c r="J17" s="2292" t="n">
        <v>15.5</v>
      </c>
      <c r="K17" s="2292" t="n">
        <v>14.9</v>
      </c>
      <c r="L17" s="2292" t="n">
        <v>14.72</v>
      </c>
      <c r="M17" s="2292" t="n">
        <v>15.3</v>
      </c>
      <c r="N17" s="2292" t="n">
        <v>15.1</v>
      </c>
      <c r="O17" s="2292" t="n">
        <v>19.29</v>
      </c>
      <c r="P17" s="2905" t="n">
        <v>7</v>
      </c>
      <c r="Q17" s="2906" t="n">
        <v>4.19</v>
      </c>
      <c r="R17" s="2505">
        <f>SUM(R18,R31)</f>
        <v/>
      </c>
      <c r="S17" s="2295">
        <f>R17/$V$8</f>
        <v/>
      </c>
      <c r="T17" s="451" t="n"/>
    </row>
    <row r="18" ht="17.45" customHeight="1">
      <c r="B18" s="415" t="n"/>
      <c r="C18" s="1650" t="inlineStr">
        <is>
          <t>경상</t>
        </is>
      </c>
      <c r="D18" s="2265" t="n"/>
      <c r="E18" s="2265" t="n"/>
      <c r="F18" s="2509">
        <f>F17-F31</f>
        <v/>
      </c>
      <c r="G18" s="2269">
        <f>G17-G31</f>
        <v/>
      </c>
      <c r="H18" s="2269">
        <f>H17-H31</f>
        <v/>
      </c>
      <c r="I18" s="2269">
        <f>I17-I31</f>
        <v/>
      </c>
      <c r="J18" s="2269">
        <f>J17-J31</f>
        <v/>
      </c>
      <c r="K18" s="2269">
        <f>K17-K31</f>
        <v/>
      </c>
      <c r="L18" s="2269">
        <f>L17-L31</f>
        <v/>
      </c>
      <c r="M18" s="2269">
        <f>M17-M31</f>
        <v/>
      </c>
      <c r="N18" s="2269">
        <f>N17-N31</f>
        <v/>
      </c>
      <c r="O18" s="2269">
        <f>O17-O31</f>
        <v/>
      </c>
      <c r="P18" s="2897">
        <f>P17-P31</f>
        <v/>
      </c>
      <c r="Q18" s="2907">
        <f>Q17-Q31</f>
        <v/>
      </c>
      <c r="R18" s="2485">
        <f>SUM(F18:Q18)</f>
        <v/>
      </c>
      <c r="S18" s="2272">
        <f>R18/$V$8</f>
        <v/>
      </c>
      <c r="T18" s="422" t="n"/>
      <c r="W18" s="2296" t="n"/>
    </row>
    <row r="19">
      <c r="B19" s="415" t="n"/>
      <c r="C19" s="423" t="n"/>
      <c r="D19" s="1666" t="inlineStr">
        <is>
          <t>인건비</t>
        </is>
      </c>
      <c r="E19" s="1667" t="n"/>
      <c r="F19" s="2494" t="n">
        <v>7.8</v>
      </c>
      <c r="G19" s="2280" t="n">
        <v>8.699999999999999</v>
      </c>
      <c r="H19" s="2280" t="n">
        <v>8.48</v>
      </c>
      <c r="I19" s="2280" t="n">
        <v>9</v>
      </c>
      <c r="J19" s="2280" t="n">
        <v>10.3</v>
      </c>
      <c r="K19" s="2280" t="n">
        <v>9.4</v>
      </c>
      <c r="L19" s="2280" t="n">
        <v>9.300000000000001</v>
      </c>
      <c r="M19" s="2280" t="n">
        <v>9.91</v>
      </c>
      <c r="N19" s="2280" t="n">
        <v>9.9</v>
      </c>
      <c r="O19" s="2280" t="n">
        <v>14.3</v>
      </c>
      <c r="P19" s="2901" t="n">
        <v>5.1</v>
      </c>
      <c r="Q19" s="2902" t="n">
        <v>3.22</v>
      </c>
      <c r="R19" s="2495">
        <f>SUM(F19:Q19)</f>
        <v/>
      </c>
      <c r="S19" s="2283">
        <f>R19/$V$8</f>
        <v/>
      </c>
      <c r="T19" s="422" t="inlineStr">
        <is>
          <t>○ 11월: 10월 퇴사자 연차수당 등</t>
        </is>
      </c>
    </row>
    <row r="20">
      <c r="B20" s="415" t="n"/>
      <c r="C20" s="423" t="n"/>
      <c r="D20" s="423" t="inlineStr">
        <is>
          <t>S/W, H/W 매입</t>
        </is>
      </c>
      <c r="E20" s="415" t="n"/>
      <c r="F20" s="2489" t="n">
        <v>0.2</v>
      </c>
      <c r="G20" s="2275" t="n">
        <v>0.6</v>
      </c>
      <c r="H20" s="2275" t="n">
        <v>0.25</v>
      </c>
      <c r="I20" s="2275" t="n">
        <v>0.2</v>
      </c>
      <c r="J20" s="2275" t="n">
        <v>0.3</v>
      </c>
      <c r="K20" s="2275" t="n">
        <v>0.14</v>
      </c>
      <c r="L20" s="2275" t="n">
        <v>0.04</v>
      </c>
      <c r="M20" s="2275" t="n">
        <v>0</v>
      </c>
      <c r="N20" s="2275" t="n">
        <v>0.02</v>
      </c>
      <c r="O20" s="2275" t="n">
        <v>0</v>
      </c>
      <c r="P20" s="2899" t="n">
        <v>0</v>
      </c>
      <c r="Q20" s="2900" t="n">
        <v>0</v>
      </c>
      <c r="R20" s="2490">
        <f>SUM(F20:Q20)</f>
        <v/>
      </c>
      <c r="S20" s="2278">
        <f>R20/$V$8</f>
        <v/>
      </c>
      <c r="T20" s="430" t="n"/>
    </row>
    <row r="21">
      <c r="B21" s="415" t="n"/>
      <c r="C21" s="423" t="n"/>
      <c r="D21" s="423" t="inlineStr">
        <is>
          <t>기타</t>
        </is>
      </c>
      <c r="E21" s="456" t="n"/>
      <c r="F21" s="2511">
        <f>F18-SUM(F19:F20)</f>
        <v/>
      </c>
      <c r="G21" s="2299">
        <f>G18-SUM(G19:G20)</f>
        <v/>
      </c>
      <c r="H21" s="2299">
        <f>H18-SUM(H19:H20)</f>
        <v/>
      </c>
      <c r="I21" s="2299">
        <f>I18-SUM(I19:I20)</f>
        <v/>
      </c>
      <c r="J21" s="2299">
        <f>J18-SUM(J19:J20)</f>
        <v/>
      </c>
      <c r="K21" s="2299">
        <f>K18-SUM(K19:K20)</f>
        <v/>
      </c>
      <c r="L21" s="2299">
        <f>L18-SUM(L19:L20)</f>
        <v/>
      </c>
      <c r="M21" s="2299">
        <f>M18-SUM(M19:M20)</f>
        <v/>
      </c>
      <c r="N21" s="2299">
        <f>N18-SUM(N19:N20)</f>
        <v/>
      </c>
      <c r="O21" s="2299">
        <f>O18-SUM(O19:O20)</f>
        <v/>
      </c>
      <c r="P21" s="2299">
        <f>P18-SUM(P19:P20)</f>
        <v/>
      </c>
      <c r="Q21" s="2908">
        <f>Q18-SUM(Q19:Q20)</f>
        <v/>
      </c>
      <c r="R21" s="2512">
        <f>SUM(F21:Q21)</f>
        <v/>
      </c>
      <c r="S21" s="2301">
        <f>R21/$V$8</f>
        <v/>
      </c>
      <c r="T21" s="462" t="n"/>
    </row>
    <row r="22">
      <c r="B22" s="415" t="n"/>
      <c r="C22" s="423" t="n"/>
      <c r="D22" s="539" t="n"/>
      <c r="E22" s="1666" t="inlineStr">
        <is>
          <t>제세공과금</t>
        </is>
      </c>
      <c r="F22" s="2489" t="n">
        <v>0.85</v>
      </c>
      <c r="G22" s="2275" t="n">
        <v>0.83</v>
      </c>
      <c r="H22" s="2275" t="n">
        <v>0.71</v>
      </c>
      <c r="I22" s="2275" t="n">
        <v>1.25</v>
      </c>
      <c r="J22" s="2275" t="n">
        <v>1.27</v>
      </c>
      <c r="K22" s="2275" t="n">
        <v>1.15</v>
      </c>
      <c r="L22" s="2275" t="n">
        <v>1.08</v>
      </c>
      <c r="M22" s="2275" t="n">
        <v>1.05</v>
      </c>
      <c r="N22" s="2275" t="n">
        <v>1.15</v>
      </c>
      <c r="O22" s="2275" t="n">
        <v>0.76</v>
      </c>
      <c r="P22" s="2899" t="n">
        <v>0.3</v>
      </c>
      <c r="Q22" s="2900" t="n">
        <v>0.09</v>
      </c>
      <c r="R22" s="2516">
        <f>SUM(F22:Q22)</f>
        <v/>
      </c>
      <c r="S22" s="2283">
        <f>R22/$V$8</f>
        <v/>
      </c>
      <c r="T22" s="422" t="n"/>
    </row>
    <row r="23">
      <c r="B23" s="415" t="n"/>
      <c r="C23" s="423" t="n"/>
      <c r="D23" s="539" t="n"/>
      <c r="E23" s="541" t="inlineStr">
        <is>
          <t>전산관련지출</t>
        </is>
      </c>
      <c r="F23" s="2489" t="n">
        <v>0.04</v>
      </c>
      <c r="G23" s="2275" t="n">
        <v>1.02</v>
      </c>
      <c r="H23" s="2275" t="n">
        <v>0.2</v>
      </c>
      <c r="I23" s="2275" t="n">
        <v>2.09</v>
      </c>
      <c r="J23" s="2275" t="n">
        <v>0.19</v>
      </c>
      <c r="K23" s="2275" t="n">
        <v>0.28</v>
      </c>
      <c r="L23" s="2275" t="n">
        <v>0.3</v>
      </c>
      <c r="M23" s="2275" t="n">
        <v>0.55</v>
      </c>
      <c r="N23" s="2275" t="n">
        <v>0.32</v>
      </c>
      <c r="O23" s="2275" t="n">
        <v>0.59</v>
      </c>
      <c r="P23" s="2899" t="n">
        <v>0.52</v>
      </c>
      <c r="Q23" s="2900" t="n">
        <v>0.34</v>
      </c>
      <c r="R23" s="2517">
        <f>SUM(F23:Q23)</f>
        <v/>
      </c>
      <c r="S23" s="2278">
        <f>R23/$V$8</f>
        <v/>
      </c>
      <c r="T23" s="430" t="n"/>
    </row>
    <row r="24">
      <c r="B24" s="415" t="n"/>
      <c r="C24" s="423" t="n"/>
      <c r="D24" s="539" t="n"/>
      <c r="E24" s="541" t="inlineStr">
        <is>
          <t>경영, 업무지원, 운영용역비</t>
        </is>
      </c>
      <c r="F24" s="2489" t="n">
        <v>1.03</v>
      </c>
      <c r="G24" s="2275" t="n">
        <v>0.7</v>
      </c>
      <c r="H24" s="2275" t="n">
        <v>0.68</v>
      </c>
      <c r="I24" s="2275" t="n">
        <v>1.74</v>
      </c>
      <c r="J24" s="2275" t="n">
        <v>1.7</v>
      </c>
      <c r="K24" s="2275" t="n">
        <v>1.92</v>
      </c>
      <c r="L24" s="2275" t="n">
        <v>2.72</v>
      </c>
      <c r="M24" s="2275" t="n">
        <v>2.35</v>
      </c>
      <c r="N24" s="2275" t="n">
        <v>2.15</v>
      </c>
      <c r="O24" s="2275" t="n">
        <v>1.91</v>
      </c>
      <c r="P24" s="2899" t="n">
        <v>0.36</v>
      </c>
      <c r="Q24" s="2900" t="n">
        <v>0.15</v>
      </c>
      <c r="R24" s="2517">
        <f>SUM(F24:Q24)</f>
        <v/>
      </c>
      <c r="S24" s="2278">
        <f>R24/$V$8</f>
        <v/>
      </c>
      <c r="T24" s="430" t="n"/>
    </row>
    <row r="25">
      <c r="B25" s="415" t="n"/>
      <c r="C25" s="423" t="n"/>
      <c r="D25" s="539" t="n"/>
      <c r="E25" s="541" t="inlineStr">
        <is>
          <t>복리후생비</t>
        </is>
      </c>
      <c r="F25" s="2489" t="n">
        <v>0.37</v>
      </c>
      <c r="G25" s="2275" t="n">
        <v>0.0445</v>
      </c>
      <c r="H25" s="2275" t="n">
        <v>0.0619</v>
      </c>
      <c r="I25" s="2275" t="n">
        <v>0.083</v>
      </c>
      <c r="J25" s="2275" t="n">
        <v>0.07489999999999999</v>
      </c>
      <c r="K25" s="2275" t="n">
        <v>0.46</v>
      </c>
      <c r="L25" s="2275" t="n">
        <v>0.042</v>
      </c>
      <c r="M25" s="2275" t="n">
        <v>0.05</v>
      </c>
      <c r="N25" s="2275" t="n">
        <v>0.061</v>
      </c>
      <c r="O25" s="2275" t="n">
        <v>0.32</v>
      </c>
      <c r="P25" s="2899" t="n">
        <v>0.018</v>
      </c>
      <c r="Q25" s="2900" t="n">
        <v>0.02</v>
      </c>
      <c r="R25" s="2517">
        <f>SUM(F25:Q25)</f>
        <v/>
      </c>
      <c r="S25" s="2278">
        <f>R25/$V$8</f>
        <v/>
      </c>
      <c r="T25" s="430" t="inlineStr">
        <is>
          <t>○ 동호회비, 건강검진비용, 명절 선물대금 등</t>
        </is>
      </c>
    </row>
    <row r="26">
      <c r="B26" s="415" t="n"/>
      <c r="C26" s="423" t="n"/>
      <c r="D26" s="539" t="n"/>
      <c r="E26" s="541" t="inlineStr">
        <is>
          <t>식당, 카페, 매점 등 운영비</t>
        </is>
      </c>
      <c r="F26" s="2489" t="n">
        <v>0.362</v>
      </c>
      <c r="G26" s="2275" t="n">
        <v>0.344</v>
      </c>
      <c r="H26" s="2275" t="n">
        <v>0.357</v>
      </c>
      <c r="I26" s="2275" t="n">
        <v>0.424</v>
      </c>
      <c r="J26" s="2275" t="n">
        <v>0.398</v>
      </c>
      <c r="K26" s="2275" t="n">
        <v>0.402</v>
      </c>
      <c r="L26" s="2275" t="n">
        <v>0.408</v>
      </c>
      <c r="M26" s="2275" t="n">
        <v>0.423</v>
      </c>
      <c r="N26" s="2275" t="n">
        <v>0.397</v>
      </c>
      <c r="O26" s="2275" t="n">
        <v>0.3</v>
      </c>
      <c r="P26" s="2899" t="n">
        <v>0.11</v>
      </c>
      <c r="Q26" s="2900" t="n">
        <v>0.07000000000000001</v>
      </c>
      <c r="R26" s="2517">
        <f>SUM(F26:Q26)</f>
        <v/>
      </c>
      <c r="S26" s="2278">
        <f>R26/$V$8</f>
        <v/>
      </c>
      <c r="T26" s="430" t="n"/>
    </row>
    <row r="27">
      <c r="B27" s="415" t="n"/>
      <c r="C27" s="423" t="n"/>
      <c r="D27" s="539" t="n"/>
      <c r="E27" s="423" t="inlineStr">
        <is>
          <t>직원비용, 복지포인트 사용비</t>
        </is>
      </c>
      <c r="F27" s="2489" t="n">
        <v>0.43</v>
      </c>
      <c r="G27" s="2275" t="n">
        <v>0.71</v>
      </c>
      <c r="H27" s="2275" t="n">
        <v>0.68</v>
      </c>
      <c r="I27" s="2275" t="n">
        <v>0.61</v>
      </c>
      <c r="J27" s="2275" t="n">
        <v>0.55</v>
      </c>
      <c r="K27" s="2275" t="n">
        <v>0.59</v>
      </c>
      <c r="L27" s="2275" t="n">
        <v>0.38</v>
      </c>
      <c r="M27" s="2275" t="n">
        <v>0.41</v>
      </c>
      <c r="N27" s="2275" t="n">
        <v>0.38</v>
      </c>
      <c r="O27" s="2275" t="n">
        <v>0.44</v>
      </c>
      <c r="P27" s="2899" t="n">
        <v>0.37</v>
      </c>
      <c r="Q27" s="2900" t="n">
        <v>0.13</v>
      </c>
      <c r="R27" s="2517">
        <f>SUM(F27:Q27)</f>
        <v/>
      </c>
      <c r="S27" s="2278">
        <f>R27/$V$8</f>
        <v/>
      </c>
      <c r="T27" s="430" t="n"/>
    </row>
    <row r="28">
      <c r="B28" s="415" t="n"/>
      <c r="C28" s="423" t="n"/>
      <c r="D28" s="539" t="n"/>
      <c r="E28" s="423" t="inlineStr">
        <is>
          <t>임차료, 관리비</t>
        </is>
      </c>
      <c r="F28" s="2489" t="n">
        <v>0.03</v>
      </c>
      <c r="G28" s="2275" t="n">
        <v>0.04</v>
      </c>
      <c r="H28" s="2275" t="n">
        <v>0.27</v>
      </c>
      <c r="I28" s="2275" t="n">
        <v>0.06</v>
      </c>
      <c r="J28" s="2275" t="n">
        <v>0.35</v>
      </c>
      <c r="K28" s="2275" t="n">
        <v>0.046</v>
      </c>
      <c r="L28" s="2275" t="n">
        <v>0.05</v>
      </c>
      <c r="M28" s="2275" t="n">
        <v>0.06</v>
      </c>
      <c r="N28" s="2275" t="n">
        <v>0.369</v>
      </c>
      <c r="O28" s="2275" t="n">
        <v>0.369</v>
      </c>
      <c r="P28" s="2899" t="n">
        <v>0.16</v>
      </c>
      <c r="Q28" s="2900" t="n">
        <v>0.1</v>
      </c>
      <c r="R28" s="2517">
        <f>SUM(F28:Q28)</f>
        <v/>
      </c>
      <c r="S28" s="2278">
        <f>R28/$V$8</f>
        <v/>
      </c>
      <c r="T28" s="430" t="n"/>
    </row>
    <row r="29">
      <c r="B29" s="415" t="n"/>
      <c r="C29" s="423" t="n"/>
      <c r="D29" s="539" t="n"/>
      <c r="E29" s="423" t="inlineStr">
        <is>
          <t>지급수수료</t>
        </is>
      </c>
      <c r="F29" s="2489" t="n">
        <v>1.18</v>
      </c>
      <c r="G29" s="2275" t="n">
        <v>0.16</v>
      </c>
      <c r="H29" s="2275" t="n">
        <v>0.046</v>
      </c>
      <c r="I29" s="2275" t="n">
        <v>0.037</v>
      </c>
      <c r="J29" s="2275" t="n">
        <v>0.065</v>
      </c>
      <c r="K29" s="2275" t="n">
        <v>0.068</v>
      </c>
      <c r="L29" s="2275" t="n">
        <v>0.061</v>
      </c>
      <c r="M29" s="2275" t="n">
        <v>0.09</v>
      </c>
      <c r="N29" s="2275" t="n">
        <v>0.09</v>
      </c>
      <c r="O29" s="2275" t="n">
        <v>0.21</v>
      </c>
      <c r="P29" s="2899" t="n">
        <v>0.01</v>
      </c>
      <c r="Q29" s="2900" t="n">
        <v>0.05</v>
      </c>
      <c r="R29" s="2517">
        <f>SUM(F29:Q29)</f>
        <v/>
      </c>
      <c r="S29" s="2278">
        <f>R29/$V$8</f>
        <v/>
      </c>
      <c r="T29" s="430" t="inlineStr">
        <is>
          <t>○ 1월: 메타버스 정보보호 컨설팅수수료 0.99백만</t>
        </is>
      </c>
    </row>
    <row r="30">
      <c r="B30" s="415" t="n"/>
      <c r="C30" s="423" t="n"/>
      <c r="D30" s="540" t="n"/>
      <c r="E30" s="455" t="inlineStr">
        <is>
          <t>통신비등</t>
        </is>
      </c>
      <c r="F30" s="2489" t="n">
        <v>0.5080000000000009</v>
      </c>
      <c r="G30" s="2275" t="n">
        <v>0.2015000000000007</v>
      </c>
      <c r="H30" s="2275" t="n">
        <v>0.2150999999999992</v>
      </c>
      <c r="I30" s="2275" t="n">
        <v>0.2059999999999995</v>
      </c>
      <c r="J30" s="2275" t="n">
        <v>0.1020999999999992</v>
      </c>
      <c r="K30" s="2275" t="n">
        <v>0.444</v>
      </c>
      <c r="L30" s="2275" t="n">
        <v>0.3390000000000004</v>
      </c>
      <c r="M30" s="2275" t="n">
        <v>0.4070000000000009</v>
      </c>
      <c r="N30" s="2275">
        <f>N21-SUM(N22:N29)</f>
        <v/>
      </c>
      <c r="O30" s="2275" t="n">
        <v>0.09099999999999842</v>
      </c>
      <c r="P30" s="2417">
        <f>P21-SUM(P22:P29)</f>
        <v/>
      </c>
      <c r="Q30" s="2900">
        <f>Q21-SUM(Q22:Q29)</f>
        <v/>
      </c>
      <c r="R30" s="2518">
        <f>SUM(F30:Q30)</f>
        <v/>
      </c>
      <c r="S30" s="2301">
        <f>R30/$V$8</f>
        <v/>
      </c>
      <c r="T30" s="462" t="n"/>
    </row>
    <row r="31" ht="17.45" customHeight="1">
      <c r="B31" s="415" t="n"/>
      <c r="C31" s="1666" t="inlineStr">
        <is>
          <t>비경상</t>
        </is>
      </c>
      <c r="D31" s="2265" t="n"/>
      <c r="E31" s="2265" t="n"/>
      <c r="F31" s="2494">
        <f>SUM(F32:F35)</f>
        <v/>
      </c>
      <c r="G31" s="2280">
        <f>SUM(G32:G35)</f>
        <v/>
      </c>
      <c r="H31" s="2280">
        <f>SUM(H32:H35)</f>
        <v/>
      </c>
      <c r="I31" s="2280">
        <f>SUM(I32:I35)</f>
        <v/>
      </c>
      <c r="J31" s="2280">
        <f>SUM(J32:J35)</f>
        <v/>
      </c>
      <c r="K31" s="2280">
        <f>SUM(K32:K35)</f>
        <v/>
      </c>
      <c r="L31" s="2280">
        <f>SUM(L32:L35)</f>
        <v/>
      </c>
      <c r="M31" s="2280">
        <f>SUM(M32:M35)</f>
        <v/>
      </c>
      <c r="N31" s="2280">
        <f>SUM(N32:N35)</f>
        <v/>
      </c>
      <c r="O31" s="2280">
        <f>SUM(O32:O35)</f>
        <v/>
      </c>
      <c r="P31" s="2901">
        <f>SUM(P32:P35)</f>
        <v/>
      </c>
      <c r="Q31" s="2902">
        <f>SUM(Q32:Q35)</f>
        <v/>
      </c>
      <c r="R31" s="2495">
        <f>SUM(F31:Q31)</f>
        <v/>
      </c>
      <c r="S31" s="2283">
        <f>R31/$V$8</f>
        <v/>
      </c>
      <c r="T31" s="422" t="n"/>
    </row>
    <row r="32" ht="17.45" customHeight="1">
      <c r="B32" s="415" t="n"/>
      <c r="C32" s="423" t="n"/>
      <c r="D32" s="1666" t="inlineStr">
        <is>
          <t>지식재산권 양수</t>
        </is>
      </c>
      <c r="E32" s="500" t="n"/>
      <c r="F32" s="2494" t="n"/>
      <c r="G32" s="2280" t="n"/>
      <c r="H32" s="2280" t="n"/>
      <c r="I32" s="2280" t="n"/>
      <c r="J32" s="2280" t="n"/>
      <c r="K32" s="2280" t="n"/>
      <c r="L32" s="2280" t="n"/>
      <c r="M32" s="2280" t="n"/>
      <c r="N32" s="2280" t="n"/>
      <c r="O32" s="2280" t="n"/>
      <c r="P32" s="2901" t="n"/>
      <c r="Q32" s="2902" t="n"/>
      <c r="R32" s="2495">
        <f>SUM(F32:Q32)</f>
        <v/>
      </c>
      <c r="S32" s="2283">
        <f>R32/$V$8</f>
        <v/>
      </c>
      <c r="T32" s="422" t="n"/>
    </row>
    <row r="33" ht="17.45" customHeight="1">
      <c r="B33" s="415" t="n"/>
      <c r="C33" s="423" t="n"/>
      <c r="D33" s="423" t="inlineStr">
        <is>
          <t>임대보증금</t>
        </is>
      </c>
      <c r="E33" s="501" t="n"/>
      <c r="F33" s="2489" t="n"/>
      <c r="G33" s="2275" t="n">
        <v>1.75</v>
      </c>
      <c r="H33" s="2275" t="n"/>
      <c r="I33" s="2275" t="n">
        <v>1.8</v>
      </c>
      <c r="J33" s="2275" t="n"/>
      <c r="K33" s="2275" t="n"/>
      <c r="L33" s="2275" t="n"/>
      <c r="M33" s="2275" t="n"/>
      <c r="N33" s="2275" t="n"/>
      <c r="O33" s="2275" t="n"/>
      <c r="P33" s="2899" t="n"/>
      <c r="Q33" s="2900" t="n"/>
      <c r="R33" s="2490">
        <f>SUM(F33:Q33)</f>
        <v/>
      </c>
      <c r="S33" s="2278">
        <f>R33/$V$8</f>
        <v/>
      </c>
      <c r="T33" s="430" t="n"/>
    </row>
    <row r="34" ht="17.45" customHeight="1">
      <c r="B34" s="415" t="n"/>
      <c r="C34" s="423" t="n"/>
      <c r="D34" s="423" t="inlineStr">
        <is>
          <t>시설장치</t>
        </is>
      </c>
      <c r="E34" s="501" t="n"/>
      <c r="F34" s="2489" t="n"/>
      <c r="G34" s="2275" t="n"/>
      <c r="H34" s="2275" t="n">
        <v>1</v>
      </c>
      <c r="I34" s="2275" t="n">
        <v>1</v>
      </c>
      <c r="J34" s="2275" t="n">
        <v>0.2</v>
      </c>
      <c r="K34" s="2275" t="n"/>
      <c r="L34" s="2275" t="n"/>
      <c r="M34" s="2275" t="n"/>
      <c r="N34" s="2275" t="n"/>
      <c r="O34" s="2275" t="n"/>
      <c r="P34" s="2899" t="n"/>
      <c r="Q34" s="2900" t="n"/>
      <c r="R34" s="2490">
        <f>SUM(F34:Q34)</f>
        <v/>
      </c>
      <c r="S34" s="2278">
        <f>R34/$V$8</f>
        <v/>
      </c>
      <c r="T34" s="430" t="inlineStr">
        <is>
          <t>○ 5월: B동 24층 네트워크 케이블 공사비</t>
        </is>
      </c>
    </row>
    <row r="35" ht="17.45" customHeight="1">
      <c r="B35" s="415" t="n"/>
      <c r="C35" s="423" t="n"/>
      <c r="D35" s="423" t="inlineStr">
        <is>
          <t>기타</t>
        </is>
      </c>
      <c r="E35" s="415" t="n"/>
      <c r="F35" s="2489" t="n"/>
      <c r="G35" s="2275" t="n"/>
      <c r="H35" s="2275" t="n"/>
      <c r="I35" s="2275" t="n"/>
      <c r="J35" s="2275" t="n"/>
      <c r="K35" s="2275" t="n"/>
      <c r="L35" s="2275" t="n"/>
      <c r="M35" s="2275" t="n"/>
      <c r="N35" s="2275" t="n"/>
      <c r="O35" s="2275" t="n"/>
      <c r="P35" s="2899" t="n"/>
      <c r="Q35" s="2900" t="n"/>
      <c r="R35" s="2490">
        <f>SUM(F35:Q35)</f>
        <v/>
      </c>
      <c r="S35" s="2278">
        <f>R35/$V$8</f>
        <v/>
      </c>
      <c r="T35" s="430" t="n"/>
    </row>
    <row r="36">
      <c r="B36" s="1662" t="inlineStr">
        <is>
          <t xml:space="preserve"> D. 자금수지차 (=B-C)</t>
        </is>
      </c>
      <c r="C36" s="1941" t="n"/>
      <c r="D36" s="1941" t="n"/>
      <c r="E36" s="1941" t="n"/>
      <c r="F36" s="2504">
        <f>F12-F17</f>
        <v/>
      </c>
      <c r="G36" s="2292">
        <f>G12-G17</f>
        <v/>
      </c>
      <c r="H36" s="2292">
        <f>H12-H17</f>
        <v/>
      </c>
      <c r="I36" s="2292">
        <f>I12-I17</f>
        <v/>
      </c>
      <c r="J36" s="2292">
        <f>J12-J17</f>
        <v/>
      </c>
      <c r="K36" s="2292">
        <f>K12-K17</f>
        <v/>
      </c>
      <c r="L36" s="2292">
        <f>L12-L17</f>
        <v/>
      </c>
      <c r="M36" s="2292">
        <f>M12-M17</f>
        <v/>
      </c>
      <c r="N36" s="2292">
        <f>N12-N17</f>
        <v/>
      </c>
      <c r="O36" s="2292">
        <f>O12-O17</f>
        <v/>
      </c>
      <c r="P36" s="2905">
        <f>P12-P17</f>
        <v/>
      </c>
      <c r="Q36" s="2906">
        <f>Q12-Q17</f>
        <v/>
      </c>
      <c r="R36" s="2505">
        <f>R12-R17</f>
        <v/>
      </c>
      <c r="S36" s="2295">
        <f>R36/$V$8</f>
        <v/>
      </c>
      <c r="T36" s="466" t="n"/>
    </row>
    <row r="37">
      <c r="B37" s="467" t="n"/>
      <c r="C37" s="468" t="inlineStr">
        <is>
          <t xml:space="preserve"> D-1. 경상수지차</t>
        </is>
      </c>
      <c r="D37" s="468" t="n"/>
      <c r="E37" s="468" t="n"/>
      <c r="F37" s="2519">
        <f>F13-F18</f>
        <v/>
      </c>
      <c r="G37" s="2303">
        <f>G13-G18</f>
        <v/>
      </c>
      <c r="H37" s="2303">
        <f>H13-H18</f>
        <v/>
      </c>
      <c r="I37" s="2303">
        <f>I13-I18</f>
        <v/>
      </c>
      <c r="J37" s="2303">
        <f>J13-J18</f>
        <v/>
      </c>
      <c r="K37" s="2303">
        <f>K13-K18</f>
        <v/>
      </c>
      <c r="L37" s="2303">
        <f>L13-L18</f>
        <v/>
      </c>
      <c r="M37" s="2303">
        <f>M13-M18</f>
        <v/>
      </c>
      <c r="N37" s="2303">
        <f>N13-N18</f>
        <v/>
      </c>
      <c r="O37" s="2303">
        <f>O13-O18</f>
        <v/>
      </c>
      <c r="P37" s="2909">
        <f>P13-P18</f>
        <v/>
      </c>
      <c r="Q37" s="2910">
        <f>Q13-Q18</f>
        <v/>
      </c>
      <c r="R37" s="2520">
        <f>R13-R18</f>
        <v/>
      </c>
      <c r="S37" s="2306">
        <f>R37/$V$8</f>
        <v/>
      </c>
      <c r="T37" s="475" t="n"/>
    </row>
    <row r="38" ht="15.6" customHeight="1">
      <c r="B38" s="1662" t="inlineStr">
        <is>
          <t xml:space="preserve"> E. 자금조달(증자)</t>
        </is>
      </c>
      <c r="C38" s="1941" t="n"/>
      <c r="D38" s="1941" t="n"/>
      <c r="E38" s="1941" t="n"/>
      <c r="F38" s="2504" t="n"/>
      <c r="G38" s="2292" t="n"/>
      <c r="H38" s="2292" t="n"/>
      <c r="I38" s="2292" t="n"/>
      <c r="J38" s="2292" t="n"/>
      <c r="K38" s="2292" t="n"/>
      <c r="L38" s="2292" t="n"/>
      <c r="M38" s="2292" t="n"/>
      <c r="N38" s="2292" t="n"/>
      <c r="O38" s="2292" t="n"/>
      <c r="P38" s="2905" t="n"/>
      <c r="Q38" s="2906" t="n"/>
      <c r="R38" s="2524">
        <f>SUM(F38:Q38)</f>
        <v/>
      </c>
      <c r="S38" s="2295">
        <f>R38/$V$8</f>
        <v/>
      </c>
      <c r="T38" s="478" t="n"/>
    </row>
    <row r="39" hidden="1">
      <c r="B39" s="415" t="n"/>
      <c r="C39" s="415" t="n"/>
      <c r="D39" s="415" t="n"/>
      <c r="E39" s="415" t="n"/>
      <c r="F39" s="2489" t="n"/>
      <c r="G39" s="2275" t="n"/>
      <c r="H39" s="2275" t="n"/>
      <c r="I39" s="2275" t="n"/>
      <c r="J39" s="2275" t="n"/>
      <c r="K39" s="2275" t="n"/>
      <c r="L39" s="2275" t="n"/>
      <c r="M39" s="2275" t="n"/>
      <c r="N39" s="2275" t="n"/>
      <c r="O39" s="2275" t="n"/>
      <c r="P39" s="2899" t="n"/>
      <c r="Q39" s="2900" t="n"/>
      <c r="R39" s="2490" t="n"/>
      <c r="S39" s="2278" t="n"/>
      <c r="T39" s="481" t="n"/>
    </row>
    <row r="40" hidden="1">
      <c r="B40" s="415" t="n"/>
      <c r="C40" s="415" t="n"/>
      <c r="D40" s="415" t="n"/>
      <c r="E40" s="415" t="n"/>
      <c r="F40" s="2489" t="n"/>
      <c r="G40" s="2275" t="n"/>
      <c r="H40" s="2275" t="n"/>
      <c r="I40" s="2275" t="n"/>
      <c r="J40" s="2275" t="n"/>
      <c r="K40" s="2275" t="n"/>
      <c r="L40" s="2275" t="n"/>
      <c r="M40" s="2275" t="n"/>
      <c r="N40" s="2275" t="n"/>
      <c r="O40" s="2275" t="n"/>
      <c r="P40" s="2899" t="n"/>
      <c r="Q40" s="2900" t="n"/>
      <c r="R40" s="2490" t="n"/>
      <c r="S40" s="2278" t="n"/>
      <c r="T40" s="481" t="n"/>
    </row>
    <row r="41" hidden="1">
      <c r="B41" s="436" t="n"/>
      <c r="C41" s="436" t="n"/>
      <c r="D41" s="436" t="n"/>
      <c r="E41" s="436" t="n"/>
      <c r="F41" s="2499" t="n"/>
      <c r="G41" s="2286" t="n"/>
      <c r="H41" s="2286" t="n"/>
      <c r="I41" s="2286" t="n"/>
      <c r="J41" s="2286" t="n"/>
      <c r="K41" s="2286" t="n"/>
      <c r="L41" s="2286" t="n"/>
      <c r="M41" s="2286" t="n"/>
      <c r="N41" s="2286" t="n"/>
      <c r="O41" s="2286" t="n"/>
      <c r="P41" s="2903" t="n"/>
      <c r="Q41" s="2904" t="n"/>
      <c r="R41" s="2500" t="n"/>
      <c r="S41" s="2289" t="n"/>
      <c r="T41" s="483" t="n"/>
    </row>
    <row r="42" customFormat="1" s="399">
      <c r="B42" s="1664" t="inlineStr">
        <is>
          <t xml:space="preserve"> F. 기말잔고(=A+D+E)</t>
        </is>
      </c>
      <c r="C42" s="1864" t="n"/>
      <c r="D42" s="1864" t="n"/>
      <c r="E42" s="1864" t="n"/>
      <c r="F42" s="2525">
        <f>F11+F36+F38</f>
        <v/>
      </c>
      <c r="G42" s="2314">
        <f>G11+G36+G38</f>
        <v/>
      </c>
      <c r="H42" s="2314">
        <f>H11+H36+H38</f>
        <v/>
      </c>
      <c r="I42" s="2314">
        <f>I11+I36+I38</f>
        <v/>
      </c>
      <c r="J42" s="2314">
        <f>J11+J36+J38</f>
        <v/>
      </c>
      <c r="K42" s="2314">
        <f>K11+K36+K38</f>
        <v/>
      </c>
      <c r="L42" s="2314">
        <f>L11+L36+L38</f>
        <v/>
      </c>
      <c r="M42" s="2314">
        <f>M11+M36+M38</f>
        <v/>
      </c>
      <c r="N42" s="2314">
        <f>N11+N36+N38</f>
        <v/>
      </c>
      <c r="O42" s="2314">
        <f>O11+O36+O38</f>
        <v/>
      </c>
      <c r="P42" s="2911">
        <f>P11+P36+P38</f>
        <v/>
      </c>
      <c r="Q42" s="2912">
        <f>Q11+Q36+Q38</f>
        <v/>
      </c>
      <c r="R42" s="2526">
        <f>R11+R36+R38</f>
        <v/>
      </c>
      <c r="S42" s="2317">
        <f>R42/$V$8</f>
        <v/>
      </c>
      <c r="T42" s="490" t="n"/>
      <c r="W42" s="407" t="n"/>
      <c r="X42" s="407" t="n"/>
    </row>
    <row r="43">
      <c r="F43" s="2318" t="n"/>
      <c r="G43" s="2318" t="n"/>
      <c r="H43" s="2318" t="n"/>
      <c r="I43" s="2318" t="n"/>
      <c r="J43" s="2318" t="n"/>
      <c r="K43" s="2318" t="n"/>
      <c r="L43" s="2318" t="n"/>
      <c r="M43" s="2318" t="n"/>
      <c r="N43" s="2318" t="n"/>
      <c r="O43" s="2318" t="n"/>
      <c r="P43" s="2318" t="n"/>
      <c r="Q43" s="2318" t="n"/>
      <c r="R43" s="2318" t="n"/>
    </row>
  </sheetData>
  <mergeCells count="14">
    <mergeCell ref="F8:S8"/>
    <mergeCell ref="B17:E17"/>
    <mergeCell ref="C13:E13"/>
    <mergeCell ref="B12:E12"/>
    <mergeCell ref="C31:E31"/>
    <mergeCell ref="B38:E38"/>
    <mergeCell ref="C15:E15"/>
    <mergeCell ref="C18:E18"/>
    <mergeCell ref="B8:E10"/>
    <mergeCell ref="B11:E11"/>
    <mergeCell ref="T8:T10"/>
    <mergeCell ref="B42:E42"/>
    <mergeCell ref="F9:Q9"/>
    <mergeCell ref="B36:E36"/>
  </mergeCells>
  <conditionalFormatting sqref="C1:T6">
    <cfRule type="cellIs" priority="7" operator="equal" dxfId="5">
      <formula>0</formula>
    </cfRule>
  </conditionalFormatting>
  <conditionalFormatting sqref="C43:T1048576">
    <cfRule type="cellIs" priority="9" operator="equal" dxfId="5">
      <formula>0</formula>
    </cfRule>
  </conditionalFormatting>
  <conditionalFormatting sqref="F38:Q42">
    <cfRule type="cellIs" priority="8" operator="equal" dxfId="0">
      <formula>0</formula>
    </cfRule>
  </conditionalFormatting>
  <conditionalFormatting sqref="F11:S12 F14:S17 F18:O18 F19:S29 F30:Q36 H13 K13:L13 N13:O13 R13:S13 R18:S18 R30:S42">
    <cfRule type="cellIs" priority="4" operator="equal" dxfId="0">
      <formula>0</formula>
    </cfRule>
  </conditionalFormatting>
  <conditionalFormatting sqref="F11:S12 F14:S17 F18:O18 F19:S42 H13 K13:L13 N13:O13 R13:S13 R18:S18">
    <cfRule type="cellIs" priority="5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71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T35"/>
  <sheetViews>
    <sheetView topLeftCell="A6" workbookViewId="0">
      <selection activeCell="A4" sqref="A4:F5"/>
    </sheetView>
  </sheetViews>
  <sheetFormatPr baseColWidth="8" defaultRowHeight="16.5"/>
  <cols>
    <col width="16.125" customWidth="1" min="5" max="5"/>
    <col width="53.625" customWidth="1" min="20" max="20"/>
  </cols>
  <sheetData>
    <row r="1">
      <c r="A1" s="2913" t="inlineStr">
        <is>
          <t>구분</t>
        </is>
      </c>
      <c r="B1" s="2744" t="n"/>
      <c r="C1" s="2744" t="n"/>
      <c r="D1" s="2744" t="n"/>
      <c r="E1" s="2696" t="n"/>
      <c r="F1" s="2914" t="inlineStr">
        <is>
          <t>2025년</t>
        </is>
      </c>
      <c r="G1" s="2666" t="n"/>
      <c r="H1" s="2666" t="n"/>
      <c r="I1" s="2666" t="n"/>
      <c r="J1" s="2666" t="n"/>
      <c r="K1" s="2666" t="n"/>
      <c r="L1" s="2666" t="n"/>
      <c r="M1" s="2666" t="n"/>
      <c r="N1" s="2666" t="n"/>
      <c r="O1" s="2666" t="n"/>
      <c r="P1" s="2666" t="n"/>
      <c r="Q1" s="2666" t="n"/>
      <c r="R1" s="2666" t="n"/>
      <c r="S1" s="2704" t="n"/>
      <c r="T1" s="2915" t="inlineStr">
        <is>
          <t>세부사항</t>
        </is>
      </c>
    </row>
    <row r="2" ht="23.25" customHeight="1">
      <c r="A2" s="2748" t="n"/>
      <c r="E2" s="2749" t="n"/>
      <c r="F2" s="721" t="inlineStr">
        <is>
          <t>실적</t>
        </is>
      </c>
      <c r="G2" s="2916" t="n"/>
      <c r="H2" s="723" t="inlineStr">
        <is>
          <t>계획</t>
        </is>
      </c>
      <c r="I2" s="2666" t="n"/>
      <c r="J2" s="2666" t="n"/>
      <c r="K2" s="2666" t="n"/>
      <c r="L2" s="2666" t="n"/>
      <c r="M2" s="2666" t="n"/>
      <c r="N2" s="2666" t="n"/>
      <c r="O2" s="2666" t="n"/>
      <c r="P2" s="2666" t="n"/>
      <c r="Q2" s="2704" t="n"/>
      <c r="R2" s="719" t="n"/>
      <c r="S2" s="720" t="n"/>
      <c r="T2" s="2752" t="n"/>
    </row>
    <row r="3">
      <c r="A3" s="2753" t="n"/>
      <c r="B3" s="2701" t="n"/>
      <c r="C3" s="2701" t="n"/>
      <c r="D3" s="2701" t="n"/>
      <c r="E3" s="2702" t="n"/>
      <c r="F3" s="721" t="inlineStr">
        <is>
          <t>1월</t>
        </is>
      </c>
      <c r="G3" s="722" t="inlineStr">
        <is>
          <t>2월</t>
        </is>
      </c>
      <c r="H3" s="722" t="inlineStr">
        <is>
          <t>3월</t>
        </is>
      </c>
      <c r="I3" s="722" t="inlineStr">
        <is>
          <t>4월</t>
        </is>
      </c>
      <c r="J3" s="722" t="inlineStr">
        <is>
          <t>5월</t>
        </is>
      </c>
      <c r="K3" s="722" t="inlineStr">
        <is>
          <t>6월</t>
        </is>
      </c>
      <c r="L3" s="722" t="inlineStr">
        <is>
          <t>7월</t>
        </is>
      </c>
      <c r="M3" s="722" t="inlineStr">
        <is>
          <t>8월</t>
        </is>
      </c>
      <c r="N3" s="722" t="inlineStr">
        <is>
          <t>9월</t>
        </is>
      </c>
      <c r="O3" s="722" t="inlineStr">
        <is>
          <t>10월</t>
        </is>
      </c>
      <c r="P3" s="722" t="inlineStr">
        <is>
          <t>11월</t>
        </is>
      </c>
      <c r="Q3" s="723" t="inlineStr">
        <is>
          <t>12월</t>
        </is>
      </c>
      <c r="R3" s="724" t="inlineStr">
        <is>
          <t>합계</t>
        </is>
      </c>
      <c r="S3" s="725" t="inlineStr">
        <is>
          <t>평균</t>
        </is>
      </c>
      <c r="T3" s="2754" t="n"/>
    </row>
    <row r="4">
      <c r="A4" s="2917" t="inlineStr">
        <is>
          <t xml:space="preserve"> A. 기초잔고</t>
        </is>
      </c>
      <c r="B4" s="2666" t="n"/>
      <c r="C4" s="2666" t="n"/>
      <c r="D4" s="2666" t="n"/>
      <c r="E4" s="2704" t="n"/>
      <c r="F4" s="2918" t="n">
        <v>4100</v>
      </c>
      <c r="G4" s="2919" t="inlineStr">
        <is>
          <t>4,.039</t>
        </is>
      </c>
      <c r="H4" s="2920" t="n">
        <v>3995.371343000001</v>
      </c>
      <c r="I4" s="2920" t="n">
        <v>3959.222869000001</v>
      </c>
      <c r="J4" s="2920" t="n">
        <v>3934.236370000001</v>
      </c>
      <c r="K4" s="2920" t="n">
        <v>3893.236370000001</v>
      </c>
      <c r="L4" s="2920" t="n">
        <v>3850.736370000001</v>
      </c>
      <c r="M4" s="2920" t="n">
        <v>3806.736370000001</v>
      </c>
      <c r="N4" s="2920" t="n">
        <v>3765.736370000001</v>
      </c>
      <c r="O4" s="2920" t="n">
        <v>3723.236370000001</v>
      </c>
      <c r="P4" s="2920" t="n">
        <v>3679.236370000001</v>
      </c>
      <c r="Q4" s="2921" t="n">
        <v>3638.236370000001</v>
      </c>
      <c r="R4" s="2922" t="n">
        <v>4099.998134</v>
      </c>
      <c r="S4" s="2922" t="n">
        <v>4099.998134</v>
      </c>
      <c r="T4" s="726" t="n"/>
    </row>
    <row r="5" ht="17.25" customHeight="1" thickBot="1">
      <c r="A5" s="2923" t="inlineStr">
        <is>
          <t xml:space="preserve"> B. 수입</t>
        </is>
      </c>
      <c r="B5" s="2757" t="n"/>
      <c r="C5" s="2757" t="n"/>
      <c r="D5" s="2757" t="n"/>
      <c r="E5" s="2758" t="n"/>
      <c r="F5" s="2924" t="n">
        <v>1</v>
      </c>
      <c r="G5" s="2925" t="n">
        <v>1</v>
      </c>
      <c r="H5" s="2926" t="n">
        <v>5.522713</v>
      </c>
      <c r="I5" s="2926" t="n">
        <v>24.503192</v>
      </c>
      <c r="J5" s="2926" t="n">
        <v>3.5</v>
      </c>
      <c r="K5" s="2926" t="n">
        <v>2</v>
      </c>
      <c r="L5" s="2926" t="n">
        <v>2</v>
      </c>
      <c r="M5" s="2926" t="n">
        <v>3.5</v>
      </c>
      <c r="N5" s="2926" t="n">
        <v>2</v>
      </c>
      <c r="O5" s="2926" t="n">
        <v>2</v>
      </c>
      <c r="P5" s="2926" t="n">
        <v>3.5</v>
      </c>
      <c r="Q5" s="2927" t="n">
        <v>2</v>
      </c>
      <c r="R5" s="2928" t="n">
        <v>52.633995</v>
      </c>
      <c r="S5" s="2928" t="n">
        <v>4.38616625</v>
      </c>
      <c r="T5" s="727" t="n"/>
    </row>
    <row r="6" ht="17.25" customHeight="1" thickBot="1">
      <c r="A6" s="744" t="n"/>
      <c r="B6" s="2929" t="inlineStr">
        <is>
          <t>경상</t>
        </is>
      </c>
      <c r="C6" s="2765" t="n"/>
      <c r="D6" s="2765" t="n"/>
      <c r="E6" s="2766" t="n"/>
      <c r="F6" s="2930" t="inlineStr">
        <is>
          <t>-</t>
        </is>
      </c>
      <c r="G6" s="2931" t="inlineStr">
        <is>
          <t>-</t>
        </is>
      </c>
      <c r="H6" s="2932" t="n">
        <v>4.47342</v>
      </c>
      <c r="I6" s="2932" t="n">
        <v>0.804862</v>
      </c>
      <c r="J6" s="2932" t="n">
        <v>1.5</v>
      </c>
      <c r="K6" s="2932" t="n">
        <v>0</v>
      </c>
      <c r="L6" s="2932" t="n">
        <v>0</v>
      </c>
      <c r="M6" s="2932" t="n">
        <v>1.5</v>
      </c>
      <c r="N6" s="2932" t="n">
        <v>0</v>
      </c>
      <c r="O6" s="2932" t="n">
        <v>0</v>
      </c>
      <c r="P6" s="2932" t="n">
        <v>1.5</v>
      </c>
      <c r="Q6" s="2933" t="n">
        <v>0</v>
      </c>
      <c r="R6" s="2934" t="n">
        <v>9.778282000000001</v>
      </c>
      <c r="S6" s="2934" t="n">
        <v>0.8148568333333334</v>
      </c>
      <c r="T6" s="728" t="inlineStr">
        <is>
          <t xml:space="preserve"> ○ 이자수익 등</t>
        </is>
      </c>
    </row>
    <row r="7">
      <c r="A7" s="2772" t="n"/>
      <c r="B7" s="2935" t="inlineStr">
        <is>
          <t>비경상</t>
        </is>
      </c>
      <c r="C7" s="2774" t="n"/>
      <c r="D7" s="2774" t="n"/>
      <c r="E7" s="2775" t="n"/>
      <c r="F7" s="2936" t="n">
        <v>1</v>
      </c>
      <c r="G7" s="2937" t="n">
        <v>1</v>
      </c>
      <c r="H7" s="2938" t="n"/>
      <c r="I7" s="2938" t="n"/>
      <c r="J7" s="2938" t="n">
        <v>2</v>
      </c>
      <c r="K7" s="2938" t="n">
        <v>2</v>
      </c>
      <c r="L7" s="2938" t="n">
        <v>2</v>
      </c>
      <c r="M7" s="2938" t="n">
        <v>2</v>
      </c>
      <c r="N7" s="2938" t="n">
        <v>2</v>
      </c>
      <c r="O7" s="2938" t="n">
        <v>2</v>
      </c>
      <c r="P7" s="2938" t="n">
        <v>2</v>
      </c>
      <c r="Q7" s="2939" t="n">
        <v>2</v>
      </c>
      <c r="R7" s="2940" t="n">
        <v>42.85571299999999</v>
      </c>
      <c r="S7" s="2940" t="n">
        <v>3.571309416666666</v>
      </c>
      <c r="T7" s="729" t="inlineStr">
        <is>
          <t xml:space="preserve"> ○ 세금환급, 전산자산 양수도대금 등</t>
        </is>
      </c>
    </row>
    <row r="8" ht="17.25" customHeight="1" thickBot="1">
      <c r="A8" s="2941" t="inlineStr">
        <is>
          <t xml:space="preserve"> C. 지출</t>
        </is>
      </c>
      <c r="B8" s="2757" t="n"/>
      <c r="C8" s="2757" t="n"/>
      <c r="D8" s="2757" t="n"/>
      <c r="E8" s="2758" t="n"/>
      <c r="F8" s="2924" t="n">
        <v>62</v>
      </c>
      <c r="G8" s="2925" t="n">
        <v>44</v>
      </c>
      <c r="H8" s="2926" t="n">
        <v>41.671187</v>
      </c>
      <c r="I8" s="2926" t="n">
        <v>49.489691</v>
      </c>
      <c r="J8" s="2926" t="n">
        <v>44.5</v>
      </c>
      <c r="K8" s="2926" t="n">
        <v>44.5</v>
      </c>
      <c r="L8" s="2926" t="n">
        <v>46</v>
      </c>
      <c r="M8" s="2926" t="n">
        <v>44.5</v>
      </c>
      <c r="N8" s="2926" t="n">
        <v>44.5</v>
      </c>
      <c r="O8" s="2926" t="n">
        <v>46</v>
      </c>
      <c r="P8" s="2926" t="n">
        <v>44.5</v>
      </c>
      <c r="Q8" s="2927" t="n">
        <v>44.5</v>
      </c>
      <c r="R8" s="2928" t="n">
        <v>556.895759</v>
      </c>
      <c r="S8" s="2928" t="n">
        <v>46.40797991666667</v>
      </c>
      <c r="T8" s="727" t="n"/>
    </row>
    <row r="9" ht="17.25" customHeight="1" thickBot="1">
      <c r="A9" s="736" t="n"/>
      <c r="B9" s="2929" t="inlineStr">
        <is>
          <t>경상</t>
        </is>
      </c>
      <c r="C9" s="2765" t="n"/>
      <c r="D9" s="2765" t="n"/>
      <c r="E9" s="2766" t="n"/>
      <c r="F9" s="2942" t="n">
        <v>62</v>
      </c>
      <c r="G9" s="2943" t="n">
        <v>44</v>
      </c>
      <c r="H9" s="2944" t="n">
        <v>41.671187</v>
      </c>
      <c r="I9" s="2944" t="n">
        <v>49.489691</v>
      </c>
      <c r="J9" s="2944" t="n">
        <v>44.5</v>
      </c>
      <c r="K9" s="2944" t="n">
        <v>44.5</v>
      </c>
      <c r="L9" s="2944" t="n">
        <v>46</v>
      </c>
      <c r="M9" s="2944" t="n">
        <v>44.5</v>
      </c>
      <c r="N9" s="2944" t="n">
        <v>44.5</v>
      </c>
      <c r="O9" s="2944" t="n">
        <v>46</v>
      </c>
      <c r="P9" s="2944" t="n">
        <v>44.5</v>
      </c>
      <c r="Q9" s="2945" t="n">
        <v>44.5</v>
      </c>
      <c r="R9" s="2946" t="n">
        <v>556.895759</v>
      </c>
      <c r="S9" s="2946" t="n">
        <v>46.40797991666667</v>
      </c>
      <c r="T9" s="730" t="n"/>
    </row>
    <row r="10" ht="24" customHeight="1" thickBot="1">
      <c r="A10" s="2786" t="n"/>
      <c r="B10" s="731" t="n"/>
      <c r="C10" s="2947" t="inlineStr">
        <is>
          <t>인건비</t>
        </is>
      </c>
      <c r="D10" s="2948" t="n"/>
      <c r="E10" s="2788" t="n"/>
      <c r="F10" s="2930" t="n">
        <v>25</v>
      </c>
      <c r="G10" s="2931" t="n">
        <v>34</v>
      </c>
      <c r="H10" s="2932" t="n">
        <v>28.59095</v>
      </c>
      <c r="I10" s="2932" t="n">
        <v>29.03672</v>
      </c>
      <c r="J10" s="2932" t="n">
        <v>28</v>
      </c>
      <c r="K10" s="2932" t="n">
        <v>28</v>
      </c>
      <c r="L10" s="2932" t="n">
        <v>28</v>
      </c>
      <c r="M10" s="2932" t="n">
        <v>28</v>
      </c>
      <c r="N10" s="2932" t="n">
        <v>28</v>
      </c>
      <c r="O10" s="2932" t="n">
        <v>28</v>
      </c>
      <c r="P10" s="2932" t="n">
        <v>28</v>
      </c>
      <c r="Q10" s="2933" t="n">
        <v>28</v>
      </c>
      <c r="R10" s="2934" t="n">
        <v>340.77495</v>
      </c>
      <c r="S10" s="2934" t="n">
        <v>28.3979125</v>
      </c>
      <c r="T10" s="732" t="n"/>
    </row>
    <row r="11" ht="17.25" customHeight="1" thickBot="1">
      <c r="A11" s="2786" t="n"/>
      <c r="B11" s="731" t="n"/>
      <c r="C11" s="739" t="inlineStr">
        <is>
          <t>S/W, H/W 매입</t>
        </is>
      </c>
      <c r="E11" s="2749" t="n"/>
      <c r="F11" s="2949" t="inlineStr">
        <is>
          <t>-</t>
        </is>
      </c>
      <c r="G11" s="2950" t="n">
        <v>1</v>
      </c>
      <c r="H11" s="2951" t="n">
        <v>0</v>
      </c>
      <c r="I11" s="2951" t="n">
        <v>0</v>
      </c>
      <c r="J11" s="2951" t="n">
        <v>0</v>
      </c>
      <c r="K11" s="2951" t="n">
        <v>0</v>
      </c>
      <c r="L11" s="2951" t="n">
        <v>0</v>
      </c>
      <c r="M11" s="2951" t="n">
        <v>0</v>
      </c>
      <c r="N11" s="2951" t="n">
        <v>0</v>
      </c>
      <c r="O11" s="2951" t="n">
        <v>0</v>
      </c>
      <c r="P11" s="2951" t="n">
        <v>0</v>
      </c>
      <c r="Q11" s="2952" t="n">
        <v>0</v>
      </c>
      <c r="R11" s="2953" t="n">
        <v>1.1418</v>
      </c>
      <c r="S11" s="2953" t="n">
        <v>0.09515</v>
      </c>
      <c r="T11" s="733" t="inlineStr">
        <is>
          <t xml:space="preserve"> </t>
        </is>
      </c>
    </row>
    <row r="12" ht="17.25" customHeight="1" thickBot="1">
      <c r="A12" s="2794" t="n"/>
      <c r="B12" s="734" t="n"/>
      <c r="C12" s="739" t="inlineStr">
        <is>
          <t xml:space="preserve">기타　</t>
        </is>
      </c>
      <c r="E12" s="2749" t="n"/>
      <c r="F12" s="2954" t="n">
        <v>37</v>
      </c>
      <c r="G12" s="2955" t="n">
        <v>9</v>
      </c>
      <c r="H12" s="2956" t="n">
        <v>13.080237</v>
      </c>
      <c r="I12" s="2956" t="n">
        <v>20.452971</v>
      </c>
      <c r="J12" s="2956" t="n">
        <v>16.5</v>
      </c>
      <c r="K12" s="2956" t="n">
        <v>16.5</v>
      </c>
      <c r="L12" s="2956" t="n">
        <v>18</v>
      </c>
      <c r="M12" s="2956" t="n">
        <v>16.5</v>
      </c>
      <c r="N12" s="2956" t="n">
        <v>16.5</v>
      </c>
      <c r="O12" s="2956" t="n">
        <v>18</v>
      </c>
      <c r="P12" s="2956" t="n">
        <v>16.5</v>
      </c>
      <c r="Q12" s="2957" t="n">
        <v>16.5</v>
      </c>
      <c r="R12" s="2958" t="n">
        <v>214.979009</v>
      </c>
      <c r="S12" s="2958" t="n">
        <v>17.91491741666667</v>
      </c>
      <c r="T12" s="735" t="inlineStr">
        <is>
          <t xml:space="preserve"> </t>
        </is>
      </c>
    </row>
    <row r="13" ht="24" customHeight="1" thickBot="1">
      <c r="A13" s="736" t="n"/>
      <c r="B13" s="737" t="n"/>
      <c r="C13" s="737" t="n"/>
      <c r="D13" s="2852" t="n"/>
      <c r="E13" s="738" t="inlineStr">
        <is>
          <t>제세공과금</t>
        </is>
      </c>
      <c r="F13" s="2930" t="n">
        <v>10</v>
      </c>
      <c r="G13" s="2931" t="inlineStr">
        <is>
          <t>-</t>
        </is>
      </c>
      <c r="H13" s="2959" t="n">
        <v>0</v>
      </c>
      <c r="I13" s="2959" t="n">
        <v>0.5</v>
      </c>
      <c r="J13" s="2959" t="n">
        <v>0.5</v>
      </c>
      <c r="K13" s="2959" t="n">
        <v>0.5</v>
      </c>
      <c r="L13" s="2959" t="n">
        <v>0.5</v>
      </c>
      <c r="M13" s="2959" t="n">
        <v>0.5</v>
      </c>
      <c r="N13" s="2959" t="n">
        <v>0.5</v>
      </c>
      <c r="O13" s="2959" t="n">
        <v>0.5</v>
      </c>
      <c r="P13" s="2959" t="n">
        <v>0.5</v>
      </c>
      <c r="Q13" s="2960" t="n">
        <v>0.5</v>
      </c>
      <c r="R13" s="2961" t="n">
        <v>14.48006</v>
      </c>
      <c r="S13" s="2961" t="n">
        <v>1.206671666666667</v>
      </c>
      <c r="T13" s="732" t="n"/>
    </row>
    <row r="14" ht="24" customHeight="1" thickBot="1">
      <c r="A14" s="736" t="n"/>
      <c r="B14" s="737" t="n"/>
      <c r="C14" s="737" t="n"/>
      <c r="D14" s="2852" t="n"/>
      <c r="E14" s="739" t="inlineStr">
        <is>
          <t>전산관련지출</t>
        </is>
      </c>
      <c r="F14" s="2949" t="n">
        <v>13.1</v>
      </c>
      <c r="G14" s="2950" t="n">
        <v>5.4</v>
      </c>
      <c r="H14" s="2962" t="n">
        <v>5.818429</v>
      </c>
      <c r="I14" s="2962" t="n">
        <v>5.8179</v>
      </c>
      <c r="J14" s="2962" t="n">
        <v>7</v>
      </c>
      <c r="K14" s="2962" t="n">
        <v>7</v>
      </c>
      <c r="L14" s="2962" t="n">
        <v>7</v>
      </c>
      <c r="M14" s="2962" t="n">
        <v>7</v>
      </c>
      <c r="N14" s="2962" t="n">
        <v>7</v>
      </c>
      <c r="O14" s="2962" t="n">
        <v>7</v>
      </c>
      <c r="P14" s="2962" t="n">
        <v>7</v>
      </c>
      <c r="Q14" s="2963" t="n">
        <v>7</v>
      </c>
      <c r="R14" s="2964" t="n">
        <v>86.155632</v>
      </c>
      <c r="S14" s="2964" t="n">
        <v>7.179635999999999</v>
      </c>
      <c r="T14" s="740" t="n"/>
    </row>
    <row r="15" ht="24" customHeight="1" thickBot="1">
      <c r="A15" s="736" t="n"/>
      <c r="B15" s="737" t="n"/>
      <c r="C15" s="737" t="n"/>
      <c r="D15" s="2852" t="n"/>
      <c r="E15" s="739" t="inlineStr">
        <is>
          <t>경영, 운영용역비</t>
        </is>
      </c>
      <c r="F15" s="2949" t="n">
        <v>3.5</v>
      </c>
      <c r="G15" s="2950" t="n">
        <v>0.1</v>
      </c>
      <c r="H15" s="2962" t="n">
        <v>0.056719</v>
      </c>
      <c r="I15" s="2962" t="n">
        <v>3.581537</v>
      </c>
      <c r="J15" s="2962" t="n">
        <v>0.5</v>
      </c>
      <c r="K15" s="2962" t="n">
        <v>0.5</v>
      </c>
      <c r="L15" s="2962" t="n">
        <v>2</v>
      </c>
      <c r="M15" s="2962" t="n">
        <v>0.5</v>
      </c>
      <c r="N15" s="2962" t="n">
        <v>0.5</v>
      </c>
      <c r="O15" s="2962" t="n">
        <v>2</v>
      </c>
      <c r="P15" s="2962" t="n">
        <v>0.5</v>
      </c>
      <c r="Q15" s="2963" t="n">
        <v>0.5</v>
      </c>
      <c r="R15" s="2964" t="n">
        <v>14.225735</v>
      </c>
      <c r="S15" s="2964" t="n">
        <v>1.185477916666667</v>
      </c>
      <c r="T15" s="740" t="n"/>
    </row>
    <row r="16" ht="24" customHeight="1" thickBot="1">
      <c r="A16" s="736" t="n"/>
      <c r="B16" s="737" t="n"/>
      <c r="C16" s="737" t="n"/>
      <c r="D16" s="2852" t="n"/>
      <c r="E16" s="739" t="inlineStr">
        <is>
          <t>복리후생비</t>
        </is>
      </c>
      <c r="F16" s="2949" t="n">
        <v>0.9</v>
      </c>
      <c r="G16" s="2950" t="n">
        <v>0.2</v>
      </c>
      <c r="H16" s="2962" t="n">
        <v>1.099541</v>
      </c>
      <c r="I16" s="2962" t="n">
        <v>0.185446</v>
      </c>
      <c r="J16" s="2962" t="n">
        <v>1.2</v>
      </c>
      <c r="K16" s="2962" t="n">
        <v>1.2</v>
      </c>
      <c r="L16" s="2962" t="n">
        <v>1.2</v>
      </c>
      <c r="M16" s="2962" t="n">
        <v>1.2</v>
      </c>
      <c r="N16" s="2962" t="n">
        <v>1.2</v>
      </c>
      <c r="O16" s="2962" t="n">
        <v>1.2</v>
      </c>
      <c r="P16" s="2962" t="n">
        <v>1.2</v>
      </c>
      <c r="Q16" s="2963" t="n">
        <v>1.2</v>
      </c>
      <c r="R16" s="2964" t="n">
        <v>11.994946</v>
      </c>
      <c r="S16" s="2964" t="n">
        <v>0.9995788333333332</v>
      </c>
      <c r="T16" s="733" t="inlineStr">
        <is>
          <t xml:space="preserve"> </t>
        </is>
      </c>
    </row>
    <row r="17" ht="24" customHeight="1" thickBot="1">
      <c r="A17" s="736" t="n"/>
      <c r="B17" s="737" t="n"/>
      <c r="C17" s="737" t="n"/>
      <c r="D17" s="2852" t="n"/>
      <c r="E17" s="739" t="inlineStr">
        <is>
          <t>식당, 카페 등 운영비</t>
        </is>
      </c>
      <c r="F17" s="2949" t="n">
        <v>0.4</v>
      </c>
      <c r="G17" s="2950" t="n">
        <v>0.3</v>
      </c>
      <c r="H17" s="2962" t="n">
        <v>0.3952</v>
      </c>
      <c r="I17" s="2962" t="n">
        <v>0.401</v>
      </c>
      <c r="J17" s="2962" t="n">
        <v>0.5</v>
      </c>
      <c r="K17" s="2962" t="n">
        <v>0.5</v>
      </c>
      <c r="L17" s="2962" t="n">
        <v>0.5</v>
      </c>
      <c r="M17" s="2962" t="n">
        <v>0.5</v>
      </c>
      <c r="N17" s="2962" t="n">
        <v>0.5</v>
      </c>
      <c r="O17" s="2962" t="n">
        <v>0.5</v>
      </c>
      <c r="P17" s="2962" t="n">
        <v>0.5</v>
      </c>
      <c r="Q17" s="2963" t="n">
        <v>0.5</v>
      </c>
      <c r="R17" s="2964" t="n">
        <v>5.407</v>
      </c>
      <c r="S17" s="2964" t="n">
        <v>0.4505833333333333</v>
      </c>
      <c r="T17" s="740" t="n"/>
    </row>
    <row r="18" ht="24" customHeight="1" thickBot="1">
      <c r="A18" s="736" t="n"/>
      <c r="B18" s="737" t="n"/>
      <c r="C18" s="737" t="n"/>
      <c r="D18" s="2852" t="n"/>
      <c r="E18" s="739" t="inlineStr">
        <is>
          <t xml:space="preserve">직원비용, 복지포인트 </t>
        </is>
      </c>
      <c r="F18" s="2949" t="n">
        <v>5.8</v>
      </c>
      <c r="G18" s="2950" t="n">
        <v>1.9</v>
      </c>
      <c r="H18" s="2962" t="n">
        <v>3.07398</v>
      </c>
      <c r="I18" s="2962" t="n">
        <v>4.18854</v>
      </c>
      <c r="J18" s="2962" t="n">
        <v>3</v>
      </c>
      <c r="K18" s="2962" t="n">
        <v>3</v>
      </c>
      <c r="L18" s="2962" t="n">
        <v>3</v>
      </c>
      <c r="M18" s="2962" t="n">
        <v>3</v>
      </c>
      <c r="N18" s="2962" t="n">
        <v>3</v>
      </c>
      <c r="O18" s="2962" t="n">
        <v>3</v>
      </c>
      <c r="P18" s="2962" t="n">
        <v>3</v>
      </c>
      <c r="Q18" s="2963" t="n">
        <v>3</v>
      </c>
      <c r="R18" s="2964" t="n">
        <v>39.01347</v>
      </c>
      <c r="S18" s="2964" t="n">
        <v>3.2511225</v>
      </c>
      <c r="T18" s="740" t="n"/>
    </row>
    <row r="19" ht="24" customHeight="1" thickBot="1">
      <c r="A19" s="736" t="n"/>
      <c r="B19" s="737" t="n"/>
      <c r="C19" s="737" t="n"/>
      <c r="D19" s="2852" t="n"/>
      <c r="E19" s="739" t="inlineStr">
        <is>
          <t>임차료, 관리비</t>
        </is>
      </c>
      <c r="F19" s="2949" t="n">
        <v>0.9</v>
      </c>
      <c r="G19" s="2950" t="n">
        <v>0.9</v>
      </c>
      <c r="H19" s="2962" t="n">
        <v>0.919248</v>
      </c>
      <c r="I19" s="2962" t="n">
        <v>0.919248</v>
      </c>
      <c r="J19" s="2962" t="n">
        <v>1</v>
      </c>
      <c r="K19" s="2962" t="n">
        <v>1</v>
      </c>
      <c r="L19" s="2962" t="n">
        <v>1</v>
      </c>
      <c r="M19" s="2962" t="n">
        <v>1</v>
      </c>
      <c r="N19" s="2962" t="n">
        <v>1</v>
      </c>
      <c r="O19" s="2962" t="n">
        <v>1</v>
      </c>
      <c r="P19" s="2962" t="n">
        <v>1</v>
      </c>
      <c r="Q19" s="2963" t="n">
        <v>1</v>
      </c>
      <c r="R19" s="2964" t="n">
        <v>11.676992</v>
      </c>
      <c r="S19" s="2964" t="n">
        <v>0.9730826666666667</v>
      </c>
      <c r="T19" s="740" t="n"/>
    </row>
    <row r="20" ht="24" customHeight="1" thickBot="1">
      <c r="A20" s="736" t="n"/>
      <c r="B20" s="737" t="n"/>
      <c r="C20" s="737" t="n"/>
      <c r="D20" s="2852" t="n"/>
      <c r="E20" s="739" t="inlineStr">
        <is>
          <t>지급수수료</t>
        </is>
      </c>
      <c r="F20" s="2949" t="inlineStr">
        <is>
          <t>-</t>
        </is>
      </c>
      <c r="G20" s="2950" t="inlineStr">
        <is>
          <t>-</t>
        </is>
      </c>
      <c r="H20" s="2962" t="n">
        <v>1.56096</v>
      </c>
      <c r="I20" s="2962" t="n">
        <v>4.89786</v>
      </c>
      <c r="J20" s="2962" t="n">
        <v>0.3</v>
      </c>
      <c r="K20" s="2962" t="n">
        <v>0.3</v>
      </c>
      <c r="L20" s="2962" t="n">
        <v>0.3</v>
      </c>
      <c r="M20" s="2962" t="n">
        <v>0.3</v>
      </c>
      <c r="N20" s="2962" t="n">
        <v>0.3</v>
      </c>
      <c r="O20" s="2962" t="n">
        <v>0.3</v>
      </c>
      <c r="P20" s="2962" t="n">
        <v>0.3</v>
      </c>
      <c r="Q20" s="2963" t="n">
        <v>0.3</v>
      </c>
      <c r="R20" s="2964" t="n">
        <v>8.859820000000001</v>
      </c>
      <c r="S20" s="2964" t="n">
        <v>0.7383183333333334</v>
      </c>
      <c r="T20" s="740" t="n"/>
    </row>
    <row r="21" ht="24" customHeight="1" thickBot="1">
      <c r="A21" s="736" t="n"/>
      <c r="B21" s="741" t="n"/>
      <c r="C21" s="741" t="n"/>
      <c r="D21" s="2864" t="n"/>
      <c r="E21" s="742" t="inlineStr">
        <is>
          <t>통신비등</t>
        </is>
      </c>
      <c r="F21" s="2954" t="n">
        <v>2.8</v>
      </c>
      <c r="G21" s="2955" t="n">
        <v>0.2</v>
      </c>
      <c r="H21" s="2965" t="n">
        <v>0.1561600000000016</v>
      </c>
      <c r="I21" s="2965" t="n">
        <v>0.4614399999999996</v>
      </c>
      <c r="J21" s="2965" t="n">
        <v>2.5</v>
      </c>
      <c r="K21" s="2965" t="n">
        <v>2.5</v>
      </c>
      <c r="L21" s="2965" t="n">
        <v>2.5</v>
      </c>
      <c r="M21" s="2965" t="n">
        <v>2.5</v>
      </c>
      <c r="N21" s="2965" t="n">
        <v>2.5</v>
      </c>
      <c r="O21" s="2965" t="n">
        <v>2.5</v>
      </c>
      <c r="P21" s="2965" t="n">
        <v>2.5</v>
      </c>
      <c r="Q21" s="2966" t="n">
        <v>2.5</v>
      </c>
      <c r="R21" s="2967" t="n">
        <v>23.665354</v>
      </c>
      <c r="S21" s="2967" t="n">
        <v>1.972112833333333</v>
      </c>
      <c r="T21" s="743" t="n"/>
    </row>
    <row r="22" ht="24" customHeight="1" thickBot="1">
      <c r="A22" s="736" t="n"/>
      <c r="B22" s="2968" t="inlineStr">
        <is>
          <t>비경상</t>
        </is>
      </c>
      <c r="C22" s="2969" t="n"/>
      <c r="D22" s="2969" t="n"/>
      <c r="E22" s="2970" t="n"/>
      <c r="F22" s="2942" t="inlineStr">
        <is>
          <t>-</t>
        </is>
      </c>
      <c r="G22" s="2943" t="inlineStr">
        <is>
          <t>-</t>
        </is>
      </c>
      <c r="H22" s="2971" t="inlineStr">
        <is>
          <t>-</t>
        </is>
      </c>
      <c r="I22" s="2971" t="inlineStr">
        <is>
          <t>-</t>
        </is>
      </c>
      <c r="J22" s="2971" t="inlineStr">
        <is>
          <t>-</t>
        </is>
      </c>
      <c r="K22" s="2971" t="inlineStr">
        <is>
          <t>-</t>
        </is>
      </c>
      <c r="L22" s="2971" t="inlineStr">
        <is>
          <t>-</t>
        </is>
      </c>
      <c r="M22" s="2971" t="inlineStr">
        <is>
          <t>-</t>
        </is>
      </c>
      <c r="N22" s="2971" t="inlineStr">
        <is>
          <t>-</t>
        </is>
      </c>
      <c r="O22" s="2971" t="inlineStr">
        <is>
          <t>-</t>
        </is>
      </c>
      <c r="P22" s="2971" t="inlineStr">
        <is>
          <t>-</t>
        </is>
      </c>
      <c r="Q22" s="2972" t="inlineStr">
        <is>
          <t>-</t>
        </is>
      </c>
      <c r="R22" s="2973" t="inlineStr">
        <is>
          <t>-</t>
        </is>
      </c>
      <c r="S22" s="2973" t="inlineStr">
        <is>
          <t>-</t>
        </is>
      </c>
      <c r="T22" s="730" t="n"/>
    </row>
    <row r="23" ht="24" customHeight="1" thickBot="1">
      <c r="A23" s="736" t="n"/>
      <c r="B23" s="731" t="n"/>
      <c r="C23" s="2974" t="n"/>
      <c r="D23" s="2947" t="inlineStr">
        <is>
          <t>지식재산권 양수</t>
        </is>
      </c>
      <c r="E23" s="2788" t="n"/>
      <c r="F23" s="2930" t="inlineStr">
        <is>
          <t>-</t>
        </is>
      </c>
      <c r="G23" s="2931" t="inlineStr">
        <is>
          <t>-</t>
        </is>
      </c>
      <c r="H23" s="2975" t="n"/>
      <c r="I23" s="2975" t="n"/>
      <c r="J23" s="2975" t="inlineStr">
        <is>
          <t>-</t>
        </is>
      </c>
      <c r="K23" s="2975" t="inlineStr">
        <is>
          <t>-</t>
        </is>
      </c>
      <c r="L23" s="2975" t="inlineStr">
        <is>
          <t>-</t>
        </is>
      </c>
      <c r="M23" s="2975" t="inlineStr">
        <is>
          <t>-</t>
        </is>
      </c>
      <c r="N23" s="2975" t="inlineStr">
        <is>
          <t>-</t>
        </is>
      </c>
      <c r="O23" s="2975" t="inlineStr">
        <is>
          <t xml:space="preserve">-　</t>
        </is>
      </c>
      <c r="P23" s="2975" t="inlineStr">
        <is>
          <t xml:space="preserve">-　</t>
        </is>
      </c>
      <c r="Q23" s="2976" t="inlineStr">
        <is>
          <t xml:space="preserve">-　</t>
        </is>
      </c>
      <c r="R23" s="2977" t="inlineStr">
        <is>
          <t>-</t>
        </is>
      </c>
      <c r="S23" s="2977" t="inlineStr">
        <is>
          <t>-</t>
        </is>
      </c>
      <c r="T23" s="732" t="n"/>
    </row>
    <row r="24" ht="24" customHeight="1" thickBot="1">
      <c r="A24" s="736" t="n"/>
      <c r="B24" s="731" t="n"/>
      <c r="C24" s="2974" t="n"/>
      <c r="D24" s="739" t="inlineStr">
        <is>
          <t>임대보증금</t>
        </is>
      </c>
      <c r="E24" s="2749" t="n"/>
      <c r="F24" s="2949" t="inlineStr">
        <is>
          <t>-</t>
        </is>
      </c>
      <c r="G24" s="2950" t="inlineStr">
        <is>
          <t>-</t>
        </is>
      </c>
      <c r="H24" s="2978" t="n"/>
      <c r="I24" s="2978" t="n"/>
      <c r="J24" s="2978" t="inlineStr">
        <is>
          <t>-</t>
        </is>
      </c>
      <c r="K24" s="2978" t="inlineStr">
        <is>
          <t>-</t>
        </is>
      </c>
      <c r="L24" s="2978" t="inlineStr">
        <is>
          <t>-</t>
        </is>
      </c>
      <c r="M24" s="2978" t="inlineStr">
        <is>
          <t>-</t>
        </is>
      </c>
      <c r="N24" s="2978" t="inlineStr">
        <is>
          <t>-</t>
        </is>
      </c>
      <c r="O24" s="2978" t="inlineStr">
        <is>
          <t xml:space="preserve">-　</t>
        </is>
      </c>
      <c r="P24" s="2978" t="inlineStr">
        <is>
          <t>-</t>
        </is>
      </c>
      <c r="Q24" s="2979" t="inlineStr">
        <is>
          <t xml:space="preserve">-　</t>
        </is>
      </c>
      <c r="R24" s="2980" t="inlineStr">
        <is>
          <t>-</t>
        </is>
      </c>
      <c r="S24" s="2980" t="inlineStr">
        <is>
          <t>-</t>
        </is>
      </c>
      <c r="T24" s="740" t="n"/>
    </row>
    <row r="25" ht="24" customHeight="1" thickBot="1">
      <c r="A25" s="736" t="n"/>
      <c r="B25" s="731" t="n"/>
      <c r="C25" s="2974" t="n"/>
      <c r="D25" s="739" t="inlineStr">
        <is>
          <t>시설장치</t>
        </is>
      </c>
      <c r="E25" s="2749" t="n"/>
      <c r="F25" s="2949" t="inlineStr">
        <is>
          <t>-</t>
        </is>
      </c>
      <c r="G25" s="2950" t="inlineStr">
        <is>
          <t>-</t>
        </is>
      </c>
      <c r="H25" s="2978" t="n"/>
      <c r="I25" s="2978" t="n"/>
      <c r="J25" s="2978" t="inlineStr">
        <is>
          <t>-</t>
        </is>
      </c>
      <c r="K25" s="2978" t="inlineStr">
        <is>
          <t>-</t>
        </is>
      </c>
      <c r="L25" s="2978" t="inlineStr">
        <is>
          <t>-</t>
        </is>
      </c>
      <c r="M25" s="2978" t="inlineStr">
        <is>
          <t>-</t>
        </is>
      </c>
      <c r="N25" s="2978" t="inlineStr">
        <is>
          <t>-</t>
        </is>
      </c>
      <c r="O25" s="2978" t="inlineStr">
        <is>
          <t xml:space="preserve">-　</t>
        </is>
      </c>
      <c r="P25" s="2978" t="inlineStr">
        <is>
          <t>-</t>
        </is>
      </c>
      <c r="Q25" s="2979" t="inlineStr">
        <is>
          <t xml:space="preserve">-　</t>
        </is>
      </c>
      <c r="R25" s="2980" t="inlineStr">
        <is>
          <t>-</t>
        </is>
      </c>
      <c r="S25" s="2980" t="inlineStr">
        <is>
          <t>-</t>
        </is>
      </c>
      <c r="T25" s="740" t="n"/>
    </row>
    <row r="26" ht="23.25" customHeight="1">
      <c r="A26" s="744" t="n"/>
      <c r="B26" s="2981" t="n"/>
      <c r="C26" s="2982" t="n"/>
      <c r="D26" s="2983" t="inlineStr">
        <is>
          <t>기타</t>
        </is>
      </c>
      <c r="E26" s="2702" t="n"/>
      <c r="F26" s="2936" t="inlineStr">
        <is>
          <t>-</t>
        </is>
      </c>
      <c r="G26" s="2937" t="inlineStr">
        <is>
          <t>-</t>
        </is>
      </c>
      <c r="H26" s="2984" t="n"/>
      <c r="I26" s="2984" t="n"/>
      <c r="J26" s="2984" t="inlineStr">
        <is>
          <t>-</t>
        </is>
      </c>
      <c r="K26" s="2984" t="inlineStr">
        <is>
          <t>-</t>
        </is>
      </c>
      <c r="L26" s="2984" t="inlineStr">
        <is>
          <t>-</t>
        </is>
      </c>
      <c r="M26" s="2984" t="inlineStr">
        <is>
          <t>-</t>
        </is>
      </c>
      <c r="N26" s="2984" t="inlineStr">
        <is>
          <t>-</t>
        </is>
      </c>
      <c r="O26" s="2984" t="inlineStr">
        <is>
          <t xml:space="preserve">-　</t>
        </is>
      </c>
      <c r="P26" s="2984" t="inlineStr">
        <is>
          <t>-</t>
        </is>
      </c>
      <c r="Q26" s="2985" t="inlineStr">
        <is>
          <t xml:space="preserve">-　</t>
        </is>
      </c>
      <c r="R26" s="2986" t="inlineStr">
        <is>
          <t>-</t>
        </is>
      </c>
      <c r="S26" s="2986" t="inlineStr">
        <is>
          <t>-</t>
        </is>
      </c>
      <c r="T26" s="745" t="n"/>
    </row>
    <row r="27" ht="17.25" customHeight="1" thickBot="1">
      <c r="A27" s="2941" t="inlineStr">
        <is>
          <t xml:space="preserve"> D. 자금수지차 (=B-C)</t>
        </is>
      </c>
      <c r="B27" s="2757" t="n"/>
      <c r="C27" s="2757" t="n"/>
      <c r="D27" s="2757" t="n"/>
      <c r="E27" s="2758" t="n"/>
      <c r="F27" s="2987" t="n">
        <v>-61.3</v>
      </c>
      <c r="G27" s="2988" t="n">
        <v>-43.3</v>
      </c>
      <c r="H27" s="2988" t="n">
        <v>-36.14847400000001</v>
      </c>
      <c r="I27" s="2988" t="n">
        <v>-24.986499</v>
      </c>
      <c r="J27" s="2988" t="n">
        <v>-41</v>
      </c>
      <c r="K27" s="2988" t="n">
        <v>-42.5</v>
      </c>
      <c r="L27" s="2988" t="n">
        <v>-44</v>
      </c>
      <c r="M27" s="2988" t="n">
        <v>-41</v>
      </c>
      <c r="N27" s="2988" t="n">
        <v>-42.5</v>
      </c>
      <c r="O27" s="2988" t="n">
        <v>-44</v>
      </c>
      <c r="P27" s="2988" t="n">
        <v>-41</v>
      </c>
      <c r="Q27" s="2989" t="n">
        <v>-42.5</v>
      </c>
      <c r="R27" s="2990" t="n">
        <v>-504.261764</v>
      </c>
      <c r="S27" s="2990" t="n">
        <v>-42.02181366666667</v>
      </c>
      <c r="T27" s="746" t="n"/>
    </row>
    <row r="28">
      <c r="A28" s="747" t="n"/>
      <c r="B28" s="2935" t="inlineStr">
        <is>
          <t xml:space="preserve"> D-1. 경상수지차</t>
        </is>
      </c>
      <c r="C28" s="2774" t="n"/>
      <c r="D28" s="2774" t="n"/>
      <c r="E28" s="2775" t="n"/>
      <c r="F28" s="2991" t="n">
        <v>-62.3</v>
      </c>
      <c r="G28" s="2992" t="n">
        <v>-44.4</v>
      </c>
      <c r="H28" s="2992" t="n">
        <v>-37.19776700000001</v>
      </c>
      <c r="I28" s="2992" t="n">
        <v>-48.684829</v>
      </c>
      <c r="J28" s="2992" t="n">
        <v>-43</v>
      </c>
      <c r="K28" s="2992" t="n">
        <v>-44.5</v>
      </c>
      <c r="L28" s="2992" t="n">
        <v>-46</v>
      </c>
      <c r="M28" s="2992" t="n">
        <v>-43</v>
      </c>
      <c r="N28" s="2992" t="n">
        <v>-44.5</v>
      </c>
      <c r="O28" s="2992" t="n">
        <v>-46</v>
      </c>
      <c r="P28" s="2992" t="n">
        <v>-43</v>
      </c>
      <c r="Q28" s="2993" t="n">
        <v>-44.5</v>
      </c>
      <c r="R28" s="2994" t="n">
        <v>-547.117477</v>
      </c>
      <c r="S28" s="2994" t="n">
        <v>-45.59312308333333</v>
      </c>
      <c r="T28" s="748" t="n"/>
    </row>
    <row r="29" ht="23.25" customHeight="1">
      <c r="A29" s="1789" t="inlineStr">
        <is>
          <t xml:space="preserve"> E. 자금조달(증자)</t>
        </is>
      </c>
      <c r="B29" s="2744" t="n"/>
      <c r="C29" s="2744" t="n"/>
      <c r="D29" s="2744" t="n"/>
      <c r="E29" s="2696" t="n"/>
      <c r="F29" s="2995" t="inlineStr">
        <is>
          <t xml:space="preserve">-　</t>
        </is>
      </c>
      <c r="G29" s="2996" t="inlineStr">
        <is>
          <t>-</t>
        </is>
      </c>
      <c r="H29" s="2997" t="n"/>
      <c r="I29" s="2997" t="n"/>
      <c r="J29" s="2997" t="inlineStr">
        <is>
          <t>-</t>
        </is>
      </c>
      <c r="K29" s="2997" t="inlineStr">
        <is>
          <t>-</t>
        </is>
      </c>
      <c r="L29" s="2997" t="inlineStr">
        <is>
          <t>-</t>
        </is>
      </c>
      <c r="M29" s="2997" t="inlineStr">
        <is>
          <t>-</t>
        </is>
      </c>
      <c r="N29" s="2997" t="inlineStr">
        <is>
          <t>-</t>
        </is>
      </c>
      <c r="O29" s="2997" t="inlineStr">
        <is>
          <t>-</t>
        </is>
      </c>
      <c r="P29" s="2997" t="inlineStr">
        <is>
          <t>-</t>
        </is>
      </c>
      <c r="Q29" s="2998" t="inlineStr">
        <is>
          <t>-</t>
        </is>
      </c>
      <c r="R29" s="2999" t="inlineStr">
        <is>
          <t>-</t>
        </is>
      </c>
      <c r="S29" s="2999" t="inlineStr">
        <is>
          <t>-</t>
        </is>
      </c>
      <c r="T29" s="749" t="n"/>
    </row>
    <row r="30" ht="23.25" customHeight="1">
      <c r="A30" s="3000" t="inlineStr">
        <is>
          <t xml:space="preserve"> F. 기말잔고(=A+D+E)</t>
        </is>
      </c>
      <c r="B30" s="2701" t="n"/>
      <c r="C30" s="2701" t="n"/>
      <c r="D30" s="2701" t="n"/>
      <c r="E30" s="2702" t="n"/>
      <c r="F30" s="3001" t="n">
        <v>4039</v>
      </c>
      <c r="G30" s="3002" t="n">
        <v>3995</v>
      </c>
      <c r="H30" s="3003" t="n">
        <v>3959.222869000001</v>
      </c>
      <c r="I30" s="3003" t="n">
        <v>3934.236370000001</v>
      </c>
      <c r="J30" s="3003" t="n">
        <v>3893.236370000001</v>
      </c>
      <c r="K30" s="3003" t="n">
        <v>3850.736370000001</v>
      </c>
      <c r="L30" s="3003" t="n">
        <v>3806.736370000001</v>
      </c>
      <c r="M30" s="3003" t="n">
        <v>3765.736370000001</v>
      </c>
      <c r="N30" s="3003" t="n">
        <v>3723.236370000001</v>
      </c>
      <c r="O30" s="3003" t="n">
        <v>3679.236370000001</v>
      </c>
      <c r="P30" s="3003" t="n">
        <v>3638.236370000001</v>
      </c>
      <c r="Q30" s="3004" t="n">
        <v>3595.736370000001</v>
      </c>
      <c r="R30" s="3005" t="n">
        <v>3595.736370000001</v>
      </c>
      <c r="S30" s="3005" t="n">
        <v>3595.736370000001</v>
      </c>
      <c r="T30" s="750" t="n"/>
    </row>
    <row r="31">
      <c r="H31" s="2600" t="n"/>
      <c r="I31" s="2600" t="n"/>
    </row>
    <row r="32">
      <c r="H32" s="2600" t="n"/>
      <c r="I32" s="2600" t="n"/>
    </row>
    <row r="33">
      <c r="H33" s="2600" t="n"/>
      <c r="I33" s="2600" t="n"/>
    </row>
    <row r="34">
      <c r="H34" s="2600" t="n"/>
      <c r="I34" s="2600" t="n"/>
    </row>
    <row r="35">
      <c r="H35" s="2600" t="n">
        <v>3959.222869000001</v>
      </c>
      <c r="I35" s="2600" t="n">
        <v>3934.236370000001</v>
      </c>
    </row>
  </sheetData>
  <mergeCells count="38">
    <mergeCell ref="A30:E30"/>
    <mergeCell ref="T1:T3"/>
    <mergeCell ref="B9:E9"/>
    <mergeCell ref="F1:S1"/>
    <mergeCell ref="B25:C25"/>
    <mergeCell ref="C15:D15"/>
    <mergeCell ref="B6:E6"/>
    <mergeCell ref="B28:E28"/>
    <mergeCell ref="C14:D14"/>
    <mergeCell ref="A6:A7"/>
    <mergeCell ref="A1:E3"/>
    <mergeCell ref="C12:E12"/>
    <mergeCell ref="C18:D18"/>
    <mergeCell ref="C20:D20"/>
    <mergeCell ref="C11:E11"/>
    <mergeCell ref="C16:D16"/>
    <mergeCell ref="B23:C23"/>
    <mergeCell ref="B7:E7"/>
    <mergeCell ref="B22:E22"/>
    <mergeCell ref="A27:E27"/>
    <mergeCell ref="F2:G2"/>
    <mergeCell ref="C21:D21"/>
    <mergeCell ref="A5:E5"/>
    <mergeCell ref="A8:E8"/>
    <mergeCell ref="C17:D17"/>
    <mergeCell ref="D25:E25"/>
    <mergeCell ref="A29:E29"/>
    <mergeCell ref="A4:E4"/>
    <mergeCell ref="B24:C24"/>
    <mergeCell ref="D24:E24"/>
    <mergeCell ref="A9:A12"/>
    <mergeCell ref="C19:D19"/>
    <mergeCell ref="D23:E23"/>
    <mergeCell ref="H2:Q2"/>
    <mergeCell ref="C13:D13"/>
    <mergeCell ref="B26:C26"/>
    <mergeCell ref="D26:E26"/>
    <mergeCell ref="C10:E10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>
    <tabColor theme="8" tint="0.3999755851924192"/>
    <outlinePr summaryBelow="1" summaryRight="1"/>
    <pageSetUpPr fitToPage="1"/>
  </sheetPr>
  <dimension ref="A2:R49"/>
  <sheetViews>
    <sheetView showGridLines="0" view="pageBreakPreview" zoomScale="130" zoomScaleNormal="150" zoomScaleSheetLayoutView="130" workbookViewId="0">
      <selection activeCell="A4" sqref="A4:F5"/>
    </sheetView>
  </sheetViews>
  <sheetFormatPr baseColWidth="8" defaultColWidth="8.625" defaultRowHeight="9.75" outlineLevelRow="1"/>
  <cols>
    <col width="0.625" customWidth="1" style="1" min="1" max="1"/>
    <col width="1.875" customWidth="1" style="1" min="2" max="2"/>
    <col width="1.125" customWidth="1" style="1" min="3" max="5"/>
    <col width="15.375" customWidth="1" style="1" min="6" max="6"/>
    <col width="7.125" customWidth="1" style="1" min="7" max="13"/>
    <col width="49.875" customWidth="1" style="1" min="14" max="14"/>
    <col width="3.625" customWidth="1" style="1" min="15" max="15"/>
    <col width="8.625" customWidth="1" style="1997" min="16" max="16"/>
    <col width="10.125" bestFit="1" customWidth="1" style="1" min="17" max="18"/>
    <col width="8.875" bestFit="1" customWidth="1" style="1" min="19" max="19"/>
    <col width="8.625" customWidth="1" style="1" min="20" max="16384"/>
  </cols>
  <sheetData>
    <row r="2" ht="12" customFormat="1" customHeight="1" s="153">
      <c r="A2" s="153" t="inlineStr">
        <is>
          <t>Ⅱ. 유동자금 계획 세부 내역</t>
        </is>
      </c>
      <c r="I2" s="1998" t="n">
        <v>784638</v>
      </c>
      <c r="P2" s="1999" t="n"/>
    </row>
    <row r="3" ht="10.5" customHeight="1" thickBot="1">
      <c r="N3" s="59" t="inlineStr">
        <is>
          <t>(단위 : 백만원, 천$)</t>
        </is>
      </c>
    </row>
    <row r="4" ht="12.75" customHeight="1">
      <c r="C4" s="2001" t="inlineStr">
        <is>
          <t>구분</t>
        </is>
      </c>
      <c r="D4" s="1941" t="n"/>
      <c r="E4" s="1941" t="n"/>
      <c r="F4" s="1929" t="n"/>
      <c r="G4" s="1599" t="inlineStr">
        <is>
          <t>3월(실적)</t>
        </is>
      </c>
      <c r="H4" s="1864" t="n"/>
      <c r="I4" s="1864" t="n"/>
      <c r="J4" s="2002" t="inlineStr">
        <is>
          <t>4월(계획)</t>
        </is>
      </c>
      <c r="K4" s="1931" t="n"/>
      <c r="L4" s="1932" t="n"/>
      <c r="M4" s="54" t="inlineStr">
        <is>
          <t>b-a</t>
        </is>
      </c>
      <c r="N4" s="1599" t="inlineStr">
        <is>
          <t>비고</t>
        </is>
      </c>
      <c r="P4" s="2003" t="n">
        <v>1466.5</v>
      </c>
    </row>
    <row r="5" ht="12.75" customHeight="1">
      <c r="C5" s="1866" t="n"/>
      <c r="D5" s="1866" t="n"/>
      <c r="E5" s="1866" t="n"/>
      <c r="F5" s="1934" t="n"/>
      <c r="G5" s="57" t="inlineStr">
        <is>
          <t>원화</t>
        </is>
      </c>
      <c r="H5" s="54" t="inlineStr">
        <is>
          <t>외화($)</t>
        </is>
      </c>
      <c r="I5" s="1607" t="inlineStr">
        <is>
          <t>환산계(a)</t>
        </is>
      </c>
      <c r="J5" s="55" t="inlineStr">
        <is>
          <t>원화</t>
        </is>
      </c>
      <c r="K5" s="54" t="inlineStr">
        <is>
          <t>외화($)</t>
        </is>
      </c>
      <c r="L5" s="53" t="inlineStr">
        <is>
          <t>환산계(b)</t>
        </is>
      </c>
      <c r="M5" s="1934" t="n"/>
      <c r="N5" s="1867" t="n"/>
    </row>
    <row r="6" ht="12.75" customHeight="1">
      <c r="C6" s="11" t="inlineStr">
        <is>
          <t>A. 기초유동잔고</t>
        </is>
      </c>
      <c r="D6" s="11" t="n"/>
      <c r="E6" s="11" t="n"/>
      <c r="F6" s="11" t="n"/>
      <c r="G6" s="3006" t="n">
        <v>195.371343</v>
      </c>
      <c r="H6" s="3007" t="n"/>
      <c r="I6" s="3006">
        <f>G6+H6*$P$4/1000</f>
        <v/>
      </c>
      <c r="J6" s="3008">
        <f>G41</f>
        <v/>
      </c>
      <c r="K6" s="3007">
        <f>H41</f>
        <v/>
      </c>
      <c r="L6" s="3009">
        <f>J6+K6*$P$4/1000</f>
        <v/>
      </c>
      <c r="M6" s="3010">
        <f>L6-I6</f>
        <v/>
      </c>
      <c r="N6" s="12" t="n"/>
      <c r="O6" s="6" t="n"/>
    </row>
    <row r="7" ht="12.75" customHeight="1">
      <c r="C7" s="30" t="inlineStr">
        <is>
          <t>B. 수지차(=수입-지출)</t>
        </is>
      </c>
      <c r="D7" s="30" t="n"/>
      <c r="E7" s="30" t="n"/>
      <c r="F7" s="29" t="n"/>
      <c r="G7" s="3011">
        <f>G8-G13</f>
        <v/>
      </c>
      <c r="H7" s="3012">
        <f>H8-H13</f>
        <v/>
      </c>
      <c r="I7" s="3011">
        <f>I8-I13</f>
        <v/>
      </c>
      <c r="J7" s="3013">
        <f>J8-J13</f>
        <v/>
      </c>
      <c r="K7" s="3012">
        <f>K8-K13</f>
        <v/>
      </c>
      <c r="L7" s="3014">
        <f>L8-L13</f>
        <v/>
      </c>
      <c r="M7" s="3015">
        <f>-(L7-I7)</f>
        <v/>
      </c>
      <c r="N7" s="28" t="n"/>
      <c r="O7" s="6" t="n"/>
    </row>
    <row r="8" ht="12.75" customHeight="1">
      <c r="C8" s="52" t="n"/>
      <c r="D8" s="26" t="inlineStr">
        <is>
          <t>수입</t>
        </is>
      </c>
      <c r="E8" s="18" t="n"/>
      <c r="F8" s="40" t="n"/>
      <c r="G8" s="3016">
        <f>SUM(G9:G12)</f>
        <v/>
      </c>
      <c r="H8" s="3017">
        <f>SUM(H9:H12)</f>
        <v/>
      </c>
      <c r="I8" s="3016">
        <f>SUM(I9:I12)</f>
        <v/>
      </c>
      <c r="J8" s="3018">
        <f>SUM(J9:J12)</f>
        <v/>
      </c>
      <c r="K8" s="3017">
        <f>SUM(K9:K12)</f>
        <v/>
      </c>
      <c r="L8" s="3019">
        <f>SUM(L9:L12)</f>
        <v/>
      </c>
      <c r="M8" s="3020">
        <f>SUM(M9:M12)</f>
        <v/>
      </c>
      <c r="N8" s="35" t="n"/>
      <c r="O8" s="6" t="n"/>
    </row>
    <row r="9" ht="12.75" customHeight="1">
      <c r="C9" s="52" t="n"/>
      <c r="D9" s="37" t="n"/>
      <c r="E9" s="26" t="inlineStr">
        <is>
          <t>매출</t>
        </is>
      </c>
      <c r="F9" s="40" t="n"/>
      <c r="G9" s="3021">
        <f>SUMIFS('6월데이터'!$E:$E,'6월데이터'!$A:$A,"외상매출금",'6월데이터'!$D:$D,"KRW")/1000000</f>
        <v/>
      </c>
      <c r="H9" s="3022">
        <f>SUMIFS('6월데이터'!$E:$E,'6월데이터'!$A:$A,"외상매출금",'6월데이터'!$D:$D,"USD")/1000</f>
        <v/>
      </c>
      <c r="I9" s="3021">
        <f>G9+H9*$P$4/1000</f>
        <v/>
      </c>
      <c r="J9" s="3023">
        <f>SUMIFS('7월데이터'!$E:$E,'7월데이터'!$A:$A,"외상매출금",'7월데이터'!$D:$D,"KRW")/1000000</f>
        <v/>
      </c>
      <c r="K9" s="3022">
        <f>SUMIFS('7월데이터'!$E:$E,'7월데이터'!$A:$A,"외상매출금",'7월데이터'!$D:$D,"USD")/1000</f>
        <v/>
      </c>
      <c r="L9" s="3024">
        <f>J9+K9*$P$4/1000</f>
        <v/>
      </c>
      <c r="M9" s="3025">
        <f>L9-I9</f>
        <v/>
      </c>
      <c r="N9" s="160" t="n"/>
      <c r="O9" s="6" t="n"/>
    </row>
    <row r="10" ht="12.75" customHeight="1">
      <c r="C10" s="52" t="n"/>
      <c r="D10" s="37" t="n"/>
      <c r="E10" s="37" t="inlineStr">
        <is>
          <t>세금환급</t>
        </is>
      </c>
      <c r="F10" s="44" t="n"/>
      <c r="G10" s="3026">
        <f>SUMIFS('6월데이터'!$E:$E,'6월데이터'!$A:$A,"세금환급",'6월데이터'!$D:$D,"KRW")/1000000</f>
        <v/>
      </c>
      <c r="H10" s="3027" t="n">
        <v>0</v>
      </c>
      <c r="I10" s="3026">
        <f>G10+H10*$P$4/1000</f>
        <v/>
      </c>
      <c r="J10" s="3028">
        <f>SUMIFS('7월데이터'!$E:$E,'7월데이터'!$A:$A,"세금환급",'7월데이터'!$D:$D,"KRW")/1000000</f>
        <v/>
      </c>
      <c r="K10" s="3027" t="n">
        <v>0</v>
      </c>
      <c r="L10" s="3029">
        <f>J10+K10*$P$4/1000</f>
        <v/>
      </c>
      <c r="M10" s="3030">
        <f>L10-I10</f>
        <v/>
      </c>
      <c r="N10" s="50" t="inlineStr">
        <is>
          <t xml:space="preserve"> ∙ 4월 : 24년도 법인세 환급금 24백만원</t>
        </is>
      </c>
      <c r="O10" s="6" t="n"/>
    </row>
    <row r="11" ht="12.75" customHeight="1">
      <c r="C11" s="52" t="n"/>
      <c r="D11" s="37" t="n"/>
      <c r="E11" s="37" t="inlineStr">
        <is>
          <t>이자수익</t>
        </is>
      </c>
      <c r="F11" s="44" t="n"/>
      <c r="G11" s="3026">
        <f>SUMIFS('6월데이터'!$E:$E,'6월데이터'!$A:$A,"이자수익",'6월데이터'!$D:$D,"KRW")/1000000</f>
        <v/>
      </c>
      <c r="H11" s="3031">
        <f>SUMIFS('6월데이터'!$E:$E,'6월데이터'!$A:$A,"이자수익",'6월데이터'!$D:$D,"USD")/1000</f>
        <v/>
      </c>
      <c r="I11" s="3026">
        <f>G11+H11*$P$4/1000</f>
        <v/>
      </c>
      <c r="J11" s="3028">
        <f>SUMIFS('7월데이터'!$E:$E,'7월데이터'!$A:$A,"이자수익",'7월데이터'!$D:$D,"KRW")/1000000</f>
        <v/>
      </c>
      <c r="K11" s="3031">
        <f>SUMIFS('7월데이터'!$E:$E,'7월데이터'!$A:$A,"이자수익",'7월데이터'!$D:$D,"USD")/1000</f>
        <v/>
      </c>
      <c r="L11" s="3032">
        <f>J11+K11*$P$4/1000</f>
        <v/>
      </c>
      <c r="M11" s="3030">
        <f>L11-I11</f>
        <v/>
      </c>
      <c r="N11" s="50" t="n"/>
      <c r="O11" s="6" t="n"/>
    </row>
    <row r="12" ht="12.75" customHeight="1">
      <c r="C12" s="52" t="n"/>
      <c r="D12" s="37" t="n"/>
      <c r="E12" s="37" t="inlineStr">
        <is>
          <t>기타</t>
        </is>
      </c>
      <c r="F12" s="44" t="n"/>
      <c r="G12" s="3026">
        <f>SUMIFS('6월데이터'!$E:$E,'6월데이터'!$A:$A,"기타입금",'6월데이터'!$D:$D,"KRW")/1000000+SUMIFS('6월데이터'!$E:$E,'6월데이터'!$A:$A,"수입임대료",'6월데이터'!$D:$D,"KRW")/1000000</f>
        <v/>
      </c>
      <c r="H12" s="3033">
        <f>SUMIFS('6월데이터'!$E:$E,'6월데이터'!$A:$A,$E$12,'6월데이터'!$D:$D,"USD")/1000</f>
        <v/>
      </c>
      <c r="I12" s="3026">
        <f>G12+H12*$P$4/1000</f>
        <v/>
      </c>
      <c r="J12" s="3028">
        <f>SUMIFS('7월데이터'!$E:$E,'7월데이터'!$A:$A,"기타입금",'7월데이터'!$D:$D,"KRW")/1000000+SUMIFS('7월데이터'!$E:$E,'7월데이터'!$A:$A,"수입임대료",'7월데이터'!$D:$D,"KRW")/1000000</f>
        <v/>
      </c>
      <c r="K12" s="3033">
        <f>SUMIFS('7월데이터'!$E:$E,'7월데이터'!$A:$A,$E$12,'7월데이터'!$D:$D,"USD")/1000</f>
        <v/>
      </c>
      <c r="L12" s="3029">
        <f>J12+K12*$P$4/1000</f>
        <v/>
      </c>
      <c r="M12" s="3030">
        <f>L12-I12</f>
        <v/>
      </c>
      <c r="N12" s="50" t="n"/>
      <c r="O12" s="6" t="n"/>
    </row>
    <row r="13" ht="12.75" customHeight="1">
      <c r="C13" s="51" t="n"/>
      <c r="D13" s="26" t="inlineStr">
        <is>
          <t>지출</t>
        </is>
      </c>
      <c r="E13" s="18" t="n"/>
      <c r="F13" s="18" t="n"/>
      <c r="G13" s="3034">
        <f>SUM(G14,G20,G21,G26:G27)</f>
        <v/>
      </c>
      <c r="H13" s="3017">
        <f>SUM(H14,H20,H21,H26:H27)</f>
        <v/>
      </c>
      <c r="I13" s="3034">
        <f>SUM(I14,I20,I21,I26:I27)</f>
        <v/>
      </c>
      <c r="J13" s="3018">
        <f>SUM(J14,J20,J21,J26:J27)</f>
        <v/>
      </c>
      <c r="K13" s="3017">
        <f>SUM(K14,K20,K21,K26:K27)</f>
        <v/>
      </c>
      <c r="L13" s="3035">
        <f>SUM(L14,L20,L21,L26:L27)</f>
        <v/>
      </c>
      <c r="M13" s="3036">
        <f>L13-I13</f>
        <v/>
      </c>
      <c r="N13" s="50" t="n"/>
      <c r="O13" s="6" t="n"/>
    </row>
    <row r="14" ht="12.75" customHeight="1">
      <c r="C14" s="34" t="n"/>
      <c r="D14" s="33" t="n"/>
      <c r="E14" s="26" t="inlineStr">
        <is>
          <t>인건비</t>
        </is>
      </c>
      <c r="F14" s="40" t="n"/>
      <c r="G14" s="3037">
        <f>SUM(G15:G19)</f>
        <v/>
      </c>
      <c r="H14" s="3038">
        <f>SUM(H15:H19)</f>
        <v/>
      </c>
      <c r="I14" s="3016">
        <f>SUM(I15:I19)</f>
        <v/>
      </c>
      <c r="J14" s="3039">
        <f>SUM(J15:J19)</f>
        <v/>
      </c>
      <c r="K14" s="3038">
        <f>SUM(K15:K19)</f>
        <v/>
      </c>
      <c r="L14" s="3019">
        <f>SUM(L15:L19)</f>
        <v/>
      </c>
      <c r="M14" s="3036">
        <f>L14-I14</f>
        <v/>
      </c>
      <c r="N14" s="50" t="n"/>
      <c r="O14" s="6" t="n"/>
      <c r="Q14" s="1997" t="n"/>
    </row>
    <row r="15" outlineLevel="1" ht="12.75" customHeight="1">
      <c r="C15" s="34" t="n"/>
      <c r="D15" s="33" t="n"/>
      <c r="E15" s="37" t="n"/>
      <c r="F15" s="26" t="inlineStr">
        <is>
          <t>급여</t>
        </is>
      </c>
      <c r="G15" s="3040">
        <f>SUMIF('6월데이터'!$A:$A,"급여",'6월데이터'!$F:$F)/1000000</f>
        <v/>
      </c>
      <c r="H15" s="3041" t="n">
        <v>0</v>
      </c>
      <c r="I15" s="3021">
        <f>G15+H15*$P$4/1000</f>
        <v/>
      </c>
      <c r="J15" s="3042">
        <f>SUMIF('7월데이터'!$A:$A,"급여",'7월데이터'!$F:$F)/1000000</f>
        <v/>
      </c>
      <c r="K15" s="3041" t="n">
        <v>0</v>
      </c>
      <c r="L15" s="3024">
        <f>J15+K15*$P$4/1000</f>
        <v/>
      </c>
      <c r="M15" s="3025">
        <f>L15-I15</f>
        <v/>
      </c>
      <c r="N15" s="50" t="inlineStr">
        <is>
          <t xml:space="preserve"> ∙ 4월 : 급여 22백만원</t>
        </is>
      </c>
      <c r="O15" s="6" t="n"/>
      <c r="Q15" s="1997" t="n"/>
    </row>
    <row r="16" outlineLevel="1" ht="12.75" customHeight="1">
      <c r="C16" s="34" t="n"/>
      <c r="D16" s="33" t="n"/>
      <c r="E16" s="37" t="n"/>
      <c r="F16" s="37" t="n"/>
      <c r="G16" s="3043" t="n"/>
      <c r="H16" s="3044" t="n"/>
      <c r="I16" s="3026" t="n"/>
      <c r="J16" s="3045" t="n"/>
      <c r="K16" s="3044" t="n"/>
      <c r="L16" s="3029" t="n"/>
      <c r="M16" s="3030" t="n"/>
      <c r="N16" s="50" t="inlineStr">
        <is>
          <t xml:space="preserve"> ∙ 3월 : 급여 21.7백만원</t>
        </is>
      </c>
      <c r="O16" s="6" t="n"/>
      <c r="Q16" s="1997" t="n"/>
    </row>
    <row r="17" outlineLevel="1" ht="12.75" customHeight="1">
      <c r="C17" s="34" t="n"/>
      <c r="D17" s="33" t="n"/>
      <c r="E17" s="37" t="n"/>
      <c r="F17" s="37" t="inlineStr">
        <is>
          <t>상여</t>
        </is>
      </c>
      <c r="G17" s="3043">
        <f>SUMIF('6월데이터'!$A:$A,"상여",'6월데이터'!$F:$F)/1000000</f>
        <v/>
      </c>
      <c r="H17" s="3044" t="n">
        <v>0</v>
      </c>
      <c r="I17" s="3026">
        <f>G17+H17*$P$4/1000</f>
        <v/>
      </c>
      <c r="J17" s="3045">
        <f>SUMIF('7월데이터'!$A:$A,"상여",'7월데이터'!$F:$F)/1000000</f>
        <v/>
      </c>
      <c r="K17" s="3044" t="n">
        <v>0</v>
      </c>
      <c r="L17" s="3029">
        <f>J17+K17*$P$4/1000</f>
        <v/>
      </c>
      <c r="M17" s="3030">
        <f>L17-I17</f>
        <v/>
      </c>
      <c r="N17" s="50" t="n"/>
      <c r="O17" s="6" t="n"/>
      <c r="Q17" s="1997" t="n"/>
    </row>
    <row r="18" outlineLevel="1" ht="12.75" customHeight="1">
      <c r="C18" s="34" t="n"/>
      <c r="D18" s="33" t="n"/>
      <c r="E18" s="37" t="n"/>
      <c r="F18" s="37" t="inlineStr">
        <is>
          <t>퇴직연금</t>
        </is>
      </c>
      <c r="G18" s="3043">
        <f>SUMIF('6월데이터'!$A:$A,"퇴직연금",'6월데이터'!$F:$F)/1000000</f>
        <v/>
      </c>
      <c r="H18" s="3044" t="n">
        <v>0</v>
      </c>
      <c r="I18" s="3026">
        <f>G18+H18*$P$4/1000</f>
        <v/>
      </c>
      <c r="J18" s="3045">
        <f>SUMIF('7월데이터'!$A:$A,"퇴직연금",'7월데이터'!$F:$F)/1000000</f>
        <v/>
      </c>
      <c r="K18" s="3044" t="n">
        <v>0</v>
      </c>
      <c r="L18" s="3029">
        <f>J18+K18*$P$4/1000</f>
        <v/>
      </c>
      <c r="M18" s="3030">
        <f>L18-I18</f>
        <v/>
      </c>
      <c r="N18" s="50" t="n"/>
      <c r="O18" s="6" t="n"/>
      <c r="Q18" s="1997" t="n"/>
    </row>
    <row r="19" outlineLevel="1" ht="12.75" customHeight="1">
      <c r="C19" s="34" t="n"/>
      <c r="D19" s="33" t="n"/>
      <c r="E19" s="42" t="n"/>
      <c r="F19" s="42" t="inlineStr">
        <is>
          <t>4대보험료</t>
        </is>
      </c>
      <c r="G19" s="3046">
        <f>SUMIF('6월데이터'!$A:$A,"4대보험",'6월데이터'!$F:$F)/1000000</f>
        <v/>
      </c>
      <c r="H19" s="3047" t="n">
        <v>0</v>
      </c>
      <c r="I19" s="3048">
        <f>G19+H19*$P$4/1000</f>
        <v/>
      </c>
      <c r="J19" s="3049">
        <f>SUMIF('7월데이터'!$A:$A,"4대보험",'7월데이터'!$F:$F)/1000000</f>
        <v/>
      </c>
      <c r="K19" s="3047" t="n">
        <v>0</v>
      </c>
      <c r="L19" s="3050">
        <f>J19+K19*$P$4/1000</f>
        <v/>
      </c>
      <c r="M19" s="3051">
        <f>L19-I19</f>
        <v/>
      </c>
      <c r="N19" s="50" t="n"/>
      <c r="O19" s="6" t="n"/>
      <c r="Q19" s="1997" t="n"/>
    </row>
    <row r="20" ht="12.75" customHeight="1">
      <c r="C20" s="34" t="n"/>
      <c r="D20" s="33" t="n"/>
      <c r="E20" s="37" t="inlineStr">
        <is>
          <t>마케팅비</t>
        </is>
      </c>
      <c r="F20" s="44" t="n"/>
      <c r="G20" s="3021">
        <f>SUMIFS('6월데이터'!$F:$F,'6월데이터'!$A:$A,"광고판촉비",'6월데이터'!$D:$D,"KRW")/1000000</f>
        <v/>
      </c>
      <c r="H20" s="3052">
        <f>SUMIFS('6월데이터'!$F:$F,'6월데이터'!$A:$A,"광고판촉비",'6월데이터'!$D:$D,"USD")/1000</f>
        <v/>
      </c>
      <c r="I20" s="3021">
        <f>G20+H20*$P$4/1000</f>
        <v/>
      </c>
      <c r="J20" s="3023">
        <f>SUMIFS('7월데이터'!$F:$F,'7월데이터'!$A:$A,"광고판촉비",'7월데이터'!$D:$D,"KRW")/1000000</f>
        <v/>
      </c>
      <c r="K20" s="3052">
        <f>SUMIFS('7월데이터'!$F:$F,'7월데이터'!$A:$A,"광고판촉비",'7월데이터'!$D:$D,"USD")/1000</f>
        <v/>
      </c>
      <c r="L20" s="3024">
        <f>J20+K20*$P$4/1000</f>
        <v/>
      </c>
      <c r="M20" s="3025">
        <f>L20-I20</f>
        <v/>
      </c>
      <c r="N20" s="2052" t="n"/>
      <c r="O20" s="6" t="n"/>
    </row>
    <row r="21" ht="12.75" customHeight="1">
      <c r="C21" s="34" t="n"/>
      <c r="D21" s="33" t="n"/>
      <c r="E21" s="37" t="inlineStr">
        <is>
          <t>제세공과금</t>
        </is>
      </c>
      <c r="F21" s="44" t="n"/>
      <c r="G21" s="3046">
        <f>SUM(G22:G25)</f>
        <v/>
      </c>
      <c r="H21" s="3053">
        <f>SUM(H22:H25)</f>
        <v/>
      </c>
      <c r="I21" s="3048">
        <f>SUM(I22:I25)</f>
        <v/>
      </c>
      <c r="J21" s="3049">
        <f>SUM(J22:J25)</f>
        <v/>
      </c>
      <c r="K21" s="3053">
        <f>SUM(K22:K25)</f>
        <v/>
      </c>
      <c r="L21" s="3050">
        <f>SUM(L22:L25)</f>
        <v/>
      </c>
      <c r="M21" s="3051">
        <f>L21-I21</f>
        <v/>
      </c>
      <c r="N21" s="48" t="n"/>
      <c r="O21" s="6" t="n"/>
    </row>
    <row r="22" outlineLevel="1" ht="12.75" customHeight="1">
      <c r="C22" s="34" t="n"/>
      <c r="D22" s="33" t="n"/>
      <c r="E22" s="37" t="n"/>
      <c r="F22" s="26" t="inlineStr">
        <is>
          <t>법인세</t>
        </is>
      </c>
      <c r="G22" s="3043">
        <f>SUMIF('6월데이터'!$A:$A,"법인세",'6월데이터'!$F:$F)/1000000</f>
        <v/>
      </c>
      <c r="H22" s="3031" t="n">
        <v>0</v>
      </c>
      <c r="I22" s="3021">
        <f>G22+H22*$P$4/1000</f>
        <v/>
      </c>
      <c r="J22" s="3045">
        <f>SUMIF('7월데이터'!$A:$A,"법인세",'7월데이터'!$F:$F)/1000000</f>
        <v/>
      </c>
      <c r="K22" s="3031" t="n">
        <v>0</v>
      </c>
      <c r="L22" s="3024">
        <f>J22+K22*$P$4/1000</f>
        <v/>
      </c>
      <c r="M22" s="3025">
        <f>L22-I22</f>
        <v/>
      </c>
      <c r="N22" s="48" t="n"/>
      <c r="O22" s="6" t="n"/>
    </row>
    <row r="23" outlineLevel="1" ht="12.75" customHeight="1">
      <c r="C23" s="34" t="n"/>
      <c r="D23" s="33" t="n"/>
      <c r="E23" s="37" t="n"/>
      <c r="F23" s="37" t="inlineStr">
        <is>
          <t>부가가치세</t>
        </is>
      </c>
      <c r="G23" s="3043">
        <f>SUMIF('6월데이터'!$A:$A,"부가가치세",'6월데이터'!$F:$F)/1000000</f>
        <v/>
      </c>
      <c r="H23" s="3031" t="n">
        <v>0</v>
      </c>
      <c r="I23" s="3026">
        <f>G23+H23*$P$4/1000</f>
        <v/>
      </c>
      <c r="J23" s="3045">
        <f>SUMIF('7월데이터'!$A:$A,"부가가치세",'7월데이터'!$F:$F)/1000000</f>
        <v/>
      </c>
      <c r="K23" s="3031" t="n">
        <v>0</v>
      </c>
      <c r="L23" s="3029">
        <f>J23+K23*$P$4/1000</f>
        <v/>
      </c>
      <c r="M23" s="3030">
        <f>L23-I23</f>
        <v/>
      </c>
      <c r="N23" s="48" t="n"/>
      <c r="O23" s="6" t="n"/>
    </row>
    <row r="24" outlineLevel="1" ht="12.75" customHeight="1">
      <c r="C24" s="34" t="n"/>
      <c r="D24" s="33" t="n"/>
      <c r="E24" s="37" t="n"/>
      <c r="F24" s="37" t="inlineStr">
        <is>
          <t>원천세</t>
        </is>
      </c>
      <c r="G24" s="3043">
        <f>SUMIF('6월데이터'!$A:$A,"원천세",'6월데이터'!$F:$F)/1000000</f>
        <v/>
      </c>
      <c r="H24" s="3031" t="n">
        <v>0</v>
      </c>
      <c r="I24" s="3026">
        <f>G24+H24*$P$4/1000</f>
        <v/>
      </c>
      <c r="J24" s="3045">
        <f>SUMIF('7월데이터'!$A:$A,"원천세",'7월데이터'!$F:$F)/1000000</f>
        <v/>
      </c>
      <c r="K24" s="3031" t="n">
        <v>0</v>
      </c>
      <c r="L24" s="3029">
        <f>J24+K24*$P$4/1000</f>
        <v/>
      </c>
      <c r="M24" s="3030">
        <f>L24-I24</f>
        <v/>
      </c>
      <c r="N24" s="50" t="n"/>
      <c r="O24" s="6" t="n"/>
    </row>
    <row r="25" outlineLevel="1" ht="12.75" customHeight="1">
      <c r="C25" s="34" t="n"/>
      <c r="D25" s="33" t="n"/>
      <c r="E25" s="42" t="n"/>
      <c r="F25" s="42" t="inlineStr">
        <is>
          <t>기타제세공과금</t>
        </is>
      </c>
      <c r="G25" s="3046">
        <f>SUMIF('6월데이터'!$A:$A,"기타제세공과금",'6월데이터'!$F:$F)/1000000</f>
        <v/>
      </c>
      <c r="H25" s="3054" t="n">
        <v>0</v>
      </c>
      <c r="I25" s="3048">
        <f>G25+H25*$P$4/1000</f>
        <v/>
      </c>
      <c r="J25" s="3049">
        <f>SUMIF('7월데이터'!$A:$A,"기타제세공과금",'7월데이터'!$F:$F)/1000000</f>
        <v/>
      </c>
      <c r="K25" s="3054" t="n">
        <v>0</v>
      </c>
      <c r="L25" s="3050">
        <f>J25+K25*$P$4/1000</f>
        <v/>
      </c>
      <c r="M25" s="3051">
        <f>L25-I25</f>
        <v/>
      </c>
      <c r="N25" s="48" t="n"/>
      <c r="O25" s="6" t="n"/>
    </row>
    <row r="26" ht="12.75" customHeight="1">
      <c r="C26" s="34" t="n"/>
      <c r="D26" s="33" t="n"/>
      <c r="E26" s="37" t="inlineStr">
        <is>
          <t>자산매입</t>
        </is>
      </c>
      <c r="F26" s="44" t="n"/>
      <c r="G26" s="3026">
        <f>SUMIFS('6월데이터'!$F:$F,'6월데이터'!$A:$A,"S/W",'6월데이터'!$D:$D,"KRW")/1000000+SUMIFS('6월데이터'!$F:$F,'6월데이터'!$A:$A,"H/W",'6월데이터'!$D:$D,"KRW")/1000000+SUMIFS('6월데이터'!$F:$F,'6월데이터'!$A:$A,"시설장치",'6월데이터'!$D:$D,"KRW")/1000000+SUMIFS('6월데이터'!$F:$F,'6월데이터'!$A:$A,"차량",'6월데이터'!$D:$D,"KRW")/1000000</f>
        <v/>
      </c>
      <c r="H26" s="3033">
        <f>SUMIFS('6월데이터'!$F:$F,'6월데이터'!$A:$A,"S/W",'6월데이터'!$D:$D,"USD")/1000+SUMIFS('6월데이터'!$F:$F,'6월데이터'!$A:$A,"H/W",'6월데이터'!$D:$D,"USD")/1000+SUMIFS('6월데이터'!$F:$F,'6월데이터'!$A:$A,"시설장치",'6월데이터'!$D:$D,"USD")/1000</f>
        <v/>
      </c>
      <c r="I26" s="3026">
        <f>G26+H26*$P$4/1000</f>
        <v/>
      </c>
      <c r="J26" s="3028">
        <f>SUMIFS('7월데이터'!$F:$F,'7월데이터'!$A:$A,"S/W",'7월데이터'!$D:$D,"KRW")/1000000+SUMIFS('7월데이터'!$F:$F,'7월데이터'!$A:$A,"H/W",'7월데이터'!$D:$D,"KRW")/1000000+SUMIFS('7월데이터'!$F:$F,'7월데이터'!$A:$A,"시설장치",'7월데이터'!$D:$D,"KRW")/1000000+SUMIFS('7월데이터'!$F:$F,'7월데이터'!$A:$A,"차량",'7월데이터'!$D:$D,"KRW")/1000000</f>
        <v/>
      </c>
      <c r="K26" s="3033">
        <f>SUMIFS('7월데이터'!$F:$F,'7월데이터'!$A:$A,"S/W",'7월데이터'!$D:$D,"USD")/1000+SUMIFS('7월데이터'!$F:$F,'7월데이터'!$A:$A,"H/W",'7월데이터'!$D:$D,"USD")/1000+SUMIFS('7월데이터'!$F:$F,'7월데이터'!$A:$A,"시설장치",'7월데이터'!$D:$D,"USD")/1000</f>
        <v/>
      </c>
      <c r="L26" s="3029">
        <f>J26+K26*$P$4/1000</f>
        <v/>
      </c>
      <c r="M26" s="3030">
        <f>L26-I26</f>
        <v/>
      </c>
      <c r="N26" s="50" t="n"/>
      <c r="O26" s="6" t="n"/>
      <c r="R26" s="2055" t="n"/>
    </row>
    <row r="27" ht="12.75" customHeight="1">
      <c r="C27" s="34" t="n"/>
      <c r="D27" s="33" t="n"/>
      <c r="E27" s="37" t="inlineStr">
        <is>
          <t>기타</t>
        </is>
      </c>
      <c r="F27" s="44" t="n"/>
      <c r="G27" s="3048">
        <f>SUM(G28:G30)</f>
        <v/>
      </c>
      <c r="H27" s="3054">
        <f>SUM(H28:H30)</f>
        <v/>
      </c>
      <c r="I27" s="3048">
        <f>SUM(I28:I30)</f>
        <v/>
      </c>
      <c r="J27" s="3055">
        <f>SUM(J28:J30)</f>
        <v/>
      </c>
      <c r="K27" s="3054">
        <f>SUM(K28:K30)</f>
        <v/>
      </c>
      <c r="L27" s="3050">
        <f>SUM(L28:L30)</f>
        <v/>
      </c>
      <c r="M27" s="3051">
        <f>L27-I27</f>
        <v/>
      </c>
      <c r="N27" s="45" t="n"/>
      <c r="O27" s="6" t="n"/>
      <c r="R27" s="2058" t="n"/>
    </row>
    <row r="28" outlineLevel="1" ht="12.75" customHeight="1">
      <c r="C28" s="34" t="n"/>
      <c r="D28" s="33" t="n"/>
      <c r="E28" s="33" t="n"/>
      <c r="F28" s="26" t="inlineStr">
        <is>
          <t>전산관련지출</t>
        </is>
      </c>
      <c r="G28" s="3026">
        <f>SUMIFS('6월데이터'!$F:$F,'6월데이터'!$A:$A,"전산유지비",'6월데이터'!$D:$D,"KRW")/1000000</f>
        <v/>
      </c>
      <c r="H28" s="3033">
        <f>SUMIFS('6월데이터'!$F:$F,'6월데이터'!$A:$A,F28,'6월데이터'!$D:$D,"USD")/1000</f>
        <v/>
      </c>
      <c r="I28" s="3040">
        <f>G28+H28*$P$4/1000</f>
        <v/>
      </c>
      <c r="J28" s="3028">
        <f>SUMIFS('7월데이터'!$F:$F,'7월데이터'!$A:$A,F28,'7월데이터'!$D:$D,"KRW")/1000000</f>
        <v/>
      </c>
      <c r="K28" s="3033">
        <f>SUMIFS('7월데이터'!$F:$F,'7월데이터'!$A:$A,F28,'7월데이터'!$D:$D,"USD")/1000</f>
        <v/>
      </c>
      <c r="L28" s="3056">
        <f>J28+K28*$P$4/1000</f>
        <v/>
      </c>
      <c r="M28" s="3057">
        <f>L28-I28</f>
        <v/>
      </c>
      <c r="N28" s="45" t="n"/>
      <c r="O28" s="6" t="n"/>
    </row>
    <row r="29" outlineLevel="1" ht="12.75" customHeight="1">
      <c r="C29" s="34" t="n"/>
      <c r="D29" s="33" t="n"/>
      <c r="E29" s="33" t="n"/>
      <c r="F29" s="37" t="inlineStr">
        <is>
          <t>경영, 업무지원, 운영용역비</t>
        </is>
      </c>
      <c r="G29" s="3026">
        <f>SUMIFS('6월데이터'!$F:$F,'6월데이터'!$A:$A,"경영지원용역비",'6월데이터'!$D:$D,"KRW")/1000000</f>
        <v/>
      </c>
      <c r="H29" s="3033">
        <f>SUMIFS('6월데이터'!$F:$F,'6월데이터'!$A:$A,"경영지원용역비",'6월데이터'!$D:$D,"USD")/1000+SUMIFS('6월데이터'!$F:$F,'6월데이터'!$A:$A,"업무지원용역비",'6월데이터'!$D:$D,"USD")/1000+SUMIFS('6월데이터'!$F:$F,'6월데이터'!$A:$A,"운영용역비",'6월데이터'!$D:$D,"USD")/1000</f>
        <v/>
      </c>
      <c r="I29" s="3043">
        <f>G29+H29*$P$4/1000</f>
        <v/>
      </c>
      <c r="J29" s="3028">
        <f>SUMIFS('7월데이터'!$F:$F,'7월데이터'!$A:$A,"경영지원용역비",'7월데이터'!$D:$D,"KRW")/1000000</f>
        <v/>
      </c>
      <c r="K29" s="3033">
        <f>SUMIFS('7월데이터'!$F:$F,'7월데이터'!$A:$A,"경영지원용역비",'7월데이터'!$D:$D,"USD")/1000</f>
        <v/>
      </c>
      <c r="L29" s="3029">
        <f>J29+K29*$P$4/1000</f>
        <v/>
      </c>
      <c r="M29" s="3030">
        <f>L29-I29</f>
        <v/>
      </c>
      <c r="N29" s="50" t="inlineStr">
        <is>
          <t xml:space="preserve"> ∙ 4월 : 분기별 경영부문 용역료, 그룹사 공용비용 3.5백만원</t>
        </is>
      </c>
      <c r="O29" s="6" t="n"/>
    </row>
    <row r="30" outlineLevel="1" ht="12.75" customHeight="1">
      <c r="C30" s="34" t="n"/>
      <c r="D30" s="33" t="n"/>
      <c r="E30" s="33" t="n"/>
      <c r="F30" s="37" t="inlineStr">
        <is>
          <t>기타</t>
        </is>
      </c>
      <c r="G30" s="3026" t="n">
        <v>7.205089000000001</v>
      </c>
      <c r="H30" s="3033" t="n">
        <v>0</v>
      </c>
      <c r="I30" s="3043" t="n">
        <v>7.205089000000001</v>
      </c>
      <c r="J30" s="3028" t="n">
        <v>11.053534</v>
      </c>
      <c r="K30" s="3033" t="n">
        <v>0</v>
      </c>
      <c r="L30" s="3029" t="n">
        <v>11.053534</v>
      </c>
      <c r="M30" s="3030" t="n">
        <v>3.848444999999998</v>
      </c>
      <c r="N30" s="45" t="n"/>
      <c r="O30" s="6" t="n"/>
    </row>
    <row r="31" ht="12.75" customHeight="1">
      <c r="C31" s="30" t="inlineStr">
        <is>
          <t>C. 운용자금 입지출(=해지-예치)</t>
        </is>
      </c>
      <c r="D31" s="30" t="n"/>
      <c r="E31" s="30" t="n"/>
      <c r="F31" s="29" t="n"/>
      <c r="G31" s="3011">
        <f>G32-G33</f>
        <v/>
      </c>
      <c r="H31" s="3012">
        <f>H32-H33</f>
        <v/>
      </c>
      <c r="I31" s="3011">
        <f>I32-I33</f>
        <v/>
      </c>
      <c r="J31" s="3013">
        <f>J32-J33</f>
        <v/>
      </c>
      <c r="K31" s="3012">
        <f>K32-K33</f>
        <v/>
      </c>
      <c r="L31" s="3014">
        <f>L32-L33</f>
        <v/>
      </c>
      <c r="M31" s="3058">
        <f>L31-I31</f>
        <v/>
      </c>
      <c r="N31" s="28" t="n"/>
      <c r="O31" s="6" t="n"/>
    </row>
    <row r="32" ht="12.75" customHeight="1">
      <c r="C32" s="19" t="n"/>
      <c r="D32" s="26" t="inlineStr">
        <is>
          <t>해지(입금)</t>
        </is>
      </c>
      <c r="E32" s="18" t="n"/>
      <c r="F32" s="18" t="n"/>
      <c r="G32" s="3021">
        <f>SUMIFS('6월데이터'!$E:$E,'6월데이터'!$A:$A,"금융상품",'6월데이터'!$D:$D,"KRW")/1000000</f>
        <v/>
      </c>
      <c r="H32" s="3022">
        <f>SUMIFS('6월데이터'!$E:$E,'6월데이터'!$A:$A,"금융상품",'6월데이터'!$D:$D,"USD")/1000</f>
        <v/>
      </c>
      <c r="I32" s="3021">
        <f>G32+H32*$P$4/1000</f>
        <v/>
      </c>
      <c r="J32" s="3023">
        <f>SUMIFS('7월데이터'!$E:$E,'7월데이터'!$A:$A,"금융상품",'7월데이터'!$D:$D,"KRW")/1000000</f>
        <v/>
      </c>
      <c r="K32" s="3022">
        <f>SUMIFS('7월데이터'!$E:$E,'7월데이터'!$A:$A,"금융상품",'7월데이터'!$D:$D,"USD")/1000</f>
        <v/>
      </c>
      <c r="L32" s="3024">
        <f>J32+K32*$P$4/1000</f>
        <v/>
      </c>
      <c r="M32" s="3025">
        <f>L32-I32</f>
        <v/>
      </c>
      <c r="N32" s="161" t="n"/>
      <c r="O32" s="6" t="n"/>
    </row>
    <row r="33" ht="12.75" customHeight="1">
      <c r="C33" s="15" t="n"/>
      <c r="D33" s="16" t="inlineStr">
        <is>
          <t>예치(지출)</t>
        </is>
      </c>
      <c r="E33" s="15" t="n"/>
      <c r="F33" s="15" t="n"/>
      <c r="G33" s="3059">
        <f>SUMIFS('6월데이터'!$F:$F,'6월데이터'!$A:$A,"금융상품",'6월데이터'!$D:$D,"KRW")/1000000</f>
        <v/>
      </c>
      <c r="H33" s="3060">
        <f>SUMIFS('6월데이터'!$F:$F,'6월데이터'!$A:$A,"금융상품",'6월데이터'!$D:$D,"USD")/1000</f>
        <v/>
      </c>
      <c r="I33" s="3059">
        <f>G33+H33*$P$4/1000</f>
        <v/>
      </c>
      <c r="J33" s="3061">
        <f>SUMIFS('7월데이터'!$F:$F,'7월데이터'!$A:$A,"금융상품",'7월데이터'!$D:$D,"KRW")/1000000</f>
        <v/>
      </c>
      <c r="K33" s="3062">
        <f>SUMIFS('7월데이터'!$F:$F,'7월데이터'!$A:$A,"금융상품",'7월데이터'!$D:$D,"USD")/1000</f>
        <v/>
      </c>
      <c r="L33" s="3063">
        <f>J33+K33*$P$4/1000</f>
        <v/>
      </c>
      <c r="M33" s="3064">
        <f>L33-I33</f>
        <v/>
      </c>
      <c r="N33" s="27" t="n"/>
      <c r="O33" s="6" t="n"/>
    </row>
    <row r="34" ht="12.75" customHeight="1">
      <c r="C34" s="24" t="inlineStr">
        <is>
          <t>D. FX</t>
        </is>
      </c>
      <c r="D34" s="24" t="n"/>
      <c r="E34" s="23" t="n"/>
      <c r="F34" s="22" t="n"/>
      <c r="G34" s="3011">
        <f>G35-G36</f>
        <v/>
      </c>
      <c r="H34" s="3012">
        <f>H35-H36</f>
        <v/>
      </c>
      <c r="I34" s="3011">
        <f>I35-I36</f>
        <v/>
      </c>
      <c r="J34" s="3013">
        <f>J35-J36</f>
        <v/>
      </c>
      <c r="K34" s="3012">
        <f>K35-K36</f>
        <v/>
      </c>
      <c r="L34" s="3014">
        <f>L35-L36</f>
        <v/>
      </c>
      <c r="M34" s="3058">
        <f>L34-I34</f>
        <v/>
      </c>
      <c r="N34" s="162" t="n"/>
      <c r="O34" s="6" t="n"/>
    </row>
    <row r="35" ht="12.75" customHeight="1">
      <c r="C35" s="19" t="n"/>
      <c r="D35" s="26" t="inlineStr">
        <is>
          <t>입금</t>
        </is>
      </c>
      <c r="E35" s="18" t="n"/>
      <c r="F35" s="18" t="n"/>
      <c r="G35" s="3065">
        <f>SUMIF('6월데이터'!$A:$A,"외환매도",'6월데이터'!$E:$E)/1000000</f>
        <v/>
      </c>
      <c r="H35" s="3022" t="n">
        <v>0</v>
      </c>
      <c r="I35" s="3021">
        <f>G35+H35*$P$4/1000</f>
        <v/>
      </c>
      <c r="J35" s="3023">
        <f>L36</f>
        <v/>
      </c>
      <c r="K35" s="3022" t="n">
        <v>0</v>
      </c>
      <c r="L35" s="3024">
        <f>J35+K35*$P$4/1000</f>
        <v/>
      </c>
      <c r="M35" s="3066">
        <f>L35-I35</f>
        <v/>
      </c>
      <c r="N35" s="25" t="n"/>
      <c r="O35" s="6" t="n"/>
    </row>
    <row r="36" ht="12.75" customHeight="1">
      <c r="C36" s="15" t="n"/>
      <c r="D36" s="16" t="inlineStr">
        <is>
          <t>출금</t>
        </is>
      </c>
      <c r="E36" s="15" t="n"/>
      <c r="F36" s="15" t="n"/>
      <c r="G36" s="3067" t="n">
        <v>0</v>
      </c>
      <c r="H36" s="3068">
        <f>SUMIF('6월데이터'!$A:$A,"외환매도",'6월데이터'!$F:$F)/1000</f>
        <v/>
      </c>
      <c r="I36" s="3059">
        <f>G36+(H36*$P$4/1000)</f>
        <v/>
      </c>
      <c r="J36" s="3061" t="n">
        <v>0</v>
      </c>
      <c r="K36" s="3068">
        <f>SUMIF('7월데이터'!$A:$A,"외환매도",'7월데이터'!$F:$F)/1000</f>
        <v/>
      </c>
      <c r="L36" s="3063">
        <f>J36+K36*$P$4/1000</f>
        <v/>
      </c>
      <c r="M36" s="3064">
        <f>L36-I36</f>
        <v/>
      </c>
      <c r="N36" s="163" t="n"/>
      <c r="O36" s="6" t="n"/>
    </row>
    <row r="37" ht="12.75" customHeight="1">
      <c r="C37" s="24" t="inlineStr">
        <is>
          <t>E. 조달</t>
        </is>
      </c>
      <c r="D37" s="24" t="n"/>
      <c r="E37" s="23" t="n"/>
      <c r="F37" s="22" t="n"/>
      <c r="G37" s="3011">
        <f>G38-G39</f>
        <v/>
      </c>
      <c r="H37" s="3012">
        <f>H38-H39</f>
        <v/>
      </c>
      <c r="I37" s="3011">
        <f>I38-I39</f>
        <v/>
      </c>
      <c r="J37" s="3013">
        <f>J38-J39</f>
        <v/>
      </c>
      <c r="K37" s="3012">
        <f>K38-K39</f>
        <v/>
      </c>
      <c r="L37" s="3014">
        <f>L38-L39</f>
        <v/>
      </c>
      <c r="M37" s="3058">
        <f>L37-I37</f>
        <v/>
      </c>
      <c r="N37" s="20" t="n"/>
      <c r="O37" s="6" t="n"/>
    </row>
    <row r="38" ht="12.75" customHeight="1">
      <c r="C38" s="19" t="n"/>
      <c r="D38" s="651" t="inlineStr">
        <is>
          <t>입금</t>
        </is>
      </c>
      <c r="E38" s="18" t="n"/>
      <c r="F38" s="18" t="n"/>
      <c r="G38" s="3065">
        <f>SUMIF('6월데이터'!$A:$A,"차입금",'6월데이터'!$E:$E)/1000000+SUMIF('6월데이터'!$A:$A,"투자금",'6월데이터'!$E:$E)/1000000</f>
        <v/>
      </c>
      <c r="H38" s="3022" t="n">
        <v>0</v>
      </c>
      <c r="I38" s="3021">
        <f>G38+H38*$P$4/1000</f>
        <v/>
      </c>
      <c r="J38" s="3023" t="n">
        <v>0</v>
      </c>
      <c r="K38" s="3022" t="n">
        <v>0</v>
      </c>
      <c r="L38" s="3024">
        <f>J38+K38*$P$4/1000</f>
        <v/>
      </c>
      <c r="M38" s="3066">
        <f>L38-I38</f>
        <v/>
      </c>
      <c r="N38" s="45" t="n"/>
      <c r="O38" s="6" t="n"/>
    </row>
    <row r="39" ht="12.75" customHeight="1">
      <c r="C39" s="15" t="n"/>
      <c r="D39" s="16" t="inlineStr">
        <is>
          <t>출금</t>
        </is>
      </c>
      <c r="E39" s="15" t="n"/>
      <c r="F39" s="15" t="n"/>
      <c r="G39" s="3067">
        <f>SUMIF('6월데이터'!$A:$A,"차입금상환",'6월데이터'!$F:$F)/1000000</f>
        <v/>
      </c>
      <c r="H39" s="3068" t="n">
        <v>0</v>
      </c>
      <c r="I39" s="3059">
        <f>G39+(H39*$P$4/1000)</f>
        <v/>
      </c>
      <c r="J39" s="3061" t="n">
        <v>0</v>
      </c>
      <c r="K39" s="3068" t="n">
        <v>0</v>
      </c>
      <c r="L39" s="3063">
        <f>J39+K39*$P$4/1000</f>
        <v/>
      </c>
      <c r="M39" s="3064">
        <f>L39-I39</f>
        <v/>
      </c>
      <c r="N39" s="13" t="n"/>
      <c r="O39" s="6" t="n"/>
    </row>
    <row r="40" ht="12.75" customHeight="1">
      <c r="C40" s="11" t="inlineStr">
        <is>
          <t>F. 유동자금 증감(=B+C+D+E)</t>
        </is>
      </c>
      <c r="D40" s="11" t="n"/>
      <c r="E40" s="11" t="n"/>
      <c r="F40" s="10" t="n"/>
      <c r="G40" s="3006">
        <f>G7+G31+G34+G37</f>
        <v/>
      </c>
      <c r="H40" s="3007">
        <f>H7+H31+H34+H37</f>
        <v/>
      </c>
      <c r="I40" s="3006">
        <f>I7+I31+I34+I37</f>
        <v/>
      </c>
      <c r="J40" s="3008">
        <f>J7+J31+J34+J37</f>
        <v/>
      </c>
      <c r="K40" s="3007">
        <f>K7+K31+K34+K37</f>
        <v/>
      </c>
      <c r="L40" s="3009">
        <f>L7+L31+L34+L37</f>
        <v/>
      </c>
      <c r="M40" s="3010">
        <f>M7+M31+M34</f>
        <v/>
      </c>
      <c r="N40" s="12" t="n"/>
      <c r="O40" s="6" t="n"/>
    </row>
    <row r="41" ht="12.75" customFormat="1" customHeight="1" s="1997" thickBot="1">
      <c r="A41" s="1" t="n"/>
      <c r="B41" s="1" t="n"/>
      <c r="C41" s="11" t="inlineStr">
        <is>
          <t>G. 기말유동잔고(=A+F)</t>
        </is>
      </c>
      <c r="D41" s="11" t="n"/>
      <c r="E41" s="11" t="n"/>
      <c r="F41" s="10" t="n"/>
      <c r="G41" s="3069">
        <f>G6+G40</f>
        <v/>
      </c>
      <c r="H41" s="3007">
        <f>H6+H40</f>
        <v/>
      </c>
      <c r="I41" s="3006">
        <f>I6+I40</f>
        <v/>
      </c>
      <c r="J41" s="3070">
        <f>J6+J40</f>
        <v/>
      </c>
      <c r="K41" s="3071">
        <f>K6+K40</f>
        <v/>
      </c>
      <c r="L41" s="3072">
        <f>L6+L40</f>
        <v/>
      </c>
      <c r="M41" s="3010">
        <f>L41-I41</f>
        <v/>
      </c>
      <c r="N41" s="7" t="n"/>
      <c r="O41" s="6" t="n"/>
      <c r="Q41" s="1" t="n"/>
      <c r="R41" s="1" t="n"/>
    </row>
    <row r="42" ht="12.75" customFormat="1" customHeight="1" s="1997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Q42" s="1" t="n"/>
      <c r="R42" s="1" t="n"/>
    </row>
    <row r="43" customFormat="1" s="1997">
      <c r="A43" s="1" t="n"/>
      <c r="B43" s="1" t="n"/>
      <c r="C43" s="1" t="n"/>
      <c r="D43" s="1" t="n"/>
      <c r="E43" s="1" t="n"/>
      <c r="F43" s="1" t="n"/>
      <c r="G43" s="1" t="n"/>
      <c r="H43" s="2085" t="n"/>
      <c r="I43" s="1" t="n"/>
      <c r="K43" s="1" t="n"/>
      <c r="L43" s="1" t="n"/>
      <c r="M43" s="2086" t="n"/>
      <c r="N43" s="2087" t="n"/>
      <c r="O43" s="1" t="n"/>
      <c r="Q43" s="1" t="n"/>
      <c r="R43" s="1" t="n"/>
    </row>
    <row r="44" customFormat="1" s="1997">
      <c r="A44" s="1" t="n"/>
      <c r="B44" s="1" t="n"/>
      <c r="C44" s="1" t="n"/>
      <c r="D44" s="1" t="n"/>
      <c r="E44" s="1" t="n"/>
      <c r="F44" s="1" t="n"/>
      <c r="G44" s="1" t="n"/>
      <c r="H44" s="2085" t="n"/>
      <c r="I44" s="1" t="n"/>
      <c r="J44" s="1" t="n"/>
      <c r="K44" s="1" t="n"/>
      <c r="L44" s="1" t="n"/>
      <c r="M44" s="1" t="n"/>
      <c r="N44" s="2087" t="n"/>
      <c r="O44" s="1" t="n"/>
      <c r="Q44" s="1" t="n"/>
      <c r="R44" s="1" t="n"/>
    </row>
    <row r="45" customFormat="1" s="1997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2058" t="n"/>
      <c r="K45" s="1" t="n"/>
      <c r="L45" s="2088" t="n"/>
      <c r="M45" s="1" t="n"/>
      <c r="N45" s="2089" t="n"/>
      <c r="O45" s="1" t="n"/>
      <c r="Q45" s="1" t="n"/>
      <c r="R45" s="1" t="n"/>
    </row>
    <row r="49" customFormat="1" s="1997">
      <c r="A49" s="1" t="n"/>
      <c r="B49" s="1" t="n"/>
      <c r="C49" s="1" t="n"/>
      <c r="D49" s="1" t="n"/>
      <c r="E49" s="1" t="n"/>
      <c r="F49" s="1" t="n"/>
      <c r="H49" s="1" t="n"/>
      <c r="I49" s="1" t="n"/>
      <c r="J49" s="1" t="n"/>
      <c r="K49" s="1" t="n"/>
      <c r="L49" s="1" t="n"/>
      <c r="M49" s="1" t="n"/>
      <c r="N49" s="1" t="n"/>
      <c r="O49" s="1" t="n"/>
      <c r="Q49" s="1" t="n"/>
      <c r="R49" s="1" t="n"/>
    </row>
  </sheetData>
  <mergeCells count="5">
    <mergeCell ref="M4:M5"/>
    <mergeCell ref="C4:F5"/>
    <mergeCell ref="N4:N5"/>
    <mergeCell ref="G4:I4"/>
    <mergeCell ref="J4:L4"/>
  </mergeCells>
  <conditionalFormatting sqref="F6:M12 G13:M41">
    <cfRule type="cellIs" priority="1" operator="equal" dxfId="0">
      <formula>0</formula>
    </cfRule>
  </conditionalFormatting>
  <conditionalFormatting sqref="M12">
    <cfRule type="cellIs" priority="2" operator="equal" dxfId="0">
      <formula>0</formula>
    </cfRule>
  </conditionalFormatting>
  <printOptions horizontalCentered="1"/>
  <pageMargins left="0.2755905511811024" right="0.2362204724409449" top="0.3937007874015748" bottom="0.4330708661417323" header="0.3149606299212598" footer="0.3149606299212598"/>
  <pageSetup orientation="landscape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gekim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2026-08-25T04:54:56Z</dcterms:modified>
  <cp:lastModifiedBy>com2usholdings14</cp:lastModifiedBy>
  <cp:lastPrinted>2025-05-26T07:26:47Z</cp:lastPrinted>
</cp:coreProperties>
</file>