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IJH\Downloads\"/>
    </mc:Choice>
  </mc:AlternateContent>
  <xr:revisionPtr revIDLastSave="0" documentId="13_ncr:1_{A774E38E-6BD3-4257-8823-3F8EBD61A9DF}" xr6:coauthVersionLast="47" xr6:coauthVersionMax="47" xr10:uidLastSave="{00000000-0000-0000-0000-000000000000}"/>
  <bookViews>
    <workbookView xWindow="-120" yWindow="-120" windowWidth="57840" windowHeight="31920" xr2:uid="{00000000-000D-0000-FFFF-FFFF00000000}"/>
  </bookViews>
  <sheets>
    <sheet name="요약1" sheetId="1" r:id="rId1"/>
    <sheet name="요약2" sheetId="2" r:id="rId2"/>
    <sheet name="유동자금세부" sheetId="3" r:id="rId3"/>
    <sheet name="연간" sheetId="4" r:id="rId4"/>
    <sheet name="실적월" sheetId="5" r:id="rId5"/>
    <sheet name="계획월" sheetId="6" r:id="rId6"/>
    <sheet name="2025년 자금실적" sheetId="7" r:id="rId7"/>
    <sheet name="2026년 자금실적" sheetId="8" r:id="rId8"/>
  </sheets>
  <functionGroups builtInGroupCount="19"/>
  <externalReferences>
    <externalReference r:id="rId9"/>
    <externalReference r:id="rId10"/>
    <externalReference r:id="rId11"/>
  </externalReferences>
  <definedNames>
    <definedName name="____o2" hidden="1">'[1]#REF'!$A$206:$Q$214</definedName>
    <definedName name="___o2" hidden="1">'[1]#REF'!$A$206:$Q$214</definedName>
    <definedName name="__123Graph_A" hidden="1">#REF!</definedName>
    <definedName name="__hq1" hidden="1">{#N/A,#N/A,FALSE,"6405";#N/A,#N/A,FALSE,"6406";#N/A,#N/A,FALSE,"6409";#N/A,#N/A,FALSE,"6425";#N/A,#N/A,FALSE,"6426";#N/A,#N/A,FALSE,"6427";#N/A,#N/A,FALSE,"6440";#N/A,#N/A,FALSE,"6441";#N/A,#N/A,FALSE,"6442";#N/A,#N/A,FALSE,"6443"}</definedName>
    <definedName name="__o2" hidden="1">'[1]#REF'!$A$206:$Q$214</definedName>
    <definedName name="__wrn3" hidden="1">{#N/A,#N/A,FALSE,"Aging Summary";#N/A,#N/A,FALSE,"Ratio Analysis";#N/A,#N/A,FALSE,"Test 120 Day Accts";#N/A,#N/A,FALSE,"Tickmarks"}</definedName>
    <definedName name="_15" hidden="1">{#N/A,#N/A,TRUE,"Summary";#N/A,#N/A,TRUE,"Financials"}</definedName>
    <definedName name="_16" hidden="1">{"Summary",#N/A,TRUE,"Sheet1";"Returns",#N/A,TRUE,"Sheet1";"IS",#N/A,TRUE,"Sheet1";"BS",#N/A,TRUE,"Sheet1";"CF",#N/A,TRUE,"Sheet1";"Cover6",#N/A,TRUE,"Sheet1";"WC7",#N/A,TRUE,"Sheet1";"Debt8",#N/A,TRUE,"Sheet1";"Tax9",#N/A,TRUE,"Sheet1"}</definedName>
    <definedName name="_17" hidden="1">{#N/A,#N/A,TRUE,"Summary";#N/A,#N/A,TRUE,"Financials";#N/A,#N/A,TRUE,"Assumptions";#N/A,#N/A,TRUE,"Pro Forma";#N/A,#N/A,TRUE,"Debt";#N/A,#N/A,TRUE,"Amortization";#N/A,#N/A,TRUE,"GG Returns"}</definedName>
    <definedName name="_18" hidden="1">{#N/A,#N/A,TRUE,"Summary";#N/A,#N/A,TRUE,"Assumptions";#N/A,#N/A,TRUE,"Comparison";#N/A,#N/A,TRUE,"Financials";#N/A,#N/A,TRUE,"Plan v. Act"}</definedName>
    <definedName name="_21" hidden="1">{#N/A,#N/A,TRUE,"Summary";#N/A,#N/A,TRUE,"Financials"}</definedName>
    <definedName name="_22" hidden="1">{"Summary",#N/A,TRUE,"Sheet1";"Returns",#N/A,TRUE,"Sheet1";"IS",#N/A,TRUE,"Sheet1";"BS",#N/A,TRUE,"Sheet1";"CF",#N/A,TRUE,"Sheet1";"Cover6",#N/A,TRUE,"Sheet1";"WC7",#N/A,TRUE,"Sheet1";"Debt8",#N/A,TRUE,"Sheet1";"Tax9",#N/A,TRUE,"Sheet1"}</definedName>
    <definedName name="_23" hidden="1">{#N/A,#N/A,TRUE,"Summary";#N/A,#N/A,TRUE,"Financials";#N/A,#N/A,TRUE,"Assumptions";#N/A,#N/A,TRUE,"Pro Forma";#N/A,#N/A,TRUE,"Debt";#N/A,#N/A,TRUE,"Amortization";#N/A,#N/A,TRUE,"GG Returns"}</definedName>
    <definedName name="_235" hidden="1">{#N/A,#N/A,TRUE,"Summary";#N/A,#N/A,TRUE,"Financials";#N/A,#N/A,TRUE,"Assumptions";#N/A,#N/A,TRUE,"Pro Forma";#N/A,#N/A,TRUE,"Debt";#N/A,#N/A,TRUE,"Amortization";#N/A,#N/A,TRUE,"GG Returns"}</definedName>
    <definedName name="_24" hidden="1">{#N/A,#N/A,TRUE,"Summary";#N/A,#N/A,TRUE,"Assumptions";#N/A,#N/A,TRUE,"Comparison";#N/A,#N/A,TRUE,"Financials";#N/A,#N/A,TRUE,"Plan v. Act"}</definedName>
    <definedName name="_cp2000" hidden="1">{"CEOReportPart1",#N/A,FALSE,"Quarterly";"CEOReportPart2",#N/A,FALSE,"Quarterly";"CEOReportPart3",#N/A,FALSE,"Allocations"}</definedName>
    <definedName name="_cp20000" hidden="1">{"CEOReportPart1",#N/A,FALSE,"Quarterly";"CEOReportPart2",#N/A,FALSE,"Quarterly";"CEOReportPart3",#N/A,FALSE,"Allocations"}</definedName>
    <definedName name="_Fill" localSheetId="6" hidden="1">[2]현금흐름표!#REF!</definedName>
    <definedName name="_Fill" localSheetId="7" hidden="1">[2]현금흐름표!#REF!</definedName>
    <definedName name="_Fill" hidden="1">[2]현금흐름표!#REF!</definedName>
    <definedName name="_xlnm._FilterDatabase" localSheetId="5" hidden="1">계획월!$A$3:$G$278</definedName>
    <definedName name="_xlnm._FilterDatabase" localSheetId="4" hidden="1">실적월!$A$3:$G$90</definedName>
    <definedName name="_hq1" hidden="1">{#N/A,#N/A,FALSE,"6405";#N/A,#N/A,FALSE,"6406";#N/A,#N/A,FALSE,"6409";#N/A,#N/A,FALSE,"6425";#N/A,#N/A,FALSE,"6426";#N/A,#N/A,FALSE,"6427";#N/A,#N/A,FALSE,"6440";#N/A,#N/A,FALSE,"6441";#N/A,#N/A,FALSE,"6442";#N/A,#N/A,FALSE,"6443"}</definedName>
    <definedName name="_k1" localSheetId="6" hidden="1">[1]ST!#REF!</definedName>
    <definedName name="_k1" localSheetId="7" hidden="1">[1]ST!#REF!</definedName>
    <definedName name="_k1" hidden="1">[1]ST!#REF!</definedName>
    <definedName name="_k2" localSheetId="6" hidden="1">[1]ST!#REF!</definedName>
    <definedName name="_k2" localSheetId="7" hidden="1">[1]ST!#REF!</definedName>
    <definedName name="_k2" hidden="1">[1]ST!#REF!</definedName>
    <definedName name="_Key1" hidden="1">[2]Sheet3!$F$45</definedName>
    <definedName name="_Key2" localSheetId="6" hidden="1">[1]Sheet2!#REF!</definedName>
    <definedName name="_Key2" localSheetId="7" hidden="1">[1]Sheet2!#REF!</definedName>
    <definedName name="_Key2" hidden="1">[1]Sheet2!#REF!</definedName>
    <definedName name="_Key3" hidden="1">#REF!</definedName>
    <definedName name="_KTM10" hidden="1">{#N/A,#N/A,FALSE,"현장 NCR 분석";#N/A,#N/A,FALSE,"현장품질감사";#N/A,#N/A,FALSE,"현장품질감사"}</definedName>
    <definedName name="_o2" hidden="1">'[1]#REF'!$A$206:$Q$214</definedName>
    <definedName name="_o3" hidden="1">'[1]#REF'!$A$206:$Q$214</definedName>
    <definedName name="_oo" localSheetId="6" hidden="1">'[1]#REF'!#REF!</definedName>
    <definedName name="_oo" localSheetId="7" hidden="1">'[1]#REF'!#REF!</definedName>
    <definedName name="_oo" hidden="1">'[1]#REF'!#REF!</definedName>
    <definedName name="_oo1" localSheetId="6" hidden="1">'[1]#REF'!#REF!</definedName>
    <definedName name="_oo1" localSheetId="7" hidden="1">'[1]#REF'!#REF!</definedName>
    <definedName name="_oo1" hidden="1">'[1]#REF'!#REF!</definedName>
    <definedName name="_op" localSheetId="6" hidden="1">[1]ST!#REF!</definedName>
    <definedName name="_op" localSheetId="7" hidden="1">[1]ST!#REF!</definedName>
    <definedName name="_op" hidden="1">[1]ST!#REF!</definedName>
    <definedName name="_op1" localSheetId="6" hidden="1">[1]ST!#REF!</definedName>
    <definedName name="_op1" localSheetId="7" hidden="1">[1]ST!#REF!</definedName>
    <definedName name="_op1" hidden="1">[1]ST!#REF!</definedName>
    <definedName name="_Order1" hidden="1">0</definedName>
    <definedName name="_Order2" hidden="1">255</definedName>
    <definedName name="_s1" hidden="1">'[1]#REF'!$A$206:$Q$214</definedName>
    <definedName name="_s2" hidden="1">'[1]#REF'!$A$206:$Q$214</definedName>
    <definedName name="_Sort" hidden="1">[1]Sheet3!$A$206:$Q$214</definedName>
    <definedName name="_Table1_In1" hidden="1">[2]Sheet3!$F$45</definedName>
    <definedName name="_Table1_Out" hidden="1">[2]Sheet3!$F$45</definedName>
    <definedName name="_ui" hidden="1">'[1]#REF'!$A$206:$Q$214</definedName>
    <definedName name="_ui1" hidden="1">'[1]#REF'!$A$206:$Q$214</definedName>
    <definedName name="_wrn.Aging._.and._.Trend._.Analysis" hidden="1">{#N/A,#N/A,FALSE,"Aging Summary";#N/A,#N/A,FALSE,"Ratio Analysis";#N/A,#N/A,FALSE,"Test 120 Day Accts";#N/A,#N/A,FALSE,"Tickmarks"}</definedName>
    <definedName name="_wrn3" hidden="1">{#N/A,#N/A,FALSE,"Aging Summary";#N/A,#N/A,FALSE,"Ratio Analysis";#N/A,#N/A,FALSE,"Test 120 Day Accts";#N/A,#N/A,FALSE,"Tickmarks"}</definedName>
    <definedName name="_xleta.SUM" hidden="1" xlm="1">#NAME?</definedName>
    <definedName name="_xlpm.a" hidden="1" xlm="1">#NAME?</definedName>
    <definedName name="_xlpm.b" hidden="1" xlm="1">#NAME?</definedName>
    <definedName name="_xlpm.값" hidden="1" xlm="1">#NAME?</definedName>
    <definedName name="_xlpm.결과" hidden="1" xlm="1">#NAME?</definedName>
    <definedName name="_xlpm.고유그룹" hidden="1" xlm="1">#NAME?</definedName>
    <definedName name="_xlpm.그룹" hidden="1" xlm="1">#NAME?</definedName>
    <definedName name="_xlpm.대상값들" hidden="1" xlm="1">#NAME?</definedName>
    <definedName name="_xlpm.대표적요" hidden="1" xlm="1">#NAME?</definedName>
    <definedName name="_xlpm.숫자열" hidden="1" xlm="1">#NAME?</definedName>
    <definedName name="_xlpm.원값범위" hidden="1" xlm="1">#NAME?</definedName>
    <definedName name="_xlpm.적" hidden="1" xlm="1">#NAME?</definedName>
    <definedName name="_xlpm.적요범위" hidden="1" xlm="1">#NAME?</definedName>
    <definedName name="_xlpm.적요열" hidden="1" xlm="1">#NAME?</definedName>
    <definedName name="_xlpm.제외조건" hidden="1" xlm="1">#NAME?</definedName>
    <definedName name="_xlpm.최대값" hidden="1" xlm="1">#NAME?</definedName>
    <definedName name="_xlpm.필터행" hidden="1" xlm="1">#NAME?</definedName>
    <definedName name="_xlpm.합계값" hidden="1" xlm="1">#NAME?</definedName>
    <definedName name="_xlpm.항" hidden="1" xlm="1">#NAME?</definedName>
    <definedName name="_xlpm.항목1" hidden="1" xlm="1">#NAME?</definedName>
    <definedName name="_xlpm.항목범위" hidden="1" xlm="1">#NAME?</definedName>
    <definedName name="_xlpm.항목열" hidden="1" xlm="1">#NAME?</definedName>
    <definedName name="_xlpm.해당값들" hidden="1" xlm="1">#NAME?</definedName>
    <definedName name="_xlpm.해당적요" hidden="1" xlm="1">#NAME?</definedName>
    <definedName name="_xlpm.행" hidden="1" xlm="1">#NAME?</definedName>
    <definedName name="_xlpm.환" hidden="1" xlm="1">#NAME?</definedName>
    <definedName name="_xlpm.환종1" hidden="1" xlm="1">#NAME?</definedName>
    <definedName name="_xlpm.환종범위" hidden="1" xlm="1">#NAME?</definedName>
    <definedName name="_xlpm.환종열" hidden="1" xlm="1">#NAME?</definedName>
    <definedName name="aa" hidden="1">{#N/A,#N/A,FALSE,"JULY WCE";#N/A,#N/A,FALSE,"Central - Doug July";#N/A,#N/A,FALSE,"East - Dave July";#N/A,#N/A,FALSE,"West - Lee - July"}</definedName>
    <definedName name="aaa" hidden="1">{"CSN M Detail",#N/A,FALSE,"Sch M Detail"}</definedName>
    <definedName name="AS2HasNoAutoHeaderFooter" hidden="1">" "</definedName>
    <definedName name="AS2TickmarkLS" hidden="1">#REF!</definedName>
    <definedName name="asdf" hidden="1">#REF!</definedName>
    <definedName name="ASSUMPTIONS" hidden="1">{#N/A,#N/A,FALSE,"mk";#N/A,#N/A,FALSE,"SIEG";#N/A,#N/A,FALSE,"BOUSK";#N/A,#N/A,FALSE,"C-0 B96-97";#N/A,#N/A,FALSE,"C-O B98";#N/A,#N/A,FALSE,"C-0 B96-97";#N/A,#N/A,FALSE,"MEKN";#N/A,#N/A,FALSE,"MEKN";#N/A,#N/A,FALSE,"C-O MKS 98";#N/A,#N/A,FALSE,"TANG";#N/A,#N/A,FALSE,"C-O Tng96";#N/A,#N/A,FALSE,"C-O Tng97";#N/A,#N/A,FALSE,"C-O Tng98";#N/A,#N/A,FALSE,"TET";#N/A,#N/A,FALSE,"C-0 TET 98";#N/A,#N/A,FALSE,"synthese";#N/A,#N/A,FALSE,"MEKNES";#N/A,#N/A,FALSE,"BOUSKOURA";#N/A,#N/A,FALSE,"TANGER";#N/A,#N/A,FALSE,"TETOUAN";#N/A,#N/A,FALSE,"CAP1 DH";#N/A,#N/A,FALSE,"CAP1 FF";#N/A,#N/A,FALSE,"LAFARGE MAROC";#N/A,#N/A,FALSE,"SIEGE";#N/A,#N/A,FALSE,"TOTAL USINES";#N/A,#N/A,FALSE,"entretien"}</definedName>
    <definedName name="bak" hidden="1">{"YearEndSummary",#N/A,FALSE,"SUMMARY";"YearEndGrossMargin",#N/A,FALSE,"Gross Margin";"YearEndSales",#N/A,FALSE,"Sales";"YearEndStaffCosts",#N/A,FALSE,"Staff Costs";"YearEndOperatingCosts",#N/A,FALSE,"Operating Costs";"YearEndSalaries",#N/A,FALSE,"Salaries";"YearEndTravel",#N/A,FALSE,"Travel";"YearEndPitches",#N/A,FALSE,"Pitches";"YearEndAllocations",#N/A,FALSE,"Allocations"}</definedName>
    <definedName name="bbb" hidden="1">{"CSN M Detail",#N/A,FALSE,"Sch M Detail"}</definedName>
    <definedName name="bbbb" hidden="1">{#N/A,#N/A,FALSE,"JULY WCE";#N/A,#N/A,FALSE,"Central - Doug July";#N/A,#N/A,FALSE,"East - Dave July";#N/A,#N/A,FALSE,"West - Lee - July"}</definedName>
    <definedName name="CAP1B" hidden="1">{#N/A,#N/A,FALSE,"mk";#N/A,#N/A,FALSE,"SIEG";#N/A,#N/A,FALSE,"BOUSK";#N/A,#N/A,FALSE,"C-0 B96-97";#N/A,#N/A,FALSE,"C-O B98";#N/A,#N/A,FALSE,"C-0 B96-97";#N/A,#N/A,FALSE,"MEKN";#N/A,#N/A,FALSE,"MEKN";#N/A,#N/A,FALSE,"C-O MKS 98";#N/A,#N/A,FALSE,"TANG";#N/A,#N/A,FALSE,"C-O Tng96";#N/A,#N/A,FALSE,"C-O Tng97";#N/A,#N/A,FALSE,"C-O Tng98";#N/A,#N/A,FALSE,"TET";#N/A,#N/A,FALSE,"C-0 TET 98";#N/A,#N/A,FALSE,"synthese";#N/A,#N/A,FALSE,"MEKNES";#N/A,#N/A,FALSE,"BOUSKOURA";#N/A,#N/A,FALSE,"TANGER";#N/A,#N/A,FALSE,"TETOUAN";#N/A,#N/A,FALSE,"CAP1 DH";#N/A,#N/A,FALSE,"CAP1 FF";#N/A,#N/A,FALSE,"LAFARGE MAROC";#N/A,#N/A,FALSE,"SIEGE";#N/A,#N/A,FALSE,"TOTAL USINES";#N/A,#N/A,FALSE,"entretien"}</definedName>
    <definedName name="cpm" hidden="1">{"YearEndSummary",#N/A,FALSE,"SUMMARY";"MonthlyGrossMargin",#N/A,FALSE,"Gross Margin";"MonthlySales",#N/A,FALSE,"Sales";"YearEndStaffCosts",#N/A,FALSE,"Staff Costs";"MonthlyOperatingCosts",#N/A,FALSE,"Operating Costs";"MonthlySalaries",#N/A,FALSE,"Salaries";"MonthlyTravel",#N/A,FALSE,"Travel";"MonthlyPitches",#N/A,FALSE,"Pitches";"MonthlyAllocations",#N/A,FALSE,"Allocations"}</definedName>
    <definedName name="cpq" hidden="1">{"Quarterly",#N/A,FALSE,"Quarterly"}</definedName>
    <definedName name="cps" hidden="1">{#N/A,#N/A,TRUE,"Highlights";#N/A,#N/A,TRUE,"Cmp to PY";#N/A,#N/A,TRUE,"Top Level P&amp;L";#N/A,#N/A,TRUE,"P&amp;L by BU";#N/A,#N/A,TRUE,"% OF SALES";#N/A,#N/A,TRUE,"Curr Mon Sum";#N/A,#N/A,TRUE,"Current Month";#N/A,#N/A,TRUE,"Balance Sheet"}</definedName>
    <definedName name="cpy" hidden="1">{"YearEndSummary",#N/A,FALSE,"SUMMARY";"YearEndGrossMargin",#N/A,FALSE,"Gross Margin";"YearEndSales",#N/A,FALSE,"Sales";"YearEndStaffCosts",#N/A,FALSE,"Staff Costs";"YearEndOperatingCosts",#N/A,FALSE,"Operating Costs";"YearEndSalaries",#N/A,FALSE,"Salaries";"YearEndTravel",#N/A,FALSE,"Travel";"YearEndPitches",#N/A,FALSE,"Pitches";"YearEndAllocations",#N/A,FALSE,"Allocations"}</definedName>
    <definedName name="ee" localSheetId="6" hidden="1">[2]ST!#REF!</definedName>
    <definedName name="ee" localSheetId="7" hidden="1">[2]ST!#REF!</definedName>
    <definedName name="ee" hidden="1">[2]ST!#REF!</definedName>
    <definedName name="eee.ooo" hidden="1">{"CSN M Detail",#N/A,FALSE,"Sch M Detail"}</definedName>
    <definedName name="eee.ppp" hidden="1">{"CSN M Detail",#N/A,FALSE,"Sch M Detail"}</definedName>
    <definedName name="EV__CVPARAMS__" hidden="1">"Report!$B$31:$C$40;"</definedName>
    <definedName name="EV__EVCOM_OPTIONS__" hidden="1">8</definedName>
    <definedName name="EV__EXPOPTIONS__" hidden="1">0</definedName>
    <definedName name="EV__LASTREFTIME__" hidden="1">"2009-11-17 오후 1:06:31"</definedName>
    <definedName name="EV__MAXEXPCOLS__" hidden="1">100</definedName>
    <definedName name="EV__MAXEXPROWS__" hidden="1">1000</definedName>
    <definedName name="EV__MEMORYCVW__" hidden="1">0</definedName>
    <definedName name="EV__WBEVMODE__" hidden="1">0</definedName>
    <definedName name="EV__WBREFOPTIONS__" hidden="1">134217783</definedName>
    <definedName name="EV__WBVERSION__" hidden="1">0</definedName>
    <definedName name="FDAS" hidden="1">{#N/A,#N/A,TRUE," L.MAROC";#N/A,#N/A,TRUE,"SIE";#N/A,#N/A,TRUE,"ELIM L.GROUPE";#N/A,#N/A,TRUE,"ACTIVITE CIMENTIERE";#N/A,#N/A,TRUE,"ELIM ACTIVITE CIMENTIERE";#N/A,#N/A,TRUE,"SYNTHES L. CIMENT";#N/A,#N/A,TRUE,"BOUSKOURA";#N/A,#N/A,TRUE,"MEKNES";#N/A,#N/A,TRUE,"ELIM L.CIMENT";#N/A,#N/A,TRUE,"SYNTHESE L.CEMENTOS";#N/A,#N/A,TRUE,"TANGER";#N/A,#N/A,TRUE,"TETOUAN";#N/A,#N/A,TRUE,"ELIM L.CEMENTOS"}</definedName>
    <definedName name="ff" hidden="1">{#N/A,#N/A,TRUE," L.MAROC";#N/A,#N/A,TRUE,"SIE";#N/A,#N/A,TRUE,"ELIM L.GROUPE";#N/A,#N/A,TRUE,"ACTIVITE CIMENTIERE";#N/A,#N/A,TRUE,"ELIM ACTIVITE CIMENTIERE";#N/A,#N/A,TRUE,"SYNTHES L. CIMENT";#N/A,#N/A,TRUE,"BOUSKOURA";#N/A,#N/A,TRUE,"MEKNES";#N/A,#N/A,TRUE,"ELIM L.CIMENT";#N/A,#N/A,TRUE,"SYNTHESE L.CEMENTOS";#N/A,#N/A,TRUE,"TANGER";#N/A,#N/A,TRUE,"TETOUAN";#N/A,#N/A,TRUE,"ELIM L.CEMENTOS"}</definedName>
    <definedName name="GGG" localSheetId="6" hidden="1">[1]ST!#REF!</definedName>
    <definedName name="GGG" localSheetId="7" hidden="1">[1]ST!#REF!</definedName>
    <definedName name="GGG" hidden="1">[1]ST!#REF!</definedName>
    <definedName name="HQ" hidden="1">{#N/A,#N/A,FALSE,"6405";#N/A,#N/A,FALSE,"6406";#N/A,#N/A,FALSE,"6409";#N/A,#N/A,FALSE,"6425";#N/A,#N/A,FALSE,"6426";#N/A,#N/A,FALSE,"6427";#N/A,#N/A,FALSE,"6440";#N/A,#N/A,FALSE,"6441";#N/A,#N/A,FALSE,"6442";#N/A,#N/A,FALSE,"6443"}</definedName>
    <definedName name="HTML1_1" hidden="1">"[수주관리98.xls]회선현황!$A$5:$O$53"</definedName>
    <definedName name="HTML10_1" hidden="1">"'[수주관리98.xls]2월1주차'!$A$1:$P$31"</definedName>
    <definedName name="HTML11_1" hidden="1">"'[수주관리98.xls]2월2주차'!$A$1:$P$21"</definedName>
    <definedName name="HTML12_1" hidden="1">"'[수주관리98.xls]2월2주차'!$A$1:$P$34"</definedName>
    <definedName name="HTML13_1" hidden="1">"'[수주관리98.xls]2월2주차'!$A$1:$P$19"</definedName>
    <definedName name="HTML14_1" hidden="1">"'[수주관리98.xls]2월2주차'!$A$1:$P$17"</definedName>
    <definedName name="HTML15_1" hidden="1">"'[수주관리98.xls]2월3주차'!$A$1:$P$20"</definedName>
    <definedName name="HTML16_1" hidden="1">"'[수주통합관리98_2_21.xls]2월3주차'!$A$1:$I$89"</definedName>
    <definedName name="HTML17_1" hidden="1">"'[수주통합관리98_2_21.xls]2월3주차'!$A$4:$H$30"</definedName>
    <definedName name="HTML18_1" hidden="1">"'[수주통합관리98_2_21.xls]2월3주차'!$A$32:$I$58"</definedName>
    <definedName name="HTML19_1" hidden="1">"'[수주통합관리98_2_21.xls]2월3주차'!$A$63:$F$89"</definedName>
    <definedName name="HTML2_1" hidden="1">"[수주관리98.xls]일일현황!$A$1:$L$10"</definedName>
    <definedName name="HTML20_1" hidden="1">"'[수주통합관리98_2_25.xls]2월4주차'!$A$71:$F$97"</definedName>
    <definedName name="HTML21_1" hidden="1">"'[수주통합관리98_2_25.xls]2월4주차'!$A$4:$H$29"</definedName>
    <definedName name="HTML22_1" hidden="1">"'[수주통합관리98_2_25.xls]2월4주차'!$A$31:$I$66"</definedName>
    <definedName name="HTML23_1" hidden="1">"[수주통합관리98_2_25.xls]보고양식!$A$32:$I$68"</definedName>
    <definedName name="HTML24_1" hidden="1">"[수주통합관리98_2_25.xls]보고양식!$A$73:$F$98"</definedName>
    <definedName name="HTML25_1" hidden="1">"[수주통합관리98_2_25.xls]보고양식!$A$4:$I$29"</definedName>
    <definedName name="HTML26_1" hidden="1">"[수주통합관리98_2_25.xls]보고양식!$A$31:$K$80"</definedName>
    <definedName name="HTML27_1" hidden="1">"[수주통합관리98_2_25.xls]보고양식!$B$84:$G$109"</definedName>
    <definedName name="HTML28_1" hidden="1">"[수주통합관리98_3_2.xls]보고양식!$B$92:$G$117"</definedName>
    <definedName name="HTML29_1" hidden="1">"[수주통합관리98_3_2.xls]보고양식!$A$31:$K$88"</definedName>
    <definedName name="HTML3_1" hidden="1">"[수주관리98.xls]일일현황!$A$1:$N$9"</definedName>
    <definedName name="HTML30_1" hidden="1">"'[사본 - 영업통합관리(수주.매출).xls]보고양식'!$A$114:$K$131"</definedName>
    <definedName name="HTML4_1" hidden="1">"[수주관리98.xls]영업!$A$1:$N$15"</definedName>
    <definedName name="HTML5_1" hidden="1">"[수주관리98.xls]영업!$A$1:$N$29"</definedName>
    <definedName name="HTML6_1" hidden="1">"'[수주관리98.xls]2월'!$A$1:$P$48"</definedName>
    <definedName name="HTML7_1" hidden="1">"'[수주관리98.xls]2월'!$A$3:$P$30"</definedName>
    <definedName name="HTML8_1" hidden="1">"'[수주관리98.xls]2월'!$A$1:$P$30"</definedName>
    <definedName name="HTML9_1" hidden="1">"'[수주관리98.xls]2월'!$A$1:$P$19"</definedName>
    <definedName name="ibv" hidden="1">'[1]#REF'!$A$206:$Q$214</definedName>
    <definedName name="inv" localSheetId="6" hidden="1">[1]ST!#REF!</definedName>
    <definedName name="inv" localSheetId="7" hidden="1">[1]ST!#REF!</definedName>
    <definedName name="inv" hidden="1">[1]ST!#REF!</definedName>
    <definedName name="j" hidden="1">{#N/A,#N/A,FALSE,"mk";#N/A,#N/A,FALSE,"SIEG";#N/A,#N/A,FALSE,"BOUSK";#N/A,#N/A,FALSE,"C-0 B96-97";#N/A,#N/A,FALSE,"C-O B98";#N/A,#N/A,FALSE,"C-0 B96-97";#N/A,#N/A,FALSE,"MEKN";#N/A,#N/A,FALSE,"MEKN";#N/A,#N/A,FALSE,"C-O MKS 98";#N/A,#N/A,FALSE,"TANG";#N/A,#N/A,FALSE,"C-O Tng96";#N/A,#N/A,FALSE,"C-O Tng97";#N/A,#N/A,FALSE,"C-O Tng98";#N/A,#N/A,FALSE,"TET";#N/A,#N/A,FALSE,"C-0 TET 98";#N/A,#N/A,FALSE,"synthese";#N/A,#N/A,FALSE,"MEKNES";#N/A,#N/A,FALSE,"BOUSKOURA";#N/A,#N/A,FALSE,"TANGER";#N/A,#N/A,FALSE,"TETOUAN";#N/A,#N/A,FALSE,"CAP1 DH";#N/A,#N/A,FALSE,"CAP1 FF";#N/A,#N/A,FALSE,"LAFARGE MAROC";#N/A,#N/A,FALSE,"SIEGE";#N/A,#N/A,FALSE,"TOTAL USINES";#N/A,#N/A,FALSE,"entretien"}</definedName>
    <definedName name="kcsq" hidden="1">{#N/A,#N/A,FALSE,"mk";#N/A,#N/A,FALSE,"SIEG";#N/A,#N/A,FALSE,"BOUSK";#N/A,#N/A,FALSE,"C-0 B96-97";#N/A,#N/A,FALSE,"C-O B98";#N/A,#N/A,FALSE,"C-0 B96-97";#N/A,#N/A,FALSE,"MEKN";#N/A,#N/A,FALSE,"MEKN";#N/A,#N/A,FALSE,"C-O MKS 98";#N/A,#N/A,FALSE,"TANG";#N/A,#N/A,FALSE,"C-O Tng96";#N/A,#N/A,FALSE,"C-O Tng97";#N/A,#N/A,FALSE,"C-O Tng98";#N/A,#N/A,FALSE,"TET";#N/A,#N/A,FALSE,"C-0 TET 98";#N/A,#N/A,FALSE,"synthese";#N/A,#N/A,FALSE,"MEKNES";#N/A,#N/A,FALSE,"BOUSKOURA";#N/A,#N/A,FALSE,"TANGER";#N/A,#N/A,FALSE,"TETOUAN";#N/A,#N/A,FALSE,"CAP1 DH";#N/A,#N/A,FALSE,"CAP1 FF";#N/A,#N/A,FALSE,"LAFARGE MAROC";#N/A,#N/A,FALSE,"SIEGE";#N/A,#N/A,FALSE,"TOTAL USINES";#N/A,#N/A,FALSE,"entretien"}</definedName>
    <definedName name="KDCSS" hidden="1">{#N/A,#N/A,TRUE," L.MAROC";#N/A,#N/A,TRUE,"SIE";#N/A,#N/A,TRUE,"ELIM L.GROUPE";#N/A,#N/A,TRUE,"ACTIVITE CIMENTIERE";#N/A,#N/A,TRUE,"ELIM ACTIVITE CIMENTIERE";#N/A,#N/A,TRUE,"SYNTHES L. CIMENT";#N/A,#N/A,TRUE,"BOUSKOURA";#N/A,#N/A,TRUE,"MEKNES";#N/A,#N/A,TRUE,"ELIM L.CIMENT";#N/A,#N/A,TRUE,"SYNTHESE L.CEMENTOS";#N/A,#N/A,TRUE,"TANGER";#N/A,#N/A,TRUE,"TETOUAN";#N/A,#N/A,TRUE,"ELIM L.CEMENTOS"}</definedName>
    <definedName name="KIECO" hidden="1">[1]ST!#REF!</definedName>
    <definedName name="kkk.pp" hidden="1">{"Ofcr Comp WP",#N/A,FALSE,"Ofcr Comp"}</definedName>
    <definedName name="kkkkk" hidden="1">{#N/A,#N/A,FALSE,"mk";#N/A,#N/A,FALSE,"SIEG";#N/A,#N/A,FALSE,"BOUSK";#N/A,#N/A,FALSE,"C-0 B96-97";#N/A,#N/A,FALSE,"C-O B98";#N/A,#N/A,FALSE,"C-0 B96-97";#N/A,#N/A,FALSE,"MEKN";#N/A,#N/A,FALSE,"MEKN";#N/A,#N/A,FALSE,"C-O MKS 98";#N/A,#N/A,FALSE,"TANG";#N/A,#N/A,FALSE,"C-O Tng96";#N/A,#N/A,FALSE,"C-O Tng97";#N/A,#N/A,FALSE,"C-O Tng98";#N/A,#N/A,FALSE,"TET";#N/A,#N/A,FALSE,"C-0 TET 98";#N/A,#N/A,FALSE,"synthese";#N/A,#N/A,FALSE,"MEKNES";#N/A,#N/A,FALSE,"BOUSKOURA";#N/A,#N/A,FALSE,"TANGER";#N/A,#N/A,FALSE,"TETOUAN";#N/A,#N/A,FALSE,"CAP1 DH";#N/A,#N/A,FALSE,"CAP1 FF";#N/A,#N/A,FALSE,"LAFARGE MAROC";#N/A,#N/A,FALSE,"SIEGE";#N/A,#N/A,FALSE,"TOTAL USINES";#N/A,#N/A,FALSE,"entretien"}</definedName>
    <definedName name="ll.pp" hidden="1">{"SchMpg1",#N/A,FALSE,"TR Sch M";"SchMpg2",#N/A,FALSE,"TR Sch M"}</definedName>
    <definedName name="lll.ll" hidden="1">{"SchMpg1",#N/A,FALSE,"TR Sch M";"SchMpg2",#N/A,FALSE,"TR Sch M"}</definedName>
    <definedName name="mlr" hidden="1">{#N/A,#N/A,FALSE,"JULY WCE";#N/A,#N/A,FALSE,"Central - Doug July";#N/A,#N/A,FALSE,"East - Dave July";#N/A,#N/A,FALSE,"West - Lee - July"}</definedName>
    <definedName name="mon" hidden="1">{"YearEndSummary",#N/A,FALSE,"SUMMARY";"MonthlyGrossMargin",#N/A,FALSE,"Gross Margin";"MonthlySales",#N/A,FALSE,"Sales";"YearEndStaffCosts",#N/A,FALSE,"Staff Costs";"MonthlyOperatingCosts",#N/A,FALSE,"Operating Costs";"MonthlySalaries",#N/A,FALSE,"Salaries";"MonthlyTravel",#N/A,FALSE,"Travel";"MonthlyPitches",#N/A,FALSE,"Pitches";"MonthlyAllocations",#N/A,FALSE,"Allocations"}</definedName>
    <definedName name="monst" hidden="1">{#N/A,#N/A,FALSE,"Cvr";#N/A,#N/A,FALSE,"P&amp;L summ2";#N/A,#N/A,FALSE,"CFO ";#N/A,#N/A,FALSE,"P&amp;L by BU";#N/A,#N/A,FALSE,"BS (Hardcoded)";#N/A,#N/A,FALSE,"CF-Hardcode";#N/A,#N/A,FALSE,"Highlights"}</definedName>
    <definedName name="oo" localSheetId="6" hidden="1">'[1]#REF'!#REF!</definedName>
    <definedName name="oo" localSheetId="7" hidden="1">'[1]#REF'!#REF!</definedName>
    <definedName name="oo" hidden="1">'[1]#REF'!#REF!</definedName>
    <definedName name="op" localSheetId="6" hidden="1">[1]ST!#REF!</definedName>
    <definedName name="op" localSheetId="7" hidden="1">[1]ST!#REF!</definedName>
    <definedName name="op" hidden="1">[1]ST!#REF!</definedName>
    <definedName name="phil" hidden="1">{#N/A,#N/A,TRUE,"Summary";#N/A,#N/A,TRUE,"Assumptions";#N/A,#N/A,TRUE,"Comparison";#N/A,#N/A,TRUE,"Financials";#N/A,#N/A,TRUE,"Plan v. Act"}</definedName>
    <definedName name="pots" hidden="1">{"Ofcr Comp Stmt 4",#N/A,FALSE,"Ofcr Comp"}</definedName>
    <definedName name="_xlnm.Print_Area" localSheetId="3">연간!$A$1:$AW$44</definedName>
    <definedName name="_xlnm.Print_Area" localSheetId="2">유동자금세부!$A$1:$N$49</definedName>
    <definedName name="pro" hidden="1">{#N/A,#N/A,FALSE,"PROJSUM";#N/A,#N/A,FALSE,"1450";#N/A,#N/A,FALSE,"2430";#N/A,#N/A,FALSE,"2700"}</definedName>
    <definedName name="qqqqqq" hidden="1">{#N/A,#N/A,TRUE," L.MAROC";#N/A,#N/A,TRUE,"SIE";#N/A,#N/A,TRUE,"ELIM L.GROUPE";#N/A,#N/A,TRUE,"ACTIVITE CIMENTIERE";#N/A,#N/A,TRUE,"ELIM ACTIVITE CIMENTIERE";#N/A,#N/A,TRUE,"SYNTHES L. CIMENT";#N/A,#N/A,TRUE,"BOUSKOURA";#N/A,#N/A,TRUE,"MEKNES";#N/A,#N/A,TRUE,"ELIM L.CIMENT";#N/A,#N/A,TRUE,"SYNTHESE L.CEMENTOS";#N/A,#N/A,TRUE,"TANGER";#N/A,#N/A,TRUE,"TETOUAN";#N/A,#N/A,TRUE,"ELIM L.CEMENTOS"}</definedName>
    <definedName name="qua" hidden="1">{"Quarterly",#N/A,FALSE,"Quarterly"}</definedName>
    <definedName name="ReportGroup" hidden="1">0</definedName>
    <definedName name="RevModel2" hidden="1">{#N/A,#N/A,FALSE,"6405";#N/A,#N/A,FALSE,"6406";#N/A,#N/A,FALSE,"6409";#N/A,#N/A,FALSE,"6425";#N/A,#N/A,FALSE,"6426";#N/A,#N/A,FALSE,"6427";#N/A,#N/A,FALSE,"6440";#N/A,#N/A,FALSE,"6441";#N/A,#N/A,FALSE,"6442";#N/A,#N/A,FALSE,"6443"}</definedName>
    <definedName name="rlghlrwpvnc" hidden="1">{"'경비내역'!$E$11"}</definedName>
    <definedName name="RRR" hidden="1">#REF!</definedName>
    <definedName name="SAPBEXdnldView" hidden="1">"44TIHISKDVAESWFGXCYF719ND"</definedName>
    <definedName name="sha" hidden="1">{#N/A,#N/A,TRUE,"Highlights";#N/A,#N/A,TRUE,"Cmp to PY";#N/A,#N/A,TRUE,"Top Level P&amp;L";#N/A,#N/A,TRUE,"P&amp;L by BU";#N/A,#N/A,TRUE,"% OF SALES";#N/A,#N/A,TRUE,"Curr Mon Sum";#N/A,#N/A,TRUE,"Current Month";#N/A,#N/A,TRUE,"Balance Sheet"}</definedName>
    <definedName name="SSS" localSheetId="6" hidden="1">#REF!</definedName>
    <definedName name="SSS" localSheetId="7" hidden="1">#REF!</definedName>
    <definedName name="SSS" hidden="1">#REF!</definedName>
    <definedName name="test2" hidden="1">{"Summary",#N/A,TRUE,"Sheet1";"Returns",#N/A,TRUE,"Sheet1";"IS",#N/A,TRUE,"Sheet1";"BS",#N/A,TRUE,"Sheet1";"CF",#N/A,TRUE,"Sheet1";"Cover6",#N/A,TRUE,"Sheet1";"WC7",#N/A,TRUE,"Sheet1";"Debt8",#N/A,TRUE,"Sheet1";"Tax9",#N/A,TRUE,"Sheet1"}</definedName>
    <definedName name="test3" hidden="1">{#N/A,#N/A,TRUE,"Summary";#N/A,#N/A,TRUE,"Financials";#N/A,#N/A,TRUE,"Assumptions";#N/A,#N/A,TRUE,"Pro Forma";#N/A,#N/A,TRUE,"Debt";#N/A,#N/A,TRUE,"Amortization";#N/A,#N/A,TRUE,"GG Returns"}</definedName>
    <definedName name="test4" hidden="1">{#N/A,#N/A,TRUE,"Summary";#N/A,#N/A,TRUE,"Assumptions";#N/A,#N/A,TRUE,"Comparison";#N/A,#N/A,TRUE,"Financials";#N/A,#N/A,TRUE,"Plan v. Act"}</definedName>
    <definedName name="ui" hidden="1">'[1]#REF'!$A$206:$Q$214</definedName>
    <definedName name="UNI_FILT_OFFSPEC" hidden="1">2</definedName>
    <definedName name="UNI_FILT_ONSPEC" hidden="1">1</definedName>
    <definedName name="UNI_NOTHING" hidden="1">0</definedName>
    <definedName name="UNI_PRES_FILTER" hidden="1">1</definedName>
    <definedName name="UNI_PRES_HEADINGS" hidden="1">16</definedName>
    <definedName name="UNI_PRES_INVERT" hidden="1">2</definedName>
    <definedName name="UNI_PRES_MATRIX" hidden="1">4</definedName>
    <definedName name="UNI_PRES_MERGED" hidden="1">8</definedName>
    <definedName name="UNI_PRES_OUTLIERS" hidden="1">32</definedName>
    <definedName name="UNI_RET_ATTRIB" hidden="1">64</definedName>
    <definedName name="UNI_RET_CONF" hidden="1">32</definedName>
    <definedName name="UNI_RET_DESC" hidden="1">4</definedName>
    <definedName name="UNI_RET_EQUIP" hidden="1">1</definedName>
    <definedName name="UNI_RET_OFFSPEC" hidden="1">512</definedName>
    <definedName name="UNI_RET_ONSPEC" hidden="1">256</definedName>
    <definedName name="UNI_RET_PROP" hidden="1">32</definedName>
    <definedName name="UNI_RET_PROPDESC" hidden="1">64</definedName>
    <definedName name="UNI_RET_SMPLPNT" hidden="1">4</definedName>
    <definedName name="UNI_RET_SPECMAX" hidden="1">2048</definedName>
    <definedName name="UNI_RET_SPECMIN" hidden="1">1024</definedName>
    <definedName name="UNI_RET_TAG" hidden="1">1</definedName>
    <definedName name="UNI_RET_TESTTIME" hidden="1">128</definedName>
    <definedName name="UNI_RET_TIME" hidden="1">8</definedName>
    <definedName name="UNI_RET_UNIT" hidden="1">2</definedName>
    <definedName name="UNI_RET_VALUE" hidden="1">16</definedName>
    <definedName name="wew" hidden="1">'[2]Adj(Actual_Summary_July)'!$F$45</definedName>
    <definedName name="wrn" hidden="1">{"CEOReportPart1",#N/A,FALSE,"Quarterly";"CEOReportPart2",#N/A,FALSE,"Quarterly";"CEOReportPart3",#N/A,FALSE,"Allocations"}</definedName>
    <definedName name="wrn.1996._.Budget._.Support._.Schedules." hidden="1">{#N/A,#N/A,FALSE,"Revenue";#N/A,#N/A,FALSE,"Scientific Consult and Collabor";#N/A,#N/A,FALSE,"Development costs";#N/A,#N/A,FALSE,"Lab Supl. Alloc";#N/A,#N/A,FALSE,"Facilities Expense";#N/A,#N/A,FALSE,"Equip Exp";#N/A,#N/A,FALSE,"T&amp;E";#N/A,#N/A,FALSE,"Prof fees";#N/A,#N/A,FALSE,"Capex accounts";#N/A,#N/A,FALSE,"Capex list"}</definedName>
    <definedName name="wrn.ACCTRECONS." hidden="1">{#N/A,#N/A,FALSE,"1110";#N/A,#N/A,FALSE,"1120";#N/A,#N/A,FALSE,"1140";#N/A,#N/A,FALSE,"1150";#N/A,#N/A,FALSE,"chalmers";#N/A,#N/A,FALSE,"gentner";#N/A,#N/A,FALSE,"1230";#N/A,#N/A,FALSE,"PPD INS";#N/A,#N/A,FALSE,"1260";#N/A,#N/A,FALSE,"PPD SVC";#N/A,#N/A,FALSE,"1950";#N/A,#N/A,FALSE,"1960";#N/A,#N/A,FALSE,"2040";#N/A,#N/A,FALSE,"2165";#N/A,#N/A,FALSE,"2200";#N/A,#N/A,FALSE,"2300-2590";#N/A,#N/A,FALSE,"2410";#N/A,#N/A,FALSE,"2600";#N/A,#N/A,FALSE,"3030";#N/A,#N/A,FALSE,"3-31 Adj";#N/A,#N/A,FALSE,"3800";#N/A,#N/A,FALSE,"3850 (REG D)";#N/A,#N/A,FALSE,"3850 (IPO)";#N/A,#N/A,FALSE,"3910-1000";#N/A,#N/A,FALSE,"3950";#N/A,#N/A,FALSE,"3-31 Adj";#N/A,#N/A,FALSE,"Consult and Colab";#N/A,#N/A,FALSE,"Seminars and Cont Ed";#N/A,#N/A,FALSE,"LEASES"}</definedName>
    <definedName name="wrn.ACHESON94TAXRETURN." hidden="1">{#N/A,#N/A,FALSE,"일반적사항";#N/A,#N/A,FALSE,"주요재무자료";#N/A,#N/A,FALSE,"표지";#N/A,#N/A,FALSE,"총괄표";#N/A,#N/A,FALSE,"1호 과표세액";#N/A,#N/A,FALSE,"1-2호 농어촌과표";#N/A,#N/A,FALSE,"2호 서식";#N/A,#N/A,FALSE,"3(1)호 공제감면";#N/A,#N/A,FALSE,"임시특별감면";#N/A,#N/A,FALSE,"3(1)부7 기업합리";#N/A,#N/A,FALSE,"3(3)호(갑) 원천납부";#N/A,#N/A,FALSE,"5호 농어촌";#N/A,#N/A,FALSE,"6호 소득금액";#N/A,#N/A,FALSE,"6호 첨부(익)";#N/A,#N/A,FALSE,"6호 첨부(손)";#N/A,#N/A,FALSE,"6-1호 수입금액";#N/A,#N/A,FALSE,"6-3호 퇴충";#N/A,#N/A,FALSE,"6-3(4)호 대손";#N/A,#N/A,FALSE,"6-4호 접대(갑)";#N/A,#N/A,FALSE,"6-4호 접대(을)";#N/A,#N/A,FALSE,"6-6호(부표) 자본적지출";#N/A,#N/A,FALSE,"6-10호 재고자산";#N/A,#N/A,FALSE,"6-11호 세금과공과";#N/A,#N/A,FALSE,"6-12호 선급비용";#N/A,#N/A,FALSE,"6-14호 부동산보유";#N/A,#N/A,FALSE,"9호 자본금(갑)";#N/A,#N/A,FALSE,"9호 자본금(을)";#N/A,#N/A,FALSE,"10(3)호 주요계정";#N/A,#N/A,FALSE,"10(3)호 부표";#N/A,#N/A,FALSE,"10(4)호 조정수입";#N/A,#N/A,FALSE,"10(4)호 소득구분";#N/A,#N/A,FALSE,"12호 중소검토";#N/A,#N/A,FALSE,"14(1)호 갑 주식";#N/A,#N/A,FALSE,"59호 해외특수";#N/A,#N/A,FALSE,"요약 BS";#N/A,#N/A,FALSE,"요약 PL";#N/A,#N/A,FALSE,"요약원가";#N/A,#N/A,FALSE,"요약RE"}</definedName>
    <definedName name="wrn.Aging._.and._.Trend._.Analysis." hidden="1">{#N/A,#N/A,FALSE,"Aging Summary";#N/A,#N/A,FALSE,"Ratio Analysis";#N/A,#N/A,FALSE,"Test 120 Day Accts";#N/A,#N/A,FALSE,"Tickmarks"}</definedName>
    <definedName name="wrn.ALL." hidden="1">{#N/A,#N/A,FALSE,"מאזן";#N/A,#N/A,FALSE,"רווהפ";#N/A,#N/A,FALSE,"שינויים בהון";#N/A,#N/A,FALSE,"תזרים";#N/A,#N/A,FALSE,"נספח - התאמות";#N/A,#N/A,FALSE,"ני""ע לתזרים";#N/A,#N/A,FALSE,"פירוטים לדוחות"}</definedName>
    <definedName name="wrn.All._.Sheets." hidden="1">{#N/A,#N/A,FALSE,"6405";#N/A,#N/A,FALSE,"6406";#N/A,#N/A,FALSE,"6409";#N/A,#N/A,FALSE,"6425";#N/A,#N/A,FALSE,"6426";#N/A,#N/A,FALSE,"6427";#N/A,#N/A,FALSE,"6440";#N/A,#N/A,FALSE,"6441";#N/A,#N/A,FALSE,"6442";#N/A,#N/A,FALSE,"6443"}</definedName>
    <definedName name="wrn.ASN." hidden="1">{#N/A,#N/A,FALSE,"ASN YTD";#N/A,#N/A,FALSE,"122 DOS MD HP HMO";#N/A,#N/A,FALSE,"122 UR MD HP HMO";#N/A,#N/A,FALSE,"123 DOS MD HP TPA";#N/A,#N/A,FALSE,"123 UR MD HP TPA";#N/A,#N/A,FALSE,"124 DOS MD HP Medicaid";#N/A,#N/A,FALSE,"124 UR MD HP Medicaid";#N/A,#N/A,FALSE,"131 DOS MD HP HMO-OON";#N/A,#N/A,FALSE,"131 UR MD HP HMO-OON";#N/A,#N/A,FALSE,"133 DOS MD HP WC";#N/A,#N/A,FALSE,"133 UR MD HP WC";#N/A,#N/A,FALSE,"135 DOS MD HP TPA-OON";#N/A,#N/A,FALSE,"135 UR MD HP TPA-OON";#N/A,#N/A,FALSE,"136 DOS MD HP Medicaid-OON";#N/A,#N/A,FALSE,"136 UR MD HP Medicaid-OON";#N/A,#N/A,FALSE,"141 DOS MD HP POS OON";#N/A,#N/A,FALSE,"141 UR MD HP POS OON";#N/A,#N/A,FALSE,"142 DOS MD HP Indemnity";#N/A,#N/A,FALSE,"142 UR MD HP Indemnity"}</definedName>
    <definedName name="wrn.ASO." hidden="1">{"ASO 1996",#N/A,FALSE,"DOS YTD";#N/A,#N/A,FALSE,"19-20-21-39-47 DOS MetLife";#N/A,#N/A,FALSE,"19-20-21-39-47 UR MetLife";#N/A,#N/A,FALSE,"24 DOS PacifiCare of CA PPO";#N/A,#N/A,FALSE,"24 UR PacifiCare of CA PPO";#N/A,#N/A,FALSE,"25 DOS Lincoln Hospital";#N/A,#N/A,FALSE,"25 UR Lincoln Hospital";#N/A,#N/A,FALSE,"31 DOS Blue Cross Rural";#N/A,#N/A,FALSE,"31 UR Blue Cross Rural";#N/A,#N/A,FALSE,"40 DOS Intel";#N/A,#N/A,FALSE,"40 UR Intel";#N/A,#N/A,FALSE,"41 DOS Intel";#N/A,#N/A,FALSE,"41 UR Intel";#N/A,#N/A,FALSE,"43 DOS Blue Cross-Metro";#N/A,#N/A,FALSE,"43 UR Blue Cross-Metro";#N/A,#N/A,FALSE,"46 DOS E &amp; E Trust";#N/A,#N/A,FALSE,"46 UR E &amp; E Trust";#N/A,#N/A,FALSE,"64 DOS CIGNA of CA";#N/A,#N/A,FALSE,"64 UR CIGNA of CA";#N/A,#N/A,FALSE,"65 DOS CT General";#N/A,#N/A,FALSE,"65 UR CT General";#N/A,#N/A,FALSE,"72 DOS Misc Teamsters";#N/A,#N/A,FALSE,"72 UR Misc Teamsters";#N/A,#N/A,FALSE,"74 DOS Teamsters &amp; Food";#N/A,#N/A,FALSE,"74 UR Teamsters &amp; Food";#N/A,#N/A,FALSE,"85 DOS Nationwide";#N/A,#N/A,FALSE,"85 UR Nationwide";#N/A,#N/A,FALSE,"102 DOS CIGNA for Seniors";#N/A,#N/A,FALSE,"102 UR CIGNA for Seniors";#N/A,#N/A,FALSE,"111 DOS Prudential PG&amp;E";#N/A,#N/A,FALSE,"111 UR Prudential PG&amp;E";#N/A,#N/A,FALSE,"114 DOS CA Firefighters";#N/A,#N/A,FALSE,"114 UR CA Firefighters";#N/A,#N/A,FALSE,"121 DOS HPR Plus";#N/A,#N/A,FALSE,"121 UR HPR Plus";#N/A,#N/A,FALSE,"163 DOS Sceet-Blue Cross";#N/A,#N/A,FALSE,"163 UR Sceet-Blue Cross";#N/A,#N/A,FALSE,"164 DOS Prudential Healthcare";#N/A,#N/A,FALSE,"164 UR Prudential Healthcare"}</definedName>
    <definedName name="wrn.ASO1." hidden="1">{"ASO",#N/A,FALSE,"1995 YTD";#N/A,#N/A,FALSE,"20-39-47 DOS MetLife";#N/A,#N/A,FALSE,"20-39-47 UR MetLife";#N/A,#N/A,FALSE,"25 DOS Lincoln Hospital";#N/A,#N/A,FALSE,"25 UR Lincoln Hospital";#N/A,#N/A,FALSE,"31 DOS Blue Cross Rural";#N/A,#N/A,FALSE,"31 UR Blue Cross Rural";#N/A,#N/A,FALSE,"33 DOS Pacificare";#N/A,#N/A,FALSE,"33 UR PacifiCare";#N/A,#N/A,FALSE,"40 DOS Intel";#N/A,#N/A,FALSE,"40 UR Intel";#N/A,#N/A,FALSE,"41 DOS Intel";#N/A,#N/A,FALSE,"41 UR Intel";#N/A,#N/A,FALSE,"43 DOS Blue Cross-Metro";#N/A,#N/A,FALSE,"43 UR Blue Cross-Metro";#N/A,#N/A,FALSE,"46 DOS E &amp; E Trust";#N/A,#N/A,FALSE,"46 UR E &amp; E Trust";#N/A,#N/A,FALSE,"50 DOS CIGNA AZ Flex";#N/A,#N/A,FALSE,"50 UR CIGNA AZ Flex";#N/A,#N/A,FALSE,"51 DOS Mid Americare";#N/A,#N/A,FALSE,"51 UR Mid Americare";#N/A,#N/A,FALSE,"60 DOS Prudential";#N/A,#N/A,FALSE,"60 UR Prudential";#N/A,#N/A,FALSE,"62 DOS NWNL";#N/A,#N/A,FALSE,"62 UR NWNL";#N/A,#N/A,FALSE,"63 DOS Samaritan Plus";#N/A,#N/A,FALSE,"63 UR Samaritan Plus";#N/A,#N/A,FALSE,"64 DOS CIGNA of CA";#N/A,#N/A,FALSE,"64 UR CIGNA of CA";#N/A,#N/A,FALSE,"65 DOS CT General";#N/A,#N/A,FALSE,"65 UR CT General";#N/A,#N/A,FALSE,"72 DOS Misc Teamsters";#N/A,#N/A,FALSE,"72 UR Misc Teamsters";#N/A,#N/A,FALSE,"74 DOS Teamsters &amp; Food";#N/A,#N/A,FALSE,"74 UR Teamsters &amp; Food";#N/A,#N/A,FALSE,"85 DOS Nationwide";#N/A,#N/A,FALSE,"85 UR Nationwide";#N/A,#N/A,FALSE,"90 DOS Aetna PPO";#N/A,#N/A,FALSE,"90 UR Aetna PPO";#N/A,#N/A,FALSE,"91 DOS Aetna POS";#N/A,#N/A,FALSE,"91 UR Aetna POS";#N/A,#N/A,FALSE,"94 DOS Aetna Amdahl";#N/A,#N/A,FALSE,"94 UR Aetna Amdahl";#N/A,#N/A,FALSE,"102 DOS CIGNA for Seniors";#N/A,#N/A,FALSE,"102 UR CIGNA for Seniors";#N/A,#N/A,FALSE,"111 DOS Prudential PG&amp;E";#N/A,#N/A,FALSE,"111 UR Prudential PG&amp;E";#N/A,#N/A,FALSE,"114 DOS CA Firefighters";#N/A,#N/A,FALSE,"114 UR CA Firefighters"}</definedName>
    <definedName name="wrn.BT._.Sch._.M._.Detail." hidden="1">{"Sch M Detail",#N/A,FALSE,"Sch M Detail"}</definedName>
    <definedName name="wrn.Capitated." hidden="1">{"HMO",#N/A,FALSE,"1995 YTD";#N/A,#N/A,FALSE,"1995 UR YTD";#N/A,#N/A,FALSE,"23 DOS PacifiCare HMO";#N/A,#N/A,FALSE,"23 UR PacifiCare HMO";#N/A,#N/A,FALSE,"32 DOS HealthNet";#N/A,#N/A,FALSE,"32 UR HealthNet";#N/A,#N/A,FALSE,"68 DOS HN Seniority Plus";#N/A,#N/A,FALSE,"68 UR HN Seniority Plus";#N/A,#N/A,FALSE,"71 DOS CA Care";#N/A,#N/A,FALSE,"71 UR CA Care";#N/A,#N/A,FALSE,"80 DOS Sharp";#N/A,#N/A,FALSE,"80 UR Sharp";#N/A,#N/A,FALSE,"88 DOS CIGNA VEBA";#N/A,#N/A,FALSE,"88 UR CIGNA VEBA";#N/A,#N/A,FALSE,"93 DOS Aetna HMO";#N/A,#N/A,FALSE,"93 UR Aetna HMO";#N/A,#N/A,FALSE,"100 DOS ACN Health Plan";#N/A,#N/A,FALSE,"100 UR ACN Health Plan";#N/A,#N/A,FALSE,"101 DOS Aetna Senior Choice";#N/A,#N/A,FALSE,"101 UR Aetna Senior Choice";#N/A,#N/A,FALSE,"112 DOS Prucare of CA HMO";#N/A,#N/A,FALSE,"112 UR Prucare of CA HMO"}</definedName>
    <definedName name="wrn.CEOReport." hidden="1">{"CEOReportPart1",#N/A,FALSE,"Quarterly";"CEOReportPart2",#N/A,FALSE,"Quarterly";"CEOReportPart3",#N/A,FALSE,"Allocations"}</definedName>
    <definedName name="wrn.CIC94TAX." hidden="1">{#N/A,#N/A,FALSE,"일반적사항";#N/A,#N/A,FALSE,"주요재무자료";#N/A,#N/A,FALSE,"표지";#N/A,#N/A,FALSE,"총괄표";#N/A,#N/A,FALSE,"1호 과표세액";#N/A,#N/A,FALSE,"2호 서식";#N/A,#N/A,FALSE,"3(3)호(갑) 원천납부";#N/A,#N/A,FALSE,"6호 소득금액";#N/A,#N/A,FALSE,"6호 첨부(익)";#N/A,#N/A,FALSE,"6호 첨부(익)";#N/A,#N/A,FALSE,"6호 첨부(손)";#N/A,#N/A,FALSE,"6-1호 수입금액";#N/A,#N/A,FALSE,"6-3호 퇴충";#N/A,#N/A,FALSE,"6-4호 접대(갑)";#N/A,#N/A,FALSE,"6-4호 접대(을)";#N/A,#N/A,FALSE,"감가총괄";#N/A,#N/A,FALSE,"6-6(3)호 감가(정액)";#N/A,#N/A,FALSE,"전기부인액추인";#N/A,#N/A,FALSE,"6-6호(부표) 자본적지출";#N/A,#N/A,FALSE,"6-10호 재고자산";#N/A,#N/A,FALSE,"6-11호 세금과공과";#N/A,#N/A,FALSE,"6-12호 선급비용";#N/A,#N/A,FALSE,"9호 자본금(갑)";#N/A,#N/A,FALSE,"9호 자본금(을)";#N/A,#N/A,FALSE,"10(4)호 조정수입";#N/A,#N/A,FALSE,"59호 해외특수"}</definedName>
    <definedName name="wrn.consbud." hidden="1">{#N/A,#N/A,FALSE,"INC STMT";#N/A,#N/A,FALSE,"SOCF";#N/A,#N/A,FALSE,"OTHER"}</definedName>
    <definedName name="wrn.contributory._.asset._.charges." hidden="1">{"contributory1",#N/A,FALSE,"Contributory Assets Detail";"contributory2",#N/A,FALSE,"Contributory Assets Detail"}</definedName>
    <definedName name="wrn.COSA._.FS._.국문." hidden="1">{#N/A,#N/A,FALSE,"BS";#N/A,#N/A,FALSE,"PL";#N/A,#N/A,FALSE,"처분";#N/A,#N/A,FALSE,"현금";#N/A,#N/A,FALSE,"매출";#N/A,#N/A,FALSE,"원가";#N/A,#N/A,FALSE,"경영"}</definedName>
    <definedName name="wrn.cp1monthly" hidden="1">{"YearEndSummary",#N/A,FALSE,"SUMMARY";"MonthlyGrossMargin",#N/A,FALSE,"Gross Margin";"MonthlySales",#N/A,FALSE,"Sales";"YearEndStaffCosts",#N/A,FALSE,"Staff Costs";"MonthlyOperatingCosts",#N/A,FALSE,"Operating Costs";"MonthlySalaries",#N/A,FALSE,"Salaries";"MonthlyTravel",#N/A,FALSE,"Travel";"MonthlyPitches",#N/A,FALSE,"Pitches";"MonthlyAllocations",#N/A,FALSE,"Allocations"}</definedName>
    <definedName name="wrn.cp1quarterly" hidden="1">{"Quarterly",#N/A,FALSE,"Quarterly"}</definedName>
    <definedName name="wrn.cp1shareholder" hidden="1">{#N/A,#N/A,TRUE,"Highlights";#N/A,#N/A,TRUE,"Cmp to PY";#N/A,#N/A,TRUE,"Top Level P&amp;L";#N/A,#N/A,TRUE,"P&amp;L by BU";#N/A,#N/A,TRUE,"% OF SALES";#N/A,#N/A,TRUE,"Curr Mon Sum";#N/A,#N/A,TRUE,"Current Month";#N/A,#N/A,TRUE,"Balance Sheet"}</definedName>
    <definedName name="wrn.cp1year._.End." hidden="1">{"YearEndSummary",#N/A,FALSE,"SUMMARY";"YearEndGrossMargin",#N/A,FALSE,"Gross Margin";"YearEndSales",#N/A,FALSE,"Sales";"YearEndStaffCosts",#N/A,FALSE,"Staff Costs";"YearEndOperatingCosts",#N/A,FALSE,"Operating Costs";"YearEndSalaries",#N/A,FALSE,"Salaries";"YearEndTravel",#N/A,FALSE,"Travel";"YearEndPitches",#N/A,FALSE,"Pitches";"YearEndAllocations",#N/A,FALSE,"Allocations"}</definedName>
    <definedName name="wrn.cp2ceoreport" hidden="1">{"CEOReportPart1",#N/A,FALSE,"Quarterly";"CEOReportPart2",#N/A,FALSE,"Quarterly";"CEOReportPart3",#N/A,FALSE,"Allocations"}</definedName>
    <definedName name="wrn.cp2monthly" hidden="1">{"YearEndSummary",#N/A,FALSE,"SUMMARY";"MonthlyGrossMargin",#N/A,FALSE,"Gross Margin";"MonthlySales",#N/A,FALSE,"Sales";"YearEndStaffCosts",#N/A,FALSE,"Staff Costs";"MonthlyOperatingCosts",#N/A,FALSE,"Operating Costs";"MonthlySalaries",#N/A,FALSE,"Salaries";"MonthlyTravel",#N/A,FALSE,"Travel";"MonthlyPitches",#N/A,FALSE,"Pitches";"MonthlyAllocations",#N/A,FALSE,"Allocations"}</definedName>
    <definedName name="wrn.cp2quarterly" hidden="1">{"Quarterly",#N/A,FALSE,"Quarterly"}</definedName>
    <definedName name="wrn.cp2shareholder" hidden="1">{#N/A,#N/A,TRUE,"Highlights";#N/A,#N/A,TRUE,"Cmp to PY";#N/A,#N/A,TRUE,"Top Level P&amp;L";#N/A,#N/A,TRUE,"P&amp;L by BU";#N/A,#N/A,TRUE,"% OF SALES";#N/A,#N/A,TRUE,"Curr Mon Sum";#N/A,#N/A,TRUE,"Current Month";#N/A,#N/A,TRUE,"Balance Sheet"}</definedName>
    <definedName name="wrn.cp2year._.end." hidden="1">{"YearEndSummary",#N/A,FALSE,"SUMMARY";"YearEndGrossMargin",#N/A,FALSE,"Gross Margin";"YearEndSales",#N/A,FALSE,"Sales";"YearEndStaffCosts",#N/A,FALSE,"Staff Costs";"YearEndOperatingCosts",#N/A,FALSE,"Operating Costs";"YearEndSalaries",#N/A,FALSE,"Salaries";"YearEndTravel",#N/A,FALSE,"Travel";"YearEndPitches",#N/A,FALSE,"Pitches";"YearEndAllocations",#N/A,FALSE,"Allocations"}</definedName>
    <definedName name="wrn.cp3.monthly" hidden="1">{"YearEndSummary",#N/A,FALSE,"SUMMARY";"MonthlyGrossMargin",#N/A,FALSE,"Gross Margin";"MonthlySales",#N/A,FALSE,"Sales";"YearEndStaffCosts",#N/A,FALSE,"Staff Costs";"MonthlyOperatingCosts",#N/A,FALSE,"Operating Costs";"MonthlySalaries",#N/A,FALSE,"Salaries";"MonthlyTravel",#N/A,FALSE,"Travel";"MonthlyPitches",#N/A,FALSE,"Pitches";"MonthlyAllocations",#N/A,FALSE,"Allocations"}</definedName>
    <definedName name="wrn.cp3ceoreport" hidden="1">{"CEOReportPart1",#N/A,FALSE,"Quarterly";"CEOReportPart2",#N/A,FALSE,"Quarterly";"CEOReportPart3",#N/A,FALSE,"Allocations"}</definedName>
    <definedName name="wrn.cp3quarterly" hidden="1">{"Quarterly",#N/A,FALSE,"Quarterly"}</definedName>
    <definedName name="wrn.cp3shareholder" hidden="1">{#N/A,#N/A,TRUE,"Highlights";#N/A,#N/A,TRUE,"Cmp to PY";#N/A,#N/A,TRUE,"Top Level P&amp;L";#N/A,#N/A,TRUE,"P&amp;L by BU";#N/A,#N/A,TRUE,"% OF SALES";#N/A,#N/A,TRUE,"Curr Mon Sum";#N/A,#N/A,TRUE,"Current Month";#N/A,#N/A,TRUE,"Balance Sheet"}</definedName>
    <definedName name="wrn.cp3year._.end." hidden="1">{"YearEndSummary",#N/A,FALSE,"SUMMARY";"YearEndGrossMargin",#N/A,FALSE,"Gross Margin";"YearEndSales",#N/A,FALSE,"Sales";"YearEndStaffCosts",#N/A,FALSE,"Staff Costs";"YearEndOperatingCosts",#N/A,FALSE,"Operating Costs";"YearEndSalaries",#N/A,FALSE,"Salaries";"YearEndTravel",#N/A,FALSE,"Travel";"YearEndPitches",#N/A,FALSE,"Pitches";"YearEndAllocations",#N/A,FALSE,"Allocations"}</definedName>
    <definedName name="wrn.cpceoreport" hidden="1">{"CEOReportPart1",#N/A,FALSE,"Quarterly";"CEOReportPart2",#N/A,FALSE,"Quarterly";"CEOReportPart3",#N/A,FALSE,"Allocations"}</definedName>
    <definedName name="wrn.cpmonthly" hidden="1">{"YearEndSummary",#N/A,FALSE,"SUMMARY";"MonthlyGrossMargin",#N/A,FALSE,"Gross Margin";"MonthlySales",#N/A,FALSE,"Sales";"YearEndStaffCosts",#N/A,FALSE,"Staff Costs";"MonthlyOperatingCosts",#N/A,FALSE,"Operating Costs";"MonthlySalaries",#N/A,FALSE,"Salaries";"MonthlyTravel",#N/A,FALSE,"Travel";"MonthlyPitches",#N/A,FALSE,"Pitches";"MonthlyAllocations",#N/A,FALSE,"Allocations"}</definedName>
    <definedName name="wrn.cpquarterly" hidden="1">{"Quarterly",#N/A,FALSE,"Quarterly"}</definedName>
    <definedName name="wrn.cpshareholder" hidden="1">{#N/A,#N/A,TRUE,"Highlights";#N/A,#N/A,TRUE,"Cmp to PY";#N/A,#N/A,TRUE,"Top Level P&amp;L";#N/A,#N/A,TRUE,"P&amp;L by BU";#N/A,#N/A,TRUE,"% OF SALES";#N/A,#N/A,TRUE,"Curr Mon Sum";#N/A,#N/A,TRUE,"Current Month";#N/A,#N/A,TRUE,"Balance Sheet"}</definedName>
    <definedName name="wrn.cpyear._.End." hidden="1">{"YearEndSummary",#N/A,FALSE,"SUMMARY";"YearEndGrossMargin",#N/A,FALSE,"Gross Margin";"YearEndSales",#N/A,FALSE,"Sales";"YearEndStaffCosts",#N/A,FALSE,"Staff Costs";"YearEndOperatingCosts",#N/A,FALSE,"Operating Costs";"YearEndSalaries",#N/A,FALSE,"Salaries";"YearEndTravel",#N/A,FALSE,"Travel";"YearEndPitches",#N/A,FALSE,"Pitches";"YearEndAllocations",#N/A,FALSE,"Allocations"}</definedName>
    <definedName name="wrn.criteria.95p." hidden="1">{#N/A,#N/A,FALSE,"1.CRITERIA";#N/A,#N/A,FALSE,"2.IS";#N/A,#N/A,FALSE,"3.BS";#N/A,#N/A,FALSE,"4.PER PL";#N/A,#N/A,FALSE,"5.INVESTMENT";#N/A,#N/A,FALSE,"6.공문";#N/A,#N/A,FALSE,"7.netinvest"}</definedName>
    <definedName name="wrn.CSN._.M._.Detail." hidden="1">{"CSN M Detail",#N/A,FALSE,"Sch M Detail"}</definedName>
    <definedName name="wrn.Customer_base." hidden="1">{"customer base",#N/A,FALSE,"customer_base";"customer base perf estimates",#N/A,FALSE,"customer_base"}</definedName>
    <definedName name="wrn.documentation." hidden="1">{"documentation1",#N/A,FALSE,"Documentation";"documentation2",#N/A,FALSE,"Documentation"}</definedName>
    <definedName name="wrn.DPI._.Summary." hidden="1">{#N/A,#N/A,TRUE,"Summary";#N/A,#N/A,TRUE,"Financials"}</definedName>
    <definedName name="wrn.Fcst._.by._.Mon." hidden="1">{"Fcst by Mon Full",#N/A,FALSE,"Tot PalmPalm";"Fcst by Mon Full",#N/A,FALSE,"Tot Device";"Fcst by Mon Full",#N/A,FALSE,"Platform";"Fcst by Mon Full",#N/A,FALSE,"Palm.Net";"Fcst by Mon Full",#N/A,FALSE,"Elim"}</definedName>
    <definedName name="wrn.Fcst._.by._.Qtr." hidden="1">{"Fcst by Qtr Full",#N/A,FALSE,"Tot PalmPalm";"Fcst by Qtr Full",#N/A,FALSE,"Tot Device";"Fcst by Qtr Full",#N/A,FALSE,"Platform";"Fcst by Qtr Full",#N/A,FALSE,"Palm.Net";"Fcst by Qtr Full",#N/A,FALSE,"Elim"}</definedName>
    <definedName name="wrn.Fed._.4797." hidden="1">{"Fed 4797",#N/A,FALSE,"4797"}</definedName>
    <definedName name="wrn.Full." hidden="1">{"Summary",#N/A,TRUE,"Sheet1";"Returns",#N/A,TRUE,"Sheet1";"IS",#N/A,TRUE,"Sheet1";"BS",#N/A,TRUE,"Sheet1";"CF",#N/A,TRUE,"Sheet1";"Cover6",#N/A,TRUE,"Sheet1";"WC7",#N/A,TRUE,"Sheet1";"Debt8",#N/A,TRUE,"Sheet1";"Tax9",#N/A,TRUE,"Sheet1"}</definedName>
    <definedName name="wrn.HMO." hidden="1">{#N/A,#N/A,FALSE,"DOS YTD";#N/A,#N/A,FALSE,"UR YTD";#N/A,#N/A,FALSE,"23 DOS PacifiCare HMO";#N/A,#N/A,FALSE,"23 UR PacifiCare HMO";#N/A,#N/A,FALSE,"32 DOS HealthNet";#N/A,#N/A,FALSE,"32 UR HealthNet";#N/A,#N/A,FALSE,"68 DOS HN Seniority Plus";#N/A,#N/A,FALSE,"68 UR HN Seniority Plus";#N/A,#N/A,FALSE,"71 DOS CA Care";#N/A,#N/A,FALSE,"71 UR CA Care";#N/A,#N/A,FALSE,"80 DOS Sharp";#N/A,#N/A,FALSE,"80 UR Sharp";#N/A,#N/A,FALSE,"88 DOS CIGNA VEBA";#N/A,#N/A,FALSE,"88 UR CIGNA VEBA";#N/A,#N/A,FALSE,"93 DOS Aetna HMO";#N/A,#N/A,FALSE,"93 UR Aetna HMO";#N/A,#N/A,FALSE,"100 DOS ACN Health Plan";#N/A,#N/A,FALSE,"100 UR ACN Health Plan";#N/A,#N/A,FALSE,"101 DOS Aetna Senior Choice";#N/A,#N/A,FALSE,"101 UR Aetna Senior Choice";#N/A,#N/A,FALSE,"112 DOS PruCare of CA HMO";#N/A,#N/A,FALSE,"112 UR PruCare of CA HMO";#N/A,#N/A,FALSE,"115 DOS Kaiser No CA";#N/A,#N/A,FALSE,"115 UR Kaiser No CA";#N/A,#N/A,FALSE,"116 DOS Kaiser So CA";#N/A,#N/A,FALSE,"116 UR Kaiser So CA";#N/A,#N/A,FALSE,"117 DOS Blue Shield";#N/A,#N/A,FALSE,"117 UR Blue Shield";#N/A,#N/A,FALSE,"118 DOS HP of the Redwoods";#N/A,#N/A,FALSE,"118 UR HP of the Redwoods";#N/A,#N/A,FALSE,"120 DOS HPR Medi Prime";#N/A,#N/A,FALSE,"120 UR HPR Medi Prime";#N/A,#N/A,FALSE,"126 DOS Pru Sr Plan No CA";#N/A,#N/A,FALSE,"126 UR Pru Sr Plan No CA";#N/A,#N/A,FALSE,"127 DOS Pru Sr Plan So CA";#N/A,#N/A,FALSE,"127 UR Pru Sr Plan So CA";#N/A,#N/A,FALSE,"137 DOS Aetna MC II";#N/A,#N/A,FALSE,"137 UR Aetna MC II"}</definedName>
    <definedName name="wrn.IFF94TAX." hidden="1">{#N/A,#N/A,FALSE,"일반적사항";#N/A,#N/A,FALSE,"주요재무자료";#N/A,#N/A,FALSE,"표지";#N/A,#N/A,FALSE,"총괄표";#N/A,#N/A,FALSE,"1호 과표세액";#N/A,#N/A,FALSE,"2호 서식";#N/A,#N/A,FALSE,"3(3)호(갑) 원천납부";#N/A,#N/A,FALSE,"6호 소득금액";#N/A,#N/A,FALSE,"6호 첨부(익)";#N/A,#N/A,FALSE,"6호 첨부(손)";#N/A,#N/A,FALSE,"6-1호 수입금액";#N/A,#N/A,FALSE,"6-3호 퇴충";#N/A,#N/A,FALSE,"6-4호 접대(갑)";#N/A,#N/A,FALSE,"6-4호 접대(을)";#N/A,#N/A,FALSE,"6-5 갑 외화";#N/A,#N/A,FALSE,"6-5을 외화";#N/A,#N/A,FALSE,"감가총괄";#N/A,#N/A,FALSE,"전기부인액추인";#N/A,#N/A,FALSE,"6-6호(부표) 자본적지출";#N/A,#N/A,FALSE,"6-11호 세금과공과";#N/A,#N/A,FALSE,"6-12호 선급비용";#N/A,#N/A,FALSE,"9호 자본금(갑)";#N/A,#N/A,FALSE,"9호 자본금(을)";#N/A,#N/A,FALSE,"10(3)호 주요계정";#N/A,#N/A,FALSE,"10(4)호 조정수입";#N/A,#N/A,FALSE,"12호 중소검토";#N/A,#N/A,FALSE,"14(1) 주주이동(갑)";#N/A,#N/A,FALSE,"59호 해외특수";#N/A,#N/A,FALSE,"해외명세";#N/A,#N/A,FALSE,"요약 BS";#N/A,#N/A,FALSE,"요약RE";#N/A,#N/A,FALSE,"요약 PL"}</definedName>
    <definedName name="wrn.iIMPRESSION._.DOC." hidden="1">{#N/A,#N/A,FALSE,"mk";#N/A,#N/A,FALSE,"SIEG";#N/A,#N/A,FALSE,"BOUSK";#N/A,#N/A,FALSE,"C-0 B96-97";#N/A,#N/A,FALSE,"C-O B98";#N/A,#N/A,FALSE,"C-0 B96-97";#N/A,#N/A,FALSE,"MEKN";#N/A,#N/A,FALSE,"MEKN";#N/A,#N/A,FALSE,"C-O MKS 98";#N/A,#N/A,FALSE,"TANG";#N/A,#N/A,FALSE,"C-O Tng96";#N/A,#N/A,FALSE,"C-O Tng97";#N/A,#N/A,FALSE,"C-O Tng98";#N/A,#N/A,FALSE,"TET";#N/A,#N/A,FALSE,"C-0 TET 98";#N/A,#N/A,FALSE,"synthese";#N/A,#N/A,FALSE,"MEKNES";#N/A,#N/A,FALSE,"BOUSKOURA";#N/A,#N/A,FALSE,"TANGER";#N/A,#N/A,FALSE,"TETOUAN";#N/A,#N/A,FALSE,"CAP1 DH";#N/A,#N/A,FALSE,"CAP1 FF";#N/A,#N/A,FALSE,"LAFARGE MAROC";#N/A,#N/A,FALSE,"SIEGE";#N/A,#N/A,FALSE,"TOTAL USINES";#N/A,#N/A,FALSE,"entretien"}</definedName>
    <definedName name="wrn.IMPRESSION._.RP2." hidden="1">{#N/A,#N/A,TRUE," L.MAROC";#N/A,#N/A,TRUE,"SIE";#N/A,#N/A,TRUE,"ELIM L.GROUPE";#N/A,#N/A,TRUE,"ACTIVITE CIMENTIERE";#N/A,#N/A,TRUE,"ELIM ACTIVITE CIMENTIERE";#N/A,#N/A,TRUE,"SYNTHES L. CIMENT";#N/A,#N/A,TRUE,"BOUSKOURA";#N/A,#N/A,TRUE,"MEKNES";#N/A,#N/A,TRUE,"ELIM L.CIMENT";#N/A,#N/A,TRUE,"SYNTHESE L.CEMENTOS";#N/A,#N/A,TRUE,"TANGER";#N/A,#N/A,TRUE,"TETOUAN";#N/A,#N/A,TRUE,"ELIM L.CEMENTOS"}</definedName>
    <definedName name="wrn.Investment._.Summary." hidden="1">{#N/A,#N/A,TRUE,"Summary";#N/A,#N/A,TRUE,"Financials";#N/A,#N/A,TRUE,"Assumptions";#N/A,#N/A,TRUE,"Pro Forma";#N/A,#N/A,TRUE,"Debt";#N/A,#N/A,TRUE,"Amortization";#N/A,#N/A,TRUE,"GG Returns"}</definedName>
    <definedName name="wrn.jck94TAXRETURN." hidden="1">{#N/A,#N/A,FALSE,"표지";#N/A,#N/A,FALSE,"총괄표";#N/A,#N/A,FALSE,"1호 과표세액";#N/A,#N/A,FALSE,"3(3)호(갑) 원천납부";#N/A,#N/A,FALSE,"6호 소득금액";#N/A,#N/A,FALSE,"6호 첨부(익)";#N/A,#N/A,FALSE,"6호 첨부(손)";#N/A,#N/A,FALSE,"6-12호 선급비용";#N/A,#N/A,FALSE,"6-14호 부동산보유";#N/A,#N/A,FALSE,"9호 자본금(갑)";#N/A,#N/A,FALSE,"9호 자본금(을)";#N/A,#N/A,FALSE,"10(3)호 주요계정";#N/A,#N/A,FALSE,"10(3)호 부표";#N/A,#N/A,FALSE,"10(4)호 조정수입";#N/A,#N/A,FALSE,"12호 중소검토";#N/A,#N/A,FALSE,"14(1)호 갑 주식";#N/A,#N/A,FALSE,"59호 해외특수";#N/A,#N/A,FALSE,"요약 BS";#N/A,#N/A,FALSE,"요약 PL";#N/A,#N/A,FALSE,"요약원가";#N/A,#N/A,FALSE,"요약RE";#N/A,#N/A,FALSE,"6-5호 외화(갑)";#N/A,#N/A,FALSE,"6-5호 외화(을)"}</definedName>
    <definedName name="wrn.July." hidden="1">{#N/A,#N/A,FALSE,"JULY WCE";#N/A,#N/A,FALSE,"Central - Doug July";#N/A,#N/A,FALSE,"East - Dave July";#N/A,#N/A,FALSE,"West - Lee - July"}</definedName>
    <definedName name="wrn.June." hidden="1">{#N/A,#N/A,FALSE,"Central - Doug June";#N/A,#N/A,FALSE,"East - Dave June";#N/A,#N/A,FALSE,"West - Lee - June";#N/A,#N/A,FALSE,"JUNE WCE"}</definedName>
    <definedName name="wrn.Lead._.Schedule." hidden="1">{#N/A,#N/A,FALSE,"BS";#N/A,#N/A,FALSE,"PL";#N/A,#N/A,FALSE,"A";#N/A,#N/A,FALSE,"B";#N/A,#N/A,FALSE,"B1";#N/A,#N/A,FALSE,"C";#N/A,#N/A,FALSE,"C1";#N/A,#N/A,FALSE,"C2";#N/A,#N/A,FALSE,"D";#N/A,#N/A,FALSE,"E";#N/A,#N/A,FALSE,"F";#N/A,#N/A,FALSE,"AA";#N/A,#N/A,FALSE,"BB";#N/A,#N/A,FALSE,"CC";#N/A,#N/A,FALSE,"DD";#N/A,#N/A,FALSE,"EE";#N/A,#N/A,FALSE,"FF";#N/A,#N/A,FALSE,"PL10";#N/A,#N/A,FALSE,"PL20";#N/A,#N/A,FALSE,"PL30"}</definedName>
    <definedName name="wrn.Monthly." hidden="1">{"YearEndSummary",#N/A,FALSE,"SUMMARY";"MonthlyGrossMargin",#N/A,FALSE,"Gross Margin";"MonthlySales",#N/A,FALSE,"Sales";"YearEndStaffCosts",#N/A,FALSE,"Staff Costs";"MonthlyOperatingCosts",#N/A,FALSE,"Operating Costs";"MonthlySalaries",#N/A,FALSE,"Salaries";"MonthlyTravel",#N/A,FALSE,"Travel";"MonthlyPitches",#N/A,FALSE,"Pitches";"MonthlyAllocations",#N/A,FALSE,"Allocations"}</definedName>
    <definedName name="wrn.Monthly._.ST." hidden="1">{#N/A,#N/A,FALSE,"Cvr";#N/A,#N/A,FALSE,"P&amp;L summ2";#N/A,#N/A,FALSE,"CFO ";#N/A,#N/A,FALSE,"P&amp;L by BU";#N/A,#N/A,FALSE,"BS (Hardcoded)";#N/A,#N/A,FALSE,"CF-Hardcode";#N/A,#N/A,FALSE,"Highlights"}</definedName>
    <definedName name="wrn.Neurocrine._.1995._.Dept.._.Budgets." hidden="1">{#N/A,#N/A,TRUE,"Consolidated";#N/A,#N/A,TRUE,"Consolidating";#N/A,#N/A,TRUE,"Corp. Admin";#N/A,#N/A,TRUE,"R&amp;D Admin.";#N/A,#N/A,TRUE,"Immunology";#N/A,#N/A,TRUE,"Neuroscience";#N/A,#N/A,TRUE,"Molec. Bio.";#N/A,#N/A,TRUE,"Peptide Chem.";#N/A,#N/A,TRUE,"Med. Chem.";#N/A,#N/A,TRUE,"Development"}</definedName>
    <definedName name="wrn.Ofcr._.Comp._.Stmt._.4." hidden="1">{"Ofcr Comp Stmt 4",#N/A,FALSE,"Ofcr Comp"}</definedName>
    <definedName name="wrn.Ofcr._.Comp._.WP." hidden="1">{"Ofcr Comp WP",#N/A,FALSE,"Ofcr Comp"}</definedName>
    <definedName name="wrn.Olk._.by._.Qtr." hidden="1">{"Olk by Qtr Full",#N/A,FALSE,"Tot PalmPalm";"Olk by Qtr Full",#N/A,FALSE,"Tot Device";"Olk by Qtr Full",#N/A,FALSE,"Platform";"Olk by Qtr Full",#N/A,FALSE,"Palm.Net";"Olk by Qtr Full",#N/A,FALSE,"Elim"}</definedName>
    <definedName name="wrn.Opportunity._.Assessment." hidden="1">{#N/A,#N/A,TRUE,"Summary";#N/A,#N/A,TRUE,"Assumptions";#N/A,#N/A,TRUE,"Comparison";#N/A,#N/A,TRUE,"Financials";#N/A,#N/A,TRUE,"Plan v. Act"}</definedName>
    <definedName name="wrn.PAIM._.TAX._.PRO." hidden="1">{#N/A,#N/A,FALSE,"표지";#N/A,#N/A,FALSE,"총괄표";#N/A,#N/A,FALSE,"1호 과표세액";#N/A,#N/A,FALSE,"2호 서식";#N/A,#N/A,FALSE,"3(3)호(갑) 원천납부";#N/A,#N/A,FALSE,"6호 소득금액";#N/A,#N/A,FALSE,"6호 첨부(익)";#N/A,#N/A,FALSE,"6호 첨부(손)";#N/A,#N/A,FALSE,"6-1호 수입금액";#N/A,#N/A,FALSE,"6-3호 퇴충";#N/A,#N/A,FALSE,"6-3(3)호 단퇴";#N/A,#N/A,FALSE,"6-3(4)호 대손";#N/A,#N/A,FALSE,"6-4호 접대(갑)";#N/A,#N/A,FALSE,"6-4호 접대(을)";#N/A,#N/A,FALSE,"6-5호 외화(갑)";#N/A,#N/A,FALSE,"6-5호 외화(을)";#N/A,#N/A,FALSE,"6-6호(부표) 자본적지출";#N/A,#N/A,FALSE,"6-11호 세금과공과";#N/A,#N/A,FALSE,"6-12호 선급비용";#N/A,#N/A,FALSE,"9호 자본금(갑)";#N/A,#N/A,FALSE,"9호 자본금(을)";#N/A,#N/A,FALSE,"10(3)호 주요계정";#N/A,#N/A,FALSE,"10(3)호 부표";#N/A,#N/A,FALSE,"10(4)호 조정수입";#N/A,#N/A,FALSE,"요약 BS";#N/A,#N/A,FALSE,"요약 PL";#N/A,#N/A,FALSE,"요약RE"}</definedName>
    <definedName name="wrn.Print._.All." hidden="1">{#N/A,#N/A,FALSE,"JUNE WCE";#N/A,#N/A,FALSE,"Central - Doug June";#N/A,#N/A,FALSE,"East - Dave June";#N/A,#N/A,FALSE,"West - Lee - June";#N/A,#N/A,FALSE,"JULY WCE";#N/A,#N/A,FALSE,"Central - Doug July";#N/A,#N/A,FALSE,"East - Dave July";#N/A,#N/A,FALSE,"West - Lee - July";#N/A,#N/A,FALSE,"Utilization"}</definedName>
    <definedName name="wrn.print._.all._.sheets." hidden="1">{"summary1",#N/A,FALSE,"Summary of Values";"developed valuation",#N/A,FALSE,"Valuation Analysis";"inprocess valuation",#N/A,FALSE,"Valuation Analysis";"trademark1",#N/A,FALSE,"Trademark(s) and Trade Name(s)";"developed income statement",#N/A,FALSE,"Abbreviated Income Statement";"inprocess income statement",#N/A,FALSE,"Abbreviated Income Statement";"revenue detail 1",#N/A,FALSE,"Revenue Detail";"revenue detail 2",#N/A,FALSE,"Revenue Detail";"revenue detail 3",#N/A,FALSE,"Revenue Detail";"revenue detail 4",#N/A,FALSE,"Revenue Detail";"contributory1",#N/A,FALSE,"Contributory Assets Detail";"contributory2",#N/A,FALSE,"Contributory Assets Detail";"weighted average returns",#N/A,FALSE,"WACC and WARA";"fixed asset detail",#N/A,FALSE,"Fixed Asset Detail";"customer base",#N/A,FALSE,"customer_base";"customer base perf estimates",#N/A,FALSE,"customer_base"}</definedName>
    <definedName name="wrn.PROJECT._.SUMMARY." hidden="1">{#N/A,#N/A,FALSE,"PROJSUM";#N/A,#N/A,FALSE,"1450";#N/A,#N/A,FALSE,"2430";#N/A,#N/A,FALSE,"2700"}</definedName>
    <definedName name="wrn.Quarterly." hidden="1">{"Payroll Qtr 94",#N/A,FALSE,"Personnel Expenses";"Payroll Qtr 95",#N/A,FALSE,"Personnel Expenses";"Payroll Qtr 96",#N/A,FALSE,"Personnel Expenses";"Relo Qtr 95",#N/A,FALSE,"Personnel Expenses";"Relo Qtr 96",#N/A,FALSE,"Personnel Expenses";"Statistics Qtr 94",#N/A,FALSE,"Personnel Expenses";"Statistics Qtr 95",#N/A,FALSE,"Personnel Expenses";"Statistics Qtr 96",#N/A,FALSE,"Personnel Expenses";"Summary Qtr 94",#N/A,FALSE,"Personnel Expenses";"Summary Qtr 95",#N/A,FALSE,"Personnel Expenses";"Summary Qtr 96",#N/A,FALSE,"Personnel Expenses"}</definedName>
    <definedName name="wrn.revenue._.detail." hidden="1">{"revenue detail 1",#N/A,FALSE,"Revenue Detail";"revenue detail 2",#N/A,FALSE,"Revenue Detail";"revenue detail 3",#N/A,FALSE,"Revenue Detail";"revenue detail 4",#N/A,FALSE,"Revenue Detail"}</definedName>
    <definedName name="wrn.SAA94TAX." hidden="1">{#N/A,#N/A,TRUE,"표지";#N/A,#N/A,TRUE,"총괄표";#N/A,#N/A,TRUE,"1호 과표세액";#N/A,#N/A,TRUE,"2호 서식";#N/A,#N/A,TRUE,"3(1) 부3 세액조정";#N/A,#N/A,TRUE,"임시투자공제";#N/A,#N/A,TRUE,"조8호 기술인력";#N/A,#N/A,TRUE,"3(1)부7 기업합리";#N/A,#N/A,TRUE,"3(3)호(갑) 원천납부";#N/A,#N/A,TRUE,"6호 소득금액";#N/A,#N/A,TRUE,"6호 첨부(익)";#N/A,#N/A,TRUE,"6호 첨부(손)";#N/A,#N/A,TRUE,"6-1호 수입금액";#N/A,#N/A,TRUE,"6-2(4)호 해외시장";#N/A,#N/A,TRUE,"6-2(12)호 수출손실";#N/A,#N/A,TRUE,"6-3호 퇴충";#N/A,#N/A,TRUE,"6-3(3)호 단퇴";#N/A,#N/A,TRUE,"6-3(4)호 대손";#N/A,#N/A,TRUE,"6-4호 접대(갑)";#N/A,#N/A,TRUE,"6-4호 접대(을)";#N/A,#N/A,TRUE,"6-5호 외화(갑)";#N/A,#N/A,TRUE,"6-5호 외화(을)";#N/A,#N/A,TRUE,"6-6호(부표) 자본적지출";#N/A,#N/A,TRUE,"6-10호 재고자산";#N/A,#N/A,TRUE,"6-11호 세금과공과";#N/A,#N/A,TRUE,"6-12호 선급비용";#N/A,#N/A,TRUE,"6-13호 기부금";#N/A,#N/A,TRUE,"6-14호 부동산보유";#N/A,#N/A,TRUE,"8호 기부금조정";#N/A,#N/A,TRUE,"9호 자본금(갑)";#N/A,#N/A,TRUE,"9호 자본금(을)";#N/A,#N/A,TRUE,"10(3)호 주요계정";#N/A,#N/A,TRUE,"10(3)호 부표";#N/A,#N/A,TRUE,"10(4)호 조정수입";#N/A,#N/A,TRUE,"14(1)호 갑 주식";#N/A,#N/A,TRUE,"요약 BS";#N/A,#N/A,TRUE,"요약 PL";#N/A,#N/A,TRUE,"요약원가";#N/A,#N/A,TRUE,"요약RE"}</definedName>
    <definedName name="wrn.saasimple." hidden="1">{#N/A,#N/A,FALSE,"1호 과표세액";#N/A,#N/A,FALSE,"2호 서식";#N/A,#N/A,FALSE,"3(1)부7 기업합리";#N/A,#N/A,FALSE,"6호 소득금액";#N/A,#N/A,FALSE,"6호 첨부(익)";#N/A,#N/A,FALSE,"6호 첨부(손)";#N/A,#N/A,FALSE,"6-1호 수입금액";#N/A,#N/A,FALSE,"6-3(4)호 대손";#N/A,#N/A,FALSE,"6-3호 퇴충";#N/A,#N/A,FALSE,"6-3(3)호 단퇴";#N/A,#N/A,FALSE,"6-3(4)호 대손";#N/A,#N/A,FALSE,"6-4호 접대(갑)";#N/A,#N/A,FALSE,"6-4호 접대(을)";#N/A,#N/A,FALSE,"6-5호 외화(갑)";#N/A,#N/A,FALSE,"6-5호 외화(을)";#N/A,#N/A,FALSE,"6-11호 세금과공과";#N/A,#N/A,FALSE,"6-13호 기부금";#N/A,#N/A,FALSE,"8호 기부금조정";#N/A,#N/A,FALSE,"9호 자본금(갑)";#N/A,#N/A,FALSE,"9호 자본금(을)";#N/A,#N/A,FALSE,"10(3)호 주요계정";#N/A,#N/A,FALSE,"10(3)호 부표";#N/A,#N/A,FALSE,"요약 PL";#N/A,#N/A,FALSE,"10(4)호 조정수입";#N/A,#N/A,FALSE,"14(1)호 갑 주식"}</definedName>
    <definedName name="wrn.SchM." hidden="1">{"SchMpg1",#N/A,FALSE,"TR Sch M";"SchMpg2",#N/A,FALSE,"TR Sch M"}</definedName>
    <definedName name="wrn.shareholder." hidden="1">{#N/A,#N/A,TRUE,"Highlights";#N/A,#N/A,TRUE,"Cmp to PY";#N/A,#N/A,TRUE,"Top Level P&amp;L";#N/A,#N/A,TRUE,"P&amp;L by BU";#N/A,#N/A,TRUE,"% OF SALES";#N/A,#N/A,TRUE,"Curr Mon Sum";#N/A,#N/A,TRUE,"Current Month";#N/A,#N/A,TRUE,"Balance Sheet"}</definedName>
    <definedName name="wrn.summary._.schedules." hidden="1">{"summary1",#N/A,FALSE,"Summary of Values";"summary2",#N/A,FALSE,"Summary of Values"}</definedName>
    <definedName name="wrn.SummaryReport." hidden="1">{"Header",#N/A,TRUE,"Summary";"ProjectInfo",#N/A,TRUE,"Total Value"}</definedName>
    <definedName name="wrn.technology." hidden="1">{"developed valuation",#N/A,FALSE,"Valuation Analysis";"developed income statement",#N/A,FALSE,"Abbreviated Income Statement";"inprocess valuation",#N/A,FALSE,"Valuation Analysis";"inprocess income statement",#N/A,FALSE,"Abbreviated Income Statement"}</definedName>
    <definedName name="wrn.trademark._.and._.trade._.name." hidden="1">{"trademark1",#N/A,FALSE,"Trademark(s) and Trade Name(s)"}</definedName>
    <definedName name="wrn.wara." hidden="1">{"weighted average returns",#N/A,FALSE,"WACC and WARA"}</definedName>
    <definedName name="wrn.work._.paper._.shcedules." hidden="1">{"summary1",#N/A,FALSE,"Summary of Values";"summary2",#N/A,FALSE,"Summary of Values";"weighted average returns",#N/A,FALSE,"WACC and WARA";"fixed asset detail",#N/A,FALSE,"Fixed Asset Detail"}</definedName>
    <definedName name="wrn.WP._.4797." hidden="1">{"WP 4797",#N/A,FALSE,"4797"}</definedName>
    <definedName name="wrn.WW._.M._.Detail." hidden="1">{"WW M Detail",#N/A,FALSE,"Sch M Detail"}</definedName>
    <definedName name="wrn.Year._.End." hidden="1">{"YearEndSummary",#N/A,FALSE,"SUMMARY";"YearEndGrossMargin",#N/A,FALSE,"Gross Margin";"YearEndSales",#N/A,FALSE,"Sales";"YearEndStaffCosts",#N/A,FALSE,"Staff Costs";"YearEndOperatingCosts",#N/A,FALSE,"Operating Costs";"YearEndSalaries",#N/A,FALSE,"Salaries";"YearEndTravel",#N/A,FALSE,"Travel";"YearEndPitches",#N/A,FALSE,"Pitches";"YearEndAllocations",#N/A,FALSE,"Allocations"}</definedName>
    <definedName name="wrn.간단한세무조정계산서." hidden="1">{#N/A,#N/A,TRUE,"1호 과표세액";#N/A,#N/A,TRUE,"1-2호 농어촌과표";#N/A,#N/A,TRUE,"2호 서식";#N/A,#N/A,TRUE,"2호부표 최저한세";#N/A,#N/A,TRUE,"3(1)호 공제감면";#N/A,#N/A,TRUE,"임시특별감면";#N/A,#N/A,TRUE,"3(1)부7 기업합리";#N/A,#N/A,TRUE,"5호 농어촌";#N/A,#N/A,TRUE,"5호2 농감면(갑)";#N/A,#N/A,TRUE,"6호 소득금액";#N/A,#N/A,TRUE,"6호 첨부(익)";#N/A,#N/A,TRUE,"6호 첨부(손)";#N/A,#N/A,TRUE,"감가총괄";#N/A,#N/A,TRUE,"6-6(3)호 감가(정액)";#N/A,#N/A,TRUE,"9호 자본금(갑)";#N/A,#N/A,TRUE,"9호 자본금(을)";#N/A,#N/A,TRUE,"10(3)호 주요계정";#N/A,#N/A,TRUE,"10(4)호 소득구분"}</definedName>
    <definedName name="wrn.급여인상안." hidden="1">{#N/A,#N/A,FALSE,"계약직(여)"}</definedName>
    <definedName name="wrn.부문손익." hidden="1">{#N/A,#N/A,FALSE,"매출이익"}</definedName>
    <definedName name="wrn.세무조정계산서." hidden="1">{#N/A,#N/A,TRUE,"총괄표";#N/A,#N/A,TRUE,"1호 과표세액";#N/A,#N/A,TRUE,"2호 서식";#N/A,#N/A,TRUE,"2호부표 최저한세";#N/A,#N/A,TRUE,"3(1)호 공제감면";#N/A,#N/A,TRUE,"3(1) 부1 공제감면";#N/A,#N/A,TRUE,"3(1) 부3 세액조정";#N/A,#N/A,TRUE,"3(1) 부4 공제감면";#N/A,#N/A,TRUE,"3(1) 부6 추가납부";#N/A,#N/A,TRUE,"조8호 기술인력";#N/A,#N/A,TRUE,"3(1)부7 기업합리";#N/A,#N/A,TRUE,"3(2)호 가산세";#N/A,#N/A,TRUE,"3(3)호(갑) 원천납부";#N/A,#N/A,TRUE,"5호 농어촌";#N/A,#N/A,TRUE,"5호2 농감면(갑)";#N/A,#N/A,TRUE,"5호2 농감면(을)";#N/A,#N/A,TRUE,"6호 소득금액";#N/A,#N/A,TRUE,"6호 첨부(익)";#N/A,#N/A,TRUE,"6호 첨부(손)";#N/A,#N/A,TRUE,"6-1호 수입금액";#N/A,#N/A,TRUE,"6-2(4)호 해외시장";#N/A,#N/A,TRUE,"6-2(6)호 해외사업";#N/A,#N/A,TRUE,"6-2(7)호 해외투자";#N/A,#N/A,TRUE,"6-2(12)호 수출손실";#N/A,#N/A,TRUE,"6-3호 퇴충";#N/A,#N/A,TRUE,"6-3(3)호 단퇴";#N/A,#N/A,TRUE,"6-3(4)호 대손";#N/A,#N/A,TRUE,"6-4호 접대(갑)";#N/A,#N/A,TRUE,"6-4호 접대(을)";#N/A,#N/A,TRUE,"6-5호 외화(갑)";#N/A,#N/A,TRUE,"6-5호 외화(을)";#N/A,#N/A,TRUE,"6-6호(부표) 자본적지출";#N/A,#N/A,TRUE,"6-7호 가지급금(갑)";#N/A,#N/A,TRUE,"6-7호 가지급(을)";#N/A,#N/A,TRUE,"6-10호 재고자산";#N/A,#N/A,TRUE,"6-11호 세금과공과";#N/A,#N/A,TRUE,"6-12호 선급비용";#N/A,#N/A,TRUE,"6-13호 기부금";#N/A,#N/A,TRUE,"6-14호 부동산보유";#N/A,#N/A,TRUE,"8호 기부금조정";#N/A,#N/A,TRUE,"9호 자본금(갑)";#N/A,#N/A,TRUE,"9호 자본금(을)";#N/A,#N/A,TRUE,"10(2)호 소득공제";#N/A,#N/A,TRUE,"10(3)호 주요계정";#N/A,#N/A,TRUE,"10(3)호 부표";#N/A,#N/A,TRUE,"10(4)호 조정수입";#N/A,#N/A,TRUE,"10(4)호 소득구분";#N/A,#N/A,TRUE,"12호 중소검토";#N/A,#N/A,TRUE,"13호 비상장";#N/A,#N/A,TRUE,"14(1)호 갑 주식";#N/A,#N/A,TRUE,"60호 갑 적정유보";#N/A,#N/A,TRUE,"60호 을 적정유보"}</definedName>
    <definedName name="wrn.세무조정모든양식." hidden="1">{#N/A,#N/A,TRUE,"일반적사항";#N/A,#N/A,TRUE,"주요재무자료";#N/A,#N/A,TRUE,"표지";#N/A,#N/A,TRUE,"총괄표";#N/A,#N/A,TRUE,"1호 과표세액";#N/A,#N/A,TRUE,"2호 서식";#N/A,#N/A,TRUE,"2호부표 최저한세";#N/A,#N/A,TRUE,"3(1)호 공제감면";#N/A,#N/A,TRUE,"3(1) 부1 공제감면";#N/A,#N/A,TRUE,"3(1) 부3 세액조정";#N/A,#N/A,TRUE,"3(1) 부4 공제감면";#N/A,#N/A,TRUE,"3(1) 부6 추가납부";#N/A,#N/A,TRUE,"조8호 기술인력";#N/A,#N/A,TRUE,"3(1)부7 기업합리";#N/A,#N/A,TRUE,"3(2)호 가산세";#N/A,#N/A,TRUE,"3(2)호 가산세";#N/A,#N/A,TRUE,"3(3)호(갑) 원천납부";#N/A,#N/A,TRUE,"5호 농어촌";#N/A,#N/A,TRUE,"5호2 농감면(갑)";#N/A,#N/A,TRUE,"5호2 농감면(을)";#N/A,#N/A,TRUE,"6호 소득금액";#N/A,#N/A,TRUE,"6호 첨부(익)";#N/A,#N/A,TRUE,"6호 첨부(손)";#N/A,#N/A,TRUE,"6-1호 수입금액";#N/A,#N/A,TRUE,"6-2(4)호 해외시장";#N/A,#N/A,TRUE,"6-2(6)호 해외사업";#N/A,#N/A,TRUE,"6-2(7)호 해외투자";#N/A,#N/A,TRUE,"6-2(12)호 수출손실";#N/A,#N/A,TRUE,"6-3호 퇴충";#N/A,#N/A,TRUE,"6-3(3)호 단퇴";#N/A,#N/A,TRUE,"6-3(4)호 대손";#N/A,#N/A,TRUE,"6-4호 접대(갑)";#N/A,#N/A,TRUE,"6-4호 접대(을)";#N/A,#N/A,TRUE,"6-5호 외화(갑)";#N/A,#N/A,TRUE,"6-5호 외화(을)";#N/A,#N/A,TRUE,"6-6호(부표) 자본적지출";#N/A,#N/A,TRUE,"6-7호 가지급금(갑)";#N/A,#N/A,TRUE,"6-7호 가지급(을)";#N/A,#N/A,TRUE,"6-10호 재고자산";#N/A,#N/A,TRUE,"6-11호 세금과공과";#N/A,#N/A,TRUE,"6-12호 선급비용";#N/A,#N/A,TRUE,"6-13호 기부금";#N/A,#N/A,TRUE,"6-14호 부동산보유";#N/A,#N/A,TRUE,"8호 기부금조정";#N/A,#N/A,TRUE,"9호 자본금(갑)";#N/A,#N/A,TRUE,"9호 자본금(을)";#N/A,#N/A,TRUE,"10(2)호 소득공제";#N/A,#N/A,TRUE,"10(3)호 주요계정";#N/A,#N/A,TRUE,"10(3)호 부표";#N/A,#N/A,TRUE,"10(4)호 조정수입";#N/A,#N/A,TRUE,"10(4)호 소득구분";#N/A,#N/A,TRUE,"12호 중소검토";#N/A,#N/A,TRUE,"13호 비상장";#N/A,#N/A,TRUE,"14(1)호 갑 주식";#N/A,#N/A,TRUE,"59호 해외특수";#N/A,#N/A,TRUE,"60호 갑 적정유보";#N/A,#N/A,TRUE,"60호 을 적정유보";#N/A,#N/A,TRUE,"요약 BS";#N/A,#N/A,TRUE,"요약 PL";#N/A,#N/A,TRUE,"요약원가";#N/A,#N/A,TRUE,"요약RE"}</definedName>
    <definedName name="wrn.조흥94세무." hidden="1">{#N/A,#N/A,TRUE,"일반적사항";#N/A,#N/A,TRUE,"주요재무자료";#N/A,#N/A,TRUE,"표지";#N/A,#N/A,TRUE,"총괄표";#N/A,#N/A,TRUE,"1호 과표세액";#N/A,#N/A,TRUE,"2호 서식";#N/A,#N/A,TRUE,"2호부표 최저한세";#N/A,#N/A,TRUE,"3(1)호 공제감면";#N/A,#N/A,TRUE,"3(1) 부1 공제감면";#N/A,#N/A,TRUE,"3(1) 부2 공제감면";#N/A,#N/A,TRUE,"3(1) 부3 세액조정";#N/A,#N/A,TRUE,"3(1)부7 기업합리";#N/A,#N/A,TRUE,"3(3)호(갑) 원천납부";#N/A,#N/A,TRUE,"4호 특별부가";#N/A,#N/A,TRUE,"5호 농어촌";#N/A,#N/A,TRUE,"5호2 농감면(갑)";#N/A,#N/A,TRUE,"5호2 농감면(을)";#N/A,#N/A,TRUE,"6호 소득금액";#N/A,#N/A,TRUE,"6호 첨부(익)";#N/A,#N/A,TRUE,"6호 첨부(손)";#N/A,#N/A,TRUE,"6-1호 수입금액";#N/A,#N/A,TRUE,"6-2(7)호 해외투자";#N/A,#N/A,TRUE,"6-3호 퇴충";#N/A,#N/A,TRUE,"6-3(3)호 단퇴";#N/A,#N/A,TRUE,"6-3(4)호 대손";#N/A,#N/A,TRUE,"6-4호 접대(갑)";#N/A,#N/A,TRUE,"6-4호 접대(을)";#N/A,#N/A,TRUE,"감가총괄표";#N/A,#N/A,TRUE,"6-6(3)호 감가(정율)";#N/A,#N/A,TRUE,"6-6호(부표) 자본적지출";#N/A,#N/A,TRUE,"6-10호 재고자산";#N/A,#N/A,TRUE,"6-11호 세금과공과";#N/A,#N/A,TRUE,"6-12호 선급비용";#N/A,#N/A,TRUE,"6-13호 기부금";#N/A,#N/A,TRUE,"기부1";#N/A,#N/A,TRUE,"기부2";#N/A,#N/A,TRUE,"8호 기부금조정";#N/A,#N/A,TRUE,"9호 자본금(갑)";#N/A,#N/A,TRUE,"9호 자본금(을)";#N/A,#N/A,TRUE,"10(3)호 주요계정";#N/A,#N/A,TRUE,"10(3)호 부표";#N/A,#N/A,TRUE,"10(4)호 조정수입";#N/A,#N/A,TRUE,"14(1)호 갑 주식";#N/A,#N/A,TRUE,"59호 해외특수";#N/A,#N/A,TRUE,"요약 BS";#N/A,#N/A,TRUE,"요약 PL";#N/A,#N/A,TRUE,"요약RE";#N/A,#N/A,TRUE,"조8호 기술인력";#N/A,#N/A,TRUE,"국공채감면";#N/A,#N/A,TRUE,"전기수정";#N/A,#N/A,TRUE,"퇴충명세";#N/A,#N/A,TRUE,"적금모집권유비";#N/A,#N/A,TRUE,"해외투자현황";#N/A,#N/A,TRUE,"외화감면";#N/A,#N/A,TRUE,"offshore";#N/A,#N/A,TRUE,"대손상각등명세"}</definedName>
    <definedName name="wrn.조흥축약94." hidden="1">{#N/A,#N/A,FALSE,"1호 과표세액";#N/A,#N/A,FALSE,"2호 서식";#N/A,#N/A,FALSE,"2호부표 최저한세";#N/A,#N/A,FALSE,"5호 농어촌";#N/A,#N/A,FALSE,"6호 소득금액";#N/A,#N/A,FALSE,"6호 첨부(익)";#N/A,#N/A,FALSE,"6호 첨부(손)";#N/A,#N/A,FALSE,"6-1호 수입금액";#N/A,#N/A,FALSE,"6-2(7)호 해외투자";#N/A,#N/A,FALSE,"6-3호 퇴충";#N/A,#N/A,FALSE,"6-3(3)호 단퇴";#N/A,#N/A,FALSE,"6-3(4)호 대손";#N/A,#N/A,FALSE,"6-4호 접대(갑)";#N/A,#N/A,FALSE,"6-4호 접대(을)";#N/A,#N/A,FALSE,"9호 자본금(갑)";#N/A,#N/A,FALSE,"9호 자본금(을)";#N/A,#N/A,FALSE,"조8호 기술인력";#N/A,#N/A,FALSE,"국공채감면";#N/A,#N/A,FALSE,"전기수정";#N/A,#N/A,FALSE,"퇴충명세";#N/A,#N/A,FALSE,"적금모집권유비";#N/A,#N/A,FALSE,"해외투자현황";#N/A,#N/A,FALSE,"외화감면";#N/A,#N/A,FALSE,"대손상각등명세"}</definedName>
    <definedName name="wrn.채권채무조회서." hidden="1">{#N/A,#N/A,FALSE,"채권채무";#N/A,#N/A,FALSE,"control sheet"}</definedName>
    <definedName name="wrn.현장._.NCR._.분석." hidden="1">{#N/A,#N/A,FALSE,"현장 NCR 분석";#N/A,#N/A,FALSE,"현장품질감사";#N/A,#N/A,FALSE,"현장품질감사"}</definedName>
    <definedName name="wrn1.all._Sheets" hidden="1">{#N/A,#N/A,FALSE,"6405";#N/A,#N/A,FALSE,"6406";#N/A,#N/A,FALSE,"6409";#N/A,#N/A,FALSE,"6425";#N/A,#N/A,FALSE,"6426";#N/A,#N/A,FALSE,"6427";#N/A,#N/A,FALSE,"6440";#N/A,#N/A,FALSE,"6441";#N/A,#N/A,FALSE,"6442";#N/A,#N/A,FALSE,"6443"}</definedName>
    <definedName name="www.wki" hidden="1">{"CSN M Detail",#N/A,FALSE,"Sch M Detail"}</definedName>
    <definedName name="XREF_COLUMN_1" hidden="1">#REF!</definedName>
    <definedName name="XREF_COLUMN_2" hidden="1">#REF!</definedName>
    <definedName name="XREF_COLUMN_3" hidden="1">#REF!</definedName>
    <definedName name="XREF_COLUMN_4" hidden="1">#REF!</definedName>
    <definedName name="XREF_COLUMN_5" hidden="1">#REF!</definedName>
    <definedName name="XREF_COLUMN_6" hidden="1">#REF!</definedName>
    <definedName name="XREF_COLUMN_7" hidden="1">#REF!</definedName>
    <definedName name="XREF_COLUMN_8" hidden="1">#REF!</definedName>
    <definedName name="XRefActiveRow" hidden="1">#REF!</definedName>
    <definedName name="XRefCopy1" hidden="1">#REF!</definedName>
    <definedName name="XRefCopy10" hidden="1">#REF!</definedName>
    <definedName name="XRefCopy10Row" hidden="1">#REF!</definedName>
    <definedName name="XRefCopy11" hidden="1">#REF!</definedName>
    <definedName name="XRefCopy11Row" hidden="1">#REF!</definedName>
    <definedName name="XRefCopy12" hidden="1">#REF!</definedName>
    <definedName name="XRefCopy12Row" hidden="1">#REF!</definedName>
    <definedName name="XRefCopy13" hidden="1">#REF!</definedName>
    <definedName name="XRefCopy13Row" hidden="1">#REF!</definedName>
    <definedName name="XRefCopy14" hidden="1">#REF!</definedName>
    <definedName name="XRefCopy14Row" hidden="1">#REF!</definedName>
    <definedName name="XRefCopy15" hidden="1">#REF!</definedName>
    <definedName name="XRefCopy15Row" hidden="1">#REF!</definedName>
    <definedName name="XRefCopy16" hidden="1">#REF!</definedName>
    <definedName name="XRefCopy16Row" hidden="1">#REF!</definedName>
    <definedName name="XRefCopy17" hidden="1">#REF!</definedName>
    <definedName name="XRefCopy17Row" hidden="1">#REF!</definedName>
    <definedName name="XRefCopy18" hidden="1">#REF!</definedName>
    <definedName name="XRefCopy18Row" hidden="1">#REF!</definedName>
    <definedName name="XRefCopy19" hidden="1">#REF!</definedName>
    <definedName name="XRefCopy19Row" hidden="1">#REF!</definedName>
    <definedName name="XRefCopy1Row" hidden="1">#REF!</definedName>
    <definedName name="XRefCopy2" hidden="1">#REF!</definedName>
    <definedName name="XRefCopy20" hidden="1">#REF!</definedName>
    <definedName name="XRefCopy20Row" hidden="1">#REF!</definedName>
    <definedName name="XRefCopy21" hidden="1">#REF!</definedName>
    <definedName name="XRefCopy21Row" hidden="1">#REF!</definedName>
    <definedName name="XRefCopy22" hidden="1">#REF!</definedName>
    <definedName name="XRefCopy22Row" hidden="1">#REF!</definedName>
    <definedName name="XRefCopy23" hidden="1">#REF!</definedName>
    <definedName name="XRefCopy23Row" hidden="1">#REF!</definedName>
    <definedName name="XRefCopy24" hidden="1">#REF!</definedName>
    <definedName name="XRefCopy24Row" hidden="1">#REF!</definedName>
    <definedName name="XRefCopy25" hidden="1">#REF!</definedName>
    <definedName name="XRefCopy25Row" hidden="1">#REF!</definedName>
    <definedName name="XRefCopy26" hidden="1">#REF!</definedName>
    <definedName name="XRefCopy26Row" hidden="1">#REF!</definedName>
    <definedName name="XRefCopy27" hidden="1">#REF!</definedName>
    <definedName name="XRefCopy27Row" hidden="1">#REF!</definedName>
    <definedName name="XRefCopy28" hidden="1">#REF!</definedName>
    <definedName name="XRefCopy28Row" hidden="1">#REF!</definedName>
    <definedName name="XRefCopy29Row" hidden="1">#REF!</definedName>
    <definedName name="XRefCopy2Row" hidden="1">#REF!</definedName>
    <definedName name="XRefCopy3" hidden="1">#REF!</definedName>
    <definedName name="XRefCopy30Row" hidden="1">#REF!</definedName>
    <definedName name="XRefCopy31Row" hidden="1">#REF!</definedName>
    <definedName name="XRefCopy32Row" hidden="1">#REF!</definedName>
    <definedName name="XRefCopy33Row" hidden="1">#REF!</definedName>
    <definedName name="XRefCopy34Row" hidden="1">#REF!</definedName>
    <definedName name="XRefCopy35Row" hidden="1">#REF!</definedName>
    <definedName name="XRefCopy3Row" hidden="1">#REF!</definedName>
    <definedName name="XRefCopy4" hidden="1">#REF!</definedName>
    <definedName name="XRefCopy4Row" hidden="1">#REF!</definedName>
    <definedName name="XRefCopy5" hidden="1">#REF!</definedName>
    <definedName name="XRefCopy5Row" hidden="1">#REF!</definedName>
    <definedName name="XRefCopy6" hidden="1">#REF!</definedName>
    <definedName name="XRefCopy6Row" hidden="1">#REF!</definedName>
    <definedName name="XRefCopy7" hidden="1">#REF!</definedName>
    <definedName name="XRefCopy7Row" hidden="1">#REF!</definedName>
    <definedName name="XRefCopy8" hidden="1">#REF!</definedName>
    <definedName name="XRefCopy8Row" hidden="1">#REF!</definedName>
    <definedName name="XRefCopy9" hidden="1">#REF!</definedName>
    <definedName name="XRefCopy9Row" hidden="1">#REF!</definedName>
    <definedName name="XRefPaste1" hidden="1">#REF!</definedName>
    <definedName name="XRefPaste10" hidden="1">#REF!</definedName>
    <definedName name="XRefPaste10Row" hidden="1">#REF!</definedName>
    <definedName name="XRefPaste11" hidden="1">#REF!</definedName>
    <definedName name="XRefPaste11Row" hidden="1">#REF!</definedName>
    <definedName name="XRefPaste12" hidden="1">#REF!</definedName>
    <definedName name="XRefPaste12Row" hidden="1">#REF!</definedName>
    <definedName name="XRefPaste13" hidden="1">#REF!</definedName>
    <definedName name="XRefPaste13Row" hidden="1">#REF!</definedName>
    <definedName name="XRefPaste14" hidden="1">#REF!</definedName>
    <definedName name="XRefPaste14Row" hidden="1">#REF!</definedName>
    <definedName name="XRefPaste15" hidden="1">#REF!</definedName>
    <definedName name="XRefPaste15Row" hidden="1">#REF!</definedName>
    <definedName name="XRefPaste16" hidden="1">#REF!</definedName>
    <definedName name="XRefPaste16Row" hidden="1">#REF!</definedName>
    <definedName name="XRefPaste17" hidden="1">#REF!</definedName>
    <definedName name="XRefPaste17Row" hidden="1">#REF!</definedName>
    <definedName name="XRefPaste18" hidden="1">#REF!</definedName>
    <definedName name="XRefPaste18Row" hidden="1">#REF!</definedName>
    <definedName name="XRefPaste19" hidden="1">#REF!</definedName>
    <definedName name="XRefPaste19Row" hidden="1">#REF!</definedName>
    <definedName name="XRefPaste1Row" hidden="1">#REF!</definedName>
    <definedName name="XRefPaste2" hidden="1">#REF!</definedName>
    <definedName name="XRefPaste20" hidden="1">#REF!</definedName>
    <definedName name="XRefPaste20Row" hidden="1">#REF!</definedName>
    <definedName name="XRefPaste21" hidden="1">#REF!</definedName>
    <definedName name="XRefPaste21Row" hidden="1">#REF!</definedName>
    <definedName name="XRefPaste22" hidden="1">#REF!</definedName>
    <definedName name="XRefPaste22Row" hidden="1">#REF!</definedName>
    <definedName name="XRefPaste23" hidden="1">#REF!</definedName>
    <definedName name="XRefPaste23Row" hidden="1">#REF!</definedName>
    <definedName name="XRefPaste24" hidden="1">#REF!</definedName>
    <definedName name="XRefPaste24Row" hidden="1">#REF!</definedName>
    <definedName name="XRefPaste25" hidden="1">#REF!</definedName>
    <definedName name="XRefPaste25Row" hidden="1">#REF!</definedName>
    <definedName name="XRefPaste26" hidden="1">#REF!</definedName>
    <definedName name="XRefPaste26Row" hidden="1">#REF!</definedName>
    <definedName name="XRefPaste27Row" hidden="1">#REF!</definedName>
    <definedName name="XRefPaste28Row" hidden="1">#REF!</definedName>
    <definedName name="XRefPaste29Row" hidden="1">#REF!</definedName>
    <definedName name="XRefPaste2Row" hidden="1">#REF!</definedName>
    <definedName name="XRefPaste3" hidden="1">#REF!</definedName>
    <definedName name="XRefPaste30Row" hidden="1">#REF!</definedName>
    <definedName name="XRefPaste31Row" hidden="1">#REF!</definedName>
    <definedName name="XRefPaste32Row" hidden="1">#REF!</definedName>
    <definedName name="XRefPaste33Row" hidden="1">#REF!</definedName>
    <definedName name="XRefPaste34Row" hidden="1">#REF!</definedName>
    <definedName name="XRefPaste35Row" hidden="1">#REF!</definedName>
    <definedName name="XRefPaste36Row" hidden="1">#REF!</definedName>
    <definedName name="XRefPaste37Row" hidden="1">#REF!</definedName>
    <definedName name="XRefPaste38Row" hidden="1">#REF!</definedName>
    <definedName name="XRefPaste39Row" hidden="1">#REF!</definedName>
    <definedName name="XRefPaste3Row" hidden="1">#REF!</definedName>
    <definedName name="XRefPaste4" hidden="1">#REF!</definedName>
    <definedName name="XRefPaste40Row" hidden="1">#REF!</definedName>
    <definedName name="XRefPaste41Row" hidden="1">#REF!</definedName>
    <definedName name="XRefPaste42Row" hidden="1">#REF!</definedName>
    <definedName name="XRefPaste43" hidden="1">#REF!</definedName>
    <definedName name="XRefPaste43Row" hidden="1">#REF!</definedName>
    <definedName name="XRefPaste44Row" hidden="1">#REF!</definedName>
    <definedName name="XRefPaste45Row" hidden="1">#REF!</definedName>
    <definedName name="XRefPaste46Row" hidden="1">#REF!</definedName>
    <definedName name="XRefPaste47Row" hidden="1">#REF!</definedName>
    <definedName name="XRefPaste48Row" hidden="1">#REF!</definedName>
    <definedName name="XRefPaste49Row" hidden="1">#REF!</definedName>
    <definedName name="XRefPaste4Row" hidden="1">#REF!</definedName>
    <definedName name="XRefPaste5" hidden="1">#REF!</definedName>
    <definedName name="XRefPaste50Row" hidden="1">#REF!</definedName>
    <definedName name="XRefPaste5Row" hidden="1">#REF!</definedName>
    <definedName name="XRefPaste6" hidden="1">#REF!</definedName>
    <definedName name="XRefPaste6Row" hidden="1">#REF!</definedName>
    <definedName name="XRefPaste7" hidden="1">#REF!</definedName>
    <definedName name="XRefPaste7Row" hidden="1">#REF!</definedName>
    <definedName name="XRefPaste8" hidden="1">#REF!</definedName>
    <definedName name="XRefPaste8Row" hidden="1">#REF!</definedName>
    <definedName name="XRefPaste9" hidden="1">#REF!</definedName>
    <definedName name="XRefPaste9Row" hidden="1">#REF!</definedName>
    <definedName name="xxx" hidden="1">{"summary1",#N/A,FALSE,"Summary of Values";"developed valuation",#N/A,FALSE,"Valuation Analysis";"inprocess valuation",#N/A,FALSE,"Valuation Analysis";"trademark1",#N/A,FALSE,"Trademark(s) and Trade Name(s)";"developed income statement",#N/A,FALSE,"Abbreviated Income Statement";"inprocess income statement",#N/A,FALSE,"Abbreviated Income Statement";"revenue detail 1",#N/A,FALSE,"Revenue Detail";"revenue detail 2",#N/A,FALSE,"Revenue Detail";"revenue detail 3",#N/A,FALSE,"Revenue Detail";"revenue detail 4",#N/A,FALSE,"Revenue Detail";"contributory1",#N/A,FALSE,"Contributory Assets Detail";"contributory2",#N/A,FALSE,"Contributory Assets Detail";"weighted average returns",#N/A,FALSE,"WACC and WARA";"fixed asset detail",#N/A,FALSE,"Fixed Asset Detail";"customer base",#N/A,FALSE,"customer_base";"customer base perf estimates",#N/A,FALSE,"customer_base"}</definedName>
    <definedName name="ye" hidden="1">{"YearEndSummary",#N/A,FALSE,"SUMMARY";"YearEndGrossMargin",#N/A,FALSE,"Gross Margin";"YearEndSales",#N/A,FALSE,"Sales";"YearEndStaffCosts",#N/A,FALSE,"Staff Costs";"YearEndOperatingCosts",#N/A,FALSE,"Operating Costs";"YearEndSalaries",#N/A,FALSE,"Salaries";"YearEndTravel",#N/A,FALSE,"Travel";"YearEndPitches",#N/A,FALSE,"Pitches";"YearEndAllocations",#N/A,FALSE,"Allocations"}</definedName>
    <definedName name="ㄱㄱㄱ" hidden="1">{#N/A,#N/A,FALSE,"1.CRITERIA";#N/A,#N/A,FALSE,"2.IS";#N/A,#N/A,FALSE,"3.BS";#N/A,#N/A,FALSE,"4.PER PL";#N/A,#N/A,FALSE,"5.INVESTMENT";#N/A,#N/A,FALSE,"6.공문";#N/A,#N/A,FALSE,"7.netinvest"}</definedName>
    <definedName name="가가" hidden="1">{#N/A,#N/A,FALSE,"1.CRITERIA";#N/A,#N/A,FALSE,"2.IS";#N/A,#N/A,FALSE,"3.BS";#N/A,#N/A,FALSE,"4.PER PL";#N/A,#N/A,FALSE,"5.INVESTMENT";#N/A,#N/A,FALSE,"6.공문";#N/A,#N/A,FALSE,"7.netinvest"}</definedName>
    <definedName name="가나" hidden="1">{#N/A,#N/A,FALSE,"1.CRITERIA";#N/A,#N/A,FALSE,"2.IS";#N/A,#N/A,FALSE,"3.BS";#N/A,#N/A,FALSE,"4.PER PL";#N/A,#N/A,FALSE,"5.INVESTMENT";#N/A,#N/A,FALSE,"6.공문";#N/A,#N/A,FALSE,"7.netinvest"}</definedName>
    <definedName name="가나라" hidden="1">{#N/A,#N/A,FALSE,"1.CRITERIA";#N/A,#N/A,FALSE,"2.IS";#N/A,#N/A,FALSE,"3.BS";#N/A,#N/A,FALSE,"4.PER PL";#N/A,#N/A,FALSE,"5.INVESTMENT";#N/A,#N/A,FALSE,"6.공문";#N/A,#N/A,FALSE,"7.netinvest"}</definedName>
    <definedName name="가다" hidden="1">{#N/A,#N/A,FALSE,"1.CRITERIA";#N/A,#N/A,FALSE,"2.IS";#N/A,#N/A,FALSE,"3.BS";#N/A,#N/A,FALSE,"4.PER PL";#N/A,#N/A,FALSE,"5.INVESTMENT";#N/A,#N/A,FALSE,"6.공문";#N/A,#N/A,FALSE,"7.netinvest"}</definedName>
    <definedName name="가라" hidden="1">{#N/A,#N/A,FALSE,"1.CRITERIA";#N/A,#N/A,FALSE,"2.IS";#N/A,#N/A,FALSE,"3.BS";#N/A,#N/A,FALSE,"4.PER PL";#N/A,#N/A,FALSE,"5.INVESTMENT";#N/A,#N/A,FALSE,"6.공문";#N/A,#N/A,FALSE,"7.netinvest"}</definedName>
    <definedName name="가아" hidden="1">{#N/A,#N/A,FALSE,"1.CRITERIA";#N/A,#N/A,FALSE,"2.IS";#N/A,#N/A,FALSE,"3.BS";#N/A,#N/A,FALSE,"4.PER PL";#N/A,#N/A,FALSE,"5.INVESTMENT";#N/A,#N/A,FALSE,"6.공문";#N/A,#N/A,FALSE,"7.netinvest"}</definedName>
    <definedName name="가아노" hidden="1">{#N/A,#N/A,FALSE,"1.CRITERIA";#N/A,#N/A,FALSE,"2.IS";#N/A,#N/A,FALSE,"3.BS";#N/A,#N/A,FALSE,"4.PER PL";#N/A,#N/A,FALSE,"5.INVESTMENT";#N/A,#N/A,FALSE,"6.공문";#N/A,#N/A,FALSE,"7.netinvest"}</definedName>
    <definedName name="가아다" hidden="1">{#N/A,#N/A,FALSE,"1.CRITERIA";#N/A,#N/A,FALSE,"2.IS";#N/A,#N/A,FALSE,"3.BS";#N/A,#N/A,FALSE,"4.PER PL";#N/A,#N/A,FALSE,"5.INVESTMENT";#N/A,#N/A,FALSE,"6.공문";#N/A,#N/A,FALSE,"7.netinvest"}</definedName>
    <definedName name="가아차" hidden="1">{#N/A,#N/A,FALSE,"1.CRITERIA";#N/A,#N/A,FALSE,"2.IS";#N/A,#N/A,FALSE,"3.BS";#N/A,#N/A,FALSE,"4.PER PL";#N/A,#N/A,FALSE,"5.INVESTMENT";#N/A,#N/A,FALSE,"6.공문";#N/A,#N/A,FALSE,"7.netinvest"}</definedName>
    <definedName name="가오" hidden="1">{#N/A,#N/A,FALSE,"1.CRITERIA";#N/A,#N/A,FALSE,"2.IS";#N/A,#N/A,FALSE,"3.BS";#N/A,#N/A,FALSE,"4.PER PL";#N/A,#N/A,FALSE,"5.INVESTMENT";#N/A,#N/A,FALSE,"6.공문";#N/A,#N/A,FALSE,"7.netinvest"}</definedName>
    <definedName name="가오나" hidden="1">{#N/A,#N/A,FALSE,"1.CRITERIA";#N/A,#N/A,FALSE,"2.IS";#N/A,#N/A,FALSE,"3.BS";#N/A,#N/A,FALSE,"4.PER PL";#N/A,#N/A,FALSE,"5.INVESTMENT";#N/A,#N/A,FALSE,"6.공문";#N/A,#N/A,FALSE,"7.netinvest"}</definedName>
    <definedName name="가오아" hidden="1">{#N/A,#N/A,FALSE,"1.CRITERIA";#N/A,#N/A,FALSE,"2.IS";#N/A,#N/A,FALSE,"3.BS";#N/A,#N/A,FALSE,"4.PER PL";#N/A,#N/A,FALSE,"5.INVESTMENT";#N/A,#N/A,FALSE,"6.공문";#N/A,#N/A,FALSE,"7.netinvest"}</definedName>
    <definedName name="가카" hidden="1">{#N/A,#N/A,FALSE,"1.CRITERIA";#N/A,#N/A,FALSE,"2.IS";#N/A,#N/A,FALSE,"3.BS";#N/A,#N/A,FALSE,"4.PER PL";#N/A,#N/A,FALSE,"5.INVESTMENT";#N/A,#N/A,FALSE,"6.공문";#N/A,#N/A,FALSE,"7.netinvest"}</definedName>
    <definedName name="가타" hidden="1">{#N/A,#N/A,FALSE,"1.CRITERIA";#N/A,#N/A,FALSE,"2.IS";#N/A,#N/A,FALSE,"3.BS";#N/A,#N/A,FALSE,"4.PER PL";#N/A,#N/A,FALSE,"5.INVESTMENT";#N/A,#N/A,FALSE,"6.공문";#N/A,#N/A,FALSE,"7.netinvest"}</definedName>
    <definedName name="갈" hidden="1">{#N/A,#N/A,FALSE,"1.CRITERIA";#N/A,#N/A,FALSE,"2.IS";#N/A,#N/A,FALSE,"3.BS";#N/A,#N/A,FALSE,"4.PER PL";#N/A,#N/A,FALSE,"5.INVESTMENT";#N/A,#N/A,FALSE,"6.공문";#N/A,#N/A,FALSE,"7.netinvest"}</definedName>
    <definedName name="강" hidden="1">{#N/A,#N/A,FALSE,"1.CRITERIA";#N/A,#N/A,FALSE,"2.IS";#N/A,#N/A,FALSE,"3.BS";#N/A,#N/A,FALSE,"4.PER PL";#N/A,#N/A,FALSE,"5.INVESTMENT";#N/A,#N/A,FALSE,"6.공문";#N/A,#N/A,FALSE,"7.netinvest"}</definedName>
    <definedName name="거" hidden="1">{#N/A,#N/A,FALSE,"1.CRITERIA";#N/A,#N/A,FALSE,"2.IS";#N/A,#N/A,FALSE,"3.BS";#N/A,#N/A,FALSE,"4.PER PL";#N/A,#N/A,FALSE,"5.INVESTMENT";#N/A,#N/A,FALSE,"6.공문";#N/A,#N/A,FALSE,"7.netinvest"}</definedName>
    <definedName name="거이" hidden="1">{#N/A,#N/A,FALSE,"1.CRITERIA";#N/A,#N/A,FALSE,"2.IS";#N/A,#N/A,FALSE,"3.BS";#N/A,#N/A,FALSE,"4.PER PL";#N/A,#N/A,FALSE,"5.INVESTMENT";#N/A,#N/A,FALSE,"6.공문";#N/A,#N/A,FALSE,"7.netinvest"}</definedName>
    <definedName name="결손금" hidden="1">{#N/A,#N/A,FALSE,"Aging Summary";#N/A,#N/A,FALSE,"Ratio Analysis";#N/A,#N/A,FALSE,"Test 120 Day Accts";#N/A,#N/A,FALSE,"Tickmarks"}</definedName>
    <definedName name="계산" hidden="1">{#N/A,#N/A,FALSE,"1.CRITERIA";#N/A,#N/A,FALSE,"2.IS";#N/A,#N/A,FALSE,"3.BS";#N/A,#N/A,FALSE,"4.PER PL";#N/A,#N/A,FALSE,"5.INVESTMENT";#N/A,#N/A,FALSE,"6.공문";#N/A,#N/A,FALSE,"7.netinvest"}</definedName>
    <definedName name="계약" hidden="1">{#N/A,#N/A,FALSE,"계약직(여)"}</definedName>
    <definedName name="계정과목별합계" comment="계정과목 범위, 환종범위, 금액 범위를 입력하면 자동 계산">_xlfn.LAMBDA(_xlpm.항목범위,_xlpm.환종범위,_xlpm.원값범위,   _xlfn.LET(     _xlpm.값, IFERROR(VALUE(_xlpm.원값범위), 0),     _xlpm.제외조건, (_xlpm.항목범위="금융상품")+(_xlpm.항목범위="보통예금")+(_xlpm.항목범위="구분"),     _xlpm.필터행, _xlfn._xlws.FILTER(_xlfn.HSTACK(_xlpm.항목범위, _xlpm.환종범위, _xlpm.값), (_xlpm.값&lt;&gt;0)*(NOT(_xlpm.제외조건))),     _xlpm.항목열, INDEX(_xlpm.필터행,,1),     _xlpm.환종열, INDEX(_xlpm.필터행,,2),     _xlpm.숫자열, INDEX(_xlpm.필터행,,3),     _xlpm.그룹, _xlfn.HSTACK(_xlpm.항목열, _xlpm.환종열),     _xlpm.고유그룹, IFERROR(_xlfn.UNIQUE(_xlpm.그룹), {"",""}),     _xlpm.합계값, _xlfn.BYROW(_xlpm.고유그룹, _xlfn.LAMBDA(_xlpm.행,       _xlfn.LET(         _xlpm.항, INDEX(_xlpm.행,,1),         _xlpm.환, INDEX(_xlpm.행,,2),         _xlpm.해당값들, _xlfn._xlws.FILTER(_xlpm.숫자열, (_xlpm.항목열=_xlpm.항)*(_xlpm.환종열=_xlpm.환)),         IFERROR(SUM(_xlpm.해당값들), 0)       )     )),     _xlpm.결과, _xlfn.HSTACK(_xlpm.고유그룹, _xlpm.합계값),     _xlfn._xlws.SORT(_xlpm.결과, 3, -1)   ) )</definedName>
    <definedName name="공모23" hidden="1">{#N/A,#N/A,FALSE,"현장 NCR 분석";#N/A,#N/A,FALSE,"현장품질감사";#N/A,#N/A,FALSE,"현장품질감사"}</definedName>
    <definedName name="공모24" hidden="1">{#N/A,#N/A,FALSE,"현장 NCR 분석";#N/A,#N/A,FALSE,"현장품질감사";#N/A,#N/A,FALSE,"현장품질감사"}</definedName>
    <definedName name="공장지원" localSheetId="6" hidden="1">[1]ST!#REF!</definedName>
    <definedName name="공장지원" localSheetId="7" hidden="1">[1]ST!#REF!</definedName>
    <definedName name="공장지원" hidden="1">[1]ST!#REF!</definedName>
    <definedName name="공장지원팀" localSheetId="6" hidden="1">#REF!</definedName>
    <definedName name="공장지원팀" localSheetId="7" hidden="1">#REF!</definedName>
    <definedName name="공장지원팀" hidden="1">#REF!</definedName>
    <definedName name="관_마케팅" hidden="1">{"'경비내역'!$E$11"}</definedName>
    <definedName name="국제거래" hidden="1">{#N/A,#N/A,TRUE,"1호 과표세액";#N/A,#N/A,TRUE,"1-2호 농어촌과표";#N/A,#N/A,TRUE,"2호 서식";#N/A,#N/A,TRUE,"2호부표 최저한세";#N/A,#N/A,TRUE,"3(1)호 공제감면";#N/A,#N/A,TRUE,"임시특별감면";#N/A,#N/A,TRUE,"3(1)부7 기업합리";#N/A,#N/A,TRUE,"5호 농어촌";#N/A,#N/A,TRUE,"5호2 농감면(갑)";#N/A,#N/A,TRUE,"6호 소득금액";#N/A,#N/A,TRUE,"6호 첨부(익)";#N/A,#N/A,TRUE,"6호 첨부(손)";#N/A,#N/A,TRUE,"감가총괄";#N/A,#N/A,TRUE,"6-6(3)호 감가(정액)";#N/A,#N/A,TRUE,"9호 자본금(갑)";#N/A,#N/A,TRUE,"9호 자본금(을)";#N/A,#N/A,TRUE,"10(3)호 주요계정";#N/A,#N/A,TRUE,"10(4)호 소득구분"}</definedName>
    <definedName name="급여인상안" hidden="1">{#N/A,#N/A,FALSE,"계약직(여)"}</definedName>
    <definedName name="기" hidden="1">{#N/A,#N/A,FALSE,"1.CRITERIA";#N/A,#N/A,FALSE,"2.IS";#N/A,#N/A,FALSE,"3.BS";#N/A,#N/A,FALSE,"4.PER PL";#N/A,#N/A,FALSE,"5.INVESTMENT";#N/A,#N/A,FALSE,"6.공문";#N/A,#N/A,FALSE,"7.netinvest"}</definedName>
    <definedName name="기아" hidden="1">{#N/A,#N/A,FALSE,"1.CRITERIA";#N/A,#N/A,FALSE,"2.IS";#N/A,#N/A,FALSE,"3.BS";#N/A,#N/A,FALSE,"4.PER PL";#N/A,#N/A,FALSE,"5.INVESTMENT";#N/A,#N/A,FALSE,"6.공문";#N/A,#N/A,FALSE,"7.netinvest"}</definedName>
    <definedName name="기아차" hidden="1">{#N/A,#N/A,FALSE,"1.CRITERIA";#N/A,#N/A,FALSE,"2.IS";#N/A,#N/A,FALSE,"3.BS";#N/A,#N/A,FALSE,"4.PER PL";#N/A,#N/A,FALSE,"5.INVESTMENT";#N/A,#N/A,FALSE,"6.공문";#N/A,#N/A,FALSE,"7.netinvest"}</definedName>
    <definedName name="기타의당좌자산" hidden="1">{"'통신지'!$A$1:$J$41"}</definedName>
    <definedName name="ㄴㅇ라" hidden="1">{#N/A,#N/A,FALSE,"계약직(여)"}</definedName>
    <definedName name="나다라" hidden="1">{#N/A,#N/A,FALSE,"1.CRITERIA";#N/A,#N/A,FALSE,"2.IS";#N/A,#N/A,FALSE,"3.BS";#N/A,#N/A,FALSE,"4.PER PL";#N/A,#N/A,FALSE,"5.INVESTMENT";#N/A,#N/A,FALSE,"6.공문";#N/A,#N/A,FALSE,"7.netinvest"}</definedName>
    <definedName name="내" hidden="1">{#N/A,#N/A,FALSE,"1.CRITERIA";#N/A,#N/A,FALSE,"2.IS";#N/A,#N/A,FALSE,"3.BS";#N/A,#N/A,FALSE,"4.PER PL";#N/A,#N/A,FALSE,"5.INVESTMENT";#N/A,#N/A,FALSE,"6.공문";#N/A,#N/A,FALSE,"7.netinvest"}</definedName>
    <definedName name="너" hidden="1">{#N/A,#N/A,FALSE,"1.CRITERIA";#N/A,#N/A,FALSE,"2.IS";#N/A,#N/A,FALSE,"3.BS";#N/A,#N/A,FALSE,"4.PER PL";#N/A,#N/A,FALSE,"5.INVESTMENT";#N/A,#N/A,FALSE,"6.공문";#N/A,#N/A,FALSE,"7.netinvest"}</definedName>
    <definedName name="녀" hidden="1">{#N/A,#N/A,FALSE,"1.CRITERIA";#N/A,#N/A,FALSE,"2.IS";#N/A,#N/A,FALSE,"3.BS";#N/A,#N/A,FALSE,"4.PER PL";#N/A,#N/A,FALSE,"5.INVESTMENT";#N/A,#N/A,FALSE,"6.공문";#N/A,#N/A,FALSE,"7.netinvest"}</definedName>
    <definedName name="ㄷㅋㄳㅋㄱ" hidden="1">{"'경비내역'!$E$11"}</definedName>
    <definedName name="다바" hidden="1">{#N/A,#N/A,FALSE,"1.CRITERIA";#N/A,#N/A,FALSE,"2.IS";#N/A,#N/A,FALSE,"3.BS";#N/A,#N/A,FALSE,"4.PER PL";#N/A,#N/A,FALSE,"5.INVESTMENT";#N/A,#N/A,FALSE,"6.공문";#N/A,#N/A,FALSE,"7.netinvest"}</definedName>
    <definedName name="닥터수수료" hidden="1">{"'경비내역'!$E$11"}</definedName>
    <definedName name="도" hidden="1">{#N/A,#N/A,FALSE,"1.CRITERIA";#N/A,#N/A,FALSE,"2.IS";#N/A,#N/A,FALSE,"3.BS";#N/A,#N/A,FALSE,"4.PER PL";#N/A,#N/A,FALSE,"5.INVESTMENT";#N/A,#N/A,FALSE,"6.공문";#N/A,#N/A,FALSE,"7.netinvest"}</definedName>
    <definedName name="돠" hidden="1">{#N/A,#N/A,FALSE,"1.CRITERIA";#N/A,#N/A,FALSE,"2.IS";#N/A,#N/A,FALSE,"3.BS";#N/A,#N/A,FALSE,"4.PER PL";#N/A,#N/A,FALSE,"5.INVESTMENT";#N/A,#N/A,FALSE,"6.공문";#N/A,#N/A,FALSE,"7.netinvest"}</definedName>
    <definedName name="디" hidden="1">{#N/A,#N/A,FALSE,"1.CRITERIA";#N/A,#N/A,FALSE,"2.IS";#N/A,#N/A,FALSE,"3.BS";#N/A,#N/A,FALSE,"4.PER PL";#N/A,#N/A,FALSE,"5.INVESTMENT";#N/A,#N/A,FALSE,"6.공문";#N/A,#N/A,FALSE,"7.netinvest"}</definedName>
    <definedName name="라아아" hidden="1">{#N/A,#N/A,FALSE,"1.CRITERIA";#N/A,#N/A,FALSE,"2.IS";#N/A,#N/A,FALSE,"3.BS";#N/A,#N/A,FALSE,"4.PER PL";#N/A,#N/A,FALSE,"5.INVESTMENT";#N/A,#N/A,FALSE,"6.공문";#N/A,#N/A,FALSE,"7.netinvest"}</definedName>
    <definedName name="랴" hidden="1">{#N/A,#N/A,FALSE,"1.CRITERIA";#N/A,#N/A,FALSE,"2.IS";#N/A,#N/A,FALSE,"3.BS";#N/A,#N/A,FALSE,"4.PER PL";#N/A,#N/A,FALSE,"5.INVESTMENT";#N/A,#N/A,FALSE,"6.공문";#N/A,#N/A,FALSE,"7.netinvest"}</definedName>
    <definedName name="로" hidden="1">{#N/A,#N/A,FALSE,"1.CRITERIA";#N/A,#N/A,FALSE,"2.IS";#N/A,#N/A,FALSE,"3.BS";#N/A,#N/A,FALSE,"4.PER PL";#N/A,#N/A,FALSE,"5.INVESTMENT";#N/A,#N/A,FALSE,"6.공문";#N/A,#N/A,FALSE,"7.netinvest"}</definedName>
    <definedName name="류" hidden="1">{#N/A,#N/A,FALSE,"1.CRITERIA";#N/A,#N/A,FALSE,"2.IS";#N/A,#N/A,FALSE,"3.BS";#N/A,#N/A,FALSE,"4.PER PL";#N/A,#N/A,FALSE,"5.INVESTMENT";#N/A,#N/A,FALSE,"6.공문";#N/A,#N/A,FALSE,"7.netinvest"}</definedName>
    <definedName name="ㅁㄷㅅㅅㅈ3" hidden="1">{"'경비내역'!$E$11"}</definedName>
    <definedName name="ㅁㅁ" localSheetId="6" hidden="1">#REF!</definedName>
    <definedName name="ㅁㅁ" localSheetId="7" hidden="1">#REF!</definedName>
    <definedName name="ㅁㅁ" hidden="1">#REF!</definedName>
    <definedName name="ㅁㅂㅁㅂㅂㅁㅁㅂ" hidden="1">{#N/A,#N/A,FALSE,"mk";#N/A,#N/A,FALSE,"SIEG";#N/A,#N/A,FALSE,"BOUSK";#N/A,#N/A,FALSE,"C-0 B96-97";#N/A,#N/A,FALSE,"C-O B98";#N/A,#N/A,FALSE,"C-0 B96-97";#N/A,#N/A,FALSE,"MEKN";#N/A,#N/A,FALSE,"MEKN";#N/A,#N/A,FALSE,"C-O MKS 98";#N/A,#N/A,FALSE,"TANG";#N/A,#N/A,FALSE,"C-O Tng96";#N/A,#N/A,FALSE,"C-O Tng97";#N/A,#N/A,FALSE,"C-O Tng98";#N/A,#N/A,FALSE,"TET";#N/A,#N/A,FALSE,"C-0 TET 98";#N/A,#N/A,FALSE,"synthese";#N/A,#N/A,FALSE,"MEKNES";#N/A,#N/A,FALSE,"BOUSKOURA";#N/A,#N/A,FALSE,"TANGER";#N/A,#N/A,FALSE,"TETOUAN";#N/A,#N/A,FALSE,"CAP1 DH";#N/A,#N/A,FALSE,"CAP1 FF";#N/A,#N/A,FALSE,"LAFARGE MAROC";#N/A,#N/A,FALSE,"SIEGE";#N/A,#N/A,FALSE,"TOTAL USINES";#N/A,#N/A,FALSE,"entretien"}</definedName>
    <definedName name="마" hidden="1">{#N/A,#N/A,FALSE,"1.CRITERIA";#N/A,#N/A,FALSE,"2.IS";#N/A,#N/A,FALSE,"3.BS";#N/A,#N/A,FALSE,"4.PER PL";#N/A,#N/A,FALSE,"5.INVESTMENT";#N/A,#N/A,FALSE,"6.공문";#N/A,#N/A,FALSE,"7.netinvest"}</definedName>
    <definedName name="마마" hidden="1">{#N/A,#N/A,FALSE,"1.CRITERIA";#N/A,#N/A,FALSE,"2.IS";#N/A,#N/A,FALSE,"3.BS";#N/A,#N/A,FALSE,"4.PER PL";#N/A,#N/A,FALSE,"5.INVESTMENT";#N/A,#N/A,FALSE,"6.공문";#N/A,#N/A,FALSE,"7.netinvest"}</definedName>
    <definedName name="마마오" hidden="1">{#N/A,#N/A,FALSE,"1.CRITERIA";#N/A,#N/A,FALSE,"2.IS";#N/A,#N/A,FALSE,"3.BS";#N/A,#N/A,FALSE,"4.PER PL";#N/A,#N/A,FALSE,"5.INVESTMENT";#N/A,#N/A,FALSE,"6.공문";#N/A,#N/A,FALSE,"7.netinvest"}</definedName>
    <definedName name="마마이" hidden="1">{#N/A,#N/A,FALSE,"1.CRITERIA";#N/A,#N/A,FALSE,"2.IS";#N/A,#N/A,FALSE,"3.BS";#N/A,#N/A,FALSE,"4.PER PL";#N/A,#N/A,FALSE,"5.INVESTMENT";#N/A,#N/A,FALSE,"6.공문";#N/A,#N/A,FALSE,"7.netinvest"}</definedName>
    <definedName name="마아" hidden="1">{#N/A,#N/A,FALSE,"1.CRITERIA";#N/A,#N/A,FALSE,"2.IS";#N/A,#N/A,FALSE,"3.BS";#N/A,#N/A,FALSE,"4.PER PL";#N/A,#N/A,FALSE,"5.INVESTMENT";#N/A,#N/A,FALSE,"6.공문";#N/A,#N/A,FALSE,"7.netinvest"}</definedName>
    <definedName name="매" hidden="1">{#N/A,#N/A,FALSE,"1.CRITERIA";#N/A,#N/A,FALSE,"2.IS";#N/A,#N/A,FALSE,"3.BS";#N/A,#N/A,FALSE,"4.PER PL";#N/A,#N/A,FALSE,"5.INVESTMENT";#N/A,#N/A,FALSE,"6.공문";#N/A,#N/A,FALSE,"7.netinvest"}</definedName>
    <definedName name="매축액2" hidden="1">{#N/A,#N/A,FALSE,"1.CRITERIA";#N/A,#N/A,FALSE,"2.IS";#N/A,#N/A,FALSE,"3.BS";#N/A,#N/A,FALSE,"4.PER PL";#N/A,#N/A,FALSE,"5.INVESTMENT";#N/A,#N/A,FALSE,"6.공문";#N/A,#N/A,FALSE,"7.netinvest"}</definedName>
    <definedName name="매출액2" hidden="1">{#N/A,#N/A,FALSE,"1.CRITERIA";#N/A,#N/A,FALSE,"2.IS";#N/A,#N/A,FALSE,"3.BS";#N/A,#N/A,FALSE,"4.PER PL";#N/A,#N/A,FALSE,"5.INVESTMENT";#N/A,#N/A,FALSE,"6.공문";#N/A,#N/A,FALSE,"7.netinvest"}</definedName>
    <definedName name="머머" hidden="1">{#N/A,#N/A,FALSE,"1.CRITERIA";#N/A,#N/A,FALSE,"2.IS";#N/A,#N/A,FALSE,"3.BS";#N/A,#N/A,FALSE,"4.PER PL";#N/A,#N/A,FALSE,"5.INVESTMENT";#N/A,#N/A,FALSE,"6.공문";#N/A,#N/A,FALSE,"7.netinvest"}</definedName>
    <definedName name="며며" hidden="1">{#N/A,#N/A,FALSE,"1.CRITERIA";#N/A,#N/A,FALSE,"2.IS";#N/A,#N/A,FALSE,"3.BS";#N/A,#N/A,FALSE,"4.PER PL";#N/A,#N/A,FALSE,"5.INVESTMENT";#N/A,#N/A,FALSE,"6.공문";#N/A,#N/A,FALSE,"7.netinvest"}</definedName>
    <definedName name="모리" hidden="1">{#N/A,#N/A,FALSE,"1.CRITERIA";#N/A,#N/A,FALSE,"2.IS";#N/A,#N/A,FALSE,"3.BS";#N/A,#N/A,FALSE,"4.PER PL";#N/A,#N/A,FALSE,"5.INVESTMENT";#N/A,#N/A,FALSE,"6.공문";#N/A,#N/A,FALSE,"7.netinvest"}</definedName>
    <definedName name="모모" hidden="1">{#N/A,#N/A,FALSE,"1.CRITERIA";#N/A,#N/A,FALSE,"2.IS";#N/A,#N/A,FALSE,"3.BS";#N/A,#N/A,FALSE,"4.PER PL";#N/A,#N/A,FALSE,"5.INVESTMENT";#N/A,#N/A,FALSE,"6.공문";#N/A,#N/A,FALSE,"7.netinvest"}</definedName>
    <definedName name="뫌" hidden="1">{#N/A,#N/A,FALSE,"1.CRITERIA";#N/A,#N/A,FALSE,"2.IS";#N/A,#N/A,FALSE,"3.BS";#N/A,#N/A,FALSE,"4.PER PL";#N/A,#N/A,FALSE,"5.INVESTMENT";#N/A,#N/A,FALSE,"6.공문";#N/A,#N/A,FALSE,"7.netinvest"}</definedName>
    <definedName name="무무" hidden="1">{#N/A,#N/A,FALSE,"1.CRITERIA";#N/A,#N/A,FALSE,"2.IS";#N/A,#N/A,FALSE,"3.BS";#N/A,#N/A,FALSE,"4.PER PL";#N/A,#N/A,FALSE,"5.INVESTMENT";#N/A,#N/A,FALSE,"6.공문";#N/A,#N/A,FALSE,"7.netinvest"}</definedName>
    <definedName name="뮤뮤" hidden="1">{#N/A,#N/A,FALSE,"1.CRITERIA";#N/A,#N/A,FALSE,"2.IS";#N/A,#N/A,FALSE,"3.BS";#N/A,#N/A,FALSE,"4.PER PL";#N/A,#N/A,FALSE,"5.INVESTMENT";#N/A,#N/A,FALSE,"6.공문";#N/A,#N/A,FALSE,"7.netinvest"}</definedName>
    <definedName name="미라" hidden="1">{#N/A,#N/A,FALSE,"1.CRITERIA";#N/A,#N/A,FALSE,"2.IS";#N/A,#N/A,FALSE,"3.BS";#N/A,#N/A,FALSE,"4.PER PL";#N/A,#N/A,FALSE,"5.INVESTMENT";#N/A,#N/A,FALSE,"6.공문";#N/A,#N/A,FALSE,"7.netinvest"}</definedName>
    <definedName name="미래_웰빙판매" hidden="1">{"'경비내역'!$E$11"}</definedName>
    <definedName name="미로" hidden="1">{#N/A,#N/A,FALSE,"1.CRITERIA";#N/A,#N/A,FALSE,"2.IS";#N/A,#N/A,FALSE,"3.BS";#N/A,#N/A,FALSE,"4.PER PL";#N/A,#N/A,FALSE,"5.INVESTMENT";#N/A,#N/A,FALSE,"6.공문";#N/A,#N/A,FALSE,"7.netinvest"}</definedName>
    <definedName name="미로어" hidden="1">{#N/A,#N/A,FALSE,"1.CRITERIA";#N/A,#N/A,FALSE,"2.IS";#N/A,#N/A,FALSE,"3.BS";#N/A,#N/A,FALSE,"4.PER PL";#N/A,#N/A,FALSE,"5.INVESTMENT";#N/A,#N/A,FALSE,"6.공문";#N/A,#N/A,FALSE,"7.netinvest"}</definedName>
    <definedName name="미료" hidden="1">{#N/A,#N/A,FALSE,"1.CRITERIA";#N/A,#N/A,FALSE,"2.IS";#N/A,#N/A,FALSE,"3.BS";#N/A,#N/A,FALSE,"4.PER PL";#N/A,#N/A,FALSE,"5.INVESTMENT";#N/A,#N/A,FALSE,"6.공문";#N/A,#N/A,FALSE,"7.netinvest"}</definedName>
    <definedName name="미미" hidden="1">{#N/A,#N/A,FALSE,"1.CRITERIA";#N/A,#N/A,FALSE,"2.IS";#N/A,#N/A,FALSE,"3.BS";#N/A,#N/A,FALSE,"4.PER PL";#N/A,#N/A,FALSE,"5.INVESTMENT";#N/A,#N/A,FALSE,"6.공문";#N/A,#N/A,FALSE,"7.netinvest"}</definedName>
    <definedName name="미수금" hidden="1">{#N/A,#N/A,FALSE,"1.CRITERIA";#N/A,#N/A,FALSE,"2.IS";#N/A,#N/A,FALSE,"3.BS";#N/A,#N/A,FALSE,"4.PER PL";#N/A,#N/A,FALSE,"5.INVESTMENT";#N/A,#N/A,FALSE,"6.공문";#N/A,#N/A,FALSE,"7.netinvest"}</definedName>
    <definedName name="미수수익" hidden="1">{"'보고양식'!$A$58:$K$111"}</definedName>
    <definedName name="바가" hidden="1">{#N/A,#N/A,FALSE,"1.CRITERIA";#N/A,#N/A,FALSE,"2.IS";#N/A,#N/A,FALSE,"3.BS";#N/A,#N/A,FALSE,"4.PER PL";#N/A,#N/A,FALSE,"5.INVESTMENT";#N/A,#N/A,FALSE,"6.공문";#N/A,#N/A,FALSE,"7.netinvest"}</definedName>
    <definedName name="바나" hidden="1">{#N/A,#N/A,FALSE,"1.CRITERIA";#N/A,#N/A,FALSE,"2.IS";#N/A,#N/A,FALSE,"3.BS";#N/A,#N/A,FALSE,"4.PER PL";#N/A,#N/A,FALSE,"5.INVESTMENT";#N/A,#N/A,FALSE,"6.공문";#N/A,#N/A,FALSE,"7.netinvest"}</definedName>
    <definedName name="바다올" hidden="1">{#N/A,#N/A,FALSE,"1.CRITERIA";#N/A,#N/A,FALSE,"2.IS";#N/A,#N/A,FALSE,"3.BS";#N/A,#N/A,FALSE,"4.PER PL";#N/A,#N/A,FALSE,"5.INVESTMENT";#N/A,#N/A,FALSE,"6.공문";#N/A,#N/A,FALSE,"7.netinvest"}</definedName>
    <definedName name="바라" hidden="1">{#N/A,#N/A,FALSE,"1.CRITERIA";#N/A,#N/A,FALSE,"2.IS";#N/A,#N/A,FALSE,"3.BS";#N/A,#N/A,FALSE,"4.PER PL";#N/A,#N/A,FALSE,"5.INVESTMENT";#N/A,#N/A,FALSE,"6.공문";#N/A,#N/A,FALSE,"7.netinvest"}</definedName>
    <definedName name="바라오" hidden="1">{#N/A,#N/A,FALSE,"1.CRITERIA";#N/A,#N/A,FALSE,"2.IS";#N/A,#N/A,FALSE,"3.BS";#N/A,#N/A,FALSE,"4.PER PL";#N/A,#N/A,FALSE,"5.INVESTMENT";#N/A,#N/A,FALSE,"6.공문";#N/A,#N/A,FALSE,"7.netinvest"}</definedName>
    <definedName name="바로" hidden="1">{#N/A,#N/A,FALSE,"1.CRITERIA";#N/A,#N/A,FALSE,"2.IS";#N/A,#N/A,FALSE,"3.BS";#N/A,#N/A,FALSE,"4.PER PL";#N/A,#N/A,FALSE,"5.INVESTMENT";#N/A,#N/A,FALSE,"6.공문";#N/A,#N/A,FALSE,"7.netinvest"}</definedName>
    <definedName name="바바" hidden="1">{#N/A,#N/A,FALSE,"1.CRITERIA";#N/A,#N/A,FALSE,"2.IS";#N/A,#N/A,FALSE,"3.BS";#N/A,#N/A,FALSE,"4.PER PL";#N/A,#N/A,FALSE,"5.INVESTMENT";#N/A,#N/A,FALSE,"6.공문";#N/A,#N/A,FALSE,"7.netinvest"}</definedName>
    <definedName name="바아" hidden="1">{#N/A,#N/A,FALSE,"1.CRITERIA";#N/A,#N/A,FALSE,"2.IS";#N/A,#N/A,FALSE,"3.BS";#N/A,#N/A,FALSE,"4.PER PL";#N/A,#N/A,FALSE,"5.INVESTMENT";#N/A,#N/A,FALSE,"6.공문";#N/A,#N/A,FALSE,"7.netinvest"}</definedName>
    <definedName name="바아가" hidden="1">{#N/A,#N/A,FALSE,"1.CRITERIA";#N/A,#N/A,FALSE,"2.IS";#N/A,#N/A,FALSE,"3.BS";#N/A,#N/A,FALSE,"4.PER PL";#N/A,#N/A,FALSE,"5.INVESTMENT";#N/A,#N/A,FALSE,"6.공문";#N/A,#N/A,FALSE,"7.netinvest"}</definedName>
    <definedName name="바아가오" hidden="1">{#N/A,#N/A,FALSE,"1.CRITERIA";#N/A,#N/A,FALSE,"2.IS";#N/A,#N/A,FALSE,"3.BS";#N/A,#N/A,FALSE,"4.PER PL";#N/A,#N/A,FALSE,"5.INVESTMENT";#N/A,#N/A,FALSE,"6.공문";#N/A,#N/A,FALSE,"7.netinvest"}</definedName>
    <definedName name="바아고" hidden="1">{#N/A,#N/A,FALSE,"1.CRITERIA";#N/A,#N/A,FALSE,"2.IS";#N/A,#N/A,FALSE,"3.BS";#N/A,#N/A,FALSE,"4.PER PL";#N/A,#N/A,FALSE,"5.INVESTMENT";#N/A,#N/A,FALSE,"6.공문";#N/A,#N/A,FALSE,"7.netinvest"}</definedName>
    <definedName name="바이" hidden="1">{#N/A,#N/A,FALSE,"1.CRITERIA";#N/A,#N/A,FALSE,"2.IS";#N/A,#N/A,FALSE,"3.BS";#N/A,#N/A,FALSE,"4.PER PL";#N/A,#N/A,FALSE,"5.INVESTMENT";#N/A,#N/A,FALSE,"6.공문";#N/A,#N/A,FALSE,"7.netinvest"}</definedName>
    <definedName name="박" hidden="1">{#N/A,#N/A,FALSE,"1.CRITERIA";#N/A,#N/A,FALSE,"2.IS";#N/A,#N/A,FALSE,"3.BS";#N/A,#N/A,FALSE,"4.PER PL";#N/A,#N/A,FALSE,"5.INVESTMENT";#N/A,#N/A,FALSE,"6.공문";#N/A,#N/A,FALSE,"7.netinvest"}</definedName>
    <definedName name="발" hidden="1">{#N/A,#N/A,FALSE,"1.CRITERIA";#N/A,#N/A,FALSE,"2.IS";#N/A,#N/A,FALSE,"3.BS";#N/A,#N/A,FALSE,"4.PER PL";#N/A,#N/A,FALSE,"5.INVESTMENT";#N/A,#N/A,FALSE,"6.공문";#N/A,#N/A,FALSE,"7.netinvest"}</definedName>
    <definedName name="방판일시불" hidden="1">{"'경비내역'!$E$11"}</definedName>
    <definedName name="배" hidden="1">{#N/A,#N/A,FALSE,"1.CRITERIA";#N/A,#N/A,FALSE,"2.IS";#N/A,#N/A,FALSE,"3.BS";#N/A,#N/A,FALSE,"4.PER PL";#N/A,#N/A,FALSE,"5.INVESTMENT";#N/A,#N/A,FALSE,"6.공문";#N/A,#N/A,FALSE,"7.netinvest"}</definedName>
    <definedName name="버버" hidden="1">{#N/A,#N/A,FALSE,"1.CRITERIA";#N/A,#N/A,FALSE,"2.IS";#N/A,#N/A,FALSE,"3.BS";#N/A,#N/A,FALSE,"4.PER PL";#N/A,#N/A,FALSE,"5.INVESTMENT";#N/A,#N/A,FALSE,"6.공문";#N/A,#N/A,FALSE,"7.netinvest"}</definedName>
    <definedName name="베" hidden="1">{#N/A,#N/A,FALSE,"1.CRITERIA";#N/A,#N/A,FALSE,"2.IS";#N/A,#N/A,FALSE,"3.BS";#N/A,#N/A,FALSE,"4.PER PL";#N/A,#N/A,FALSE,"5.INVESTMENT";#N/A,#N/A,FALSE,"6.공문";#N/A,#N/A,FALSE,"7.netinvest"}</definedName>
    <definedName name="보" hidden="1">{#N/A,#N/A,FALSE,"1.CRITERIA";#N/A,#N/A,FALSE,"2.IS";#N/A,#N/A,FALSE,"3.BS";#N/A,#N/A,FALSE,"4.PER PL";#N/A,#N/A,FALSE,"5.INVESTMENT";#N/A,#N/A,FALSE,"6.공문";#N/A,#N/A,FALSE,"7.netinvest"}</definedName>
    <definedName name="보라차" hidden="1">{#N/A,#N/A,FALSE,"1.CRITERIA";#N/A,#N/A,FALSE,"2.IS";#N/A,#N/A,FALSE,"3.BS";#N/A,#N/A,FALSE,"4.PER PL";#N/A,#N/A,FALSE,"5.INVESTMENT";#N/A,#N/A,FALSE,"6.공문";#N/A,#N/A,FALSE,"7.netinvest"}</definedName>
    <definedName name="보아리" hidden="1">{#N/A,#N/A,FALSE,"1.CRITERIA";#N/A,#N/A,FALSE,"2.IS";#N/A,#N/A,FALSE,"3.BS";#N/A,#N/A,FALSE,"4.PER PL";#N/A,#N/A,FALSE,"5.INVESTMENT";#N/A,#N/A,FALSE,"6.공문";#N/A,#N/A,FALSE,"7.netinvest"}</definedName>
    <definedName name="보이" hidden="1">{#N/A,#N/A,FALSE,"1.CRITERIA";#N/A,#N/A,FALSE,"2.IS";#N/A,#N/A,FALSE,"3.BS";#N/A,#N/A,FALSE,"4.PER PL";#N/A,#N/A,FALSE,"5.INVESTMENT";#N/A,#N/A,FALSE,"6.공문";#N/A,#N/A,FALSE,"7.netinvest"}</definedName>
    <definedName name="보이아" hidden="1">{#N/A,#N/A,FALSE,"1.CRITERIA";#N/A,#N/A,FALSE,"2.IS";#N/A,#N/A,FALSE,"3.BS";#N/A,#N/A,FALSE,"4.PER PL";#N/A,#N/A,FALSE,"5.INVESTMENT";#N/A,#N/A,FALSE,"6.공문";#N/A,#N/A,FALSE,"7.netinvest"}</definedName>
    <definedName name="볼" hidden="1">{#N/A,#N/A,FALSE,"1.CRITERIA";#N/A,#N/A,FALSE,"2.IS";#N/A,#N/A,FALSE,"3.BS";#N/A,#N/A,FALSE,"4.PER PL";#N/A,#N/A,FALSE,"5.INVESTMENT";#N/A,#N/A,FALSE,"6.공문";#N/A,#N/A,FALSE,"7.netinvest"}</definedName>
    <definedName name="봐" hidden="1">{#N/A,#N/A,FALSE,"1.CRITERIA";#N/A,#N/A,FALSE,"2.IS";#N/A,#N/A,FALSE,"3.BS";#N/A,#N/A,FALSE,"4.PER PL";#N/A,#N/A,FALSE,"5.INVESTMENT";#N/A,#N/A,FALSE,"6.공문";#N/A,#N/A,FALSE,"7.netinvest"}</definedName>
    <definedName name="비" hidden="1">{#N/A,#N/A,FALSE,"1.CRITERIA";#N/A,#N/A,FALSE,"2.IS";#N/A,#N/A,FALSE,"3.BS";#N/A,#N/A,FALSE,"4.PER PL";#N/A,#N/A,FALSE,"5.INVESTMENT";#N/A,#N/A,FALSE,"6.공문";#N/A,#N/A,FALSE,"7.netinvest"}</definedName>
    <definedName name="빙수" hidden="1">{#N/A,#N/A,FALSE,"1.CRITERIA";#N/A,#N/A,FALSE,"2.IS";#N/A,#N/A,FALSE,"3.BS";#N/A,#N/A,FALSE,"4.PER PL";#N/A,#N/A,FALSE,"5.INVESTMENT";#N/A,#N/A,FALSE,"6.공문";#N/A,#N/A,FALSE,"7.netinvest"}</definedName>
    <definedName name="사업" hidden="1">{"'경비내역'!$E$11"}</definedName>
    <definedName name="사원미지급" hidden="1">{#N/A,#N/A,FALSE,"1.CRITERIA";#N/A,#N/A,FALSE,"2.IS";#N/A,#N/A,FALSE,"3.BS";#N/A,#N/A,FALSE,"4.PER PL";#N/A,#N/A,FALSE,"5.INVESTMENT";#N/A,#N/A,FALSE,"6.공문";#N/A,#N/A,FALSE,"7.netinvest"}</definedName>
    <definedName name="산출내역" localSheetId="6" hidden="1">[1]ST!#REF!</definedName>
    <definedName name="산출내역" localSheetId="7" hidden="1">[1]ST!#REF!</definedName>
    <definedName name="산출내역" hidden="1">[1]ST!#REF!</definedName>
    <definedName name="산출내역1" hidden="1">'[1]#REF'!$A$206:$Q$214</definedName>
    <definedName name="서이" hidden="1">{#N/A,#N/A,FALSE,"1.CRITERIA";#N/A,#N/A,FALSE,"2.IS";#N/A,#N/A,FALSE,"3.BS";#N/A,#N/A,FALSE,"4.PER PL";#N/A,#N/A,FALSE,"5.INVESTMENT";#N/A,#N/A,FALSE,"6.공문";#N/A,#N/A,FALSE,"7.netinvest"}</definedName>
    <definedName name="선급금" hidden="1">{#N/A,#N/A,FALSE,"1.CRITERIA";#N/A,#N/A,FALSE,"2.IS";#N/A,#N/A,FALSE,"3.BS";#N/A,#N/A,FALSE,"4.PER PL";#N/A,#N/A,FALSE,"5.INVESTMENT";#N/A,#N/A,FALSE,"6.공문";#N/A,#N/A,FALSE,"7.netinvest"}</definedName>
    <definedName name="손실" hidden="1">{#N/A,#N/A,FALSE,"1.CRITERIA";#N/A,#N/A,FALSE,"2.IS";#N/A,#N/A,FALSE,"3.BS";#N/A,#N/A,FALSE,"4.PER PL";#N/A,#N/A,FALSE,"5.INVESTMENT";#N/A,#N/A,FALSE,"6.공문";#N/A,#N/A,FALSE,"7.netinvest"}</definedName>
    <definedName name="수정사항집계표" localSheetId="6" hidden="1">[2]dummy!#REF!</definedName>
    <definedName name="수정사항집계표" localSheetId="7" hidden="1">[2]dummy!#REF!</definedName>
    <definedName name="수정사항집계표" hidden="1">[2]dummy!#REF!</definedName>
    <definedName name="시간외근무_인사" hidden="1">'[1]#REF'!#REF!</definedName>
    <definedName name="아" hidden="1">{#N/A,#N/A,FALSE,"1.CRITERIA";#N/A,#N/A,FALSE,"2.IS";#N/A,#N/A,FALSE,"3.BS";#N/A,#N/A,FALSE,"4.PER PL";#N/A,#N/A,FALSE,"5.INVESTMENT";#N/A,#N/A,FALSE,"6.공문";#N/A,#N/A,FALSE,"7.netinvest"}</definedName>
    <definedName name="아아아" hidden="1">{#N/A,#N/A,FALSE,"1.CRITERIA";#N/A,#N/A,FALSE,"2.IS";#N/A,#N/A,FALSE,"3.BS";#N/A,#N/A,FALSE,"4.PER PL";#N/A,#N/A,FALSE,"5.INVESTMENT";#N/A,#N/A,FALSE,"6.공문";#N/A,#N/A,FALSE,"7.netinvest"}</definedName>
    <definedName name="아이" hidden="1">{#N/A,#N/A,FALSE,"1.CRITERIA";#N/A,#N/A,FALSE,"2.IS";#N/A,#N/A,FALSE,"3.BS";#N/A,#N/A,FALSE,"4.PER PL";#N/A,#N/A,FALSE,"5.INVESTMENT";#N/A,#N/A,FALSE,"6.공문";#N/A,#N/A,FALSE,"7.netinvest"}</definedName>
    <definedName name="안" hidden="1">[2]현금흐름표!$F$45</definedName>
    <definedName name="여이" hidden="1">{#N/A,#N/A,FALSE,"1.CRITERIA";#N/A,#N/A,FALSE,"2.IS";#N/A,#N/A,FALSE,"3.BS";#N/A,#N/A,FALSE,"4.PER PL";#N/A,#N/A,FALSE,"5.INVESTMENT";#N/A,#N/A,FALSE,"6.공문";#N/A,#N/A,FALSE,"7.netinvest"}</definedName>
    <definedName name="영" hidden="1">{#N/A,#N/A,FALSE,"1.CRITERIA";#N/A,#N/A,FALSE,"2.IS";#N/A,#N/A,FALSE,"3.BS";#N/A,#N/A,FALSE,"4.PER PL";#N/A,#N/A,FALSE,"5.INVESTMENT";#N/A,#N/A,FALSE,"6.공문";#N/A,#N/A,FALSE,"7.netinvest"}</definedName>
    <definedName name="영업" hidden="1">{#N/A,#N/A,FALSE,"1.CRITERIA";#N/A,#N/A,FALSE,"2.IS";#N/A,#N/A,FALSE,"3.BS";#N/A,#N/A,FALSE,"4.PER PL";#N/A,#N/A,FALSE,"5.INVESTMENT";#N/A,#N/A,FALSE,"6.공문";#N/A,#N/A,FALSE,"7.netinvest"}</definedName>
    <definedName name="영업5" hidden="1">{"'경비내역'!$E$11"}</definedName>
    <definedName name="영업수" hidden="1">{#N/A,#N/A,FALSE,"1.CRITERIA";#N/A,#N/A,FALSE,"2.IS";#N/A,#N/A,FALSE,"3.BS";#N/A,#N/A,FALSE,"4.PER PL";#N/A,#N/A,FALSE,"5.INVESTMENT";#N/A,#N/A,FALSE,"6.공문";#N/A,#N/A,FALSE,"7.netinvest"}</definedName>
    <definedName name="영업수익" hidden="1">{#N/A,#N/A,FALSE,"1.CRITERIA";#N/A,#N/A,FALSE,"2.IS";#N/A,#N/A,FALSE,"3.BS";#N/A,#N/A,FALSE,"4.PER PL";#N/A,#N/A,FALSE,"5.INVESTMENT";#N/A,#N/A,FALSE,"6.공문";#N/A,#N/A,FALSE,"7.netinvest"}</definedName>
    <definedName name="영업외수익" hidden="1">{#N/A,#N/A,FALSE,"1.CRITERIA";#N/A,#N/A,FALSE,"2.IS";#N/A,#N/A,FALSE,"3.BS";#N/A,#N/A,FALSE,"4.PER PL";#N/A,#N/A,FALSE,"5.INVESTMENT";#N/A,#N/A,FALSE,"6.공문";#N/A,#N/A,FALSE,"7.netinvest"}</definedName>
    <definedName name="예금" hidden="1">{#N/A,#N/A,FALSE,"1.CRITERIA";#N/A,#N/A,FALSE,"2.IS";#N/A,#N/A,FALSE,"3.BS";#N/A,#N/A,FALSE,"4.PER PL";#N/A,#N/A,FALSE,"5.INVESTMENT";#N/A,#N/A,FALSE,"6.공문";#N/A,#N/A,FALSE,"7.netinvest"}</definedName>
    <definedName name="오" hidden="1">{#N/A,#N/A,FALSE,"1.CRITERIA";#N/A,#N/A,FALSE,"2.IS";#N/A,#N/A,FALSE,"3.BS";#N/A,#N/A,FALSE,"4.PER PL";#N/A,#N/A,FALSE,"5.INVESTMENT";#N/A,#N/A,FALSE,"6.공문";#N/A,#N/A,FALSE,"7.netinvest"}</definedName>
    <definedName name="외예금" hidden="1">{#N/A,#N/A,FALSE,"1.CRITERIA";#N/A,#N/A,FALSE,"2.IS";#N/A,#N/A,FALSE,"3.BS";#N/A,#N/A,FALSE,"4.PER PL";#N/A,#N/A,FALSE,"5.INVESTMENT";#N/A,#N/A,FALSE,"6.공문";#N/A,#N/A,FALSE,"7.netinvest"}</definedName>
    <definedName name="요" hidden="1">{#N/A,#N/A,FALSE,"1.CRITERIA";#N/A,#N/A,FALSE,"2.IS";#N/A,#N/A,FALSE,"3.BS";#N/A,#N/A,FALSE,"4.PER PL";#N/A,#N/A,FALSE,"5.INVESTMENT";#N/A,#N/A,FALSE,"6.공문";#N/A,#N/A,FALSE,"7.netinvest"}</definedName>
    <definedName name="요약fs" hidden="1">{#N/A,#N/A,FALSE,"표지";#N/A,#N/A,FALSE,"총괄표";#N/A,#N/A,FALSE,"1호 과표세액";#N/A,#N/A,FALSE,"3(3)호(갑) 원천납부";#N/A,#N/A,FALSE,"6호 소득금액";#N/A,#N/A,FALSE,"6호 첨부(익)";#N/A,#N/A,FALSE,"6호 첨부(손)";#N/A,#N/A,FALSE,"6-12호 선급비용";#N/A,#N/A,FALSE,"6-14호 부동산보유";#N/A,#N/A,FALSE,"9호 자본금(갑)";#N/A,#N/A,FALSE,"9호 자본금(을)";#N/A,#N/A,FALSE,"10(3)호 주요계정";#N/A,#N/A,FALSE,"10(3)호 부표";#N/A,#N/A,FALSE,"10(4)호 조정수입";#N/A,#N/A,FALSE,"12호 중소검토";#N/A,#N/A,FALSE,"14(1)호 갑 주식";#N/A,#N/A,FALSE,"59호 해외특수";#N/A,#N/A,FALSE,"요약 BS";#N/A,#N/A,FALSE,"요약 PL";#N/A,#N/A,FALSE,"요약원가";#N/A,#N/A,FALSE,"요약RE";#N/A,#N/A,FALSE,"6-5호 외화(갑)";#N/A,#N/A,FALSE,"6-5호 외화(을)"}</definedName>
    <definedName name="원가" hidden="1">{#N/A,#N/A,FALSE,"1.CRITERIA";#N/A,#N/A,FALSE,"2.IS";#N/A,#N/A,FALSE,"3.BS";#N/A,#N/A,FALSE,"4.PER PL";#N/A,#N/A,FALSE,"5.INVESTMENT";#N/A,#N/A,FALSE,"6.공문";#N/A,#N/A,FALSE,"7.netinvest"}</definedName>
    <definedName name="원가분석" hidden="1">{#N/A,#N/A,FALSE,"1.CRITERIA";#N/A,#N/A,FALSE,"2.IS";#N/A,#N/A,FALSE,"3.BS";#N/A,#N/A,FALSE,"4.PER PL";#N/A,#N/A,FALSE,"5.INVESTMENT";#N/A,#N/A,FALSE,"6.공문";#N/A,#N/A,FALSE,"7.netinvest"}</definedName>
    <definedName name="월" hidden="1">{#N/A,#N/A,FALSE,"1.CRITERIA";#N/A,#N/A,FALSE,"2.IS";#N/A,#N/A,FALSE,"3.BS";#N/A,#N/A,FALSE,"4.PER PL";#N/A,#N/A,FALSE,"5.INVESTMENT";#N/A,#N/A,FALSE,"6.공문";#N/A,#N/A,FALSE,"7.netinvest"}</definedName>
    <definedName name="월말" hidden="1">{#N/A,#N/A,FALSE,"1.CRITERIA";#N/A,#N/A,FALSE,"2.IS";#N/A,#N/A,FALSE,"3.BS";#N/A,#N/A,FALSE,"4.PER PL";#N/A,#N/A,FALSE,"5.INVESTMENT";#N/A,#N/A,FALSE,"6.공문";#N/A,#N/A,FALSE,"7.netinvest"}</definedName>
    <definedName name="월별" hidden="1">{#N/A,#N/A,FALSE,"1.CRITERIA";#N/A,#N/A,FALSE,"2.IS";#N/A,#N/A,FALSE,"3.BS";#N/A,#N/A,FALSE,"4.PER PL";#N/A,#N/A,FALSE,"5.INVESTMENT";#N/A,#N/A,FALSE,"6.공문";#N/A,#N/A,FALSE,"7.netinvest"}</definedName>
    <definedName name="월별영업비용" hidden="1">{#N/A,#N/A,FALSE,"1.CRITERIA";#N/A,#N/A,FALSE,"2.IS";#N/A,#N/A,FALSE,"3.BS";#N/A,#N/A,FALSE,"4.PER PL";#N/A,#N/A,FALSE,"5.INVESTMENT";#N/A,#N/A,FALSE,"6.공문";#N/A,#N/A,FALSE,"7.netinvest"}</definedName>
    <definedName name="유가증권" hidden="1">{#N/A,#N/A,FALSE,"Aging Summary";#N/A,#N/A,FALSE,"Ratio Analysis";#N/A,#N/A,FALSE,"Test 120 Day Accts";#N/A,#N/A,FALSE,"Tickmarks"}</definedName>
    <definedName name="유동자금실적_EXP_ORDER" comment="실적시트 - 지출/수입 내역의 값이 0이 아닌 것들을 내림차순하여 정리">_xlfn.LET(   _xlpm.항목범위, '[3]6월데이터'!XEV1048576:XEV500,   _xlpm.환종범위, '[3]6월데이터'!XEY1048576:XEY500,   _xlpm.원값범위, '[3]6월데이터'!XFA1048576:XFA500,   _xlpm.값, IFERROR(VALUE(_xlpm.원값범위), 0),   _xlpm.제외조건, (_xlpm.항목범위="금융상품")+(_xlpm.항목범위="보통예금")+(_xlpm.항목범위="구분"),   _xlpm.필터행, _xlfn._xlws.FILTER(_xlfn.HSTACK(_xlpm.항목범위, _xlpm.환종범위, _xlpm.값), (_xlpm.값&lt;&gt;0)*(NOT(_xlpm.제외조건))),   _xlpm.항목열, INDEX(_xlpm.필터행,,1),   _xlpm.환종열, INDEX(_xlpm.필터행,,2),   _xlpm.숫자열, INDEX(_xlpm.필터행,,3),   _xlpm.그룹, _xlfn.HSTACK(_xlpm.항목열, _xlpm.환종열),   _xlpm.고유그룹, IFERROR(_xlfn.UNIQUE(_xlpm.그룹), {"",""}),   _xlpm.합계값, _xlfn.BYROW(_xlpm.고유그룹, _xlfn.LAMBDA(_xlpm.행,     _xlfn.LET(       _xlpm.항, INDEX(_xlpm.행,,1),       _xlpm.환, INDEX(_xlpm.행,,2),       _xlpm.해당값들, _xlfn._xlws.FILTER(_xlpm.숫자열, (_xlpm.항목열=_xlpm.항)*(_xlpm.환종열=_xlpm.환)),       IFERROR(SUM(_xlpm.해당값들), 0)     )   )),   _xlpm.결과, _xlfn.HSTACK(_xlpm.고유그룹, _xlpm.합계값),   _xlfn._xlws.SORT(_xlpm.결과, 3, -1) )</definedName>
    <definedName name="유동자금실적_INC_ORDER">_xlfn.LET(   _xlpm.항목범위, '[3]6월데이터'!XEZ1048576:XEZ496,   _xlpm.환종범위, '[3]6월데이터'!XFC1048576:XFC496,   _xlpm.원값범위, '[3]6월데이터'!XFD1048576:XFD496,    _xlpm.값, IFERROR(VALUE(_xlpm.원값범위), 0),   _xlpm.제외조건, (_xlpm.항목범위="금융상품")+(_xlpm.항목범위="보통예금")+(_xlpm.항목범위="구분"),   _xlpm.필터행, _xlfn._xlws.FILTER(_xlfn.HSTACK(_xlpm.항목범위, _xlpm.환종범위, _xlpm.값), (_xlpm.값&lt;&gt;0)*(NOT(_xlpm.제외조건))),   _xlpm.항목열, INDEX(_xlpm.필터행,,1),   _xlpm.환종열, INDEX(_xlpm.필터행,,2),   _xlpm.숫자열, INDEX(_xlpm.필터행,,3),   _xlpm.그룹, _xlfn.HSTACK(_xlpm.항목열, _xlpm.환종열),   _xlpm.고유그룹, _xlfn.UNIQUE(_xlpm.그룹),   _xlpm.최대값, _xlfn.BYROW(_xlpm.고유그룹, _xlfn.LAMBDA(_xlpm.행,     _xlfn.LET(       _xlpm.항, INDEX(_xlpm.행,,1),       _xlpm.환, INDEX(_xlpm.행,,2),       _xlpm.해당값들, _xlfn._xlws.FILTER(_xlpm.숫자열, (_xlpm.항목열=_xlpm.항)*(_xlpm.환종열=_xlpm.환)),       IFERROR(MAX(_xlpm.해당값들), 0)     )   )),   _xlpm.결과, _xlfn.HSTACK(_xlpm.고유그룹, _xlpm.최대값),   _xlfn._xlws.SORT(_xlpm.결과, 3, -1) )</definedName>
    <definedName name="유동자금실적_지출">_xlfn.LET(   _xlpm.항목범위, '[3]6월데이터'!XEV1048576:XEV500,   _xlpm.환종범위, '[3]6월데이터'!XEY1048576:XEY500,   _xlpm.원값범위, '[3]6월데이터'!XFA1048576:XFA500,   _xlpm.값, IFERROR(VALUE(_xlpm.원값범위), 0),   _xlpm.제외조건, (_xlpm.항목범위="금융상품")+(_xlpm.항목범위="보통예금")+(_xlpm.항목범위="구분"),   _xlpm.필터행, _xlfn._xlws.FILTER(_xlfn.HSTACK(_xlpm.항목범위, _xlpm.환종범위, _xlpm.값), (_xlpm.값&lt;&gt;0)*(NOT(_xlpm.제외조건))),   _xlpm.항목열, INDEX(_xlpm.필터행,,1),   _xlpm.환종열, INDEX(_xlpm.필터행,,2),   _xlpm.숫자열, INDEX(_xlpm.필터행,,3),   _xlpm.그룹, _xlfn.HSTACK(_xlpm.항목열, _xlpm.환종열),   _xlpm.고유그룹, IFERROR(_xlfn.UNIQUE(_xlpm.그룹), {"",""}),   _xlpm.합계값, _xlfn.BYROW(_xlpm.고유그룹, _xlfn.LAMBDA(_xlpm.행,     _xlfn.LET(       _xlpm.항, INDEX(_xlpm.행,,1),       _xlpm.환, INDEX(_xlpm.행,,2),       _xlpm.해당값들, _xlfn._xlws.FILTER(_xlpm.숫자열, (_xlpm.항목열=_xlpm.항)*(_xlpm.환종열=_xlpm.환)),       IFERROR(SUM(_xlpm.해당값들), 0)     )   )),   _xlpm.결과, _xlfn.HSTACK(_xlpm.고유그룹, _xlpm.합계값),   _xlfn._xlws.SORT(_xlpm.결과, 3, -1) )</definedName>
    <definedName name="유이" hidden="1">{#N/A,#N/A,FALSE,"1.CRITERIA";#N/A,#N/A,FALSE,"2.IS";#N/A,#N/A,FALSE,"3.BS";#N/A,#N/A,FALSE,"4.PER PL";#N/A,#N/A,FALSE,"5.INVESTMENT";#N/A,#N/A,FALSE,"6.공문";#N/A,#N/A,FALSE,"7.netinvest"}</definedName>
    <definedName name="윤정문" localSheetId="6" hidden="1">[1]Sheet2!#REF!</definedName>
    <definedName name="윤정문" localSheetId="7" hidden="1">[1]Sheet2!#REF!</definedName>
    <definedName name="윤정문" hidden="1">[1]Sheet2!#REF!</definedName>
    <definedName name="이익잉여금처분계산서" hidden="1">{#N/A,#N/A,FALSE,"현장 NCR 분석";#N/A,#N/A,FALSE,"현장품질감사";#N/A,#N/A,FALSE,"현장품질감사"}</definedName>
    <definedName name="인사" localSheetId="6" hidden="1">#REF!</definedName>
    <definedName name="인사" localSheetId="7" hidden="1">#REF!</definedName>
    <definedName name="인사" hidden="1">#REF!</definedName>
    <definedName name="인사팀" localSheetId="6" hidden="1">[1]Sheet2!#REF!</definedName>
    <definedName name="인사팀" localSheetId="7" hidden="1">[1]Sheet2!#REF!</definedName>
    <definedName name="인사팀" hidden="1">[1]Sheet2!#REF!</definedName>
    <definedName name="인원충원사유" hidden="1">{#N/A,#N/A,FALSE,"계약직(여)"}</definedName>
    <definedName name="임차총현황" hidden="1">{"'경비내역'!$E$11"}</definedName>
    <definedName name="잡손실" hidden="1">{#N/A,#N/A,FALSE,"1.CRITERIA";#N/A,#N/A,FALSE,"2.IS";#N/A,#N/A,FALSE,"3.BS";#N/A,#N/A,FALSE,"4.PER PL";#N/A,#N/A,FALSE,"5.INVESTMENT";#N/A,#N/A,FALSE,"6.공문";#N/A,#N/A,FALSE,"7.netinvest"}</definedName>
    <definedName name="잡이익" hidden="1">{#N/A,#N/A,FALSE,"1.CRITERIA";#N/A,#N/A,FALSE,"2.IS";#N/A,#N/A,FALSE,"3.BS";#N/A,#N/A,FALSE,"4.PER PL";#N/A,#N/A,FALSE,"5.INVESTMENT";#N/A,#N/A,FALSE,"6.공문";#N/A,#N/A,FALSE,"7.netinvest"}</definedName>
    <definedName name="재무" hidden="1">[2]현금흐름표!#REF!</definedName>
    <definedName name="정비확정" hidden="1">'[1]#REF'!$A$206:$Q$214</definedName>
    <definedName name="제조" hidden="1">{#N/A,#N/A,FALSE,"1.CRITERIA";#N/A,#N/A,FALSE,"2.IS";#N/A,#N/A,FALSE,"3.BS";#N/A,#N/A,FALSE,"4.PER PL";#N/A,#N/A,FALSE,"5.INVESTMENT";#N/A,#N/A,FALSE,"6.공문";#N/A,#N/A,FALSE,"7.netinvest"}</definedName>
    <definedName name="제출용" hidden="1">{"'경비내역'!$E$11"}</definedName>
    <definedName name="조" hidden="1">{#N/A,#N/A,FALSE,"1.CRITERIA";#N/A,#N/A,FALSE,"2.IS";#N/A,#N/A,FALSE,"3.BS";#N/A,#N/A,FALSE,"4.PER PL";#N/A,#N/A,FALSE,"5.INVESTMENT";#N/A,#N/A,FALSE,"6.공문";#N/A,#N/A,FALSE,"7.netinvest"}</definedName>
    <definedName name="조정표지" hidden="1">{#N/A,#N/A,TRUE,"총괄표";#N/A,#N/A,TRUE,"1호 과표세액";#N/A,#N/A,TRUE,"2호 서식";#N/A,#N/A,TRUE,"2호부표 최저한세";#N/A,#N/A,TRUE,"3(1)호 공제감면";#N/A,#N/A,TRUE,"3(1) 부1 공제감면";#N/A,#N/A,TRUE,"3(1) 부3 세액조정";#N/A,#N/A,TRUE,"3(1) 부4 공제감면";#N/A,#N/A,TRUE,"3(1) 부6 추가납부";#N/A,#N/A,TRUE,"조8호 기술인력";#N/A,#N/A,TRUE,"3(1)부7 기업합리";#N/A,#N/A,TRUE,"3(2)호 가산세";#N/A,#N/A,TRUE,"3(3)호(갑) 원천납부";#N/A,#N/A,TRUE,"5호 농어촌";#N/A,#N/A,TRUE,"5호2 농감면(갑)";#N/A,#N/A,TRUE,"5호2 농감면(을)";#N/A,#N/A,TRUE,"6호 소득금액";#N/A,#N/A,TRUE,"6호 첨부(익)";#N/A,#N/A,TRUE,"6호 첨부(손)";#N/A,#N/A,TRUE,"6-1호 수입금액";#N/A,#N/A,TRUE,"6-2(4)호 해외시장";#N/A,#N/A,TRUE,"6-2(6)호 해외사업";#N/A,#N/A,TRUE,"6-2(7)호 해외투자";#N/A,#N/A,TRUE,"6-2(12)호 수출손실";#N/A,#N/A,TRUE,"6-3호 퇴충";#N/A,#N/A,TRUE,"6-3(3)호 단퇴";#N/A,#N/A,TRUE,"6-3(4)호 대손";#N/A,#N/A,TRUE,"6-4호 접대(갑)";#N/A,#N/A,TRUE,"6-4호 접대(을)";#N/A,#N/A,TRUE,"6-5호 외화(갑)";#N/A,#N/A,TRUE,"6-5호 외화(을)";#N/A,#N/A,TRUE,"6-6호(부표) 자본적지출";#N/A,#N/A,TRUE,"6-7호 가지급금(갑)";#N/A,#N/A,TRUE,"6-7호 가지급(을)";#N/A,#N/A,TRUE,"6-10호 재고자산";#N/A,#N/A,TRUE,"6-11호 세금과공과";#N/A,#N/A,TRUE,"6-12호 선급비용";#N/A,#N/A,TRUE,"6-13호 기부금";#N/A,#N/A,TRUE,"6-14호 부동산보유";#N/A,#N/A,TRUE,"8호 기부금조정";#N/A,#N/A,TRUE,"9호 자본금(갑)";#N/A,#N/A,TRUE,"9호 자본금(을)";#N/A,#N/A,TRUE,"10(2)호 소득공제";#N/A,#N/A,TRUE,"10(3)호 주요계정";#N/A,#N/A,TRUE,"10(3)호 부표";#N/A,#N/A,TRUE,"10(4)호 조정수입";#N/A,#N/A,TRUE,"10(4)호 소득구분";#N/A,#N/A,TRUE,"12호 중소검토";#N/A,#N/A,TRUE,"13호 비상장";#N/A,#N/A,TRUE,"14(1)호 갑 주식";#N/A,#N/A,TRUE,"60호 갑 적정유보";#N/A,#N/A,TRUE,"60호 을 적정유보"}</definedName>
    <definedName name="증감분석" hidden="1">{"'경비내역'!$E$11"}</definedName>
    <definedName name="증감분석_1" hidden="1">{"'경비내역'!$E$11"}</definedName>
    <definedName name="차" hidden="1">{#N/A,#N/A,FALSE,"1.CRITERIA";#N/A,#N/A,FALSE,"2.IS";#N/A,#N/A,FALSE,"3.BS";#N/A,#N/A,FALSE,"4.PER PL";#N/A,#N/A,FALSE,"5.INVESTMENT";#N/A,#N/A,FALSE,"6.공문";#N/A,#N/A,FALSE,"7.netinvest"}</definedName>
    <definedName name="초임금비교" hidden="1">{#N/A,#N/A,FALSE,"계약직(여)"}</definedName>
    <definedName name="초임급" hidden="1">{#N/A,#N/A,FALSE,"계약직(여)"}</definedName>
    <definedName name="총괄" hidden="1">{#N/A,#N/A,TRUE,"1호 과표세액";#N/A,#N/A,TRUE,"6호 첨부(익)";#N/A,#N/A,TRUE,"6-3호 퇴충";#N/A,#N/A,TRUE,"PL";#N/A,#N/A,TRUE,"BS";#N/A,#N/A,TRUE,"RE";#N/A,#N/A,TRUE,"표지"}</definedName>
    <definedName name="총임차현황2월말" hidden="1">{"'경비내역'!$E$11"}</definedName>
    <definedName name="촤" hidden="1">{#N/A,#N/A,FALSE,"1.CRITERIA";#N/A,#N/A,FALSE,"2.IS";#N/A,#N/A,FALSE,"3.BS";#N/A,#N/A,FALSE,"4.PER PL";#N/A,#N/A,FALSE,"5.INVESTMENT";#N/A,#N/A,FALSE,"6.공문";#N/A,#N/A,FALSE,"7.netinvest"}</definedName>
    <definedName name="카러" hidden="1">{#N/A,#N/A,FALSE,"1.CRITERIA";#N/A,#N/A,FALSE,"2.IS";#N/A,#N/A,FALSE,"3.BS";#N/A,#N/A,FALSE,"4.PER PL";#N/A,#N/A,FALSE,"5.INVESTMENT";#N/A,#N/A,FALSE,"6.공문";#N/A,#N/A,FALSE,"7.netinvest"}</definedName>
    <definedName name="커머" hidden="1">{#N/A,#N/A,FALSE,"1.CRITERIA";#N/A,#N/A,FALSE,"2.IS";#N/A,#N/A,FALSE,"3.BS";#N/A,#N/A,FALSE,"4.PER PL";#N/A,#N/A,FALSE,"5.INVESTMENT";#N/A,#N/A,FALSE,"6.공문";#N/A,#N/A,FALSE,"7.netinvest"}</definedName>
    <definedName name="컼커" hidden="1">{#N/A,#N/A,FALSE,"1.CRITERIA";#N/A,#N/A,FALSE,"2.IS";#N/A,#N/A,FALSE,"3.BS";#N/A,#N/A,FALSE,"4.PER PL";#N/A,#N/A,FALSE,"5.INVESTMENT";#N/A,#N/A,FALSE,"6.공문";#N/A,#N/A,FALSE,"7.netinvest"}</definedName>
    <definedName name="코" hidden="1">{#N/A,#N/A,FALSE,"1.CRITERIA";#N/A,#N/A,FALSE,"2.IS";#N/A,#N/A,FALSE,"3.BS";#N/A,#N/A,FALSE,"4.PER PL";#N/A,#N/A,FALSE,"5.INVESTMENT";#N/A,#N/A,FALSE,"6.공문";#N/A,#N/A,FALSE,"7.netinvest"}</definedName>
    <definedName name="키" hidden="1">{#N/A,#N/A,FALSE,"1.CRITERIA";#N/A,#N/A,FALSE,"2.IS";#N/A,#N/A,FALSE,"3.BS";#N/A,#N/A,FALSE,"4.PER PL";#N/A,#N/A,FALSE,"5.INVESTMENT";#N/A,#N/A,FALSE,"6.공문";#N/A,#N/A,FALSE,"7.netinvest"}</definedName>
    <definedName name="퇴충명세" hidden="1">{#N/A,#N/A,TRUE,"일반적사항";#N/A,#N/A,TRUE,"주요재무자료";#N/A,#N/A,TRUE,"표지";#N/A,#N/A,TRUE,"총괄표";#N/A,#N/A,TRUE,"1호 과표세액";#N/A,#N/A,TRUE,"2호 서식";#N/A,#N/A,TRUE,"2호부표 최저한세";#N/A,#N/A,TRUE,"3(1)호 공제감면";#N/A,#N/A,TRUE,"3(1) 부1 공제감면";#N/A,#N/A,TRUE,"3(1) 부3 세액조정";#N/A,#N/A,TRUE,"3(1) 부4 공제감면";#N/A,#N/A,TRUE,"3(1) 부6 추가납부";#N/A,#N/A,TRUE,"조8호 기술인력";#N/A,#N/A,TRUE,"3(1)부7 기업합리";#N/A,#N/A,TRUE,"3(2)호 가산세";#N/A,#N/A,TRUE,"3(2)호 가산세";#N/A,#N/A,TRUE,"3(3)호(갑) 원천납부";#N/A,#N/A,TRUE,"5호 농어촌";#N/A,#N/A,TRUE,"5호2 농감면(갑)";#N/A,#N/A,TRUE,"5호2 농감면(을)";#N/A,#N/A,TRUE,"6호 소득금액";#N/A,#N/A,TRUE,"6호 첨부(익)";#N/A,#N/A,TRUE,"6호 첨부(손)";#N/A,#N/A,TRUE,"6-1호 수입금액";#N/A,#N/A,TRUE,"6-2(4)호 해외시장";#N/A,#N/A,TRUE,"6-2(6)호 해외사업";#N/A,#N/A,TRUE,"6-2(7)호 해외투자";#N/A,#N/A,TRUE,"6-2(12)호 수출손실";#N/A,#N/A,TRUE,"6-3호 퇴충";#N/A,#N/A,TRUE,"6-3(3)호 단퇴";#N/A,#N/A,TRUE,"6-3(4)호 대손";#N/A,#N/A,TRUE,"6-4호 접대(갑)";#N/A,#N/A,TRUE,"6-4호 접대(을)";#N/A,#N/A,TRUE,"6-5호 외화(갑)";#N/A,#N/A,TRUE,"6-5호 외화(을)";#N/A,#N/A,TRUE,"6-6호(부표) 자본적지출";#N/A,#N/A,TRUE,"6-7호 가지급금(갑)";#N/A,#N/A,TRUE,"6-7호 가지급(을)";#N/A,#N/A,TRUE,"6-10호 재고자산";#N/A,#N/A,TRUE,"6-11호 세금과공과";#N/A,#N/A,TRUE,"6-12호 선급비용";#N/A,#N/A,TRUE,"6-13호 기부금";#N/A,#N/A,TRUE,"6-14호 부동산보유";#N/A,#N/A,TRUE,"8호 기부금조정";#N/A,#N/A,TRUE,"9호 자본금(갑)";#N/A,#N/A,TRUE,"9호 자본금(을)";#N/A,#N/A,TRUE,"10(2)호 소득공제";#N/A,#N/A,TRUE,"10(3)호 주요계정";#N/A,#N/A,TRUE,"10(3)호 부표";#N/A,#N/A,TRUE,"10(4)호 조정수입";#N/A,#N/A,TRUE,"10(4)호 소득구분";#N/A,#N/A,TRUE,"12호 중소검토";#N/A,#N/A,TRUE,"13호 비상장";#N/A,#N/A,TRUE,"14(1)호 갑 주식";#N/A,#N/A,TRUE,"59호 해외특수";#N/A,#N/A,TRUE,"60호 갑 적정유보";#N/A,#N/A,TRUE,"60호 을 적정유보";#N/A,#N/A,TRUE,"요약 BS";#N/A,#N/A,TRUE,"요약 PL";#N/A,#N/A,TRUE,"요약원가";#N/A,#N/A,TRUE,"요약RE"}</definedName>
    <definedName name="특정" hidden="1">{#N/A,#N/A,FALSE,"1.CRITERIA";#N/A,#N/A,FALSE,"2.IS";#N/A,#N/A,FALSE,"3.BS";#N/A,#N/A,FALSE,"4.PER PL";#N/A,#N/A,FALSE,"5.INVESTMENT";#N/A,#N/A,FALSE,"6.공문";#N/A,#N/A,FALSE,"7.netinvest"}</definedName>
    <definedName name="파" hidden="1">{#N/A,#N/A,FALSE,"1.CRITERIA";#N/A,#N/A,FALSE,"2.IS";#N/A,#N/A,FALSE,"3.BS";#N/A,#N/A,FALSE,"4.PER PL";#N/A,#N/A,FALSE,"5.INVESTMENT";#N/A,#N/A,FALSE,"6.공문";#N/A,#N/A,FALSE,"7.netinvest"}</definedName>
    <definedName name="파아라" hidden="1">{#N/A,#N/A,FALSE,"1.CRITERIA";#N/A,#N/A,FALSE,"2.IS";#N/A,#N/A,FALSE,"3.BS";#N/A,#N/A,FALSE,"4.PER PL";#N/A,#N/A,FALSE,"5.INVESTMENT";#N/A,#N/A,FALSE,"6.공문";#N/A,#N/A,FALSE,"7.netinvest"}</definedName>
    <definedName name="파하" hidden="1">{#N/A,#N/A,FALSE,"1.CRITERIA";#N/A,#N/A,FALSE,"2.IS";#N/A,#N/A,FALSE,"3.BS";#N/A,#N/A,FALSE,"4.PER PL";#N/A,#N/A,FALSE,"5.INVESTMENT";#N/A,#N/A,FALSE,"6.공문";#N/A,#N/A,FALSE,"7.netinvest"}</definedName>
    <definedName name="퍄" hidden="1">{#N/A,#N/A,FALSE,"1.CRITERIA";#N/A,#N/A,FALSE,"2.IS";#N/A,#N/A,FALSE,"3.BS";#N/A,#N/A,FALSE,"4.PER PL";#N/A,#N/A,FALSE,"5.INVESTMENT";#N/A,#N/A,FALSE,"6.공문";#N/A,#N/A,FALSE,"7.netinvest"}</definedName>
    <definedName name="페" hidden="1">{#N/A,#N/A,FALSE,"1.CRITERIA";#N/A,#N/A,FALSE,"2.IS";#N/A,#N/A,FALSE,"3.BS";#N/A,#N/A,FALSE,"4.PER PL";#N/A,#N/A,FALSE,"5.INVESTMENT";#N/A,#N/A,FALSE,"6.공문";#N/A,#N/A,FALSE,"7.netinvest"}</definedName>
    <definedName name="펴" hidden="1">{#N/A,#N/A,FALSE,"1.CRITERIA";#N/A,#N/A,FALSE,"2.IS";#N/A,#N/A,FALSE,"3.BS";#N/A,#N/A,FALSE,"4.PER PL";#N/A,#N/A,FALSE,"5.INVESTMENT";#N/A,#N/A,FALSE,"6.공문";#N/A,#N/A,FALSE,"7.netinvest"}</definedName>
    <definedName name="포" hidden="1">{#N/A,#N/A,FALSE,"1.CRITERIA";#N/A,#N/A,FALSE,"2.IS";#N/A,#N/A,FALSE,"3.BS";#N/A,#N/A,FALSE,"4.PER PL";#N/A,#N/A,FALSE,"5.INVESTMENT";#N/A,#N/A,FALSE,"6.공문";#N/A,#N/A,FALSE,"7.netinvest"}</definedName>
    <definedName name="표지" hidden="1">{#N/A,#N/A,TRUE,"1호 과표세액";#N/A,#N/A,TRUE,"1-2호 농어촌과표";#N/A,#N/A,TRUE,"2호 서식";#N/A,#N/A,TRUE,"2호부표 최저한세";#N/A,#N/A,TRUE,"3(1)호 공제감면";#N/A,#N/A,TRUE,"임시특별감면";#N/A,#N/A,TRUE,"3(1)부7 기업합리";#N/A,#N/A,TRUE,"5호 농어촌";#N/A,#N/A,TRUE,"5호2 농감면(갑)";#N/A,#N/A,TRUE,"6호 소득금액";#N/A,#N/A,TRUE,"6호 첨부(익)";#N/A,#N/A,TRUE,"6호 첨부(손)";#N/A,#N/A,TRUE,"감가총괄";#N/A,#N/A,TRUE,"6-6(3)호 감가(정액)";#N/A,#N/A,TRUE,"9호 자본금(갑)";#N/A,#N/A,TRUE,"9호 자본금(을)";#N/A,#N/A,TRUE,"10(3)호 주요계정";#N/A,#N/A,TRUE,"10(4)호 소득구분"}</definedName>
    <definedName name="표지조정" hidden="1">{#N/A,#N/A,TRUE,"일반적사항";#N/A,#N/A,TRUE,"주요재무자료";#N/A,#N/A,TRUE,"표지";#N/A,#N/A,TRUE,"총괄표";#N/A,#N/A,TRUE,"1호 과표세액";#N/A,#N/A,TRUE,"2호 서식";#N/A,#N/A,TRUE,"2호부표 최저한세";#N/A,#N/A,TRUE,"3(1)호 공제감면";#N/A,#N/A,TRUE,"3(1) 부1 공제감면";#N/A,#N/A,TRUE,"3(1) 부3 세액조정";#N/A,#N/A,TRUE,"3(1) 부4 공제감면";#N/A,#N/A,TRUE,"3(1) 부6 추가납부";#N/A,#N/A,TRUE,"조8호 기술인력";#N/A,#N/A,TRUE,"3(1)부7 기업합리";#N/A,#N/A,TRUE,"3(2)호 가산세";#N/A,#N/A,TRUE,"3(2)호 가산세";#N/A,#N/A,TRUE,"3(3)호(갑) 원천납부";#N/A,#N/A,TRUE,"5호 농어촌";#N/A,#N/A,TRUE,"5호2 농감면(갑)";#N/A,#N/A,TRUE,"5호2 농감면(을)";#N/A,#N/A,TRUE,"6호 소득금액";#N/A,#N/A,TRUE,"6호 첨부(익)";#N/A,#N/A,TRUE,"6호 첨부(손)";#N/A,#N/A,TRUE,"6-1호 수입금액";#N/A,#N/A,TRUE,"6-2(4)호 해외시장";#N/A,#N/A,TRUE,"6-2(6)호 해외사업";#N/A,#N/A,TRUE,"6-2(7)호 해외투자";#N/A,#N/A,TRUE,"6-2(12)호 수출손실";#N/A,#N/A,TRUE,"6-3호 퇴충";#N/A,#N/A,TRUE,"6-3(3)호 단퇴";#N/A,#N/A,TRUE,"6-3(4)호 대손";#N/A,#N/A,TRUE,"6-4호 접대(갑)";#N/A,#N/A,TRUE,"6-4호 접대(을)";#N/A,#N/A,TRUE,"6-5호 외화(갑)";#N/A,#N/A,TRUE,"6-5호 외화(을)";#N/A,#N/A,TRUE,"6-6호(부표) 자본적지출";#N/A,#N/A,TRUE,"6-7호 가지급금(갑)";#N/A,#N/A,TRUE,"6-7호 가지급(을)";#N/A,#N/A,TRUE,"6-10호 재고자산";#N/A,#N/A,TRUE,"6-11호 세금과공과";#N/A,#N/A,TRUE,"6-12호 선급비용";#N/A,#N/A,TRUE,"6-13호 기부금";#N/A,#N/A,TRUE,"6-14호 부동산보유";#N/A,#N/A,TRUE,"8호 기부금조정";#N/A,#N/A,TRUE,"9호 자본금(갑)";#N/A,#N/A,TRUE,"9호 자본금(을)";#N/A,#N/A,TRUE,"10(2)호 소득공제";#N/A,#N/A,TRUE,"10(3)호 주요계정";#N/A,#N/A,TRUE,"10(3)호 부표";#N/A,#N/A,TRUE,"10(4)호 조정수입";#N/A,#N/A,TRUE,"10(4)호 소득구분";#N/A,#N/A,TRUE,"12호 중소검토";#N/A,#N/A,TRUE,"13호 비상장";#N/A,#N/A,TRUE,"14(1)호 갑 주식";#N/A,#N/A,TRUE,"59호 해외특수";#N/A,#N/A,TRUE,"60호 갑 적정유보";#N/A,#N/A,TRUE,"60호 을 적정유보";#N/A,#N/A,TRUE,"요약 BS";#N/A,#N/A,TRUE,"요약 PL";#N/A,#N/A,TRUE,"요약원가";#N/A,#N/A,TRUE,"요약RE"}</definedName>
    <definedName name="하" hidden="1">{#N/A,#N/A,FALSE,"1.CRITERIA";#N/A,#N/A,FALSE,"2.IS";#N/A,#N/A,FALSE,"3.BS";#N/A,#N/A,FALSE,"4.PER PL";#N/A,#N/A,FALSE,"5.INVESTMENT";#N/A,#N/A,FALSE,"6.공문";#N/A,#N/A,FALSE,"7.netinvest"}</definedName>
    <definedName name="햐" hidden="1">{#N/A,#N/A,FALSE,"1.CRITERIA";#N/A,#N/A,FALSE,"2.IS";#N/A,#N/A,FALSE,"3.BS";#N/A,#N/A,FALSE,"4.PER PL";#N/A,#N/A,FALSE,"5.INVESTMENT";#N/A,#N/A,FALSE,"6.공문";#N/A,#N/A,FALSE,"7.netinvest"}</definedName>
    <definedName name="혀" hidden="1">{#N/A,#N/A,FALSE,"1.CRITERIA";#N/A,#N/A,FALSE,"2.IS";#N/A,#N/A,FALSE,"3.BS";#N/A,#N/A,FALSE,"4.PER PL";#N/A,#N/A,FALSE,"5.INVESTMENT";#N/A,#N/A,FALSE,"6.공문";#N/A,#N/A,FALSE,"7.netinvest"}</definedName>
    <definedName name="현금등가물" hidden="1">{#N/A,#N/A,FALSE,"Aging Summary";#N/A,#N/A,FALSE,"Ratio Analysis";#N/A,#N/A,FALSE,"Test 120 Day Accts";#N/A,#N/A,FALSE,"Tickmarks"}</definedName>
    <definedName name="현금정산" hidden="1">{#N/A,#N/A,FALSE,"Aging Summary";#N/A,#N/A,FALSE,"Ratio Analysis";#N/A,#N/A,FALSE,"Test 120 Day Accts";#N/A,#N/A,FALSE,"Tickmarks"}</definedName>
    <definedName name="현금흐름" hidden="1">{#N/A,#N/A,FALSE,"Aging Summary";#N/A,#N/A,FALSE,"Ratio Analysis";#N/A,#N/A,FALSE,"Test 120 Day Accts";#N/A,#N/A,FALSE,"Tickmarks"}</definedName>
    <definedName name="호" hidden="1">{#N/A,#N/A,FALSE,"1.CRITERIA";#N/A,#N/A,FALSE,"2.IS";#N/A,#N/A,FALSE,"3.BS";#N/A,#N/A,FALSE,"4.PER PL";#N/A,#N/A,FALSE,"5.INVESTMENT";#N/A,#N/A,FALSE,"6.공문";#N/A,#N/A,FALSE,"7.netinvest"}</definedName>
    <definedName name="회계팀_수정분" hidden="1">[1]Sheet2!#REF!</definedName>
    <definedName name="효" hidden="1">{#N/A,#N/A,FALSE,"1.CRITERIA";#N/A,#N/A,FALSE,"2.IS";#N/A,#N/A,FALSE,"3.BS";#N/A,#N/A,FALSE,"4.PER PL";#N/A,#N/A,FALSE,"5.INVESTMENT";#N/A,#N/A,FALSE,"6.공문";#N/A,#N/A,FALSE,"7.netinvest"}</definedName>
    <definedName name="후" hidden="1">{#N/A,#N/A,FALSE,"1.CRITERIA";#N/A,#N/A,FALSE,"2.IS";#N/A,#N/A,FALSE,"3.BS";#N/A,#N/A,FALSE,"4.PER PL";#N/A,#N/A,FALSE,"5.INVESTMENT";#N/A,#N/A,FALSE,"6.공문";#N/A,#N/A,FALSE,"7.netinvest"}</definedName>
    <definedName name="휴" hidden="1">{#N/A,#N/A,FALSE,"1.CRITERIA";#N/A,#N/A,FALSE,"2.IS";#N/A,#N/A,FALSE,"3.BS";#N/A,#N/A,FALSE,"4.PER PL";#N/A,#N/A,FALSE,"5.INVESTMENT";#N/A,#N/A,FALSE,"6.공문";#N/A,#N/A,FALSE,"7.netinvest"}</definedName>
    <definedName name="흐" hidden="1">{#N/A,#N/A,FALSE,"1.CRITERIA";#N/A,#N/A,FALSE,"2.IS";#N/A,#N/A,FALSE,"3.BS";#N/A,#N/A,FALSE,"4.PER PL";#N/A,#N/A,FALSE,"5.INVESTMENT";#N/A,#N/A,FALSE,"6.공문";#N/A,#N/A,FALSE,"7.netinvest"}</definedName>
    <definedName name="ㅏㅏㅏ" hidden="1">{#N/A,#N/A,TRUE," L.MAROC";#N/A,#N/A,TRUE,"SIE";#N/A,#N/A,TRUE,"ELIM L.GROUPE";#N/A,#N/A,TRUE,"ACTIVITE CIMENTIERE";#N/A,#N/A,TRUE,"ELIM ACTIVITE CIMENTIERE";#N/A,#N/A,TRUE,"SYNTHES L. CIMENT";#N/A,#N/A,TRUE,"BOUSKOURA";#N/A,#N/A,TRUE,"MEKNES";#N/A,#N/A,TRUE,"ELIM L.CIMENT";#N/A,#N/A,TRUE,"SYNTHESE L.CEMENTOS";#N/A,#N/A,TRUE,"TANGER";#N/A,#N/A,TRUE,"TETOUAN";#N/A,#N/A,TRUE,"ELIM L.CEMENTOS"}</definedName>
    <definedName name="ㅐㅏ" hidden="1">{#N/A,#N/A,TRUE," L.MAROC";#N/A,#N/A,TRUE,"SIE";#N/A,#N/A,TRUE,"ELIM L.GROUPE";#N/A,#N/A,TRUE,"ACTIVITE CIMENTIERE";#N/A,#N/A,TRUE,"ELIM ACTIVITE CIMENTIERE";#N/A,#N/A,TRUE,"SYNTHES L. CIMENT";#N/A,#N/A,TRUE,"BOUSKOURA";#N/A,#N/A,TRUE,"MEKNES";#N/A,#N/A,TRUE,"ELIM L.CIMENT";#N/A,#N/A,TRUE,"SYNTHESE L.CEMENTOS";#N/A,#N/A,TRUE,"TANGER";#N/A,#N/A,TRUE,"TETOUAN";#N/A,#N/A,TRUE,"ELIM L.CEMENTOS"}</definedName>
    <definedName name="ㅓㅗㅓㅗㅓㅗ" hidden="1">'[2]CF_Current_Detail(July)'!$F$45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20" i="2" l="1"/>
  <c r="D6" i="1"/>
  <c r="G40" i="8"/>
  <c r="F40" i="8"/>
  <c r="G39" i="8"/>
  <c r="F39" i="8"/>
  <c r="G38" i="8"/>
  <c r="F38" i="8"/>
  <c r="U37" i="8"/>
  <c r="T37" i="8"/>
  <c r="S36" i="8"/>
  <c r="T34" i="8"/>
  <c r="U34" i="8" s="1"/>
  <c r="F34" i="8"/>
  <c r="U33" i="8"/>
  <c r="T33" i="8"/>
  <c r="U32" i="8"/>
  <c r="T32" i="8"/>
  <c r="U31" i="8"/>
  <c r="T31" i="8"/>
  <c r="U30" i="8"/>
  <c r="T30" i="8"/>
  <c r="G30" i="8"/>
  <c r="F30" i="8"/>
  <c r="S29" i="8"/>
  <c r="R29" i="8"/>
  <c r="Q29" i="8"/>
  <c r="P29" i="8"/>
  <c r="T29" i="8" s="1"/>
  <c r="U29" i="8" s="1"/>
  <c r="O29" i="8"/>
  <c r="N29" i="8"/>
  <c r="M29" i="8"/>
  <c r="L29" i="8"/>
  <c r="K29" i="8"/>
  <c r="J29" i="8"/>
  <c r="I29" i="8"/>
  <c r="H29" i="8"/>
  <c r="T28" i="8"/>
  <c r="U28" i="8" s="1"/>
  <c r="G28" i="8"/>
  <c r="F28" i="8"/>
  <c r="T27" i="8"/>
  <c r="U27" i="8" s="1"/>
  <c r="U26" i="8"/>
  <c r="T26" i="8"/>
  <c r="U25" i="8"/>
  <c r="T25" i="8"/>
  <c r="G25" i="8"/>
  <c r="F25" i="8"/>
  <c r="T24" i="8"/>
  <c r="U24" i="8" s="1"/>
  <c r="G24" i="8"/>
  <c r="F24" i="8"/>
  <c r="T23" i="8"/>
  <c r="U23" i="8" s="1"/>
  <c r="F23" i="8"/>
  <c r="U22" i="8"/>
  <c r="T22" i="8"/>
  <c r="U21" i="8"/>
  <c r="T21" i="8"/>
  <c r="F21" i="8"/>
  <c r="U20" i="8"/>
  <c r="T20" i="8"/>
  <c r="F20" i="8"/>
  <c r="S19" i="8"/>
  <c r="R19" i="8"/>
  <c r="Q19" i="8"/>
  <c r="P19" i="8"/>
  <c r="O19" i="8"/>
  <c r="N19" i="8"/>
  <c r="M19" i="8"/>
  <c r="L19" i="8"/>
  <c r="K19" i="8"/>
  <c r="K16" i="8" s="1"/>
  <c r="J19" i="8"/>
  <c r="J16" i="8" s="1"/>
  <c r="I19" i="8"/>
  <c r="I16" i="8" s="1"/>
  <c r="H19" i="8"/>
  <c r="H16" i="8" s="1"/>
  <c r="T18" i="8"/>
  <c r="U18" i="8" s="1"/>
  <c r="G18" i="8"/>
  <c r="F18" i="8"/>
  <c r="U17" i="8"/>
  <c r="T17" i="8"/>
  <c r="S16" i="8"/>
  <c r="S15" i="8" s="1"/>
  <c r="S35" i="8" s="1"/>
  <c r="R16" i="8"/>
  <c r="R15" i="8" s="1"/>
  <c r="R35" i="8" s="1"/>
  <c r="Q16" i="8"/>
  <c r="Q36" i="8" s="1"/>
  <c r="P16" i="8"/>
  <c r="P36" i="8" s="1"/>
  <c r="O16" i="8"/>
  <c r="O36" i="8" s="1"/>
  <c r="N16" i="8"/>
  <c r="N36" i="8" s="1"/>
  <c r="M16" i="8"/>
  <c r="M36" i="8" s="1"/>
  <c r="L16" i="8"/>
  <c r="L36" i="8" s="1"/>
  <c r="M15" i="8"/>
  <c r="M35" i="8" s="1"/>
  <c r="L15" i="8"/>
  <c r="L35" i="8" s="1"/>
  <c r="T14" i="8"/>
  <c r="U14" i="8" s="1"/>
  <c r="F14" i="8"/>
  <c r="T13" i="8"/>
  <c r="U13" i="8" s="1"/>
  <c r="G13" i="8"/>
  <c r="F13" i="8"/>
  <c r="S12" i="8"/>
  <c r="R12" i="8"/>
  <c r="Q12" i="8"/>
  <c r="P12" i="8"/>
  <c r="O12" i="8"/>
  <c r="N12" i="8"/>
  <c r="M12" i="8"/>
  <c r="L12" i="8"/>
  <c r="K12" i="8"/>
  <c r="J12" i="8"/>
  <c r="I12" i="8"/>
  <c r="H12" i="8"/>
  <c r="G12" i="8"/>
  <c r="F12" i="8"/>
  <c r="T11" i="8"/>
  <c r="H11" i="8"/>
  <c r="T36" i="7"/>
  <c r="F37" i="8" s="1"/>
  <c r="G36" i="7"/>
  <c r="S35" i="7"/>
  <c r="R35" i="7"/>
  <c r="I35" i="7"/>
  <c r="H35" i="7"/>
  <c r="F35" i="7"/>
  <c r="G35" i="7" s="1"/>
  <c r="I34" i="7"/>
  <c r="H34" i="7"/>
  <c r="H40" i="7" s="1"/>
  <c r="F34" i="7"/>
  <c r="F40" i="7" s="1"/>
  <c r="T33" i="7"/>
  <c r="U33" i="7" s="1"/>
  <c r="G34" i="8" s="1"/>
  <c r="G33" i="7"/>
  <c r="U32" i="7"/>
  <c r="G32" i="8" s="1"/>
  <c r="T32" i="7"/>
  <c r="F32" i="8" s="1"/>
  <c r="G32" i="7"/>
  <c r="U31" i="7"/>
  <c r="G31" i="8" s="1"/>
  <c r="T31" i="7"/>
  <c r="F31" i="8" s="1"/>
  <c r="G31" i="7"/>
  <c r="U30" i="7"/>
  <c r="T30" i="7"/>
  <c r="G30" i="7"/>
  <c r="S29" i="7"/>
  <c r="R29" i="7"/>
  <c r="Q29" i="7"/>
  <c r="P29" i="7"/>
  <c r="O29" i="7"/>
  <c r="N29" i="7"/>
  <c r="T29" i="7" s="1"/>
  <c r="M29" i="7"/>
  <c r="L29" i="7"/>
  <c r="K29" i="7"/>
  <c r="J29" i="7"/>
  <c r="I29" i="7"/>
  <c r="H29" i="7"/>
  <c r="G29" i="7"/>
  <c r="T28" i="7"/>
  <c r="U28" i="7" s="1"/>
  <c r="G28" i="7"/>
  <c r="T27" i="7"/>
  <c r="F27" i="8" s="1"/>
  <c r="G27" i="7"/>
  <c r="U26" i="7"/>
  <c r="G26" i="8" s="1"/>
  <c r="T26" i="7"/>
  <c r="F26" i="8" s="1"/>
  <c r="G26" i="7"/>
  <c r="U25" i="7"/>
  <c r="T25" i="7"/>
  <c r="G25" i="7"/>
  <c r="U24" i="7"/>
  <c r="T24" i="7"/>
  <c r="G24" i="7"/>
  <c r="T23" i="7"/>
  <c r="U23" i="7" s="1"/>
  <c r="G23" i="8" s="1"/>
  <c r="G23" i="7"/>
  <c r="U22" i="7"/>
  <c r="G22" i="8" s="1"/>
  <c r="T22" i="7"/>
  <c r="F22" i="8" s="1"/>
  <c r="G22" i="7"/>
  <c r="T21" i="7"/>
  <c r="U21" i="7" s="1"/>
  <c r="G21" i="8" s="1"/>
  <c r="G21" i="7"/>
  <c r="U20" i="7"/>
  <c r="G20" i="8" s="1"/>
  <c r="T20" i="7"/>
  <c r="G20" i="7"/>
  <c r="S19" i="7"/>
  <c r="R19" i="7"/>
  <c r="Q19" i="7"/>
  <c r="P19" i="7"/>
  <c r="O19" i="7"/>
  <c r="N19" i="7"/>
  <c r="M19" i="7"/>
  <c r="L19" i="7"/>
  <c r="K19" i="7"/>
  <c r="J19" i="7"/>
  <c r="I19" i="7"/>
  <c r="H19" i="7"/>
  <c r="T19" i="7" s="1"/>
  <c r="U19" i="7" s="1"/>
  <c r="G19" i="8" s="1"/>
  <c r="G19" i="7"/>
  <c r="U18" i="7"/>
  <c r="T18" i="7"/>
  <c r="G18" i="7"/>
  <c r="U17" i="7"/>
  <c r="G17" i="8" s="1"/>
  <c r="T17" i="7"/>
  <c r="F17" i="8" s="1"/>
  <c r="G17" i="7"/>
  <c r="S16" i="7"/>
  <c r="R16" i="7"/>
  <c r="Q16" i="7"/>
  <c r="Q35" i="7" s="1"/>
  <c r="P16" i="7"/>
  <c r="P35" i="7" s="1"/>
  <c r="O16" i="7"/>
  <c r="O35" i="7" s="1"/>
  <c r="N16" i="7"/>
  <c r="N35" i="7" s="1"/>
  <c r="M16" i="7"/>
  <c r="L16" i="7"/>
  <c r="L35" i="7" s="1"/>
  <c r="K16" i="7"/>
  <c r="K35" i="7" s="1"/>
  <c r="J16" i="7"/>
  <c r="J35" i="7" s="1"/>
  <c r="I16" i="7"/>
  <c r="H16" i="7"/>
  <c r="G16" i="7"/>
  <c r="R15" i="7"/>
  <c r="R34" i="7" s="1"/>
  <c r="Q15" i="7"/>
  <c r="P15" i="7"/>
  <c r="G15" i="7"/>
  <c r="U14" i="7"/>
  <c r="G14" i="8" s="1"/>
  <c r="T14" i="7"/>
  <c r="G14" i="7"/>
  <c r="U13" i="7"/>
  <c r="T13" i="7"/>
  <c r="T12" i="7" s="1"/>
  <c r="U12" i="7" s="1"/>
  <c r="G13" i="7"/>
  <c r="S12" i="7"/>
  <c r="R12" i="7"/>
  <c r="Q12" i="7"/>
  <c r="P12" i="7"/>
  <c r="P34" i="7" s="1"/>
  <c r="O12" i="7"/>
  <c r="N12" i="7"/>
  <c r="M12" i="7"/>
  <c r="M34" i="7" s="1"/>
  <c r="L12" i="7"/>
  <c r="L34" i="7" s="1"/>
  <c r="K12" i="7"/>
  <c r="K34" i="7" s="1"/>
  <c r="J12" i="7"/>
  <c r="J34" i="7" s="1"/>
  <c r="I12" i="7"/>
  <c r="H12" i="7"/>
  <c r="G12" i="7"/>
  <c r="T11" i="7"/>
  <c r="I11" i="7"/>
  <c r="I40" i="7" s="1"/>
  <c r="J11" i="7" s="1"/>
  <c r="J40" i="7" s="1"/>
  <c r="K11" i="7" s="1"/>
  <c r="K40" i="7" s="1"/>
  <c r="L11" i="7" s="1"/>
  <c r="L40" i="7" s="1"/>
  <c r="M11" i="7" s="1"/>
  <c r="M40" i="7" s="1"/>
  <c r="N11" i="7" s="1"/>
  <c r="AQ43" i="4"/>
  <c r="X43" i="4"/>
  <c r="W43" i="4"/>
  <c r="V43" i="4"/>
  <c r="G43" i="4"/>
  <c r="AR41" i="4"/>
  <c r="AU41" i="4" s="1"/>
  <c r="AQ41" i="4"/>
  <c r="AT41" i="4" s="1"/>
  <c r="AP41" i="4"/>
  <c r="AM41" i="4"/>
  <c r="AJ41" i="4"/>
  <c r="AG41" i="4"/>
  <c r="AD41" i="4"/>
  <c r="AA41" i="4"/>
  <c r="X41" i="4"/>
  <c r="U41" i="4"/>
  <c r="R41" i="4"/>
  <c r="M41" i="4"/>
  <c r="O41" i="4" s="1"/>
  <c r="L41" i="4"/>
  <c r="G41" i="4"/>
  <c r="I41" i="4" s="1"/>
  <c r="AU40" i="4"/>
  <c r="AR40" i="4"/>
  <c r="AR39" i="4" s="1"/>
  <c r="AP40" i="4"/>
  <c r="AM40" i="4"/>
  <c r="AJ40" i="4"/>
  <c r="AG40" i="4"/>
  <c r="AD40" i="4"/>
  <c r="AD39" i="4" s="1"/>
  <c r="AA40" i="4"/>
  <c r="AA39" i="4" s="1"/>
  <c r="X40" i="4"/>
  <c r="U40" i="4"/>
  <c r="R40" i="4"/>
  <c r="R39" i="4" s="1"/>
  <c r="M40" i="4"/>
  <c r="M39" i="4" s="1"/>
  <c r="L40" i="4"/>
  <c r="L39" i="4" s="1"/>
  <c r="I40" i="4"/>
  <c r="G40" i="4"/>
  <c r="AQ40" i="4" s="1"/>
  <c r="AP39" i="4"/>
  <c r="AO39" i="4"/>
  <c r="AN39" i="4"/>
  <c r="AM39" i="4"/>
  <c r="AL39" i="4"/>
  <c r="AK39" i="4"/>
  <c r="AJ39" i="4"/>
  <c r="AI39" i="4"/>
  <c r="AH39" i="4"/>
  <c r="AG39" i="4"/>
  <c r="AF39" i="4"/>
  <c r="AE39" i="4"/>
  <c r="AC39" i="4"/>
  <c r="AB39" i="4"/>
  <c r="Z39" i="4"/>
  <c r="Y39" i="4"/>
  <c r="X39" i="4"/>
  <c r="W39" i="4"/>
  <c r="V39" i="4"/>
  <c r="U39" i="4"/>
  <c r="T39" i="4"/>
  <c r="S39" i="4"/>
  <c r="Q39" i="4"/>
  <c r="P39" i="4"/>
  <c r="N39" i="4"/>
  <c r="K39" i="4"/>
  <c r="J39" i="4"/>
  <c r="H39" i="4"/>
  <c r="AT38" i="4"/>
  <c r="AR38" i="4"/>
  <c r="AU38" i="4" s="1"/>
  <c r="AQ38" i="4"/>
  <c r="AP38" i="4"/>
  <c r="AM38" i="4"/>
  <c r="AJ38" i="4"/>
  <c r="AG38" i="4"/>
  <c r="AD38" i="4"/>
  <c r="AA38" i="4"/>
  <c r="X38" i="4"/>
  <c r="U38" i="4"/>
  <c r="R38" i="4"/>
  <c r="O38" i="4"/>
  <c r="L38" i="4"/>
  <c r="I38" i="4"/>
  <c r="AU37" i="4"/>
  <c r="AT37" i="4"/>
  <c r="AT36" i="4" s="1"/>
  <c r="AS37" i="4"/>
  <c r="AR37" i="4"/>
  <c r="AQ37" i="4"/>
  <c r="AQ36" i="4" s="1"/>
  <c r="AP37" i="4"/>
  <c r="AP36" i="4" s="1"/>
  <c r="AM37" i="4"/>
  <c r="AJ37" i="4"/>
  <c r="AG37" i="4"/>
  <c r="AD37" i="4"/>
  <c r="AD36" i="4" s="1"/>
  <c r="AA37" i="4"/>
  <c r="AA36" i="4" s="1"/>
  <c r="X37" i="4"/>
  <c r="U37" i="4"/>
  <c r="U36" i="4" s="1"/>
  <c r="R37" i="4"/>
  <c r="R36" i="4" s="1"/>
  <c r="O37" i="4"/>
  <c r="L37" i="4"/>
  <c r="L36" i="4" s="1"/>
  <c r="I37" i="4"/>
  <c r="I36" i="4" s="1"/>
  <c r="AO36" i="4"/>
  <c r="AN36" i="4"/>
  <c r="AM36" i="4"/>
  <c r="AL36" i="4"/>
  <c r="AK36" i="4"/>
  <c r="AJ36" i="4"/>
  <c r="AI36" i="4"/>
  <c r="AH36" i="4"/>
  <c r="AG36" i="4"/>
  <c r="AF36" i="4"/>
  <c r="AE36" i="4"/>
  <c r="AC36" i="4"/>
  <c r="AB36" i="4"/>
  <c r="Z36" i="4"/>
  <c r="Y36" i="4"/>
  <c r="X36" i="4"/>
  <c r="W36" i="4"/>
  <c r="V36" i="4"/>
  <c r="T36" i="4"/>
  <c r="S36" i="4"/>
  <c r="Q36" i="4"/>
  <c r="P36" i="4"/>
  <c r="N36" i="4"/>
  <c r="M36" i="4"/>
  <c r="K36" i="4"/>
  <c r="J36" i="4"/>
  <c r="H36" i="4"/>
  <c r="G36" i="4"/>
  <c r="AT35" i="4"/>
  <c r="AQ35" i="4"/>
  <c r="AP35" i="4"/>
  <c r="AO35" i="4"/>
  <c r="AL35" i="4"/>
  <c r="AM35" i="4" s="1"/>
  <c r="AJ35" i="4"/>
  <c r="AF35" i="4"/>
  <c r="AG35" i="4" s="1"/>
  <c r="AD35" i="4"/>
  <c r="AA35" i="4"/>
  <c r="AA33" i="4" s="1"/>
  <c r="X35" i="4"/>
  <c r="T35" i="4"/>
  <c r="U35" i="4" s="1"/>
  <c r="U33" i="4" s="1"/>
  <c r="Q35" i="4"/>
  <c r="Q33" i="4" s="1"/>
  <c r="O35" i="4"/>
  <c r="N35" i="4"/>
  <c r="AR35" i="4" s="1"/>
  <c r="L35" i="4"/>
  <c r="K35" i="4"/>
  <c r="H35" i="4"/>
  <c r="I35" i="4" s="1"/>
  <c r="AQ34" i="4"/>
  <c r="AO34" i="4"/>
  <c r="AO33" i="4" s="1"/>
  <c r="AL34" i="4"/>
  <c r="AM34" i="4" s="1"/>
  <c r="AM33" i="4" s="1"/>
  <c r="AJ34" i="4"/>
  <c r="AF34" i="4"/>
  <c r="AF33" i="4" s="1"/>
  <c r="AD34" i="4"/>
  <c r="AA34" i="4"/>
  <c r="X34" i="4"/>
  <c r="X33" i="4" s="1"/>
  <c r="T34" i="4"/>
  <c r="U34" i="4" s="1"/>
  <c r="R34" i="4"/>
  <c r="Q34" i="4"/>
  <c r="N34" i="4"/>
  <c r="O34" i="4" s="1"/>
  <c r="O33" i="4" s="1"/>
  <c r="L34" i="4"/>
  <c r="L33" i="4" s="1"/>
  <c r="K34" i="4"/>
  <c r="H34" i="4"/>
  <c r="H33" i="4" s="1"/>
  <c r="AN33" i="4"/>
  <c r="AL33" i="4"/>
  <c r="AK33" i="4"/>
  <c r="AJ33" i="4"/>
  <c r="AI33" i="4"/>
  <c r="AH33" i="4"/>
  <c r="AE33" i="4"/>
  <c r="AD33" i="4"/>
  <c r="AC33" i="4"/>
  <c r="AB33" i="4"/>
  <c r="Z33" i="4"/>
  <c r="Y33" i="4"/>
  <c r="W33" i="4"/>
  <c r="V33" i="4"/>
  <c r="T33" i="4"/>
  <c r="S33" i="4"/>
  <c r="P33" i="4"/>
  <c r="M33" i="4"/>
  <c r="J33" i="4"/>
  <c r="G33" i="4"/>
  <c r="AU32" i="4"/>
  <c r="AT32" i="4"/>
  <c r="AV32" i="4" s="1"/>
  <c r="AS32" i="4"/>
  <c r="AP32" i="4"/>
  <c r="AM32" i="4"/>
  <c r="AJ32" i="4"/>
  <c r="AG32" i="4"/>
  <c r="AD32" i="4"/>
  <c r="AA32" i="4"/>
  <c r="X32" i="4"/>
  <c r="U32" i="4"/>
  <c r="R32" i="4"/>
  <c r="O32" i="4"/>
  <c r="L32" i="4"/>
  <c r="I32" i="4"/>
  <c r="AU31" i="4"/>
  <c r="AT31" i="4"/>
  <c r="AV31" i="4" s="1"/>
  <c r="AS31" i="4"/>
  <c r="AP31" i="4"/>
  <c r="AM31" i="4"/>
  <c r="AJ31" i="4"/>
  <c r="AG31" i="4"/>
  <c r="AD31" i="4"/>
  <c r="AA31" i="4"/>
  <c r="X31" i="4"/>
  <c r="U31" i="4"/>
  <c r="R31" i="4"/>
  <c r="O31" i="4"/>
  <c r="L31" i="4"/>
  <c r="I31" i="4"/>
  <c r="AU30" i="4"/>
  <c r="AT30" i="4"/>
  <c r="AV30" i="4" s="1"/>
  <c r="AS30" i="4"/>
  <c r="AP30" i="4"/>
  <c r="AM30" i="4"/>
  <c r="AJ30" i="4"/>
  <c r="AG30" i="4"/>
  <c r="AD30" i="4"/>
  <c r="AA30" i="4"/>
  <c r="X30" i="4"/>
  <c r="U30" i="4"/>
  <c r="R30" i="4"/>
  <c r="O30" i="4"/>
  <c r="L30" i="4"/>
  <c r="I30" i="4"/>
  <c r="AU29" i="4"/>
  <c r="AU28" i="4" s="1"/>
  <c r="AT29" i="4"/>
  <c r="AV29" i="4" s="1"/>
  <c r="AS29" i="4"/>
  <c r="AP29" i="4"/>
  <c r="AM29" i="4"/>
  <c r="AJ29" i="4"/>
  <c r="AG29" i="4"/>
  <c r="AG28" i="4" s="1"/>
  <c r="AD29" i="4"/>
  <c r="AD28" i="4" s="1"/>
  <c r="AA29" i="4"/>
  <c r="X29" i="4"/>
  <c r="U29" i="4"/>
  <c r="U28" i="4" s="1"/>
  <c r="R29" i="4"/>
  <c r="O29" i="4"/>
  <c r="L29" i="4"/>
  <c r="I29" i="4"/>
  <c r="AS28" i="4"/>
  <c r="AR28" i="4"/>
  <c r="AQ28" i="4"/>
  <c r="AP28" i="4"/>
  <c r="AO28" i="4"/>
  <c r="AO13" i="4" s="1"/>
  <c r="AN28" i="4"/>
  <c r="AL28" i="4"/>
  <c r="AK28" i="4"/>
  <c r="AI28" i="4"/>
  <c r="AH28" i="4"/>
  <c r="AF28" i="4"/>
  <c r="AE28" i="4"/>
  <c r="AC28" i="4"/>
  <c r="AB28" i="4"/>
  <c r="AB13" i="4" s="1"/>
  <c r="AB7" i="4" s="1"/>
  <c r="AB42" i="4" s="1"/>
  <c r="AA28" i="4"/>
  <c r="Y28" i="4"/>
  <c r="X28" i="4"/>
  <c r="W28" i="4"/>
  <c r="V28" i="4"/>
  <c r="T28" i="4"/>
  <c r="S28" i="4"/>
  <c r="R28" i="4"/>
  <c r="Q28" i="4"/>
  <c r="P28" i="4"/>
  <c r="O28" i="4"/>
  <c r="L28" i="4"/>
  <c r="K28" i="4"/>
  <c r="J28" i="4"/>
  <c r="I28" i="4"/>
  <c r="H28" i="4"/>
  <c r="G28" i="4"/>
  <c r="AV27" i="4"/>
  <c r="AU27" i="4"/>
  <c r="AT27" i="4"/>
  <c r="AR27" i="4"/>
  <c r="AS27" i="4" s="1"/>
  <c r="AQ27" i="4"/>
  <c r="AP27" i="4"/>
  <c r="AM27" i="4"/>
  <c r="AJ27" i="4"/>
  <c r="AG27" i="4"/>
  <c r="AD27" i="4"/>
  <c r="AA27" i="4"/>
  <c r="X27" i="4"/>
  <c r="U27" i="4"/>
  <c r="R27" i="4"/>
  <c r="O27" i="4"/>
  <c r="L27" i="4"/>
  <c r="I27" i="4"/>
  <c r="AV26" i="4"/>
  <c r="AU26" i="4"/>
  <c r="AT26" i="4"/>
  <c r="AR26" i="4"/>
  <c r="AQ26" i="4"/>
  <c r="AS26" i="4" s="1"/>
  <c r="AP26" i="4"/>
  <c r="AM26" i="4"/>
  <c r="AJ26" i="4"/>
  <c r="AG26" i="4"/>
  <c r="AD26" i="4"/>
  <c r="AA26" i="4"/>
  <c r="AA13" i="4" s="1"/>
  <c r="X26" i="4"/>
  <c r="U26" i="4"/>
  <c r="R26" i="4"/>
  <c r="O26" i="4"/>
  <c r="L26" i="4"/>
  <c r="I26" i="4"/>
  <c r="AR25" i="4"/>
  <c r="AU25" i="4" s="1"/>
  <c r="AQ25" i="4"/>
  <c r="AP25" i="4"/>
  <c r="AM25" i="4"/>
  <c r="AJ25" i="4"/>
  <c r="AG25" i="4"/>
  <c r="AD25" i="4"/>
  <c r="AA25" i="4"/>
  <c r="X25" i="4"/>
  <c r="U25" i="4"/>
  <c r="R25" i="4"/>
  <c r="O25" i="4"/>
  <c r="L25" i="4"/>
  <c r="I25" i="4"/>
  <c r="AV24" i="4"/>
  <c r="AU24" i="4"/>
  <c r="AT24" i="4"/>
  <c r="AS24" i="4"/>
  <c r="AP24" i="4"/>
  <c r="AM24" i="4"/>
  <c r="AJ24" i="4"/>
  <c r="AG24" i="4"/>
  <c r="AD24" i="4"/>
  <c r="AA24" i="4"/>
  <c r="X24" i="4"/>
  <c r="U24" i="4"/>
  <c r="R24" i="4"/>
  <c r="O24" i="4"/>
  <c r="L24" i="4"/>
  <c r="I24" i="4"/>
  <c r="AV23" i="4"/>
  <c r="AU23" i="4"/>
  <c r="AT23" i="4"/>
  <c r="AS23" i="4"/>
  <c r="AP23" i="4"/>
  <c r="AM23" i="4"/>
  <c r="AJ23" i="4"/>
  <c r="AG23" i="4"/>
  <c r="AD23" i="4"/>
  <c r="AA23" i="4"/>
  <c r="X23" i="4"/>
  <c r="U23" i="4"/>
  <c r="R23" i="4"/>
  <c r="O23" i="4"/>
  <c r="L23" i="4"/>
  <c r="I23" i="4"/>
  <c r="AV22" i="4"/>
  <c r="AU22" i="4"/>
  <c r="AT22" i="4"/>
  <c r="AS22" i="4"/>
  <c r="AP22" i="4"/>
  <c r="AM22" i="4"/>
  <c r="AJ22" i="4"/>
  <c r="AG22" i="4"/>
  <c r="AD22" i="4"/>
  <c r="AA22" i="4"/>
  <c r="X22" i="4"/>
  <c r="U22" i="4"/>
  <c r="R22" i="4"/>
  <c r="O22" i="4"/>
  <c r="L22" i="4"/>
  <c r="I22" i="4"/>
  <c r="AV21" i="4"/>
  <c r="AU21" i="4"/>
  <c r="AT21" i="4"/>
  <c r="AS21" i="4"/>
  <c r="AS20" i="4" s="1"/>
  <c r="AP21" i="4"/>
  <c r="AP20" i="4" s="1"/>
  <c r="AP13" i="4" s="1"/>
  <c r="AM21" i="4"/>
  <c r="AM20" i="4" s="1"/>
  <c r="AJ21" i="4"/>
  <c r="AJ20" i="4" s="1"/>
  <c r="AG21" i="4"/>
  <c r="AG20" i="4" s="1"/>
  <c r="AD21" i="4"/>
  <c r="AD20" i="4" s="1"/>
  <c r="AA21" i="4"/>
  <c r="AA20" i="4" s="1"/>
  <c r="X21" i="4"/>
  <c r="U21" i="4"/>
  <c r="R21" i="4"/>
  <c r="O21" i="4"/>
  <c r="L21" i="4"/>
  <c r="L20" i="4" s="1"/>
  <c r="I21" i="4"/>
  <c r="AV20" i="4"/>
  <c r="AT20" i="4"/>
  <c r="AQ20" i="4"/>
  <c r="AQ13" i="4" s="1"/>
  <c r="AN20" i="4"/>
  <c r="AN13" i="4" s="1"/>
  <c r="AL20" i="4"/>
  <c r="AK20" i="4"/>
  <c r="AI20" i="4"/>
  <c r="AH20" i="4"/>
  <c r="AF20" i="4"/>
  <c r="AE20" i="4"/>
  <c r="AC20" i="4"/>
  <c r="AB20" i="4"/>
  <c r="Z20" i="4"/>
  <c r="Z13" i="4" s="1"/>
  <c r="Y20" i="4"/>
  <c r="Y13" i="4" s="1"/>
  <c r="X20" i="4"/>
  <c r="W20" i="4"/>
  <c r="W13" i="4" s="1"/>
  <c r="V20" i="4"/>
  <c r="U20" i="4"/>
  <c r="T20" i="4"/>
  <c r="S20" i="4"/>
  <c r="R20" i="4"/>
  <c r="Q20" i="4"/>
  <c r="P20" i="4"/>
  <c r="O20" i="4"/>
  <c r="N20" i="4"/>
  <c r="M20" i="4"/>
  <c r="K20" i="4"/>
  <c r="J20" i="4"/>
  <c r="J13" i="4" s="1"/>
  <c r="I20" i="4"/>
  <c r="H20" i="4"/>
  <c r="G20" i="4"/>
  <c r="AU19" i="4"/>
  <c r="AT19" i="4"/>
  <c r="AV19" i="4" s="1"/>
  <c r="AS19" i="4"/>
  <c r="AR19" i="4"/>
  <c r="AQ19" i="4"/>
  <c r="AP19" i="4"/>
  <c r="AM19" i="4"/>
  <c r="AJ19" i="4"/>
  <c r="AG19" i="4"/>
  <c r="AD19" i="4"/>
  <c r="AA19" i="4"/>
  <c r="X19" i="4"/>
  <c r="U19" i="4"/>
  <c r="R19" i="4"/>
  <c r="O19" i="4"/>
  <c r="L19" i="4"/>
  <c r="I19" i="4"/>
  <c r="AU18" i="4"/>
  <c r="AV18" i="4" s="1"/>
  <c r="AT18" i="4"/>
  <c r="AS18" i="4"/>
  <c r="AP18" i="4"/>
  <c r="AM18" i="4"/>
  <c r="AJ18" i="4"/>
  <c r="AG18" i="4"/>
  <c r="AD18" i="4"/>
  <c r="AA18" i="4"/>
  <c r="X18" i="4"/>
  <c r="U18" i="4"/>
  <c r="R18" i="4"/>
  <c r="O18" i="4"/>
  <c r="L18" i="4"/>
  <c r="I18" i="4"/>
  <c r="AU17" i="4"/>
  <c r="AV17" i="4" s="1"/>
  <c r="AT17" i="4"/>
  <c r="AS17" i="4"/>
  <c r="AP17" i="4"/>
  <c r="AM17" i="4"/>
  <c r="AJ17" i="4"/>
  <c r="AG17" i="4"/>
  <c r="AD17" i="4"/>
  <c r="AA17" i="4"/>
  <c r="X17" i="4"/>
  <c r="U17" i="4"/>
  <c r="R17" i="4"/>
  <c r="O17" i="4"/>
  <c r="L17" i="4"/>
  <c r="I17" i="4"/>
  <c r="AU16" i="4"/>
  <c r="AV16" i="4" s="1"/>
  <c r="AT16" i="4"/>
  <c r="AS16" i="4"/>
  <c r="AP16" i="4"/>
  <c r="AM16" i="4"/>
  <c r="AJ16" i="4"/>
  <c r="AG16" i="4"/>
  <c r="AD16" i="4"/>
  <c r="AA16" i="4"/>
  <c r="X16" i="4"/>
  <c r="U16" i="4"/>
  <c r="R16" i="4"/>
  <c r="O16" i="4"/>
  <c r="L16" i="4"/>
  <c r="I16" i="4"/>
  <c r="AU15" i="4"/>
  <c r="AU14" i="4" s="1"/>
  <c r="AT15" i="4"/>
  <c r="AS15" i="4"/>
  <c r="AP15" i="4"/>
  <c r="AP14" i="4" s="1"/>
  <c r="AM15" i="4"/>
  <c r="AM14" i="4" s="1"/>
  <c r="AJ15" i="4"/>
  <c r="AG15" i="4"/>
  <c r="AD15" i="4"/>
  <c r="AA15" i="4"/>
  <c r="X15" i="4"/>
  <c r="X14" i="4" s="1"/>
  <c r="X13" i="4" s="1"/>
  <c r="U15" i="4"/>
  <c r="U14" i="4" s="1"/>
  <c r="U13" i="4" s="1"/>
  <c r="R15" i="4"/>
  <c r="O15" i="4"/>
  <c r="L15" i="4"/>
  <c r="I15" i="4"/>
  <c r="AT14" i="4"/>
  <c r="AS14" i="4"/>
  <c r="AR14" i="4"/>
  <c r="AQ14" i="4"/>
  <c r="AO14" i="4"/>
  <c r="AN14" i="4"/>
  <c r="AL14" i="4"/>
  <c r="AK14" i="4"/>
  <c r="AK13" i="4" s="1"/>
  <c r="AJ14" i="4"/>
  <c r="AI14" i="4"/>
  <c r="AI13" i="4" s="1"/>
  <c r="AH14" i="4"/>
  <c r="AH13" i="4" s="1"/>
  <c r="AH7" i="4" s="1"/>
  <c r="AH42" i="4" s="1"/>
  <c r="AG14" i="4"/>
  <c r="AF14" i="4"/>
  <c r="AF13" i="4" s="1"/>
  <c r="AF7" i="4" s="1"/>
  <c r="AE14" i="4"/>
  <c r="AD14" i="4"/>
  <c r="AD13" i="4" s="1"/>
  <c r="AC14" i="4"/>
  <c r="AB14" i="4"/>
  <c r="AA14" i="4"/>
  <c r="Z14" i="4"/>
  <c r="Y14" i="4"/>
  <c r="W14" i="4"/>
  <c r="V14" i="4"/>
  <c r="T14" i="4"/>
  <c r="S14" i="4"/>
  <c r="S13" i="4" s="1"/>
  <c r="R14" i="4"/>
  <c r="R13" i="4" s="1"/>
  <c r="Q14" i="4"/>
  <c r="Q13" i="4" s="1"/>
  <c r="Q7" i="4" s="1"/>
  <c r="Q42" i="4" s="1"/>
  <c r="Q44" i="4" s="1"/>
  <c r="P14" i="4"/>
  <c r="P13" i="4" s="1"/>
  <c r="O14" i="4"/>
  <c r="O13" i="4" s="1"/>
  <c r="N14" i="4"/>
  <c r="N13" i="4" s="1"/>
  <c r="N7" i="4" s="1"/>
  <c r="M14" i="4"/>
  <c r="K14" i="4"/>
  <c r="J14" i="4"/>
  <c r="H14" i="4"/>
  <c r="G14" i="4"/>
  <c r="AR13" i="4"/>
  <c r="AR7" i="4" s="1"/>
  <c r="AE13" i="4"/>
  <c r="AE7" i="4" s="1"/>
  <c r="AE42" i="4" s="1"/>
  <c r="AC13" i="4"/>
  <c r="AC7" i="4" s="1"/>
  <c r="AC42" i="4" s="1"/>
  <c r="M13" i="4"/>
  <c r="M7" i="4" s="1"/>
  <c r="M42" i="4" s="1"/>
  <c r="K13" i="4"/>
  <c r="H13" i="4"/>
  <c r="AU12" i="4"/>
  <c r="AV12" i="4" s="1"/>
  <c r="AV8" i="4" s="1"/>
  <c r="AT12" i="4"/>
  <c r="AS12" i="4"/>
  <c r="AS8" i="4" s="1"/>
  <c r="AP12" i="4"/>
  <c r="AM12" i="4"/>
  <c r="AJ12" i="4"/>
  <c r="AG12" i="4"/>
  <c r="AD12" i="4"/>
  <c r="AA12" i="4"/>
  <c r="X12" i="4"/>
  <c r="U12" i="4"/>
  <c r="R12" i="4"/>
  <c r="P12" i="4"/>
  <c r="P8" i="4" s="1"/>
  <c r="O12" i="4"/>
  <c r="L12" i="4"/>
  <c r="I12" i="4"/>
  <c r="AV11" i="4"/>
  <c r="AU11" i="4"/>
  <c r="AT11" i="4"/>
  <c r="AS11" i="4"/>
  <c r="AP11" i="4"/>
  <c r="AM11" i="4"/>
  <c r="AJ11" i="4"/>
  <c r="AG11" i="4"/>
  <c r="AD11" i="4"/>
  <c r="AA11" i="4"/>
  <c r="X11" i="4"/>
  <c r="U11" i="4"/>
  <c r="R11" i="4"/>
  <c r="O11" i="4"/>
  <c r="L11" i="4"/>
  <c r="I11" i="4"/>
  <c r="AV10" i="4"/>
  <c r="AU10" i="4"/>
  <c r="AT10" i="4"/>
  <c r="AS10" i="4"/>
  <c r="AP10" i="4"/>
  <c r="AM10" i="4"/>
  <c r="AJ10" i="4"/>
  <c r="AG10" i="4"/>
  <c r="AD10" i="4"/>
  <c r="AA10" i="4"/>
  <c r="X10" i="4"/>
  <c r="U10" i="4"/>
  <c r="R10" i="4"/>
  <c r="O10" i="4"/>
  <c r="L10" i="4"/>
  <c r="I10" i="4"/>
  <c r="AV9" i="4"/>
  <c r="AU9" i="4"/>
  <c r="AT9" i="4"/>
  <c r="AS9" i="4"/>
  <c r="AP9" i="4"/>
  <c r="AM9" i="4"/>
  <c r="AJ9" i="4"/>
  <c r="AG9" i="4"/>
  <c r="AG8" i="4" s="1"/>
  <c r="AD9" i="4"/>
  <c r="AA9" i="4"/>
  <c r="X9" i="4"/>
  <c r="X8" i="4" s="1"/>
  <c r="U9" i="4"/>
  <c r="U8" i="4" s="1"/>
  <c r="R9" i="4"/>
  <c r="O9" i="4"/>
  <c r="O8" i="4" s="1"/>
  <c r="L9" i="4"/>
  <c r="L8" i="4" s="1"/>
  <c r="I9" i="4"/>
  <c r="AT8" i="4"/>
  <c r="AR8" i="4"/>
  <c r="AQ8" i="4"/>
  <c r="AP8" i="4"/>
  <c r="AO8" i="4"/>
  <c r="AN8" i="4"/>
  <c r="AM8" i="4"/>
  <c r="AL8" i="4"/>
  <c r="AK8" i="4"/>
  <c r="AK7" i="4" s="1"/>
  <c r="AK42" i="4" s="1"/>
  <c r="AJ8" i="4"/>
  <c r="AI8" i="4"/>
  <c r="AI7" i="4" s="1"/>
  <c r="AI42" i="4" s="1"/>
  <c r="AH8" i="4"/>
  <c r="AF8" i="4"/>
  <c r="AE8" i="4"/>
  <c r="AC8" i="4"/>
  <c r="AB8" i="4"/>
  <c r="AA8" i="4"/>
  <c r="Z8" i="4"/>
  <c r="Y8" i="4"/>
  <c r="W8" i="4"/>
  <c r="V8" i="4"/>
  <c r="T8" i="4"/>
  <c r="S8" i="4"/>
  <c r="Q8" i="4"/>
  <c r="N8" i="4"/>
  <c r="M8" i="4"/>
  <c r="K8" i="4"/>
  <c r="K7" i="4" s="1"/>
  <c r="J8" i="4"/>
  <c r="I8" i="4"/>
  <c r="H8" i="4"/>
  <c r="H7" i="4" s="1"/>
  <c r="H42" i="4" s="1"/>
  <c r="G8" i="4"/>
  <c r="S7" i="4"/>
  <c r="S42" i="4" s="1"/>
  <c r="AQ6" i="4"/>
  <c r="I6" i="4"/>
  <c r="L47" i="3"/>
  <c r="G47" i="3"/>
  <c r="I47" i="3" s="1"/>
  <c r="M47" i="3" s="1"/>
  <c r="L46" i="3"/>
  <c r="L45" i="3" s="1"/>
  <c r="I46" i="3"/>
  <c r="G46" i="3"/>
  <c r="K45" i="3"/>
  <c r="J45" i="3"/>
  <c r="H45" i="3"/>
  <c r="G45" i="3"/>
  <c r="D12" i="1" s="1"/>
  <c r="L44" i="3"/>
  <c r="K44" i="3"/>
  <c r="J44" i="3"/>
  <c r="H44" i="3"/>
  <c r="G44" i="3"/>
  <c r="I44" i="3" s="1"/>
  <c r="I42" i="3" s="1"/>
  <c r="L43" i="3"/>
  <c r="K43" i="3"/>
  <c r="J43" i="3"/>
  <c r="H43" i="3"/>
  <c r="G43" i="3"/>
  <c r="I43" i="3" s="1"/>
  <c r="M43" i="3" s="1"/>
  <c r="K42" i="3"/>
  <c r="J42" i="3"/>
  <c r="H42" i="3"/>
  <c r="G42" i="3"/>
  <c r="K41" i="3"/>
  <c r="L41" i="3" s="1"/>
  <c r="J41" i="3"/>
  <c r="H41" i="3"/>
  <c r="I41" i="3" s="1"/>
  <c r="G41" i="3"/>
  <c r="K40" i="3"/>
  <c r="J40" i="3"/>
  <c r="L40" i="3" s="1"/>
  <c r="H40" i="3"/>
  <c r="G40" i="3"/>
  <c r="G39" i="3" s="1"/>
  <c r="K39" i="3"/>
  <c r="J39" i="3"/>
  <c r="J37" i="3"/>
  <c r="L37" i="3" s="1"/>
  <c r="G37" i="3"/>
  <c r="I37" i="3" s="1"/>
  <c r="J36" i="3"/>
  <c r="L36" i="3" s="1"/>
  <c r="M36" i="3" s="1"/>
  <c r="I36" i="3"/>
  <c r="G36" i="3"/>
  <c r="L35" i="3"/>
  <c r="J35" i="3"/>
  <c r="G35" i="3"/>
  <c r="I35" i="3" s="1"/>
  <c r="J34" i="3"/>
  <c r="L34" i="3" s="1"/>
  <c r="M34" i="3" s="1"/>
  <c r="I34" i="3"/>
  <c r="G34" i="3"/>
  <c r="J33" i="3"/>
  <c r="L33" i="3" s="1"/>
  <c r="M33" i="3" s="1"/>
  <c r="I33" i="3"/>
  <c r="G33" i="3"/>
  <c r="K32" i="3"/>
  <c r="J32" i="3"/>
  <c r="L32" i="3" s="1"/>
  <c r="M32" i="3" s="1"/>
  <c r="H32" i="3"/>
  <c r="G32" i="3"/>
  <c r="I32" i="3" s="1"/>
  <c r="K31" i="3"/>
  <c r="J31" i="3"/>
  <c r="L31" i="3" s="1"/>
  <c r="M31" i="3" s="1"/>
  <c r="I31" i="3"/>
  <c r="H31" i="3"/>
  <c r="G31" i="3"/>
  <c r="K30" i="3"/>
  <c r="L30" i="3" s="1"/>
  <c r="M30" i="3" s="1"/>
  <c r="J30" i="3"/>
  <c r="H30" i="3"/>
  <c r="I30" i="3" s="1"/>
  <c r="G30" i="3"/>
  <c r="K29" i="3"/>
  <c r="K28" i="3" s="1"/>
  <c r="J29" i="3"/>
  <c r="H29" i="3"/>
  <c r="H28" i="3" s="1"/>
  <c r="G29" i="3"/>
  <c r="G28" i="3" s="1"/>
  <c r="K27" i="3"/>
  <c r="J27" i="3"/>
  <c r="L27" i="3" s="1"/>
  <c r="G27" i="3"/>
  <c r="I27" i="3" s="1"/>
  <c r="K26" i="3"/>
  <c r="J26" i="3"/>
  <c r="L26" i="3" s="1"/>
  <c r="M26" i="3" s="1"/>
  <c r="H26" i="3"/>
  <c r="G26" i="3"/>
  <c r="I26" i="3" s="1"/>
  <c r="J25" i="3"/>
  <c r="L25" i="3" s="1"/>
  <c r="M25" i="3" s="1"/>
  <c r="I25" i="3"/>
  <c r="G25" i="3"/>
  <c r="J24" i="3"/>
  <c r="L24" i="3" s="1"/>
  <c r="G24" i="3"/>
  <c r="I24" i="3" s="1"/>
  <c r="J23" i="3"/>
  <c r="J20" i="3" s="1"/>
  <c r="G23" i="3"/>
  <c r="I23" i="3" s="1"/>
  <c r="L22" i="3"/>
  <c r="J22" i="3"/>
  <c r="G22" i="3"/>
  <c r="I22" i="3" s="1"/>
  <c r="M22" i="3" s="1"/>
  <c r="J21" i="3"/>
  <c r="L21" i="3" s="1"/>
  <c r="I21" i="3"/>
  <c r="I20" i="3" s="1"/>
  <c r="G21" i="3"/>
  <c r="G20" i="3" s="1"/>
  <c r="K20" i="3"/>
  <c r="H20" i="3"/>
  <c r="H13" i="3" s="1"/>
  <c r="K19" i="3"/>
  <c r="J19" i="3"/>
  <c r="L19" i="3" s="1"/>
  <c r="M19" i="3" s="1"/>
  <c r="H19" i="3"/>
  <c r="G19" i="3"/>
  <c r="I19" i="3" s="1"/>
  <c r="J18" i="3"/>
  <c r="L18" i="3" s="1"/>
  <c r="M18" i="3" s="1"/>
  <c r="I18" i="3"/>
  <c r="G18" i="3"/>
  <c r="J17" i="3"/>
  <c r="L17" i="3" s="1"/>
  <c r="G17" i="3"/>
  <c r="I17" i="3" s="1"/>
  <c r="J16" i="3"/>
  <c r="L16" i="3" s="1"/>
  <c r="G16" i="3"/>
  <c r="I16" i="3" s="1"/>
  <c r="L15" i="3"/>
  <c r="J15" i="3"/>
  <c r="J14" i="3" s="1"/>
  <c r="G15" i="3"/>
  <c r="I15" i="3" s="1"/>
  <c r="I14" i="3" s="1"/>
  <c r="K14" i="3"/>
  <c r="H14" i="3"/>
  <c r="K12" i="3"/>
  <c r="J12" i="3"/>
  <c r="L12" i="3" s="1"/>
  <c r="H12" i="3"/>
  <c r="H8" i="3" s="1"/>
  <c r="G12" i="3"/>
  <c r="I12" i="3" s="1"/>
  <c r="K11" i="3"/>
  <c r="J11" i="3"/>
  <c r="L11" i="3" s="1"/>
  <c r="M11" i="3" s="1"/>
  <c r="H11" i="3"/>
  <c r="G11" i="3"/>
  <c r="I11" i="3" s="1"/>
  <c r="J10" i="3"/>
  <c r="L10" i="3" s="1"/>
  <c r="G10" i="3"/>
  <c r="G8" i="3" s="1"/>
  <c r="K9" i="3"/>
  <c r="K8" i="3" s="1"/>
  <c r="J9" i="3"/>
  <c r="I9" i="3"/>
  <c r="H9" i="3"/>
  <c r="G9" i="3"/>
  <c r="I6" i="3"/>
  <c r="J10" i="2"/>
  <c r="I10" i="2"/>
  <c r="I8" i="2" s="1"/>
  <c r="I11" i="2" s="1"/>
  <c r="I12" i="2" s="1"/>
  <c r="F26" i="2" s="1"/>
  <c r="G10" i="2"/>
  <c r="F10" i="2"/>
  <c r="G9" i="2"/>
  <c r="G8" i="2" s="1"/>
  <c r="H8" i="2"/>
  <c r="F8" i="2"/>
  <c r="E8" i="2"/>
  <c r="I7" i="2"/>
  <c r="E7" i="2"/>
  <c r="G6" i="2"/>
  <c r="E30" i="1"/>
  <c r="D30" i="1"/>
  <c r="E28" i="1"/>
  <c r="E12" i="1"/>
  <c r="F12" i="1" s="1"/>
  <c r="AF42" i="4" l="1"/>
  <c r="M37" i="3"/>
  <c r="I39" i="4"/>
  <c r="T6" i="4"/>
  <c r="T44" i="4" s="1"/>
  <c r="W6" i="4"/>
  <c r="AV38" i="4"/>
  <c r="O7" i="4"/>
  <c r="O42" i="4" s="1"/>
  <c r="AS13" i="4"/>
  <c r="AS7" i="4" s="1"/>
  <c r="AV35" i="4"/>
  <c r="P7" i="4"/>
  <c r="P42" i="4" s="1"/>
  <c r="M17" i="3"/>
  <c r="L14" i="3"/>
  <c r="U29" i="7"/>
  <c r="G29" i="8" s="1"/>
  <c r="F29" i="8"/>
  <c r="AV28" i="4"/>
  <c r="M44" i="3"/>
  <c r="AU35" i="4"/>
  <c r="AS35" i="4"/>
  <c r="I13" i="3"/>
  <c r="D9" i="1" s="1"/>
  <c r="U7" i="4"/>
  <c r="U42" i="4" s="1"/>
  <c r="H7" i="3"/>
  <c r="H48" i="3" s="1"/>
  <c r="H49" i="3" s="1"/>
  <c r="X7" i="4"/>
  <c r="X42" i="4" s="1"/>
  <c r="M12" i="3"/>
  <c r="J9" i="2"/>
  <c r="J8" i="2" s="1"/>
  <c r="M41" i="3"/>
  <c r="F30" i="1"/>
  <c r="L39" i="3"/>
  <c r="AU13" i="4"/>
  <c r="AV41" i="4"/>
  <c r="R35" i="4"/>
  <c r="R33" i="4" s="1"/>
  <c r="M15" i="3"/>
  <c r="Y7" i="4"/>
  <c r="Y42" i="4" s="1"/>
  <c r="AQ7" i="4"/>
  <c r="AR36" i="4"/>
  <c r="T12" i="8"/>
  <c r="I15" i="8"/>
  <c r="I35" i="8" s="1"/>
  <c r="I36" i="8"/>
  <c r="R36" i="8"/>
  <c r="AT25" i="4"/>
  <c r="AV25" i="4" s="1"/>
  <c r="AS25" i="4"/>
  <c r="AS38" i="4"/>
  <c r="AS36" i="4" s="1"/>
  <c r="L7" i="4"/>
  <c r="L42" i="4" s="1"/>
  <c r="Q34" i="7"/>
  <c r="H35" i="8"/>
  <c r="H41" i="8" s="1"/>
  <c r="I11" i="8" s="1"/>
  <c r="I29" i="3"/>
  <c r="I28" i="3" s="1"/>
  <c r="M35" i="3"/>
  <c r="L42" i="3"/>
  <c r="M42" i="3" s="1"/>
  <c r="J7" i="4"/>
  <c r="J42" i="4" s="1"/>
  <c r="AG13" i="4"/>
  <c r="AG7" i="4" s="1"/>
  <c r="G13" i="4"/>
  <c r="G7" i="4" s="1"/>
  <c r="G42" i="4" s="1"/>
  <c r="G44" i="4" s="1"/>
  <c r="J6" i="4" s="1"/>
  <c r="AG34" i="4"/>
  <c r="AG33" i="4" s="1"/>
  <c r="O36" i="4"/>
  <c r="AT40" i="4"/>
  <c r="AV15" i="4"/>
  <c r="AV14" i="4" s="1"/>
  <c r="AU36" i="4"/>
  <c r="H39" i="3"/>
  <c r="F7" i="2"/>
  <c r="F11" i="2" s="1"/>
  <c r="F12" i="2" s="1"/>
  <c r="E26" i="2" s="1"/>
  <c r="G26" i="2" s="1"/>
  <c r="K42" i="4"/>
  <c r="R8" i="4"/>
  <c r="R7" i="4" s="1"/>
  <c r="R42" i="4" s="1"/>
  <c r="AS40" i="4"/>
  <c r="AQ39" i="4"/>
  <c r="AU39" i="4"/>
  <c r="J35" i="8"/>
  <c r="M21" i="3"/>
  <c r="AT28" i="4"/>
  <c r="G39" i="4"/>
  <c r="G34" i="7"/>
  <c r="K13" i="3"/>
  <c r="E25" i="1" s="1"/>
  <c r="K36" i="8"/>
  <c r="K15" i="8"/>
  <c r="K35" i="8" s="1"/>
  <c r="AV37" i="4"/>
  <c r="AV36" i="4" s="1"/>
  <c r="AS41" i="4"/>
  <c r="U36" i="7"/>
  <c r="G37" i="8" s="1"/>
  <c r="J15" i="8"/>
  <c r="J36" i="8"/>
  <c r="O34" i="7"/>
  <c r="I7" i="4"/>
  <c r="L14" i="4"/>
  <c r="L13" i="4" s="1"/>
  <c r="L29" i="3"/>
  <c r="I45" i="3"/>
  <c r="M45" i="3"/>
  <c r="T13" i="4"/>
  <c r="T7" i="4" s="1"/>
  <c r="T42" i="4" s="1"/>
  <c r="I34" i="4"/>
  <c r="M35" i="7"/>
  <c r="T16" i="7"/>
  <c r="U27" i="7"/>
  <c r="G27" i="8" s="1"/>
  <c r="AA7" i="4"/>
  <c r="AA42" i="4" s="1"/>
  <c r="G14" i="3"/>
  <c r="G13" i="3" s="1"/>
  <c r="G7" i="3" s="1"/>
  <c r="G48" i="3" s="1"/>
  <c r="G49" i="3" s="1"/>
  <c r="I40" i="3"/>
  <c r="M40" i="3" s="1"/>
  <c r="M46" i="3"/>
  <c r="AD8" i="4"/>
  <c r="AD7" i="4" s="1"/>
  <c r="AD42" i="4" s="1"/>
  <c r="AL13" i="4"/>
  <c r="K33" i="4"/>
  <c r="AP34" i="4"/>
  <c r="AP33" i="4" s="1"/>
  <c r="O40" i="4"/>
  <c r="O39" i="4" s="1"/>
  <c r="N15" i="8"/>
  <c r="N35" i="8" s="1"/>
  <c r="D28" i="1"/>
  <c r="F28" i="1" s="1"/>
  <c r="J7" i="2"/>
  <c r="E11" i="2"/>
  <c r="E12" i="2" s="1"/>
  <c r="I10" i="3"/>
  <c r="I8" i="3" s="1"/>
  <c r="AL7" i="4"/>
  <c r="AL42" i="4" s="1"/>
  <c r="V13" i="4"/>
  <c r="V7" i="4" s="1"/>
  <c r="V42" i="4" s="1"/>
  <c r="AQ33" i="4"/>
  <c r="AT34" i="4"/>
  <c r="O15" i="8"/>
  <c r="O35" i="8" s="1"/>
  <c r="T19" i="8"/>
  <c r="U19" i="8" s="1"/>
  <c r="H7" i="2"/>
  <c r="H11" i="2" s="1"/>
  <c r="M16" i="3"/>
  <c r="L23" i="3"/>
  <c r="M23" i="3" s="1"/>
  <c r="M27" i="3"/>
  <c r="AR34" i="4"/>
  <c r="AR33" i="4" s="1"/>
  <c r="AR42" i="4" s="1"/>
  <c r="P15" i="8"/>
  <c r="P35" i="8" s="1"/>
  <c r="AN7" i="4"/>
  <c r="AN42" i="4" s="1"/>
  <c r="AM13" i="4"/>
  <c r="AM7" i="4" s="1"/>
  <c r="AM42" i="4" s="1"/>
  <c r="N33" i="4"/>
  <c r="N42" i="4" s="1"/>
  <c r="N44" i="4" s="1"/>
  <c r="Q15" i="8"/>
  <c r="Q35" i="8" s="1"/>
  <c r="F19" i="8"/>
  <c r="Z7" i="4"/>
  <c r="Z42" i="4" s="1"/>
  <c r="I14" i="4"/>
  <c r="I13" i="4" s="1"/>
  <c r="J8" i="3"/>
  <c r="L20" i="3"/>
  <c r="M20" i="3" s="1"/>
  <c r="M24" i="3"/>
  <c r="W7" i="4"/>
  <c r="W42" i="4" s="1"/>
  <c r="AO7" i="4"/>
  <c r="AO42" i="4" s="1"/>
  <c r="H43" i="4"/>
  <c r="H44" i="4" s="1"/>
  <c r="K6" i="4" s="1"/>
  <c r="K44" i="4" s="1"/>
  <c r="N15" i="7"/>
  <c r="N34" i="7" s="1"/>
  <c r="N40" i="7" s="1"/>
  <c r="O11" i="7" s="1"/>
  <c r="O40" i="7" s="1"/>
  <c r="P11" i="7" s="1"/>
  <c r="P40" i="7" s="1"/>
  <c r="Q11" i="7" s="1"/>
  <c r="Q40" i="7" s="1"/>
  <c r="R11" i="7" s="1"/>
  <c r="R40" i="7" s="1"/>
  <c r="S11" i="7" s="1"/>
  <c r="S40" i="7" s="1"/>
  <c r="AJ28" i="4"/>
  <c r="AJ13" i="4" s="1"/>
  <c r="AJ7" i="4" s="1"/>
  <c r="AJ42" i="4" s="1"/>
  <c r="AM28" i="4"/>
  <c r="L9" i="3"/>
  <c r="J28" i="3"/>
  <c r="J13" i="3" s="1"/>
  <c r="D25" i="1" s="1"/>
  <c r="AP7" i="4"/>
  <c r="AP42" i="4" s="1"/>
  <c r="O15" i="7"/>
  <c r="S15" i="7"/>
  <c r="S34" i="7" s="1"/>
  <c r="H15" i="8"/>
  <c r="H36" i="8"/>
  <c r="T16" i="8"/>
  <c r="G38" i="3"/>
  <c r="I38" i="3" s="1"/>
  <c r="J38" i="3"/>
  <c r="L38" i="3" s="1"/>
  <c r="M38" i="3" s="1"/>
  <c r="AU8" i="4"/>
  <c r="AU7" i="4" s="1"/>
  <c r="J6" i="3" l="1"/>
  <c r="E20" i="2"/>
  <c r="D15" i="1"/>
  <c r="J44" i="4"/>
  <c r="M6" i="4" s="1"/>
  <c r="L6" i="4"/>
  <c r="L44" i="4" s="1"/>
  <c r="AT33" i="4"/>
  <c r="H6" i="2"/>
  <c r="H12" i="2" s="1"/>
  <c r="F25" i="2" s="1"/>
  <c r="E25" i="2"/>
  <c r="AS39" i="4"/>
  <c r="E21" i="2"/>
  <c r="E29" i="2" s="1"/>
  <c r="K6" i="3"/>
  <c r="AQ42" i="4"/>
  <c r="AQ44" i="4" s="1"/>
  <c r="D7" i="1"/>
  <c r="D11" i="1" s="1"/>
  <c r="D13" i="1" s="1"/>
  <c r="E6" i="1" s="1"/>
  <c r="I7" i="3"/>
  <c r="U12" i="8"/>
  <c r="AG42" i="4"/>
  <c r="F16" i="8"/>
  <c r="U16" i="7"/>
  <c r="G16" i="8" s="1"/>
  <c r="T15" i="7"/>
  <c r="T35" i="7"/>
  <c r="W44" i="4"/>
  <c r="AO6" i="4" s="1"/>
  <c r="AO44" i="4" s="1"/>
  <c r="I41" i="8"/>
  <c r="J11" i="8" s="1"/>
  <c r="J41" i="8" s="1"/>
  <c r="K11" i="8" s="1"/>
  <c r="K41" i="8" s="1"/>
  <c r="L11" i="8" s="1"/>
  <c r="L41" i="8" s="1"/>
  <c r="M11" i="8" s="1"/>
  <c r="M41" i="8" s="1"/>
  <c r="N11" i="8" s="1"/>
  <c r="N41" i="8" s="1"/>
  <c r="O11" i="8" s="1"/>
  <c r="O41" i="8" s="1"/>
  <c r="P11" i="8" s="1"/>
  <c r="P41" i="8" s="1"/>
  <c r="Q11" i="8" s="1"/>
  <c r="Q41" i="8" s="1"/>
  <c r="R11" i="8" s="1"/>
  <c r="R41" i="8" s="1"/>
  <c r="S11" i="8" s="1"/>
  <c r="S41" i="8" s="1"/>
  <c r="AI6" i="4"/>
  <c r="AI44" i="4" s="1"/>
  <c r="AF6" i="4"/>
  <c r="AF44" i="4" s="1"/>
  <c r="Z6" i="4"/>
  <c r="Z44" i="4" s="1"/>
  <c r="AR6" i="4" s="1"/>
  <c r="AC6" i="4"/>
  <c r="AC44" i="4" s="1"/>
  <c r="AU6" i="4" s="1"/>
  <c r="AL6" i="4"/>
  <c r="AL44" i="4" s="1"/>
  <c r="G7" i="2"/>
  <c r="G11" i="2" s="1"/>
  <c r="G12" i="2" s="1"/>
  <c r="I39" i="3"/>
  <c r="M39" i="3" s="1"/>
  <c r="M14" i="3"/>
  <c r="AV13" i="4"/>
  <c r="AV7" i="4" s="1"/>
  <c r="J11" i="2"/>
  <c r="M10" i="3"/>
  <c r="L8" i="3"/>
  <c r="M9" i="3"/>
  <c r="M8" i="3" s="1"/>
  <c r="U16" i="8"/>
  <c r="T15" i="8"/>
  <c r="U15" i="8" s="1"/>
  <c r="T36" i="8"/>
  <c r="U36" i="8" s="1"/>
  <c r="AU34" i="4"/>
  <c r="AU33" i="4" s="1"/>
  <c r="AU42" i="4" s="1"/>
  <c r="I33" i="4"/>
  <c r="I42" i="4" s="1"/>
  <c r="I44" i="4" s="1"/>
  <c r="I43" i="4"/>
  <c r="AS43" i="4" s="1"/>
  <c r="J7" i="3"/>
  <c r="J48" i="3" s="1"/>
  <c r="D24" i="1"/>
  <c r="D26" i="1" s="1"/>
  <c r="AS34" i="4"/>
  <c r="AS33" i="4" s="1"/>
  <c r="AS42" i="4" s="1"/>
  <c r="M29" i="3"/>
  <c r="L28" i="3"/>
  <c r="M28" i="3" s="1"/>
  <c r="AT39" i="4"/>
  <c r="AV40" i="4"/>
  <c r="AV39" i="4" s="1"/>
  <c r="K7" i="3"/>
  <c r="AT13" i="4"/>
  <c r="AT7" i="4" s="1"/>
  <c r="AT42" i="4" s="1"/>
  <c r="AR44" i="4" l="1"/>
  <c r="AS6" i="4"/>
  <c r="AS44" i="4" s="1"/>
  <c r="I48" i="3"/>
  <c r="I49" i="3" s="1"/>
  <c r="E24" i="2" s="1"/>
  <c r="F6" i="1"/>
  <c r="AV6" i="4"/>
  <c r="AU44" i="4"/>
  <c r="F36" i="8"/>
  <c r="U35" i="7"/>
  <c r="G36" i="8" s="1"/>
  <c r="AV34" i="4"/>
  <c r="AV33" i="4" s="1"/>
  <c r="AV42" i="4" s="1"/>
  <c r="G25" i="2"/>
  <c r="K48" i="3"/>
  <c r="K49" i="3" s="1"/>
  <c r="E24" i="1"/>
  <c r="E26" i="1" s="1"/>
  <c r="F15" i="8"/>
  <c r="U15" i="7"/>
  <c r="G15" i="8" s="1"/>
  <c r="T34" i="7"/>
  <c r="E7" i="1"/>
  <c r="F24" i="1"/>
  <c r="M44" i="4"/>
  <c r="P6" i="4" s="1"/>
  <c r="O6" i="4"/>
  <c r="O44" i="4" s="1"/>
  <c r="E23" i="1"/>
  <c r="D16" i="1"/>
  <c r="J6" i="2"/>
  <c r="J12" i="2" s="1"/>
  <c r="F27" i="2" s="1"/>
  <c r="E27" i="2"/>
  <c r="L13" i="3"/>
  <c r="E28" i="2"/>
  <c r="T35" i="8"/>
  <c r="D23" i="1"/>
  <c r="D27" i="1" s="1"/>
  <c r="D29" i="1" s="1"/>
  <c r="L6" i="3"/>
  <c r="J49" i="3"/>
  <c r="E31" i="1" l="1"/>
  <c r="F21" i="2"/>
  <c r="E9" i="1"/>
  <c r="F9" i="1" s="1"/>
  <c r="M13" i="3"/>
  <c r="F25" i="1"/>
  <c r="F26" i="1" s="1"/>
  <c r="G27" i="2"/>
  <c r="E27" i="1"/>
  <c r="E29" i="1" s="1"/>
  <c r="E30" i="2"/>
  <c r="E31" i="2" s="1"/>
  <c r="D31" i="1"/>
  <c r="F20" i="2"/>
  <c r="F7" i="1"/>
  <c r="E11" i="1"/>
  <c r="U35" i="8"/>
  <c r="T41" i="8"/>
  <c r="R6" i="4"/>
  <c r="R44" i="4" s="1"/>
  <c r="P44" i="4"/>
  <c r="S6" i="4" s="1"/>
  <c r="L7" i="3"/>
  <c r="M6" i="3"/>
  <c r="G6" i="1"/>
  <c r="F23" i="1"/>
  <c r="F35" i="8"/>
  <c r="T40" i="7"/>
  <c r="U34" i="7"/>
  <c r="G35" i="8" s="1"/>
  <c r="L48" i="3" l="1"/>
  <c r="M7" i="3"/>
  <c r="G21" i="2"/>
  <c r="F29" i="2"/>
  <c r="G29" i="2" s="1"/>
  <c r="F11" i="1"/>
  <c r="G20" i="2"/>
  <c r="H20" i="2" s="1"/>
  <c r="F28" i="2"/>
  <c r="F27" i="1"/>
  <c r="F29" i="1" s="1"/>
  <c r="U6" i="4"/>
  <c r="U44" i="4" s="1"/>
  <c r="S44" i="4"/>
  <c r="V6" i="4" s="1"/>
  <c r="V44" i="4" l="1"/>
  <c r="Y6" i="4" s="1"/>
  <c r="X6" i="4"/>
  <c r="X44" i="4" s="1"/>
  <c r="G28" i="2"/>
  <c r="M48" i="3"/>
  <c r="L49" i="3"/>
  <c r="E15" i="1" l="1"/>
  <c r="G13" i="1"/>
  <c r="F24" i="2"/>
  <c r="M49" i="3"/>
  <c r="F31" i="1"/>
  <c r="Y44" i="4"/>
  <c r="AB6" i="4" s="1"/>
  <c r="AA6" i="4"/>
  <c r="AA44" i="4" s="1"/>
  <c r="AB44" i="4" l="1"/>
  <c r="AE6" i="4" s="1"/>
  <c r="AD6" i="4"/>
  <c r="AD44" i="4" s="1"/>
  <c r="F30" i="2"/>
  <c r="G24" i="2"/>
  <c r="G30" i="2" l="1"/>
  <c r="D18" i="2" s="1"/>
  <c r="E13" i="1"/>
  <c r="AB45" i="4" s="1"/>
  <c r="F31" i="2"/>
  <c r="AG6" i="4"/>
  <c r="AG44" i="4" s="1"/>
  <c r="AE44" i="4"/>
  <c r="AH6" i="4" s="1"/>
  <c r="AJ6" i="4" l="1"/>
  <c r="AJ44" i="4" s="1"/>
  <c r="AH44" i="4"/>
  <c r="AK6" i="4" s="1"/>
  <c r="F13" i="1"/>
  <c r="D2" i="1"/>
  <c r="E16" i="1"/>
  <c r="AK44" i="4" l="1"/>
  <c r="AN6" i="4" s="1"/>
  <c r="AM6" i="4"/>
  <c r="AM44" i="4" s="1"/>
  <c r="AN44" i="4" l="1"/>
  <c r="AP6" i="4"/>
  <c r="AP44" i="4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IJH</author>
  </authors>
  <commentList>
    <comment ref="J27" authorId="0" shapeId="0" xr:uid="{00000000-0006-0000-0300-000001000000}">
      <text>
        <r>
          <rPr>
            <sz val="11"/>
            <color theme="1"/>
            <rFont val="맑은 고딕"/>
            <family val="2"/>
            <scheme val="minor"/>
          </rPr>
          <t>IJH:
카탈리스터 
미국법인 출자금
($5,000)</t>
        </r>
      </text>
    </comment>
    <comment ref="M27" authorId="0" shapeId="0" xr:uid="{00000000-0006-0000-0300-000002000000}">
      <text>
        <r>
          <rPr>
            <sz val="11"/>
            <color theme="1"/>
            <rFont val="맑은 고딕"/>
            <family val="2"/>
            <scheme val="minor"/>
          </rPr>
          <t>IJH:
에이탑유니버스
- 버추얼아이돌 육성 pjt
투자금</t>
        </r>
      </text>
    </comment>
    <comment ref="V43" authorId="0" shapeId="0" xr:uid="{00000000-0006-0000-0300-000003000000}">
      <text>
        <r>
          <rPr>
            <sz val="11"/>
            <color theme="1"/>
            <rFont val="맑은 고딕"/>
            <family val="2"/>
            <scheme val="minor"/>
          </rPr>
          <t>IJH:
정기예금 3억 만기해지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IJH</author>
  </authors>
  <commentList>
    <comment ref="I1" authorId="0" shapeId="0" xr:uid="{00000000-0006-0000-0500-000001000000}">
      <text>
        <r>
          <rPr>
            <sz val="11"/>
            <color theme="1"/>
            <rFont val="맑은 고딕"/>
            <family val="2"/>
            <scheme val="minor"/>
          </rPr>
          <t>IJH:
전월말일 최초매매기준율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IJH</author>
  </authors>
  <commentList>
    <comment ref="L13" authorId="0" shapeId="0" xr:uid="{00000000-0006-0000-0600-000001000000}">
      <text>
        <r>
          <rPr>
            <sz val="11"/>
            <color theme="1"/>
            <rFont val="맑은 고딕"/>
            <family val="2"/>
            <scheme val="minor"/>
          </rPr>
          <t>IJH:
- 2022-23 단체상해보험료 환급금: 4.3백만
- 25년 1기 부가세 환급금 2백만</t>
        </r>
      </text>
    </comment>
    <comment ref="M13" authorId="0" shapeId="0" xr:uid="{00000000-0006-0000-0600-000002000000}">
      <text>
        <r>
          <rPr>
            <sz val="11"/>
            <color theme="1"/>
            <rFont val="맑은 고딕"/>
            <family val="2"/>
            <scheme val="minor"/>
          </rPr>
          <t>IJH:
정기예금 만기해지 이자, 결산이자 등 입금: 7백만</t>
        </r>
      </text>
    </comment>
    <comment ref="O13" authorId="0" shapeId="0" xr:uid="{00000000-0006-0000-0600-000003000000}">
      <text>
        <r>
          <rPr>
            <sz val="11"/>
            <color theme="1"/>
            <rFont val="맑은 고딕"/>
            <family val="2"/>
            <scheme val="minor"/>
          </rPr>
          <t>IJH:
1기 확정 부가세 환급
(+2.3백만원)</t>
        </r>
      </text>
    </comment>
    <comment ref="P13" authorId="0" shapeId="0" xr:uid="{00000000-0006-0000-0600-000004000000}">
      <text>
        <r>
          <rPr>
            <sz val="11"/>
            <color theme="1"/>
            <rFont val="맑은 고딕"/>
            <family val="2"/>
            <scheme val="minor"/>
          </rPr>
          <t>IJH:
정기예금 3억원
만기해지 이자 3.6백만원</t>
        </r>
      </text>
    </comment>
    <comment ref="Q13" authorId="0" shapeId="0" xr:uid="{00000000-0006-0000-0600-000005000000}">
      <text>
        <r>
          <rPr>
            <sz val="11"/>
            <color theme="1"/>
            <rFont val="맑은 고딕"/>
            <family val="2"/>
            <scheme val="minor"/>
          </rPr>
          <t>IJH:
- 24년 임직원 보험료 
정산 환급금 2.2백만
(DB손해보험)</t>
        </r>
      </text>
    </comment>
    <comment ref="R13" authorId="0" shapeId="0" xr:uid="{00000000-0006-0000-0600-000006000000}">
      <text>
        <r>
          <rPr>
            <sz val="11"/>
            <color theme="1"/>
            <rFont val="맑은 고딕"/>
            <family val="2"/>
            <scheme val="minor"/>
          </rPr>
          <t>IJH:
- 25년 2기 예정 부가세 환급: 2.1백만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IJH</author>
  </authors>
  <commentList>
    <comment ref="I13" authorId="0" shapeId="0" xr:uid="{00000000-0006-0000-0700-000001000000}">
      <text>
        <r>
          <rPr>
            <sz val="11"/>
            <color theme="1"/>
            <rFont val="맑은 고딕"/>
            <family val="2"/>
            <scheme val="minor"/>
          </rPr>
          <t>IJH:
25년 2기 확정 부가세 환급금 1.3백만 등</t>
        </r>
      </text>
    </comment>
    <comment ref="K13" authorId="0" shapeId="0" xr:uid="{00000000-0006-0000-0700-000002000000}">
      <text>
        <r>
          <rPr>
            <sz val="11"/>
            <color theme="1"/>
            <rFont val="맑은 고딕"/>
            <family val="2"/>
            <scheme val="minor"/>
          </rPr>
          <t>IJH:
'25년도 법인세 환급금 
:15백만</t>
        </r>
      </text>
    </comment>
    <comment ref="M13" authorId="0" shapeId="0" xr:uid="{00000000-0006-0000-0700-000003000000}">
      <text>
        <r>
          <rPr>
            <sz val="11"/>
            <color theme="1"/>
            <rFont val="맑은 고딕"/>
            <family val="2"/>
            <scheme val="minor"/>
          </rPr>
          <t>IJH:
- 정기예금 만기해지 이자, 결산이자 등 입금: 6.4백만</t>
        </r>
      </text>
    </comment>
    <comment ref="O13" authorId="0" shapeId="0" xr:uid="{00000000-0006-0000-0700-000004000000}">
      <text>
        <r>
          <rPr>
            <sz val="11"/>
            <color theme="1"/>
            <rFont val="맑은 고딕"/>
            <family val="2"/>
            <scheme val="minor"/>
          </rPr>
          <t>IJH:
26년1기 확정 부가세 환급금 
(약 2.1백만)</t>
        </r>
      </text>
    </comment>
    <comment ref="K14" authorId="0" shapeId="0" xr:uid="{00000000-0006-0000-0700-000005000000}">
      <text>
        <r>
          <rPr>
            <sz val="11"/>
            <color theme="1"/>
            <rFont val="맑은 고딕"/>
            <family val="2"/>
            <scheme val="minor"/>
          </rPr>
          <t>IJH:
에이탑유니버스
자산양수도대금 15.4백만</t>
        </r>
      </text>
    </comment>
    <comment ref="L14" authorId="0" shapeId="0" xr:uid="{00000000-0006-0000-0700-000006000000}">
      <text>
        <r>
          <rPr>
            <sz val="11"/>
            <color theme="1"/>
            <rFont val="맑은 고딕"/>
            <family val="2"/>
            <scheme val="minor"/>
          </rPr>
          <t>IJH:
노후장비 판매</t>
        </r>
      </text>
    </comment>
    <comment ref="J18" authorId="0" shapeId="0" xr:uid="{00000000-0006-0000-0700-000007000000}">
      <text>
        <r>
          <rPr>
            <sz val="11"/>
            <color theme="1"/>
            <rFont val="맑은 고딕"/>
            <family val="2"/>
            <scheme val="minor"/>
          </rPr>
          <t xml:space="preserve">IJH:
원천징수 환급세액 발생
약 1천만원
-&gt; 익월 납부금액과 상계
</t>
        </r>
      </text>
    </comment>
    <comment ref="P23" authorId="0" shapeId="0" xr:uid="{00000000-0006-0000-0700-000008000000}">
      <text>
        <r>
          <rPr>
            <sz val="11"/>
            <color theme="1"/>
            <rFont val="맑은 고딕"/>
            <family val="2"/>
            <scheme val="minor"/>
          </rPr>
          <t>IJH:
임직원 명절 상품권 0.6백만</t>
        </r>
      </text>
    </comment>
    <comment ref="I33" authorId="0" shapeId="0" xr:uid="{00000000-0006-0000-0700-000009000000}">
      <text>
        <r>
          <rPr>
            <sz val="11"/>
            <color theme="1"/>
            <rFont val="맑은 고딕"/>
            <family val="2"/>
            <scheme val="minor"/>
          </rPr>
          <t xml:space="preserve">IJH:
카탈리스터 미국법인 출자금($5,000)
</t>
        </r>
      </text>
    </comment>
    <comment ref="J33" authorId="0" shapeId="0" xr:uid="{00000000-0006-0000-0700-00000A000000}">
      <text>
        <r>
          <rPr>
            <sz val="11"/>
            <color theme="1"/>
            <rFont val="맑은 고딕"/>
            <family val="2"/>
            <scheme val="minor"/>
          </rPr>
          <t>IJH:
ATOP UNIVERSE
신주인수대금</t>
        </r>
      </text>
    </comment>
  </commentList>
</comments>
</file>

<file path=xl/sharedStrings.xml><?xml version="1.0" encoding="utf-8"?>
<sst xmlns="http://schemas.openxmlformats.org/spreadsheetml/2006/main" count="589" uniqueCount="280">
  <si>
    <t>1. 8월 자금수지(Flow)</t>
  </si>
  <si>
    <t>(단위 : 백만원)</t>
  </si>
  <si>
    <t>구분</t>
  </si>
  <si>
    <t>7월(a)</t>
  </si>
  <si>
    <t>8월(b)</t>
  </si>
  <si>
    <t>b - a</t>
  </si>
  <si>
    <t>비고</t>
  </si>
  <si>
    <t xml:space="preserve"> A. 기초잔고</t>
  </si>
  <si>
    <t xml:space="preserve"> B. 수입</t>
  </si>
  <si>
    <t>● 7월 : 복지포인트 2분기 상계금액 환급(7/10) 0.1백만, 서버비 정산금(7/31) 0.1백만</t>
  </si>
  <si>
    <t>○ 8월 : 텐센트클라우드 서비스 이용료 분담 0.1백만</t>
  </si>
  <si>
    <t xml:space="preserve"> C. 지출</t>
  </si>
  <si>
    <t>● 7월 : 260724임직원 급여-카탈리스터(7/24) 14.8백만, 260720직원경비(7/20) 8.7백만, 26년 1기 확정 부가가치세 납부(7/27) 3.7백만 등</t>
  </si>
  <si>
    <t>○ 8월 : 급여 15백만, 복지포인트 오프라인 결제금액 4백만, 근로소득세/지방소득세/종업원할사업소세 4백만 등</t>
  </si>
  <si>
    <t xml:space="preserve"> D. 자금수지차 (=B-C)</t>
  </si>
  <si>
    <t xml:space="preserve"> E. 자금조달</t>
  </si>
  <si>
    <t xml:space="preserve"> G. 기말잔고 (=A+D+E)</t>
  </si>
  <si>
    <t>2. 유동자금 계획</t>
  </si>
  <si>
    <t>(단위 : 백만원, 천$)</t>
  </si>
  <si>
    <t xml:space="preserve"> 구분 </t>
  </si>
  <si>
    <t>8월 계획</t>
  </si>
  <si>
    <t>원화</t>
  </si>
  <si>
    <t>외화($)</t>
  </si>
  <si>
    <t>환산 계</t>
  </si>
  <si>
    <t>A. 기초 유동잔고</t>
  </si>
  <si>
    <t xml:space="preserve">B. 수입 </t>
  </si>
  <si>
    <t>C. 지출</t>
  </si>
  <si>
    <t>D. 자금수지차 (=B-C)</t>
  </si>
  <si>
    <t xml:space="preserve">E. 자금과부족 (=A+D) </t>
  </si>
  <si>
    <t>F. 운용자금 활용(해지)</t>
  </si>
  <si>
    <t>G. 예치 전 기말 유동잔고(=E+F)</t>
  </si>
  <si>
    <t>H. 예치 자금(=G-K)</t>
  </si>
  <si>
    <t>I. 기말 유동잔고</t>
  </si>
  <si>
    <t>7월 실적</t>
  </si>
  <si>
    <t>A. 기초자금</t>
  </si>
  <si>
    <t>B. 해지(감소)</t>
  </si>
  <si>
    <t xml:space="preserve"> </t>
  </si>
  <si>
    <t>C. 금융기관예치</t>
  </si>
  <si>
    <t>　　</t>
  </si>
  <si>
    <t>재예치</t>
  </si>
  <si>
    <t>신규예치</t>
  </si>
  <si>
    <t>D. 운용자금 증감 (=C-B)</t>
  </si>
  <si>
    <t>E. 기말자금 (=A+D)</t>
  </si>
  <si>
    <t>4. 8월 말 자금(stock) :</t>
  </si>
  <si>
    <t>b – a</t>
  </si>
  <si>
    <t>A. 유동자금</t>
  </si>
  <si>
    <t xml:space="preserve"> ② 외화 : $ -천</t>
  </si>
  <si>
    <t xml:space="preserve">    · 수입 : -</t>
  </si>
  <si>
    <t xml:space="preserve">    · 지출 : -</t>
  </si>
  <si>
    <t>B. 운용자금</t>
  </si>
  <si>
    <t>C. 기말자금</t>
  </si>
  <si>
    <t xml:space="preserve">   (A+B)</t>
  </si>
  <si>
    <t xml:space="preserve"> 　환산 계</t>
  </si>
  <si>
    <t>달러화 비율</t>
  </si>
  <si>
    <t>Ⅱ. 유동자금 계획 세부 내역</t>
  </si>
  <si>
    <t>7월(실적)</t>
  </si>
  <si>
    <t>8월(계획)</t>
  </si>
  <si>
    <t>b-a</t>
  </si>
  <si>
    <t>환산계(a)</t>
  </si>
  <si>
    <t>환산계(b)</t>
  </si>
  <si>
    <t>A. 기초유동잔고</t>
  </si>
  <si>
    <t>B. 수지차(=수입-지출)</t>
  </si>
  <si>
    <t>수입</t>
  </si>
  <si>
    <t>매출</t>
  </si>
  <si>
    <t>∙7월 : 매출 0.1백만</t>
  </si>
  <si>
    <t>세금환급</t>
  </si>
  <si>
    <t>이자수익</t>
  </si>
  <si>
    <t>기타</t>
  </si>
  <si>
    <t>∙7월 : 기타 0.1백만</t>
  </si>
  <si>
    <t>지출</t>
  </si>
  <si>
    <t>인건비</t>
  </si>
  <si>
    <t>급여</t>
  </si>
  <si>
    <t>∙7월 : 급여 14.8백만</t>
  </si>
  <si>
    <t>상여</t>
  </si>
  <si>
    <t>퇴직연금</t>
  </si>
  <si>
    <t>∙7월 : 퇴직연금 1.9백만</t>
  </si>
  <si>
    <t>4대보험료</t>
  </si>
  <si>
    <t>∙7월 : 4대보험료 2.9백만</t>
  </si>
  <si>
    <t>마케팅비</t>
  </si>
  <si>
    <t>제세공과금</t>
  </si>
  <si>
    <t>법인세</t>
  </si>
  <si>
    <t>부가가치세</t>
  </si>
  <si>
    <t>∙7월 : 부가가치세 3.7백만</t>
  </si>
  <si>
    <t>원천세</t>
  </si>
  <si>
    <t>∙7월 : 원천세 3.9백만</t>
  </si>
  <si>
    <t>기타제세공과금</t>
  </si>
  <si>
    <t>지급이자</t>
  </si>
  <si>
    <t>자산매입</t>
  </si>
  <si>
    <t>투자금</t>
  </si>
  <si>
    <t>전산관련지출</t>
  </si>
  <si>
    <t>∙7월 : 전산관련지출 0.7백만</t>
  </si>
  <si>
    <t>개발 외주용역비</t>
  </si>
  <si>
    <t>경영, 업무지원, 운영용역비</t>
  </si>
  <si>
    <t>∙7월 : 경영, 업무지원, 운영용역비 3.3백만</t>
  </si>
  <si>
    <t>복리후생비</t>
  </si>
  <si>
    <t>∙7월 : 복리후생비 0.2백만</t>
  </si>
  <si>
    <t>식당, 카페 등 운영비</t>
  </si>
  <si>
    <t>직원비용, 복지포인트</t>
  </si>
  <si>
    <t>∙7월 : 직원비용, 복지포인트 8.7백만</t>
  </si>
  <si>
    <t>임차료, 관리비</t>
  </si>
  <si>
    <t>∙7월 : 임차료, 관리비 0.9백만</t>
  </si>
  <si>
    <t>지급수수료</t>
  </si>
  <si>
    <t>통신비등</t>
  </si>
  <si>
    <t>∙7월 : 통신비등 0.2백만</t>
  </si>
  <si>
    <t>C. 운용자금 입지출(=해지-예치)</t>
  </si>
  <si>
    <t>해지(입금)</t>
  </si>
  <si>
    <t>예치(지출)</t>
  </si>
  <si>
    <t>D. FX</t>
  </si>
  <si>
    <t>입금</t>
  </si>
  <si>
    <t>출금</t>
  </si>
  <si>
    <t>E. 조달</t>
  </si>
  <si>
    <t>F. 유동자금 증감(=B+C+D+E)</t>
  </si>
  <si>
    <t>G. 기말유동잔고(=A+F)</t>
  </si>
  <si>
    <t>Ⅱ. 연간 자금수지</t>
  </si>
  <si>
    <t>1월</t>
  </si>
  <si>
    <t>2월</t>
  </si>
  <si>
    <t>3월</t>
  </si>
  <si>
    <t>4월</t>
  </si>
  <si>
    <t>5월</t>
  </si>
  <si>
    <t>6월</t>
  </si>
  <si>
    <t>7월</t>
  </si>
  <si>
    <t>8월</t>
  </si>
  <si>
    <t>9월</t>
  </si>
  <si>
    <t>10월</t>
  </si>
  <si>
    <t>11월</t>
  </si>
  <si>
    <t>12월</t>
  </si>
  <si>
    <t>합계</t>
  </si>
  <si>
    <t>평균</t>
  </si>
  <si>
    <t>A. 기초잔고</t>
  </si>
  <si>
    <t>세금 환급</t>
  </si>
  <si>
    <t>G. 운용자금 증감</t>
  </si>
  <si>
    <t>운용자금 증감</t>
  </si>
  <si>
    <t xml:space="preserve"> H. 기말잔고(=A+G+F)</t>
  </si>
  <si>
    <t>6월 자금실적</t>
  </si>
  <si>
    <t>USD</t>
  </si>
  <si>
    <t>업체명</t>
  </si>
  <si>
    <t>적요</t>
  </si>
  <si>
    <t>통화</t>
  </si>
  <si>
    <t>외화금액</t>
  </si>
  <si>
    <t>기타지출</t>
  </si>
  <si>
    <t>하나은행</t>
  </si>
  <si>
    <t>잔액증명서발급수수료(7/1)</t>
  </si>
  <si>
    <t>KRW</t>
  </si>
  <si>
    <t>금천세무서</t>
  </si>
  <si>
    <t>2026년 6월 근로소득세 원천징수(7/9)</t>
  </si>
  <si>
    <t>금천구청</t>
  </si>
  <si>
    <t>2026년 6월 근로소득주민세 원천징수(7/9)</t>
  </si>
  <si>
    <t>4대보험</t>
  </si>
  <si>
    <t>건강보험공단</t>
  </si>
  <si>
    <t>건강보험료(7/10)</t>
  </si>
  <si>
    <t>국민연금공단</t>
  </si>
  <si>
    <t>국민연금 보험료(7/10)</t>
  </si>
  <si>
    <t>고용보험공단</t>
  </si>
  <si>
    <t>고용보험료(7/10)</t>
  </si>
  <si>
    <t>산재보험료(7/10)</t>
  </si>
  <si>
    <t>기타입금</t>
  </si>
  <si>
    <t>㈜비즈마켓</t>
  </si>
  <si>
    <t>복지포인트 2분기 상계금액 환급(7/10)</t>
  </si>
  <si>
    <t>기업은행</t>
  </si>
  <si>
    <t>임직원 퇴직연금_기업은행</t>
  </si>
  <si>
    <t>한국투자증권</t>
  </si>
  <si>
    <t>임직원 퇴직연금_한국투자증권</t>
  </si>
  <si>
    <t>주식회사 세포아소프트</t>
  </si>
  <si>
    <t>법인카드데이타 연동서비스</t>
  </si>
  <si>
    <t>아름다운세차</t>
  </si>
  <si>
    <t>임원 복리후생(정기세차) 비용 납부</t>
  </si>
  <si>
    <t>삼성웰스토리(주)컴투스</t>
  </si>
  <si>
    <t>사내식당 임직원 식대</t>
  </si>
  <si>
    <t>최민준</t>
  </si>
  <si>
    <t>주택자금대출 이자지원</t>
  </si>
  <si>
    <t>카페 어썸</t>
  </si>
  <si>
    <t>사내카페 운영비용</t>
  </si>
  <si>
    <t>직원비용</t>
  </si>
  <si>
    <t>임직원</t>
  </si>
  <si>
    <t>260720직원경비(7/20)</t>
  </si>
  <si>
    <t>경영지원용역비</t>
  </si>
  <si>
    <t>(주)컴투스</t>
  </si>
  <si>
    <t>회계 등 경영부문 용역료 지급</t>
  </si>
  <si>
    <t>지급임차료</t>
  </si>
  <si>
    <t>BYC 하이시티 B동 24층 월정임차료</t>
  </si>
  <si>
    <t>4사 공용비용 지급</t>
  </si>
  <si>
    <t>인사 용역료 지급</t>
  </si>
  <si>
    <t>전산유지비</t>
  </si>
  <si>
    <t>주식회사 닥터소프트</t>
  </si>
  <si>
    <t>[확정] 자산관리 솔루션(Netrix) 유지보수 수수료</t>
  </si>
  <si>
    <t>삼성카드</t>
  </si>
  <si>
    <t>공용법인카드대금(7/20)</t>
  </si>
  <si>
    <t>260724임직원 급여-카탈리스터(7/24)</t>
  </si>
  <si>
    <t>26년 1기 확정 부가가치세 납부(7/27)</t>
  </si>
  <si>
    <t>베스핀글로벌 주식회사</t>
  </si>
  <si>
    <t>[확정] 구글 클라우드 플랫폼 EDP 이용료</t>
  </si>
  <si>
    <t>텐센트코리아 유한회사</t>
  </si>
  <si>
    <t>[확정] 텐센트 클라우드 서비스 이용료</t>
  </si>
  <si>
    <t>유플러스</t>
  </si>
  <si>
    <t>회사 대표번호 전화요금 지불의 건</t>
  </si>
  <si>
    <t>LG U+</t>
  </si>
  <si>
    <t>인터넷 전화 및 음성회의 전화요금</t>
  </si>
  <si>
    <t>외상매출금</t>
  </si>
  <si>
    <t>컴투스플랫폼</t>
  </si>
  <si>
    <t>서버비 정산금(7/31)</t>
  </si>
  <si>
    <t>7월 자금계획</t>
  </si>
  <si>
    <t>환율</t>
  </si>
  <si>
    <t>복지포인트 온라인 결제금액</t>
  </si>
  <si>
    <t>하나카드</t>
  </si>
  <si>
    <t>복지포인트 오프라인 결제금액</t>
  </si>
  <si>
    <t>삼신상사</t>
  </si>
  <si>
    <t>경조업체</t>
  </si>
  <si>
    <t>임원 세차</t>
  </si>
  <si>
    <t>국민연금보험공단</t>
  </si>
  <si>
    <t>연금보험료</t>
  </si>
  <si>
    <t>국민건강보험공단</t>
  </si>
  <si>
    <t>건강보험료</t>
  </si>
  <si>
    <t>고용산재보험료</t>
  </si>
  <si>
    <t>금천세무서, 금천구청</t>
  </si>
  <si>
    <t>근로소득세/지방소득세/종업원할사업소세</t>
  </si>
  <si>
    <t>한국투자증권,미래에셋증권, 기업은행</t>
  </si>
  <si>
    <t>㈜컴투스</t>
  </si>
  <si>
    <t>인사 용역료</t>
  </si>
  <si>
    <t>월정임차료 및 관리비</t>
  </si>
  <si>
    <t>LG유플러스</t>
  </si>
  <si>
    <t>대표번호 전화요금</t>
  </si>
  <si>
    <t>법인카드 데이터 연동시스템 사용</t>
  </si>
  <si>
    <t>2026년 주민세 사업소분</t>
  </si>
  <si>
    <t>텐센트클라우드 서비스 이용료 분담</t>
  </si>
  <si>
    <t>S/W</t>
  </si>
  <si>
    <t>(주)닥터소프트</t>
  </si>
  <si>
    <t>S/W 자산솔루션(Netrix) 유지보수</t>
  </si>
  <si>
    <t>베스핀글로벌(주)</t>
  </si>
  <si>
    <t>구글 클라우드 플랫폼 EDP 계약</t>
  </si>
  <si>
    <t>텐센트 클라우드</t>
  </si>
  <si>
    <t>삼성웰스토리</t>
  </si>
  <si>
    <t>사내식당 이용 금액</t>
  </si>
  <si>
    <t>카페어썸</t>
  </si>
  <si>
    <t>사내카페 이용 금액</t>
  </si>
  <si>
    <t>사내 인터넷전화 이용 금액</t>
  </si>
  <si>
    <t>고워드</t>
  </si>
  <si>
    <t>국내 퀵 운반비</t>
  </si>
  <si>
    <t>2025년 카탈리스터 자금수지 계획</t>
  </si>
  <si>
    <t>2024년</t>
  </si>
  <si>
    <t>2025년</t>
  </si>
  <si>
    <t>세부사항</t>
  </si>
  <si>
    <t>실적</t>
  </si>
  <si>
    <t>월평균</t>
  </si>
  <si>
    <t>1월(A)</t>
  </si>
  <si>
    <t>2월(A)</t>
  </si>
  <si>
    <t>3월(A)</t>
  </si>
  <si>
    <t>4월(A)</t>
  </si>
  <si>
    <t>5월(A)</t>
  </si>
  <si>
    <t>6월(A)</t>
  </si>
  <si>
    <t>7월(A)</t>
  </si>
  <si>
    <t>8월(A)</t>
  </si>
  <si>
    <t>9월(A)</t>
  </si>
  <si>
    <t>10월(A)</t>
  </si>
  <si>
    <t>11월(A)</t>
  </si>
  <si>
    <t>12월(A)</t>
  </si>
  <si>
    <t>경상</t>
  </si>
  <si>
    <t>○ 이자수익, 세금환급(부가세, 법인세) 등</t>
  </si>
  <si>
    <t>비경상</t>
  </si>
  <si>
    <t>○ 자산양수도 대금, 재고장비 판매대금, 임차보증금 등</t>
  </si>
  <si>
    <t>S/W, H/W 매입</t>
  </si>
  <si>
    <t>○ 원천세 등</t>
  </si>
  <si>
    <t>○ 분기별 그룹사 공용비용 등</t>
  </si>
  <si>
    <t>○ 동호회비, 건강검진비용, 명절 선물대금 등</t>
  </si>
  <si>
    <t>식당, 카페, 매점 등 운영비</t>
  </si>
  <si>
    <t>직원비용, 복지포인트 사용비</t>
  </si>
  <si>
    <t>○ 등기비용, 퇴직연금관리수수료 등</t>
  </si>
  <si>
    <t>지식재산권 양수</t>
  </si>
  <si>
    <t>임대보증금</t>
  </si>
  <si>
    <t>시설장치</t>
  </si>
  <si>
    <t xml:space="preserve"> D-1. 경상수지차</t>
  </si>
  <si>
    <t xml:space="preserve"> E. 자금조달(증자)</t>
  </si>
  <si>
    <t xml:space="preserve"> F. 기말잔고(=A+D+E)</t>
  </si>
  <si>
    <t>2026년 카탈리스터 자금수지 계획</t>
  </si>
  <si>
    <t>2026년</t>
  </si>
  <si>
    <t>계획</t>
  </si>
  <si>
    <t>○ 자산양수도 대금 등</t>
  </si>
  <si>
    <t>○ 급여, 4대보험, 퇴직연금 등</t>
  </si>
  <si>
    <t>○ 동호회비, 건강검진비용, 명절선물 등</t>
  </si>
  <si>
    <t>○ 미국법인 출자금, ATOP UNIVERSE 신주인수대금</t>
  </si>
  <si>
    <t>3. 운용자금 계획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</si>
</sst>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3">
    <numFmt numFmtId="41" formatCode="_-* #,##0_-;\-* #,##0_-;_-* &quot;-&quot;_-;_-@_-"/>
    <numFmt numFmtId="176" formatCode="#,##0_ "/>
    <numFmt numFmtId="177" formatCode="_-[$€-2]\ * #,##0.00_-;\-[$€-2]\ * #,##0.00_-;_-[$€-2]\ * &quot;-&quot;??_-;_-@_-"/>
    <numFmt numFmtId="178" formatCode="_-* #,##0.0_-;\-* #,##0.0_-;_-* &quot;-&quot;_-;_-@_-"/>
    <numFmt numFmtId="179" formatCode="#,##0.0_ "/>
    <numFmt numFmtId="180" formatCode="_-* #,##0.00_-;\-* #,##0.00_-;_-* &quot;-&quot;_-;_-@_-"/>
    <numFmt numFmtId="183" formatCode="[Red]\+#,##0.0_ ;[Blue]\-#,##0.0\ "/>
    <numFmt numFmtId="184" formatCode="#,##0.0"/>
    <numFmt numFmtId="185" formatCode="0.0"/>
    <numFmt numFmtId="186" formatCode="0.0%"/>
    <numFmt numFmtId="187" formatCode="_-* #,##0_-;\-* #,##0_-;_-* &quot;-&quot;??_-;_-@_-"/>
    <numFmt numFmtId="189" formatCode="_-* #,##0.000000_-;\-* #,##0.000000_-;_-* &quot;-&quot;??_-;_-@_-"/>
    <numFmt numFmtId="190" formatCode="_-* #,##0.0_-;\-* #,##0.0_-;_-* &quot;-&quot;?_-;_-@_-"/>
    <numFmt numFmtId="191" formatCode="#,##0_ ;[Red]\-#,##0\ "/>
    <numFmt numFmtId="192" formatCode="yyyy/mm/dd\ \(aaa\)"/>
    <numFmt numFmtId="195" formatCode="#,##0.00000000_ ;[Red]\-#,##0.00000000\ "/>
    <numFmt numFmtId="196" formatCode="#,##0.0000000000;[Blue]\(#,##0.0000000000\)"/>
    <numFmt numFmtId="197" formatCode="0.000000000000E+00"/>
    <numFmt numFmtId="198" formatCode="_-* #,##0.00000000_-;\-* #,##0.00000000_-;_-* &quot;-&quot;_-;_-@_-"/>
    <numFmt numFmtId="200" formatCode="_-* #,##0.00000_-;\-* #,##0.00000_-;_-* &quot;-&quot;_-;_-@_-"/>
    <numFmt numFmtId="206" formatCode="#,##0.000"/>
    <numFmt numFmtId="207" formatCode="0.0000"/>
    <numFmt numFmtId="208" formatCode="#,##0\ ;[Blue]\(#,##0\)\ ;&quot;-&quot;"/>
    <numFmt numFmtId="209" formatCode="#,##0.000_ "/>
    <numFmt numFmtId="211" formatCode="[Red]\+#,##0.0\ ;[Blue]\-#,##0.0\ ;&quot;-&quot;"/>
    <numFmt numFmtId="212" formatCode="[Red]\+#,##0\ ;[Blue]\-#,##0\ ;&quot;-&quot;"/>
    <numFmt numFmtId="213" formatCode="_-* #,##0.0000000_-;\-* #,##0.0000000_-;_-* &quot;-&quot;_-;_-@_-"/>
    <numFmt numFmtId="215" formatCode="[Red]\+#,##0.0\ ;[Blue]\-#,##0.0\ "/>
    <numFmt numFmtId="219" formatCode="_-* #,##0.000_-;\-* #,##0.000_-;_-* &quot;-&quot;_-;_-@_-"/>
    <numFmt numFmtId="223" formatCode="#,##0.000000000000000_ "/>
    <numFmt numFmtId="224" formatCode="\+#,##0.0\ ;\-#,##0.0\ ;&quot;-&quot;"/>
    <numFmt numFmtId="225" formatCode="#,##0.0_ &quot;억&quot;"/>
    <numFmt numFmtId="226" formatCode="#,##0;[Blue]\(#,##0\)"/>
  </numFmts>
  <fonts count="44" x14ac:knownFonts="1">
    <font>
      <sz val="11"/>
      <color theme="1"/>
      <name val="맑은 고딕"/>
      <family val="2"/>
      <scheme val="minor"/>
    </font>
    <font>
      <sz val="7"/>
      <color theme="1"/>
      <name val="맑은 고딕"/>
      <family val="3"/>
      <charset val="129"/>
      <scheme val="minor"/>
    </font>
    <font>
      <sz val="8"/>
      <name val="맑은 고딕"/>
      <family val="3"/>
      <charset val="129"/>
      <scheme val="minor"/>
    </font>
    <font>
      <sz val="7"/>
      <color rgb="FF000000"/>
      <name val="맑은 고딕"/>
      <family val="3"/>
      <charset val="129"/>
      <scheme val="minor"/>
    </font>
    <font>
      <sz val="7"/>
      <name val="맑은 고딕"/>
      <family val="3"/>
      <charset val="129"/>
      <scheme val="minor"/>
    </font>
    <font>
      <b/>
      <sz val="7"/>
      <color rgb="FFFF0000"/>
      <name val="맑은 고딕"/>
      <family val="3"/>
      <charset val="129"/>
      <scheme val="minor"/>
    </font>
    <font>
      <b/>
      <sz val="7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9"/>
      <name val="맑은 고딕"/>
      <family val="3"/>
      <charset val="129"/>
    </font>
    <font>
      <sz val="10"/>
      <color theme="1"/>
      <name val="맑은 고딕"/>
      <family val="3"/>
      <charset val="129"/>
      <scheme val="minor"/>
    </font>
    <font>
      <sz val="12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2"/>
      <color theme="1"/>
      <name val="맑은 고딕"/>
      <family val="3"/>
      <charset val="129"/>
      <scheme val="minor"/>
    </font>
    <font>
      <b/>
      <sz val="12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ajor"/>
    </font>
    <font>
      <sz val="10"/>
      <color rgb="FF000000"/>
      <name val="맑은 고딕"/>
      <family val="3"/>
      <charset val="129"/>
      <scheme val="major"/>
    </font>
    <font>
      <b/>
      <sz val="10"/>
      <color rgb="FF0101BF"/>
      <name val="맑은 고딕"/>
      <family val="3"/>
      <charset val="129"/>
      <scheme val="major"/>
    </font>
    <font>
      <b/>
      <sz val="10"/>
      <color rgb="FFFF0000"/>
      <name val="맑은 고딕"/>
      <family val="3"/>
      <charset val="129"/>
      <scheme val="major"/>
    </font>
    <font>
      <b/>
      <sz val="10"/>
      <color rgb="FF000000"/>
      <name val="맑은 고딕"/>
      <family val="3"/>
      <charset val="129"/>
      <scheme val="major"/>
    </font>
    <font>
      <sz val="10"/>
      <name val="맑은 고딕"/>
      <family val="3"/>
      <charset val="129"/>
      <scheme val="major"/>
    </font>
    <font>
      <b/>
      <sz val="10"/>
      <color theme="1"/>
      <name val="맑은 고딕"/>
      <family val="3"/>
      <charset val="129"/>
      <scheme val="major"/>
    </font>
    <font>
      <b/>
      <sz val="10"/>
      <color rgb="FF000000"/>
      <name val="맑은 고딕"/>
      <family val="3"/>
      <charset val="129"/>
    </font>
    <font>
      <sz val="10"/>
      <color theme="1"/>
      <name val="맑은 고딕"/>
      <family val="3"/>
      <charset val="129"/>
    </font>
    <font>
      <sz val="10"/>
      <color rgb="FF000000"/>
      <name val="맑은 고딕"/>
      <family val="3"/>
      <charset val="129"/>
    </font>
    <font>
      <b/>
      <sz val="10"/>
      <color rgb="FF0000FF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sz val="10"/>
      <name val="맑은 고딕"/>
      <family val="3"/>
      <charset val="129"/>
    </font>
    <font>
      <b/>
      <sz val="10"/>
      <color rgb="FF1D02BE"/>
      <name val="맑은 고딕"/>
      <family val="3"/>
      <charset val="129"/>
    </font>
    <font>
      <b/>
      <sz val="7"/>
      <color theme="1"/>
      <name val="맑은 고딕"/>
      <family val="3"/>
      <charset val="129"/>
      <scheme val="minor"/>
    </font>
    <font>
      <b/>
      <sz val="7"/>
      <color theme="0"/>
      <name val="맑은 고딕"/>
      <family val="3"/>
      <charset val="129"/>
      <scheme val="minor"/>
    </font>
    <font>
      <sz val="10"/>
      <color rgb="FF000000"/>
      <name val="맑은 고딕"/>
      <family val="3"/>
      <charset val="129"/>
      <scheme val="minor"/>
    </font>
    <font>
      <sz val="18"/>
      <name val="Arial"/>
      <family val="2"/>
    </font>
    <font>
      <b/>
      <sz val="10"/>
      <color rgb="FF0101BF"/>
      <name val="맑은 고딕"/>
      <family val="3"/>
      <charset val="129"/>
    </font>
    <font>
      <b/>
      <sz val="13"/>
      <color theme="1"/>
      <name val="맑은 고딕"/>
      <family val="3"/>
      <charset val="129"/>
      <scheme val="minor"/>
    </font>
    <font>
      <b/>
      <sz val="9"/>
      <color rgb="FF000000"/>
      <name val="맑은 고딕"/>
      <family val="3"/>
      <charset val="129"/>
      <scheme val="major"/>
    </font>
    <font>
      <b/>
      <sz val="10"/>
      <name val="맑은 고딕"/>
      <family val="3"/>
      <charset val="129"/>
      <scheme val="major"/>
    </font>
    <font>
      <b/>
      <sz val="10"/>
      <color rgb="FFFF0000"/>
      <name val="맑은 고딕"/>
      <family val="3"/>
      <charset val="129"/>
    </font>
    <font>
      <sz val="10"/>
      <color rgb="FF0000FF"/>
      <name val="맑은 고딕"/>
      <family val="3"/>
      <charset val="129"/>
      <scheme val="major"/>
    </font>
    <font>
      <sz val="9"/>
      <name val="Arial"/>
      <family val="2"/>
    </font>
    <font>
      <sz val="9"/>
      <color rgb="FF000000"/>
      <name val="맑은 고딕"/>
      <family val="3"/>
      <charset val="129"/>
      <scheme val="major"/>
    </font>
    <font>
      <u/>
      <sz val="10"/>
      <color theme="10"/>
      <name val="맑은 고딕"/>
      <family val="2"/>
      <scheme val="minor"/>
    </font>
    <font>
      <b/>
      <sz val="7"/>
      <color rgb="FF000000"/>
      <name val="맑은 고딕"/>
      <family val="3"/>
      <charset val="129"/>
      <scheme val="minor"/>
    </font>
  </fonts>
  <fills count="1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DCE6F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DEADA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59999389629810485"/>
        <bgColor indexed="64"/>
      </patternFill>
    </fill>
  </fills>
  <borders count="222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FF0000"/>
      </right>
      <top style="thin">
        <color rgb="FF000000"/>
      </top>
      <bottom style="medium">
        <color rgb="FFFF0000"/>
      </bottom>
      <diagonal/>
    </border>
    <border>
      <left style="dotted">
        <color rgb="FF000000"/>
      </left>
      <right style="thin">
        <color rgb="FF000000"/>
      </right>
      <top style="thin">
        <color rgb="FF000000"/>
      </top>
      <bottom style="medium">
        <color rgb="FFFF0000"/>
      </bottom>
      <diagonal/>
    </border>
    <border>
      <left style="dotted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dotted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FF0000"/>
      </right>
      <top style="thin">
        <color rgb="FF000000"/>
      </top>
      <bottom style="thin">
        <color rgb="FF000000"/>
      </bottom>
      <diagonal/>
    </border>
    <border>
      <left style="medium">
        <color rgb="FFFF0000"/>
      </left>
      <right style="dotted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rgb="FFFF0000"/>
      </right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dotted">
        <color rgb="FF000000"/>
      </left>
      <right/>
      <top/>
      <bottom style="thin">
        <color rgb="FF000000"/>
      </bottom>
      <diagonal/>
    </border>
    <border>
      <left style="thin">
        <color rgb="FF000000"/>
      </left>
      <right/>
      <top style="dotted">
        <color rgb="FF000000"/>
      </top>
      <bottom/>
      <diagonal/>
    </border>
    <border>
      <left/>
      <right style="thin">
        <color rgb="FF000000"/>
      </right>
      <top style="dotted">
        <color rgb="FF000000"/>
      </top>
      <bottom/>
      <diagonal/>
    </border>
    <border>
      <left style="thin">
        <color rgb="FF000000"/>
      </left>
      <right style="medium">
        <color rgb="FFFF0000"/>
      </right>
      <top style="dotted">
        <color rgb="FF000000"/>
      </top>
      <bottom/>
      <diagonal/>
    </border>
    <border>
      <left/>
      <right/>
      <top style="dotted">
        <color rgb="FF000000"/>
      </top>
      <bottom/>
      <diagonal/>
    </border>
    <border>
      <left style="dotted">
        <color rgb="FF000000"/>
      </left>
      <right/>
      <top style="dotted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dotted">
        <color rgb="FF000000"/>
      </bottom>
      <diagonal/>
    </border>
    <border>
      <left style="thin">
        <color rgb="FF000000"/>
      </left>
      <right style="medium">
        <color rgb="FFFF0000"/>
      </right>
      <top style="thin">
        <color rgb="FF000000"/>
      </top>
      <bottom style="dotted">
        <color rgb="FF000000"/>
      </bottom>
      <diagonal/>
    </border>
    <border>
      <left style="thin">
        <color rgb="FF000000"/>
      </left>
      <right/>
      <top style="thin">
        <color rgb="FF000000"/>
      </top>
      <bottom style="dotted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 style="dotted">
        <color rgb="FF000000"/>
      </left>
      <right/>
      <top/>
      <bottom/>
      <diagonal/>
    </border>
    <border>
      <left/>
      <right style="dotted">
        <color rgb="FF000000"/>
      </right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medium">
        <color rgb="FFFF0000"/>
      </right>
      <top/>
      <bottom/>
      <diagonal/>
    </border>
    <border>
      <left style="thin">
        <color rgb="FF000000"/>
      </left>
      <right/>
      <top style="dotted">
        <color rgb="FF000000"/>
      </top>
      <bottom style="dotted">
        <color rgb="FF000000"/>
      </bottom>
      <diagonal/>
    </border>
    <border>
      <left/>
      <right style="thin">
        <color rgb="FF000000"/>
      </right>
      <top style="dotted">
        <color rgb="FF000000"/>
      </top>
      <bottom style="dotted">
        <color rgb="FF000000"/>
      </bottom>
      <diagonal/>
    </border>
    <border>
      <left style="thin">
        <color rgb="FF000000"/>
      </left>
      <right style="medium">
        <color rgb="FFFF0000"/>
      </right>
      <top style="dotted">
        <color rgb="FF000000"/>
      </top>
      <bottom style="dotted">
        <color rgb="FF000000"/>
      </bottom>
      <diagonal/>
    </border>
    <border>
      <left style="thin">
        <color rgb="FF000000"/>
      </left>
      <right/>
      <top/>
      <bottom style="dotted">
        <color rgb="FF000000"/>
      </bottom>
      <diagonal/>
    </border>
    <border>
      <left/>
      <right style="thin">
        <color rgb="FF000000"/>
      </right>
      <top/>
      <bottom style="dotted">
        <color rgb="FF000000"/>
      </bottom>
      <diagonal/>
    </border>
    <border>
      <left style="thin">
        <color rgb="FF000000"/>
      </left>
      <right style="medium">
        <color rgb="FFFF0000"/>
      </right>
      <top/>
      <bottom style="dotted">
        <color rgb="FF000000"/>
      </bottom>
      <diagonal/>
    </border>
    <border>
      <left style="dotted">
        <color rgb="FF000000"/>
      </left>
      <right/>
      <top/>
      <bottom style="dotted">
        <color rgb="FF000000"/>
      </bottom>
      <diagonal/>
    </border>
    <border>
      <left/>
      <right style="dotted">
        <color rgb="FF000000"/>
      </right>
      <top style="dotted">
        <color rgb="FF000000"/>
      </top>
      <bottom/>
      <diagonal/>
    </border>
    <border>
      <left style="dotted">
        <color rgb="FF000000"/>
      </left>
      <right style="dotted">
        <color rgb="FF000000"/>
      </right>
      <top/>
      <bottom/>
      <diagonal/>
    </border>
    <border>
      <left style="dotted">
        <color rgb="FF000000"/>
      </left>
      <right style="thin">
        <color rgb="FF000000"/>
      </right>
      <top/>
      <bottom/>
      <diagonal/>
    </border>
    <border>
      <left style="dotted">
        <color rgb="FF000000"/>
      </left>
      <right style="thin">
        <color rgb="FF000000"/>
      </right>
      <top style="dotted">
        <color rgb="FF000000"/>
      </top>
      <bottom/>
      <diagonal/>
    </border>
    <border>
      <left style="medium">
        <color rgb="FFFF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medium">
        <color rgb="FFFF0000"/>
      </right>
      <top style="medium">
        <color rgb="FFFF0000"/>
      </top>
      <bottom style="thin">
        <color rgb="FF000000"/>
      </bottom>
      <diagonal/>
    </border>
    <border>
      <left/>
      <right/>
      <top style="medium">
        <color rgb="FFFF0000"/>
      </top>
      <bottom style="thin">
        <color rgb="FF000000"/>
      </bottom>
      <diagonal/>
    </border>
    <border>
      <left style="medium">
        <color rgb="FFFF0000"/>
      </left>
      <right/>
      <top/>
      <bottom style="dotted">
        <color rgb="FF000000"/>
      </bottom>
      <diagonal/>
    </border>
    <border>
      <left style="medium">
        <color rgb="FFFF0000"/>
      </left>
      <right style="medium">
        <color rgb="FFFF0000"/>
      </right>
      <top/>
      <bottom style="dotted">
        <color rgb="FF000000"/>
      </bottom>
      <diagonal/>
    </border>
    <border>
      <left style="medium">
        <color rgb="FFFF0000"/>
      </left>
      <right style="medium">
        <color rgb="FFFF0000"/>
      </right>
      <top style="thin">
        <color rgb="FF000000"/>
      </top>
      <bottom/>
      <diagonal/>
    </border>
    <border>
      <left style="thin">
        <color rgb="FF000000"/>
      </left>
      <right style="medium">
        <color rgb="FFFF0000"/>
      </right>
      <top style="thin">
        <color rgb="FF000000"/>
      </top>
      <bottom/>
      <diagonal/>
    </border>
    <border>
      <left style="medium">
        <color rgb="FFFF0000"/>
      </left>
      <right/>
      <top style="thin">
        <color rgb="FF000000"/>
      </top>
      <bottom style="thin">
        <color rgb="FF000000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thin">
        <color rgb="FF000000"/>
      </bottom>
      <diagonal/>
    </border>
    <border>
      <left style="medium">
        <color rgb="FFFF0000"/>
      </left>
      <right style="medium">
        <color rgb="FFFF0000"/>
      </right>
      <top style="thin">
        <color rgb="FF000000"/>
      </top>
      <bottom style="medium">
        <color rgb="FFFF0000"/>
      </bottom>
      <diagonal/>
    </border>
    <border>
      <left style="medium">
        <color rgb="FFFF0000"/>
      </left>
      <right style="medium">
        <color rgb="FFFF0000"/>
      </right>
      <top style="thin">
        <color rgb="FF000000"/>
      </top>
      <bottom style="thin">
        <color rgb="FF000000"/>
      </bottom>
      <diagonal/>
    </border>
    <border>
      <left style="medium">
        <color rgb="FFFF0000"/>
      </left>
      <right style="thin">
        <color rgb="FF000000"/>
      </right>
      <top/>
      <bottom/>
      <diagonal/>
    </border>
    <border>
      <left style="medium">
        <color rgb="FFFF0000"/>
      </left>
      <right style="medium">
        <color rgb="FFFF0000"/>
      </right>
      <top/>
      <bottom/>
      <diagonal/>
    </border>
    <border>
      <left style="medium">
        <color rgb="FFFF0000"/>
      </left>
      <right style="thin">
        <color rgb="FF000000"/>
      </right>
      <top style="thin">
        <color rgb="FF000000"/>
      </top>
      <bottom/>
      <diagonal/>
    </border>
    <border>
      <left style="dotted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 style="dotted">
        <color rgb="FF000000"/>
      </right>
      <top style="thin">
        <color rgb="FF000000"/>
      </top>
      <bottom/>
      <diagonal/>
    </border>
    <border>
      <left style="medium">
        <color rgb="FFFF0000"/>
      </left>
      <right style="thin">
        <color rgb="FF000000"/>
      </right>
      <top/>
      <bottom style="thin">
        <color rgb="FF000000"/>
      </bottom>
      <diagonal/>
    </border>
    <border>
      <left style="medium">
        <color rgb="FFFF0000"/>
      </left>
      <right style="medium">
        <color rgb="FFFF0000"/>
      </right>
      <top/>
      <bottom style="medium">
        <color rgb="FFFF0000"/>
      </bottom>
      <diagonal/>
    </border>
    <border>
      <left style="medium">
        <color rgb="FFFF0000"/>
      </left>
      <right style="thin">
        <color rgb="FF000000"/>
      </right>
      <top style="dotted">
        <color rgb="FF000000"/>
      </top>
      <bottom style="thin">
        <color indexed="64"/>
      </bottom>
      <diagonal/>
    </border>
    <border>
      <left/>
      <right style="thin">
        <color rgb="FF000000"/>
      </right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medium">
        <color rgb="FFFF0000"/>
      </left>
      <right style="thin">
        <color rgb="FF000000"/>
      </right>
      <top/>
      <bottom style="dotted">
        <color rgb="FF000000"/>
      </bottom>
      <diagonal/>
    </border>
    <border>
      <left style="dotted">
        <color rgb="FF000000"/>
      </left>
      <right style="thin">
        <color rgb="FF000000"/>
      </right>
      <top/>
      <bottom style="dotted">
        <color rgb="FF000000"/>
      </bottom>
      <diagonal/>
    </border>
    <border>
      <left style="medium">
        <color rgb="FFFF0000"/>
      </left>
      <right style="medium">
        <color rgb="FFFF0000"/>
      </right>
      <top/>
      <bottom style="thin">
        <color rgb="FF000000"/>
      </bottom>
      <diagonal/>
    </border>
    <border>
      <left style="thin">
        <color rgb="FF000000"/>
      </left>
      <right style="medium">
        <color rgb="FFFF0000"/>
      </right>
      <top style="dotted">
        <color rgb="FF000000"/>
      </top>
      <bottom style="thin">
        <color indexed="64"/>
      </bottom>
      <diagonal/>
    </border>
    <border>
      <left/>
      <right/>
      <top style="dotted">
        <color rgb="FF000000"/>
      </top>
      <bottom style="dotted">
        <color rgb="FF000000"/>
      </bottom>
      <diagonal/>
    </border>
    <border>
      <left/>
      <right/>
      <top/>
      <bottom style="dotted">
        <color rgb="FF000000"/>
      </bottom>
      <diagonal/>
    </border>
    <border>
      <left style="thin">
        <color indexed="64"/>
      </left>
      <right/>
      <top style="dotted">
        <color rgb="FF000000"/>
      </top>
      <bottom style="dotted">
        <color rgb="FF000000"/>
      </bottom>
      <diagonal/>
    </border>
    <border>
      <left style="thin">
        <color indexed="64"/>
      </left>
      <right style="medium">
        <color rgb="FFFF0000"/>
      </right>
      <top style="dotted">
        <color rgb="FF000000"/>
      </top>
      <bottom style="dotted">
        <color rgb="FF000000"/>
      </bottom>
      <diagonal/>
    </border>
    <border>
      <left style="thin">
        <color indexed="64"/>
      </left>
      <right/>
      <top style="dotted">
        <color rgb="FF000000"/>
      </top>
      <bottom/>
      <diagonal/>
    </border>
    <border>
      <left style="thin">
        <color indexed="64"/>
      </left>
      <right/>
      <top/>
      <bottom style="thin">
        <color rgb="FF000000"/>
      </bottom>
      <diagonal/>
    </border>
    <border>
      <left style="dotted">
        <color rgb="FF000000"/>
      </left>
      <right style="thin">
        <color rgb="FF000000"/>
      </right>
      <top style="thin">
        <color rgb="FF000000"/>
      </top>
      <bottom style="dotted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dotted">
        <color rgb="FF000000"/>
      </right>
      <top/>
      <bottom style="dotted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/>
      <diagonal/>
    </border>
    <border>
      <left style="dotted">
        <color rgb="FF000000"/>
      </left>
      <right style="dotted">
        <color rgb="FF000000"/>
      </right>
      <top/>
      <bottom style="thin">
        <color rgb="FF000000"/>
      </bottom>
      <diagonal/>
    </border>
    <border>
      <left style="dotted">
        <color rgb="FF000000"/>
      </left>
      <right style="thin">
        <color rgb="FF000000"/>
      </right>
      <top/>
      <bottom style="thin">
        <color rgb="FF000000"/>
      </bottom>
      <diagonal/>
    </border>
    <border>
      <left style="medium">
        <color rgb="FFFF0000"/>
      </left>
      <right/>
      <top style="thin">
        <color rgb="FF000000"/>
      </top>
      <bottom style="dotted">
        <color rgb="FF000000"/>
      </bottom>
      <diagonal/>
    </border>
    <border>
      <left style="medium">
        <color rgb="FFFF0000"/>
      </left>
      <right/>
      <top style="dotted">
        <color rgb="FF000000"/>
      </top>
      <bottom style="dotted">
        <color rgb="FF000000"/>
      </bottom>
      <diagonal/>
    </border>
    <border>
      <left style="medium">
        <color rgb="FFFF0000"/>
      </left>
      <right/>
      <top style="dotted">
        <color rgb="FF000000"/>
      </top>
      <bottom/>
      <diagonal/>
    </border>
    <border>
      <left style="medium">
        <color rgb="FFFF0000"/>
      </left>
      <right/>
      <top/>
      <bottom/>
      <diagonal/>
    </border>
    <border>
      <left style="medium">
        <color rgb="FFFF0000"/>
      </left>
      <right/>
      <top/>
      <bottom style="thin">
        <color rgb="FF000000"/>
      </bottom>
      <diagonal/>
    </border>
    <border>
      <left style="medium">
        <color rgb="FFFF0000"/>
      </left>
      <right/>
      <top style="thin">
        <color rgb="FF000000"/>
      </top>
      <bottom style="medium">
        <color rgb="FFFF0000"/>
      </bottom>
      <diagonal/>
    </border>
    <border>
      <left/>
      <right style="dotted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dotted">
        <color rgb="FF000000"/>
      </bottom>
      <diagonal/>
    </border>
    <border>
      <left/>
      <right/>
      <top style="thin">
        <color auto="1"/>
      </top>
      <bottom style="thin">
        <color rgb="FF000000"/>
      </bottom>
      <diagonal/>
    </border>
    <border>
      <left/>
      <right style="thin">
        <color auto="1"/>
      </right>
      <top style="thin">
        <color auto="1"/>
      </top>
      <bottom style="thin">
        <color rgb="FF000000"/>
      </bottom>
      <diagonal/>
    </border>
    <border>
      <left style="thin">
        <color auto="1"/>
      </left>
      <right style="dotted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auto="1"/>
      </right>
      <top/>
      <bottom style="thin">
        <color rgb="FF000000"/>
      </bottom>
      <diagonal/>
    </border>
    <border>
      <left style="thin">
        <color auto="1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auto="1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/>
      <top style="thin">
        <color rgb="FF000000"/>
      </top>
      <bottom style="dotted">
        <color rgb="FF000000"/>
      </bottom>
      <diagonal/>
    </border>
    <border>
      <left style="thin">
        <color rgb="FF000000"/>
      </left>
      <right style="thin">
        <color auto="1"/>
      </right>
      <top style="thin">
        <color rgb="FF000000"/>
      </top>
      <bottom style="dotted">
        <color rgb="FF000000"/>
      </bottom>
      <diagonal/>
    </border>
    <border>
      <left style="thin">
        <color rgb="FF000000"/>
      </left>
      <right style="thin">
        <color auto="1"/>
      </right>
      <top style="dotted">
        <color rgb="FF000000"/>
      </top>
      <bottom style="dotted">
        <color rgb="FF000000"/>
      </bottom>
      <diagonal/>
    </border>
    <border>
      <left style="thin">
        <color rgb="FF000000"/>
      </left>
      <right style="thin">
        <color auto="1"/>
      </right>
      <top style="dotted">
        <color rgb="FF000000"/>
      </top>
      <bottom/>
      <diagonal/>
    </border>
    <border>
      <left style="thin">
        <color auto="1"/>
      </left>
      <right/>
      <top/>
      <bottom/>
      <diagonal/>
    </border>
    <border>
      <left style="thin">
        <color rgb="FF000000"/>
      </left>
      <right style="thin">
        <color auto="1"/>
      </right>
      <top/>
      <bottom/>
      <diagonal/>
    </border>
    <border>
      <left style="thin">
        <color auto="1"/>
      </left>
      <right/>
      <top/>
      <bottom style="dotted">
        <color rgb="FF000000"/>
      </bottom>
      <diagonal/>
    </border>
    <border>
      <left style="thin">
        <color rgb="FF000000"/>
      </left>
      <right style="thin">
        <color auto="1"/>
      </right>
      <top/>
      <bottom style="dotted">
        <color rgb="FF000000"/>
      </bottom>
      <diagonal/>
    </border>
    <border>
      <left style="thin">
        <color indexed="64"/>
      </left>
      <right style="thin">
        <color auto="1"/>
      </right>
      <top style="dotted">
        <color rgb="FF000000"/>
      </top>
      <bottom style="dotted">
        <color rgb="FF000000"/>
      </bottom>
      <diagonal/>
    </border>
    <border>
      <left style="thin">
        <color auto="1"/>
      </left>
      <right/>
      <top style="thin">
        <color rgb="FF000000"/>
      </top>
      <bottom style="thin">
        <color auto="1"/>
      </bottom>
      <diagonal/>
    </border>
    <border>
      <left style="dotted">
        <color rgb="FF000000"/>
      </left>
      <right style="thin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 style="thin">
        <color auto="1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dotted">
        <color rgb="FF000000"/>
      </right>
      <top style="dotted">
        <color rgb="FF000000"/>
      </top>
      <bottom/>
      <diagonal/>
    </border>
    <border>
      <left style="thin">
        <color rgb="FF000000"/>
      </left>
      <right style="thin">
        <color rgb="FF000000"/>
      </right>
      <top style="dotted">
        <color rgb="FF000000"/>
      </top>
      <bottom/>
      <diagonal/>
    </border>
    <border>
      <left style="thin">
        <color rgb="FF000000"/>
      </left>
      <right style="dotted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rgb="FF000000"/>
      </left>
      <right/>
      <top/>
      <bottom style="thin">
        <color rgb="FF595959"/>
      </bottom>
      <diagonal/>
    </border>
    <border>
      <left style="thin">
        <color rgb="FF000000"/>
      </left>
      <right/>
      <top style="thin">
        <color rgb="FF595959"/>
      </top>
      <bottom style="thin">
        <color rgb="FF7F7F7F"/>
      </bottom>
      <diagonal/>
    </border>
    <border>
      <left style="medium">
        <color rgb="FFFF0000"/>
      </left>
      <right/>
      <top style="medium">
        <color rgb="FFFF0000"/>
      </top>
      <bottom style="medium">
        <color rgb="FFFF0000"/>
      </bottom>
      <diagonal/>
    </border>
    <border>
      <left style="thin">
        <color rgb="FF000000"/>
      </left>
      <right style="dotted">
        <color rgb="FF000000"/>
      </right>
      <top style="medium">
        <color rgb="FFFF0000"/>
      </top>
      <bottom style="medium">
        <color rgb="FFFF0000"/>
      </bottom>
      <diagonal/>
    </border>
    <border>
      <left style="thick">
        <color rgb="FFC00000"/>
      </left>
      <right/>
      <top style="thin">
        <color rgb="FF7F7F7F"/>
      </top>
      <bottom style="thin">
        <color rgb="FF7F7F7F"/>
      </bottom>
      <diagonal/>
    </border>
    <border>
      <left style="thin">
        <color rgb="FF000000"/>
      </left>
      <right style="dotted">
        <color rgb="FF000000"/>
      </right>
      <top style="medium">
        <color rgb="FFFF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dotted">
        <color rgb="FF000000"/>
      </bottom>
      <diagonal/>
    </border>
    <border>
      <left style="thin">
        <color rgb="FF000000"/>
      </left>
      <right/>
      <top style="thin">
        <color auto="1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 style="thin">
        <color indexed="64"/>
      </bottom>
      <diagonal/>
    </border>
    <border>
      <left style="thin">
        <color rgb="FF000000"/>
      </left>
      <right/>
      <top style="thin">
        <color auto="1"/>
      </top>
      <bottom style="thin">
        <color auto="1"/>
      </bottom>
      <diagonal/>
    </border>
    <border>
      <left style="thin">
        <color rgb="FF000000"/>
      </left>
      <right/>
      <top style="medium">
        <color rgb="FFFF0000"/>
      </top>
      <bottom style="medium">
        <color rgb="FFFF0000"/>
      </bottom>
      <diagonal/>
    </border>
    <border>
      <left style="thin">
        <color rgb="FF000000"/>
      </left>
      <right/>
      <top style="medium">
        <color rgb="FFFF0000"/>
      </top>
      <bottom style="thin">
        <color rgb="FF000000"/>
      </bottom>
      <diagonal/>
    </border>
    <border>
      <left style="medium">
        <color rgb="FFFF0000"/>
      </left>
      <right style="dotted">
        <color rgb="FF000000"/>
      </right>
      <top style="dotted">
        <color rgb="FF000000"/>
      </top>
      <bottom/>
      <diagonal/>
    </border>
    <border>
      <left/>
      <right style="dotted">
        <color rgb="FF000000"/>
      </right>
      <top/>
      <bottom style="thin">
        <color rgb="FF000000"/>
      </bottom>
      <diagonal/>
    </border>
    <border>
      <left style="medium">
        <color rgb="FFFF0000"/>
      </left>
      <right style="dotted">
        <color rgb="FF000000"/>
      </right>
      <top style="thin">
        <color rgb="FF000000"/>
      </top>
      <bottom style="medium">
        <color rgb="FFFF0000"/>
      </bottom>
      <diagonal/>
    </border>
    <border>
      <left style="thin">
        <color indexed="64"/>
      </left>
      <right style="medium">
        <color rgb="FFFF0000"/>
      </right>
      <top/>
      <bottom style="thin">
        <color rgb="FF000000"/>
      </bottom>
      <diagonal/>
    </border>
    <border>
      <left style="thin">
        <color indexed="64"/>
      </left>
      <right style="medium">
        <color rgb="FFFF0000"/>
      </right>
      <top style="thin">
        <color rgb="FF000000"/>
      </top>
      <bottom style="dotted">
        <color rgb="FF000000"/>
      </bottom>
      <diagonal/>
    </border>
    <border>
      <left style="dotted">
        <color auto="1"/>
      </left>
      <right style="thin">
        <color indexed="64"/>
      </right>
      <top style="thin">
        <color rgb="FF000000"/>
      </top>
      <bottom style="dotted">
        <color rgb="FF000000"/>
      </bottom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 style="dotted">
        <color rgb="FF000000"/>
      </right>
      <top/>
      <bottom style="thin">
        <color rgb="FF000000"/>
      </bottom>
      <diagonal/>
    </border>
    <border>
      <left style="medium">
        <color rgb="FFFF0000"/>
      </left>
      <right style="dotted">
        <color rgb="FF000000"/>
      </right>
      <top/>
      <bottom style="thin">
        <color rgb="FF000000"/>
      </bottom>
      <diagonal/>
    </border>
    <border>
      <left/>
      <right style="dotted">
        <color rgb="FF000000"/>
      </right>
      <top style="thin">
        <color rgb="FF000000"/>
      </top>
      <bottom style="medium">
        <color rgb="FFFF0000"/>
      </bottom>
      <diagonal/>
    </border>
    <border>
      <left style="medium">
        <color rgb="FFFF0000"/>
      </left>
      <right style="medium">
        <color rgb="FFFF0000"/>
      </right>
      <top style="dotted">
        <color rgb="FF000000"/>
      </top>
      <bottom style="medium">
        <color rgb="FFFF0000"/>
      </bottom>
      <diagonal/>
    </border>
    <border>
      <left/>
      <right style="medium">
        <color rgb="FFFF0000"/>
      </right>
      <top style="thin">
        <color rgb="FF000000"/>
      </top>
      <bottom style="thin">
        <color rgb="FF000000"/>
      </bottom>
      <diagonal/>
    </border>
    <border>
      <left/>
      <right style="medium">
        <color rgb="FFFF0000"/>
      </right>
      <top style="thin">
        <color rgb="FF000000"/>
      </top>
      <bottom/>
      <diagonal/>
    </border>
    <border>
      <left/>
      <right style="medium">
        <color rgb="FFFF0000"/>
      </right>
      <top/>
      <bottom/>
      <diagonal/>
    </border>
    <border>
      <left style="thin">
        <color rgb="FF000000"/>
      </left>
      <right style="hair">
        <color rgb="FF000000"/>
      </right>
      <top/>
      <bottom style="thin">
        <color rgb="FF000000"/>
      </bottom>
      <diagonal/>
    </border>
    <border>
      <left style="hair">
        <color rgb="FF000000"/>
      </left>
      <right style="hair">
        <color rgb="FF000000"/>
      </right>
      <top/>
      <bottom style="thin">
        <color rgb="FF000000"/>
      </bottom>
      <diagonal/>
    </border>
    <border>
      <left style="hair">
        <color rgb="FF000000"/>
      </left>
      <right/>
      <top/>
      <bottom style="thin">
        <color rgb="FF000000"/>
      </bottom>
      <diagonal/>
    </border>
    <border>
      <left style="hair">
        <color indexed="64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dotted">
        <color rgb="FF000000"/>
      </top>
      <bottom/>
      <diagonal/>
    </border>
    <border>
      <left style="hair">
        <color rgb="FF000000"/>
      </left>
      <right style="hair">
        <color rgb="FF000000"/>
      </right>
      <top style="dotted">
        <color rgb="FF000000"/>
      </top>
      <bottom/>
      <diagonal/>
    </border>
    <border>
      <left style="hair">
        <color rgb="FF000000"/>
      </left>
      <right/>
      <top style="dotted">
        <color rgb="FF000000"/>
      </top>
      <bottom/>
      <diagonal/>
    </border>
    <border>
      <left style="hair">
        <color indexed="64"/>
      </left>
      <right style="thin">
        <color rgb="FF000000"/>
      </right>
      <top style="dotted">
        <color rgb="FF000000"/>
      </top>
      <bottom/>
      <diagonal/>
    </border>
    <border>
      <left style="hair">
        <color rgb="FF000000"/>
      </left>
      <right/>
      <top style="hair">
        <color rgb="FF000000"/>
      </top>
      <bottom/>
      <diagonal/>
    </border>
    <border>
      <left/>
      <right/>
      <top style="hair">
        <color rgb="FF000000"/>
      </top>
      <bottom/>
      <diagonal/>
    </border>
    <border>
      <left/>
      <right style="thin">
        <color rgb="FF000000"/>
      </right>
      <top style="hair">
        <color rgb="FF000000"/>
      </top>
      <bottom/>
      <diagonal/>
    </border>
    <border>
      <left style="thin">
        <color rgb="FF000000"/>
      </left>
      <right style="hair">
        <color rgb="FF000000"/>
      </right>
      <top style="hair">
        <color rgb="FF000000"/>
      </top>
      <bottom/>
      <diagonal/>
    </border>
    <border>
      <left style="hair">
        <color rgb="FF000000"/>
      </left>
      <right style="hair">
        <color rgb="FF000000"/>
      </right>
      <top style="hair">
        <color rgb="FF000000"/>
      </top>
      <bottom/>
      <diagonal/>
    </border>
    <border>
      <left style="thin">
        <color auto="1"/>
      </left>
      <right/>
      <top style="hair">
        <color rgb="FF000000"/>
      </top>
      <bottom/>
      <diagonal/>
    </border>
    <border>
      <left style="hair">
        <color indexed="64"/>
      </left>
      <right style="thin">
        <color rgb="FF000000"/>
      </right>
      <top style="hair">
        <color rgb="FF000000"/>
      </top>
      <bottom/>
      <diagonal/>
    </border>
    <border>
      <left style="hair">
        <color rgb="FF000000"/>
      </left>
      <right/>
      <top/>
      <bottom/>
      <diagonal/>
    </border>
    <border>
      <left style="thin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hair">
        <color rgb="FF000000"/>
      </right>
      <top/>
      <bottom/>
      <diagonal/>
    </border>
    <border>
      <left style="hair">
        <color indexed="64"/>
      </left>
      <right style="thin">
        <color rgb="FF000000"/>
      </right>
      <top/>
      <bottom/>
      <diagonal/>
    </border>
    <border>
      <left style="thin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/>
      <top style="thin">
        <color rgb="FF000000"/>
      </top>
      <bottom/>
      <diagonal/>
    </border>
    <border>
      <left style="thin">
        <color auto="1"/>
      </left>
      <right/>
      <top style="thin">
        <color rgb="FF000000"/>
      </top>
      <bottom/>
      <diagonal/>
    </border>
    <border>
      <left style="hair">
        <color indexed="64"/>
      </left>
      <right style="thin">
        <color rgb="FF000000"/>
      </right>
      <top style="thin">
        <color rgb="FF000000"/>
      </top>
      <bottom/>
      <diagonal/>
    </border>
    <border>
      <left style="hair">
        <color rgb="FF000000"/>
      </left>
      <right/>
      <top/>
      <bottom style="hair">
        <color rgb="FF000000"/>
      </bottom>
      <diagonal/>
    </border>
    <border>
      <left/>
      <right/>
      <top/>
      <bottom style="hair">
        <color rgb="FF000000"/>
      </bottom>
      <diagonal/>
    </border>
    <border>
      <left style="thin">
        <color rgb="FF000000"/>
      </left>
      <right style="hair">
        <color rgb="FF000000"/>
      </right>
      <top/>
      <bottom style="hair">
        <color rgb="FF000000"/>
      </bottom>
      <diagonal/>
    </border>
    <border>
      <left style="hair">
        <color rgb="FF000000"/>
      </left>
      <right style="hair">
        <color rgb="FF000000"/>
      </right>
      <top/>
      <bottom style="hair">
        <color rgb="FF000000"/>
      </bottom>
      <diagonal/>
    </border>
    <border>
      <left style="thin">
        <color auto="1"/>
      </left>
      <right/>
      <top/>
      <bottom style="hair">
        <color rgb="FF000000"/>
      </bottom>
      <diagonal/>
    </border>
    <border>
      <left style="hair">
        <color indexed="64"/>
      </left>
      <right style="thin">
        <color rgb="FF000000"/>
      </right>
      <top/>
      <bottom style="hair">
        <color rgb="FF000000"/>
      </bottom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/>
      <top style="thin">
        <color rgb="FF000000"/>
      </top>
      <bottom style="thin">
        <color rgb="FF000000"/>
      </bottom>
      <diagonal/>
    </border>
    <border>
      <left style="hair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dotted">
        <color indexed="64"/>
      </right>
      <top style="dotted">
        <color rgb="FF000000"/>
      </top>
      <bottom/>
      <diagonal/>
    </border>
    <border>
      <left style="dotted">
        <color indexed="64"/>
      </left>
      <right style="thin">
        <color rgb="FF000000"/>
      </right>
      <top style="dotted">
        <color rgb="FF000000"/>
      </top>
      <bottom/>
      <diagonal/>
    </border>
    <border>
      <left style="thin">
        <color indexed="64"/>
      </left>
      <right style="dotted">
        <color indexed="64"/>
      </right>
      <top/>
      <bottom/>
      <diagonal/>
    </border>
    <border>
      <left style="dotted">
        <color indexed="64"/>
      </left>
      <right style="thin">
        <color rgb="FF000000"/>
      </right>
      <top/>
      <bottom/>
      <diagonal/>
    </border>
    <border>
      <left style="thin">
        <color indexed="64"/>
      </left>
      <right style="dotted">
        <color indexed="64"/>
      </right>
      <top/>
      <bottom style="dotted">
        <color rgb="FF000000"/>
      </bottom>
      <diagonal/>
    </border>
    <border>
      <left style="dotted">
        <color indexed="64"/>
      </left>
      <right style="thin">
        <color rgb="FF000000"/>
      </right>
      <top/>
      <bottom style="dotted">
        <color rgb="FF000000"/>
      </bottom>
      <diagonal/>
    </border>
    <border>
      <left style="thin">
        <color indexed="64"/>
      </left>
      <right style="dotted">
        <color rgb="FF000000"/>
      </right>
      <top style="dotted">
        <color rgb="FF000000"/>
      </top>
      <bottom/>
      <diagonal/>
    </border>
    <border>
      <left style="thin">
        <color indexed="64"/>
      </left>
      <right style="dotted">
        <color rgb="FF000000"/>
      </right>
      <top/>
      <bottom/>
      <diagonal/>
    </border>
    <border>
      <left style="thin">
        <color indexed="64"/>
      </left>
      <right style="dotted">
        <color rgb="FF000000"/>
      </right>
      <top/>
      <bottom style="dotted">
        <color rgb="FF000000"/>
      </bottom>
      <diagonal/>
    </border>
    <border>
      <left style="hair">
        <color indexed="64"/>
      </left>
      <right style="thin">
        <color rgb="FF000000"/>
      </right>
      <top style="hair">
        <color indexed="64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/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dotted">
        <color rgb="FF000000"/>
      </top>
      <bottom/>
      <diagonal/>
    </border>
    <border>
      <left style="hair">
        <color rgb="FF000000"/>
      </left>
      <right style="thin">
        <color rgb="FF000000"/>
      </right>
      <top style="hair">
        <color rgb="FF000000"/>
      </top>
      <bottom/>
      <diagonal/>
    </border>
    <border>
      <left style="hair">
        <color rgb="FF000000"/>
      </left>
      <right style="thin">
        <color rgb="FF000000"/>
      </right>
      <top/>
      <bottom/>
      <diagonal/>
    </border>
    <border>
      <left style="hair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/>
      <top style="hair">
        <color indexed="64"/>
      </top>
      <bottom style="thin">
        <color rgb="FF000000"/>
      </bottom>
      <diagonal/>
    </border>
    <border>
      <left style="thin">
        <color rgb="FF000000"/>
      </left>
      <right/>
      <top style="hair">
        <color rgb="FF000000"/>
      </top>
      <bottom/>
      <diagonal/>
    </border>
    <border>
      <left style="thin">
        <color rgb="FF000000"/>
      </left>
      <right/>
      <top/>
      <bottom style="hair">
        <color rgb="FF000000"/>
      </bottom>
      <diagonal/>
    </border>
    <border>
      <left style="hair">
        <color indexed="64"/>
      </left>
      <right/>
      <top style="thin">
        <color rgb="FF000000"/>
      </top>
      <bottom style="thin">
        <color rgb="FF000000"/>
      </bottom>
      <diagonal/>
    </border>
    <border>
      <left style="hair">
        <color indexed="64"/>
      </left>
      <right/>
      <top/>
      <bottom style="thin">
        <color rgb="FF000000"/>
      </bottom>
      <diagonal/>
    </border>
    <border>
      <left style="hair">
        <color indexed="64"/>
      </left>
      <right/>
      <top style="dotted">
        <color rgb="FF000000"/>
      </top>
      <bottom/>
      <diagonal/>
    </border>
    <border>
      <left style="hair">
        <color indexed="64"/>
      </left>
      <right/>
      <top style="hair">
        <color rgb="FF000000"/>
      </top>
      <bottom/>
      <diagonal/>
    </border>
    <border>
      <left style="hair">
        <color indexed="64"/>
      </left>
      <right/>
      <top/>
      <bottom/>
      <diagonal/>
    </border>
    <border>
      <left style="hair">
        <color indexed="64"/>
      </left>
      <right/>
      <top style="thin">
        <color rgb="FF000000"/>
      </top>
      <bottom/>
      <diagonal/>
    </border>
    <border>
      <left style="hair">
        <color indexed="64"/>
      </left>
      <right/>
      <top/>
      <bottom style="hair">
        <color rgb="FF000000"/>
      </bottom>
      <diagonal/>
    </border>
    <border>
      <left/>
      <right style="thin">
        <color rgb="FF000000"/>
      </right>
      <top/>
      <bottom style="hair">
        <color rgb="FF000000"/>
      </bottom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64"/>
      </left>
      <right/>
      <top style="hair">
        <color indexed="64"/>
      </top>
      <bottom style="thin">
        <color rgb="FF000000"/>
      </bottom>
      <diagonal/>
    </border>
    <border>
      <left style="thin">
        <color rgb="FF000000"/>
      </left>
      <right style="thin">
        <color auto="1"/>
      </right>
      <top style="thin">
        <color rgb="FF000000"/>
      </top>
      <bottom/>
      <diagonal/>
    </border>
    <border>
      <left style="hair">
        <color rgb="FF000000"/>
      </left>
      <right style="thin">
        <color rgb="FF000000"/>
      </right>
      <top/>
      <bottom style="hair">
        <color rgb="FF000000"/>
      </bottom>
      <diagonal/>
    </border>
    <border>
      <left style="hair">
        <color rgb="FF000000"/>
      </left>
      <right style="hair">
        <color indexed="64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indexed="64"/>
      </right>
      <top/>
      <bottom style="thin">
        <color rgb="FF000000"/>
      </bottom>
      <diagonal/>
    </border>
    <border>
      <left style="hair">
        <color rgb="FF000000"/>
      </left>
      <right style="hair">
        <color indexed="64"/>
      </right>
      <top style="dotted">
        <color rgb="FF000000"/>
      </top>
      <bottom/>
      <diagonal/>
    </border>
    <border>
      <left style="hair">
        <color rgb="FF000000"/>
      </left>
      <right style="hair">
        <color indexed="64"/>
      </right>
      <top style="hair">
        <color rgb="FF000000"/>
      </top>
      <bottom/>
      <diagonal/>
    </border>
    <border>
      <left style="hair">
        <color rgb="FF000000"/>
      </left>
      <right style="hair">
        <color indexed="64"/>
      </right>
      <top style="thin">
        <color rgb="FF000000"/>
      </top>
      <bottom/>
      <diagonal/>
    </border>
    <border>
      <left style="hair">
        <color rgb="FF000000"/>
      </left>
      <right style="hair">
        <color indexed="64"/>
      </right>
      <top/>
      <bottom/>
      <diagonal/>
    </border>
    <border>
      <left style="hair">
        <color rgb="FF000000"/>
      </left>
      <right style="hair">
        <color indexed="64"/>
      </right>
      <top/>
      <bottom style="hair">
        <color rgb="FF000000"/>
      </bottom>
      <diagonal/>
    </border>
    <border>
      <left/>
      <right style="thin">
        <color auto="1"/>
      </right>
      <top style="dotted">
        <color rgb="FF000000"/>
      </top>
      <bottom/>
      <diagonal/>
    </border>
    <border>
      <left/>
      <right style="thin">
        <color indexed="64"/>
      </right>
      <top style="hair">
        <color rgb="FF000000"/>
      </top>
      <bottom/>
      <diagonal/>
    </border>
    <border>
      <left/>
      <right style="thin">
        <color indexed="64"/>
      </right>
      <top/>
      <bottom style="hair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rgb="FF000000"/>
      </bottom>
      <diagonal/>
    </border>
    <border>
      <left style="thin">
        <color auto="1"/>
      </left>
      <right style="thin">
        <color rgb="FF000000"/>
      </right>
      <top style="thin">
        <color indexed="64"/>
      </top>
      <bottom/>
      <diagonal/>
    </border>
    <border>
      <left style="thin">
        <color rgb="FF000000"/>
      </left>
      <right style="thin">
        <color indexed="64"/>
      </right>
      <top style="thin">
        <color rgb="FF000000"/>
      </top>
      <bottom style="thin">
        <color rgb="FF000000"/>
      </bottom>
      <diagonal/>
    </border>
  </borders>
  <cellStyleXfs count="1">
    <xf numFmtId="0" fontId="0" fillId="0" borderId="0"/>
  </cellStyleXfs>
  <cellXfs count="772">
    <xf numFmtId="0" fontId="0" fillId="0" borderId="0" xfId="0"/>
    <xf numFmtId="0" fontId="1" fillId="0" borderId="0" xfId="0" applyFont="1" applyAlignment="1">
      <alignment vertical="center"/>
    </xf>
    <xf numFmtId="176" fontId="1" fillId="0" borderId="0" xfId="0" applyNumberFormat="1" applyFont="1" applyAlignment="1">
      <alignment vertical="center"/>
    </xf>
    <xf numFmtId="41" fontId="1" fillId="0" borderId="0" xfId="0" applyNumberFormat="1" applyFont="1" applyAlignment="1">
      <alignment vertical="center"/>
    </xf>
    <xf numFmtId="177" fontId="1" fillId="0" borderId="0" xfId="0" applyNumberFormat="1" applyFont="1" applyAlignment="1">
      <alignment vertical="center"/>
    </xf>
    <xf numFmtId="178" fontId="1" fillId="0" borderId="0" xfId="0" applyNumberFormat="1" applyFont="1" applyAlignment="1">
      <alignment vertical="center"/>
    </xf>
    <xf numFmtId="3" fontId="1" fillId="0" borderId="0" xfId="0" applyNumberFormat="1" applyFont="1" applyAlignment="1">
      <alignment vertical="center"/>
    </xf>
    <xf numFmtId="176" fontId="3" fillId="0" borderId="1" xfId="0" applyNumberFormat="1" applyFont="1" applyBorder="1" applyAlignment="1">
      <alignment horizontal="right" vertical="center" readingOrder="1"/>
    </xf>
    <xf numFmtId="176" fontId="3" fillId="0" borderId="5" xfId="0" applyNumberFormat="1" applyFont="1" applyBorder="1" applyAlignment="1">
      <alignment horizontal="right" vertical="center" readingOrder="1"/>
    </xf>
    <xf numFmtId="0" fontId="3" fillId="0" borderId="2" xfId="0" applyFont="1" applyBorder="1" applyAlignment="1">
      <alignment vertical="center" readingOrder="1"/>
    </xf>
    <xf numFmtId="0" fontId="3" fillId="0" borderId="7" xfId="0" applyFont="1" applyBorder="1" applyAlignment="1">
      <alignment vertical="center" readingOrder="1"/>
    </xf>
    <xf numFmtId="0" fontId="4" fillId="0" borderId="1" xfId="0" applyFont="1" applyBorder="1" applyAlignment="1">
      <alignment vertical="center" wrapText="1"/>
    </xf>
    <xf numFmtId="0" fontId="4" fillId="0" borderId="10" xfId="0" applyFont="1" applyBorder="1" applyAlignment="1">
      <alignment vertical="center" wrapText="1"/>
    </xf>
    <xf numFmtId="176" fontId="3" fillId="0" borderId="10" xfId="0" applyNumberFormat="1" applyFont="1" applyBorder="1" applyAlignment="1">
      <alignment horizontal="right" vertical="center" readingOrder="1"/>
    </xf>
    <xf numFmtId="0" fontId="3" fillId="0" borderId="13" xfId="0" applyFont="1" applyBorder="1" applyAlignment="1">
      <alignment vertical="center" readingOrder="1"/>
    </xf>
    <xf numFmtId="0" fontId="3" fillId="0" borderId="14" xfId="0" applyFont="1" applyBorder="1" applyAlignment="1">
      <alignment vertical="center" readingOrder="1"/>
    </xf>
    <xf numFmtId="176" fontId="3" fillId="0" borderId="15" xfId="0" applyNumberFormat="1" applyFont="1" applyBorder="1" applyAlignment="1">
      <alignment horizontal="right" vertical="center" readingOrder="1"/>
    </xf>
    <xf numFmtId="0" fontId="3" fillId="0" borderId="18" xfId="0" applyFont="1" applyBorder="1" applyAlignment="1">
      <alignment vertical="center" readingOrder="1"/>
    </xf>
    <xf numFmtId="0" fontId="3" fillId="0" borderId="0" xfId="0" applyFont="1" applyAlignment="1">
      <alignment vertical="center" readingOrder="1"/>
    </xf>
    <xf numFmtId="0" fontId="5" fillId="0" borderId="20" xfId="0" applyFont="1" applyBorder="1" applyAlignment="1">
      <alignment vertical="center" wrapText="1"/>
    </xf>
    <xf numFmtId="176" fontId="3" fillId="0" borderId="23" xfId="0" applyNumberFormat="1" applyFont="1" applyBorder="1" applyAlignment="1">
      <alignment horizontal="right" vertical="center" readingOrder="1"/>
    </xf>
    <xf numFmtId="0" fontId="5" fillId="0" borderId="24" xfId="0" applyFont="1" applyBorder="1" applyAlignment="1">
      <alignment vertical="center" readingOrder="1"/>
    </xf>
    <xf numFmtId="0" fontId="5" fillId="0" borderId="25" xfId="0" applyFont="1" applyBorder="1" applyAlignment="1">
      <alignment vertical="center" readingOrder="1"/>
    </xf>
    <xf numFmtId="0" fontId="6" fillId="0" borderId="25" xfId="0" applyFont="1" applyBorder="1" applyAlignment="1">
      <alignment vertical="center" readingOrder="1"/>
    </xf>
    <xf numFmtId="0" fontId="4" fillId="0" borderId="26" xfId="0" applyFont="1" applyBorder="1" applyAlignment="1">
      <alignment horizontal="left" vertical="center" wrapText="1" readingOrder="1"/>
    </xf>
    <xf numFmtId="0" fontId="3" fillId="0" borderId="19" xfId="0" applyFont="1" applyBorder="1" applyAlignment="1">
      <alignment vertical="center" readingOrder="1"/>
    </xf>
    <xf numFmtId="0" fontId="1" fillId="0" borderId="10" xfId="0" applyFont="1" applyBorder="1" applyAlignment="1">
      <alignment vertical="center"/>
    </xf>
    <xf numFmtId="0" fontId="4" fillId="0" borderId="20" xfId="0" applyFont="1" applyBorder="1" applyAlignment="1">
      <alignment vertical="center" wrapText="1"/>
    </xf>
    <xf numFmtId="0" fontId="3" fillId="0" borderId="24" xfId="0" applyFont="1" applyBorder="1" applyAlignment="1">
      <alignment vertical="center" readingOrder="1"/>
    </xf>
    <xf numFmtId="0" fontId="3" fillId="0" borderId="25" xfId="0" applyFont="1" applyBorder="1" applyAlignment="1">
      <alignment vertical="center" readingOrder="1"/>
    </xf>
    <xf numFmtId="176" fontId="3" fillId="0" borderId="10" xfId="0" applyNumberFormat="1" applyFont="1" applyBorder="1" applyAlignment="1">
      <alignment vertical="center" readingOrder="1"/>
    </xf>
    <xf numFmtId="0" fontId="4" fillId="0" borderId="14" xfId="0" applyFont="1" applyBorder="1" applyAlignment="1">
      <alignment vertical="center"/>
    </xf>
    <xf numFmtId="0" fontId="4" fillId="0" borderId="27" xfId="0" applyFont="1" applyBorder="1" applyAlignment="1">
      <alignment vertical="center"/>
    </xf>
    <xf numFmtId="0" fontId="4" fillId="0" borderId="28" xfId="0" applyFont="1" applyBorder="1" applyAlignment="1">
      <alignment vertical="center"/>
    </xf>
    <xf numFmtId="0" fontId="4" fillId="0" borderId="26" xfId="0" applyFont="1" applyBorder="1" applyAlignment="1">
      <alignment vertical="center" wrapText="1"/>
    </xf>
    <xf numFmtId="176" fontId="3" fillId="0" borderId="26" xfId="0" applyNumberFormat="1" applyFont="1" applyBorder="1" applyAlignment="1">
      <alignment vertical="center" readingOrder="1"/>
    </xf>
    <xf numFmtId="0" fontId="3" fillId="0" borderId="27" xfId="0" applyFont="1" applyBorder="1" applyAlignment="1">
      <alignment vertical="center" readingOrder="1"/>
    </xf>
    <xf numFmtId="176" fontId="3" fillId="0" borderId="15" xfId="0" applyNumberFormat="1" applyFont="1" applyBorder="1" applyAlignment="1">
      <alignment vertical="center" readingOrder="1"/>
    </xf>
    <xf numFmtId="176" fontId="3" fillId="0" borderId="31" xfId="0" applyNumberFormat="1" applyFont="1" applyBorder="1" applyAlignment="1">
      <alignment horizontal="right" vertical="center" readingOrder="1"/>
    </xf>
    <xf numFmtId="0" fontId="3" fillId="0" borderId="16" xfId="0" applyFont="1" applyBorder="1" applyAlignment="1">
      <alignment vertical="center" readingOrder="1"/>
    </xf>
    <xf numFmtId="176" fontId="3" fillId="0" borderId="34" xfId="0" applyNumberFormat="1" applyFont="1" applyBorder="1" applyAlignment="1">
      <alignment vertical="center" readingOrder="1"/>
    </xf>
    <xf numFmtId="0" fontId="3" fillId="0" borderId="37" xfId="0" applyFont="1" applyBorder="1" applyAlignment="1">
      <alignment vertical="center" readingOrder="1"/>
    </xf>
    <xf numFmtId="176" fontId="3" fillId="0" borderId="26" xfId="0" applyNumberFormat="1" applyFont="1" applyBorder="1" applyAlignment="1">
      <alignment horizontal="right" vertical="center" readingOrder="1"/>
    </xf>
    <xf numFmtId="0" fontId="3" fillId="0" borderId="29" xfId="0" applyFont="1" applyBorder="1" applyAlignment="1">
      <alignment vertical="center" readingOrder="1"/>
    </xf>
    <xf numFmtId="0" fontId="4" fillId="0" borderId="26" xfId="0" applyFont="1" applyBorder="1" applyAlignment="1">
      <alignment horizontal="left" vertical="center" readingOrder="1"/>
    </xf>
    <xf numFmtId="176" fontId="3" fillId="0" borderId="34" xfId="0" applyNumberFormat="1" applyFont="1" applyBorder="1" applyAlignment="1">
      <alignment horizontal="right" vertical="center" readingOrder="1"/>
    </xf>
    <xf numFmtId="0" fontId="3" fillId="0" borderId="35" xfId="0" applyFont="1" applyBorder="1" applyAlignment="1">
      <alignment vertical="center" readingOrder="1"/>
    </xf>
    <xf numFmtId="0" fontId="4" fillId="0" borderId="26" xfId="0" quotePrefix="1" applyFont="1" applyBorder="1" applyAlignment="1">
      <alignment horizontal="left" vertical="center" wrapText="1"/>
    </xf>
    <xf numFmtId="41" fontId="4" fillId="0" borderId="26" xfId="0" quotePrefix="1" applyNumberFormat="1" applyFont="1" applyBorder="1" applyAlignment="1">
      <alignment horizontal="left" vertical="center" readingOrder="1"/>
    </xf>
    <xf numFmtId="0" fontId="1" fillId="0" borderId="26" xfId="0" applyFont="1" applyBorder="1" applyAlignment="1">
      <alignment horizontal="left" vertical="center" wrapText="1" readingOrder="1"/>
    </xf>
    <xf numFmtId="0" fontId="3" fillId="0" borderId="38" xfId="0" applyFont="1" applyBorder="1" applyAlignment="1">
      <alignment horizontal="left" vertical="center" readingOrder="1"/>
    </xf>
    <xf numFmtId="0" fontId="3" fillId="0" borderId="28" xfId="0" applyFont="1" applyBorder="1" applyAlignment="1">
      <alignment horizontal="left" vertical="center" readingOrder="1"/>
    </xf>
    <xf numFmtId="0" fontId="3" fillId="3" borderId="12" xfId="0" applyFont="1" applyFill="1" applyBorder="1" applyAlignment="1">
      <alignment horizontal="center" vertical="center" wrapText="1" readingOrder="1"/>
    </xf>
    <xf numFmtId="0" fontId="3" fillId="3" borderId="2" xfId="0" applyFont="1" applyFill="1" applyBorder="1" applyAlignment="1">
      <alignment horizontal="center" vertical="center" wrapText="1" readingOrder="1"/>
    </xf>
    <xf numFmtId="0" fontId="3" fillId="3" borderId="9" xfId="0" applyFont="1" applyFill="1" applyBorder="1" applyAlignment="1">
      <alignment horizontal="center" vertical="center" wrapText="1" readingOrder="1"/>
    </xf>
    <xf numFmtId="0" fontId="3" fillId="3" borderId="10" xfId="0" applyFont="1" applyFill="1" applyBorder="1" applyAlignment="1">
      <alignment horizontal="center" vertical="center" wrapText="1" readingOrder="1"/>
    </xf>
    <xf numFmtId="0" fontId="3" fillId="3" borderId="6" xfId="0" applyFont="1" applyFill="1" applyBorder="1" applyAlignment="1">
      <alignment horizontal="center" vertical="center" wrapText="1" readingOrder="1"/>
    </xf>
    <xf numFmtId="179" fontId="1" fillId="0" borderId="0" xfId="0" applyNumberFormat="1" applyFont="1" applyAlignment="1">
      <alignment vertical="center"/>
    </xf>
    <xf numFmtId="0" fontId="1" fillId="0" borderId="0" xfId="0" applyFont="1" applyAlignment="1">
      <alignment horizontal="right" vertical="center"/>
    </xf>
    <xf numFmtId="0" fontId="7" fillId="0" borderId="0" xfId="0" applyFont="1" applyAlignment="1">
      <alignment vertical="center"/>
    </xf>
    <xf numFmtId="0" fontId="7" fillId="0" borderId="0" xfId="0" applyFont="1" applyAlignment="1">
      <alignment horizontal="right" vertical="center"/>
    </xf>
    <xf numFmtId="0" fontId="7" fillId="0" borderId="0" xfId="0" applyFont="1" applyAlignment="1">
      <alignment horizontal="center" vertical="center"/>
    </xf>
    <xf numFmtId="0" fontId="7" fillId="0" borderId="0" xfId="0" applyFont="1" applyAlignment="1">
      <alignment horizontal="left" vertical="center"/>
    </xf>
    <xf numFmtId="41" fontId="7" fillId="0" borderId="0" xfId="0" applyNumberFormat="1" applyFont="1" applyAlignment="1">
      <alignment vertical="center"/>
    </xf>
    <xf numFmtId="41" fontId="7" fillId="0" borderId="0" xfId="0" applyNumberFormat="1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7" fillId="4" borderId="0" xfId="0" applyFont="1" applyFill="1" applyAlignment="1">
      <alignment horizontal="center" vertical="center"/>
    </xf>
    <xf numFmtId="41" fontId="7" fillId="4" borderId="0" xfId="0" applyNumberFormat="1" applyFont="1" applyFill="1" applyAlignment="1">
      <alignment horizontal="center" vertical="center"/>
    </xf>
    <xf numFmtId="41" fontId="7" fillId="0" borderId="0" xfId="0" applyNumberFormat="1" applyFont="1" applyAlignment="1">
      <alignment horizontal="left" vertical="center"/>
    </xf>
    <xf numFmtId="0" fontId="10" fillId="0" borderId="0" xfId="0" applyFont="1" applyAlignment="1">
      <alignment vertical="center"/>
    </xf>
    <xf numFmtId="4" fontId="10" fillId="0" borderId="0" xfId="0" applyNumberFormat="1" applyFont="1" applyAlignment="1">
      <alignment vertical="center"/>
    </xf>
    <xf numFmtId="0" fontId="10" fillId="0" borderId="0" xfId="0" applyFont="1" applyAlignment="1">
      <alignment horizontal="right" vertical="center"/>
    </xf>
    <xf numFmtId="0" fontId="10" fillId="0" borderId="0" xfId="0" applyFont="1" applyAlignment="1">
      <alignment horizontal="center" vertical="center"/>
    </xf>
    <xf numFmtId="41" fontId="10" fillId="0" borderId="0" xfId="0" applyNumberFormat="1" applyFont="1" applyAlignment="1">
      <alignment horizontal="left" vertical="center"/>
    </xf>
    <xf numFmtId="41" fontId="10" fillId="0" borderId="0" xfId="0" applyNumberFormat="1" applyFont="1" applyAlignment="1">
      <alignment horizontal="center" vertical="center"/>
    </xf>
    <xf numFmtId="0" fontId="10" fillId="0" borderId="0" xfId="0" applyFont="1" applyAlignment="1">
      <alignment horizontal="left" vertical="center"/>
    </xf>
    <xf numFmtId="0" fontId="9" fillId="0" borderId="0" xfId="0" applyFont="1" applyAlignment="1">
      <alignment vertical="center"/>
    </xf>
    <xf numFmtId="41" fontId="9" fillId="0" borderId="0" xfId="0" applyNumberFormat="1" applyFont="1" applyAlignment="1">
      <alignment vertical="center"/>
    </xf>
    <xf numFmtId="0" fontId="11" fillId="0" borderId="0" xfId="0" applyFont="1" applyAlignment="1">
      <alignment horizontal="center" vertical="center"/>
    </xf>
    <xf numFmtId="0" fontId="9" fillId="0" borderId="0" xfId="0" applyFont="1" applyAlignment="1">
      <alignment horizontal="right" vertical="center"/>
    </xf>
    <xf numFmtId="0" fontId="11" fillId="4" borderId="0" xfId="0" applyFont="1" applyFill="1" applyAlignment="1">
      <alignment horizontal="center" vertical="center"/>
    </xf>
    <xf numFmtId="0" fontId="13" fillId="0" borderId="0" xfId="0" applyFont="1" applyAlignment="1">
      <alignment horizontal="right" vertical="center"/>
    </xf>
    <xf numFmtId="180" fontId="9" fillId="0" borderId="0" xfId="0" applyNumberFormat="1" applyFont="1" applyAlignment="1">
      <alignment vertical="center"/>
    </xf>
    <xf numFmtId="4" fontId="14" fillId="0" borderId="0" xfId="0" applyNumberFormat="1" applyFont="1" applyAlignment="1">
      <alignment vertical="center"/>
    </xf>
    <xf numFmtId="41" fontId="13" fillId="4" borderId="0" xfId="0" applyNumberFormat="1" applyFont="1" applyFill="1" applyAlignment="1">
      <alignment horizontal="right" vertical="center"/>
    </xf>
    <xf numFmtId="0" fontId="15" fillId="0" borderId="0" xfId="0" applyFont="1" applyAlignment="1">
      <alignment horizontal="left" vertical="center"/>
    </xf>
    <xf numFmtId="0" fontId="16" fillId="0" borderId="0" xfId="0" applyFont="1" applyAlignment="1">
      <alignment vertical="center"/>
    </xf>
    <xf numFmtId="0" fontId="17" fillId="6" borderId="1" xfId="0" applyFont="1" applyFill="1" applyBorder="1" applyAlignment="1">
      <alignment horizontal="left" vertical="center" readingOrder="1"/>
    </xf>
    <xf numFmtId="183" fontId="18" fillId="5" borderId="42" xfId="0" applyNumberFormat="1" applyFont="1" applyFill="1" applyBorder="1" applyAlignment="1">
      <alignment horizontal="right" vertical="center" readingOrder="1"/>
    </xf>
    <xf numFmtId="0" fontId="21" fillId="0" borderId="20" xfId="0" applyFont="1" applyBorder="1" applyAlignment="1">
      <alignment vertical="center" wrapText="1"/>
    </xf>
    <xf numFmtId="183" fontId="18" fillId="0" borderId="42" xfId="0" applyNumberFormat="1" applyFont="1" applyBorder="1" applyAlignment="1">
      <alignment horizontal="right" vertical="center" readingOrder="1"/>
    </xf>
    <xf numFmtId="0" fontId="21" fillId="0" borderId="20" xfId="0" applyFont="1" applyBorder="1" applyAlignment="1">
      <alignment vertical="center"/>
    </xf>
    <xf numFmtId="179" fontId="16" fillId="0" borderId="8" xfId="0" applyNumberFormat="1" applyFont="1" applyBorder="1" applyAlignment="1">
      <alignment horizontal="right" vertical="center" readingOrder="1"/>
    </xf>
    <xf numFmtId="183" fontId="20" fillId="0" borderId="53" xfId="0" applyNumberFormat="1" applyFont="1" applyBorder="1" applyAlignment="1">
      <alignment horizontal="right" vertical="center" readingOrder="1"/>
    </xf>
    <xf numFmtId="179" fontId="17" fillId="0" borderId="54" xfId="0" applyNumberFormat="1" applyFont="1" applyBorder="1" applyAlignment="1">
      <alignment horizontal="right" vertical="center" readingOrder="1"/>
    </xf>
    <xf numFmtId="183" fontId="19" fillId="0" borderId="55" xfId="0" applyNumberFormat="1" applyFont="1" applyBorder="1" applyAlignment="1">
      <alignment horizontal="right" vertical="center" readingOrder="1"/>
    </xf>
    <xf numFmtId="179" fontId="17" fillId="0" borderId="47" xfId="0" applyNumberFormat="1" applyFont="1" applyBorder="1" applyAlignment="1">
      <alignment horizontal="right" vertical="center" readingOrder="1"/>
    </xf>
    <xf numFmtId="183" fontId="19" fillId="0" borderId="53" xfId="0" applyNumberFormat="1" applyFont="1" applyBorder="1" applyAlignment="1">
      <alignment horizontal="right" vertical="center" readingOrder="1"/>
    </xf>
    <xf numFmtId="184" fontId="16" fillId="0" borderId="0" xfId="0" applyNumberFormat="1" applyFont="1" applyAlignment="1">
      <alignment vertical="center"/>
    </xf>
    <xf numFmtId="0" fontId="17" fillId="3" borderId="1" xfId="0" applyFont="1" applyFill="1" applyBorder="1" applyAlignment="1">
      <alignment horizontal="center" vertical="center" readingOrder="1"/>
    </xf>
    <xf numFmtId="0" fontId="17" fillId="3" borderId="42" xfId="0" applyFont="1" applyFill="1" applyBorder="1" applyAlignment="1">
      <alignment horizontal="center" vertical="center" readingOrder="1"/>
    </xf>
    <xf numFmtId="0" fontId="20" fillId="3" borderId="50" xfId="0" applyFont="1" applyFill="1" applyBorder="1" applyAlignment="1">
      <alignment horizontal="center" vertical="center" readingOrder="1"/>
    </xf>
    <xf numFmtId="0" fontId="22" fillId="0" borderId="0" xfId="0" applyFont="1" applyAlignment="1">
      <alignment vertical="center"/>
    </xf>
    <xf numFmtId="0" fontId="12" fillId="0" borderId="0" xfId="0" applyFont="1" applyAlignment="1">
      <alignment vertical="center"/>
    </xf>
    <xf numFmtId="185" fontId="23" fillId="3" borderId="58" xfId="0" applyNumberFormat="1" applyFont="1" applyFill="1" applyBorder="1" applyAlignment="1">
      <alignment horizontal="right" vertical="center" readingOrder="1"/>
    </xf>
    <xf numFmtId="186" fontId="24" fillId="3" borderId="59" xfId="0" applyNumberFormat="1" applyFont="1" applyFill="1" applyBorder="1" applyAlignment="1">
      <alignment horizontal="right" vertical="center" readingOrder="1"/>
    </xf>
    <xf numFmtId="186" fontId="25" fillId="3" borderId="12" xfId="0" applyNumberFormat="1" applyFont="1" applyFill="1" applyBorder="1" applyAlignment="1">
      <alignment horizontal="right" vertical="center" readingOrder="1"/>
    </xf>
    <xf numFmtId="179" fontId="24" fillId="0" borderId="46" xfId="0" applyNumberFormat="1" applyFont="1" applyBorder="1" applyAlignment="1">
      <alignment horizontal="right" vertical="center" readingOrder="1"/>
    </xf>
    <xf numFmtId="179" fontId="25" fillId="0" borderId="36" xfId="0" applyNumberFormat="1" applyFont="1" applyBorder="1" applyAlignment="1">
      <alignment horizontal="right" vertical="center" readingOrder="1"/>
    </xf>
    <xf numFmtId="0" fontId="25" fillId="0" borderId="64" xfId="0" applyFont="1" applyBorder="1" applyAlignment="1">
      <alignment horizontal="left" vertical="center" readingOrder="1"/>
    </xf>
    <xf numFmtId="0" fontId="23" fillId="0" borderId="28" xfId="0" applyFont="1" applyBorder="1" applyAlignment="1">
      <alignment horizontal="left" vertical="center" readingOrder="1"/>
    </xf>
    <xf numFmtId="179" fontId="24" fillId="0" borderId="47" xfId="0" applyNumberFormat="1" applyFont="1" applyBorder="1" applyAlignment="1">
      <alignment horizontal="right" vertical="center" readingOrder="1"/>
    </xf>
    <xf numFmtId="179" fontId="25" fillId="0" borderId="48" xfId="0" applyNumberFormat="1" applyFont="1" applyBorder="1" applyAlignment="1">
      <alignment horizontal="right" vertical="center" readingOrder="1"/>
    </xf>
    <xf numFmtId="0" fontId="25" fillId="0" borderId="56" xfId="0" applyFont="1" applyBorder="1" applyAlignment="1">
      <alignment horizontal="left" vertical="center" readingOrder="1"/>
    </xf>
    <xf numFmtId="0" fontId="23" fillId="0" borderId="57" xfId="0" applyFont="1" applyBorder="1" applyAlignment="1">
      <alignment horizontal="left" vertical="center" readingOrder="1"/>
    </xf>
    <xf numFmtId="179" fontId="27" fillId="0" borderId="65" xfId="0" applyNumberFormat="1" applyFont="1" applyBorder="1" applyAlignment="1">
      <alignment horizontal="right" vertical="center" readingOrder="1"/>
    </xf>
    <xf numFmtId="179" fontId="23" fillId="0" borderId="12" xfId="0" applyNumberFormat="1" applyFont="1" applyBorder="1" applyAlignment="1">
      <alignment horizontal="right" vertical="center" readingOrder="1"/>
    </xf>
    <xf numFmtId="0" fontId="23" fillId="0" borderId="0" xfId="0" applyFont="1" applyAlignment="1">
      <alignment vertical="center" readingOrder="1"/>
    </xf>
    <xf numFmtId="0" fontId="23" fillId="0" borderId="25" xfId="0" applyFont="1" applyBorder="1" applyAlignment="1">
      <alignment vertical="center" readingOrder="1"/>
    </xf>
    <xf numFmtId="179" fontId="25" fillId="0" borderId="46" xfId="0" applyNumberFormat="1" applyFont="1" applyBorder="1" applyAlignment="1">
      <alignment vertical="center" readingOrder="1"/>
    </xf>
    <xf numFmtId="179" fontId="25" fillId="0" borderId="36" xfId="0" applyNumberFormat="1" applyFont="1" applyBorder="1" applyAlignment="1">
      <alignment vertical="center" readingOrder="1"/>
    </xf>
    <xf numFmtId="0" fontId="25" fillId="0" borderId="64" xfId="0" applyFont="1" applyBorder="1" applyAlignment="1">
      <alignment vertical="center" readingOrder="1"/>
    </xf>
    <xf numFmtId="179" fontId="25" fillId="0" borderId="54" xfId="0" applyNumberFormat="1" applyFont="1" applyBorder="1" applyAlignment="1">
      <alignment vertical="center" readingOrder="1"/>
    </xf>
    <xf numFmtId="179" fontId="25" fillId="0" borderId="30" xfId="0" applyNumberFormat="1" applyFont="1" applyBorder="1" applyAlignment="1">
      <alignment vertical="center" readingOrder="1"/>
    </xf>
    <xf numFmtId="0" fontId="25" fillId="0" borderId="40" xfId="0" applyFont="1" applyBorder="1" applyAlignment="1">
      <alignment vertical="center" readingOrder="1"/>
    </xf>
    <xf numFmtId="179" fontId="25" fillId="0" borderId="47" xfId="0" applyNumberFormat="1" applyFont="1" applyBorder="1" applyAlignment="1">
      <alignment vertical="center" readingOrder="1"/>
    </xf>
    <xf numFmtId="179" fontId="25" fillId="0" borderId="48" xfId="0" applyNumberFormat="1" applyFont="1" applyBorder="1" applyAlignment="1">
      <alignment vertical="center" readingOrder="1"/>
    </xf>
    <xf numFmtId="0" fontId="25" fillId="0" borderId="56" xfId="0" applyFont="1" applyBorder="1" applyAlignment="1">
      <alignment vertical="center" readingOrder="1"/>
    </xf>
    <xf numFmtId="0" fontId="25" fillId="3" borderId="42" xfId="0" applyFont="1" applyFill="1" applyBorder="1" applyAlignment="1">
      <alignment horizontal="center" vertical="center" readingOrder="1"/>
    </xf>
    <xf numFmtId="0" fontId="25" fillId="3" borderId="50" xfId="0" applyFont="1" applyFill="1" applyBorder="1" applyAlignment="1">
      <alignment horizontal="center" vertical="center" readingOrder="1"/>
    </xf>
    <xf numFmtId="0" fontId="25" fillId="3" borderId="8" xfId="0" applyFont="1" applyFill="1" applyBorder="1" applyAlignment="1">
      <alignment horizontal="center" vertical="center" readingOrder="1"/>
    </xf>
    <xf numFmtId="0" fontId="12" fillId="6" borderId="0" xfId="0" applyFont="1" applyFill="1" applyAlignment="1">
      <alignment vertical="center"/>
    </xf>
    <xf numFmtId="179" fontId="23" fillId="0" borderId="66" xfId="0" applyNumberFormat="1" applyFont="1" applyBorder="1" applyAlignment="1">
      <alignment horizontal="right" vertical="center" readingOrder="1"/>
    </xf>
    <xf numFmtId="0" fontId="11" fillId="0" borderId="0" xfId="0" applyFont="1" applyAlignment="1">
      <alignment vertical="center"/>
    </xf>
    <xf numFmtId="0" fontId="30" fillId="0" borderId="0" xfId="0" applyFont="1" applyAlignment="1">
      <alignment vertical="center"/>
    </xf>
    <xf numFmtId="176" fontId="31" fillId="0" borderId="0" xfId="0" applyNumberFormat="1" applyFont="1" applyAlignment="1">
      <alignment vertical="center"/>
    </xf>
    <xf numFmtId="176" fontId="30" fillId="0" borderId="0" xfId="0" applyNumberFormat="1" applyFont="1" applyAlignment="1">
      <alignment vertical="center"/>
    </xf>
    <xf numFmtId="176" fontId="3" fillId="0" borderId="67" xfId="0" applyNumberFormat="1" applyFont="1" applyBorder="1" applyAlignment="1">
      <alignment horizontal="right" vertical="center" readingOrder="1"/>
    </xf>
    <xf numFmtId="176" fontId="3" fillId="0" borderId="68" xfId="0" applyNumberFormat="1" applyFont="1" applyBorder="1" applyAlignment="1">
      <alignment horizontal="right" vertical="center" readingOrder="1"/>
    </xf>
    <xf numFmtId="176" fontId="3" fillId="0" borderId="18" xfId="0" applyNumberFormat="1" applyFont="1" applyBorder="1" applyAlignment="1">
      <alignment horizontal="right" vertical="center" readingOrder="1"/>
    </xf>
    <xf numFmtId="176" fontId="3" fillId="0" borderId="69" xfId="0" applyNumberFormat="1" applyFont="1" applyBorder="1" applyAlignment="1">
      <alignment horizontal="right" vertical="center" readingOrder="1"/>
    </xf>
    <xf numFmtId="0" fontId="3" fillId="0" borderId="26" xfId="0" applyFont="1" applyBorder="1" applyAlignment="1">
      <alignment horizontal="left" vertical="center" wrapText="1" readingOrder="1"/>
    </xf>
    <xf numFmtId="0" fontId="1" fillId="0" borderId="26" xfId="0" applyFont="1" applyBorder="1" applyAlignment="1">
      <alignment vertical="center"/>
    </xf>
    <xf numFmtId="0" fontId="4" fillId="0" borderId="20" xfId="0" applyFont="1" applyBorder="1" applyAlignment="1">
      <alignment horizontal="left" vertical="center" wrapText="1" readingOrder="1"/>
    </xf>
    <xf numFmtId="0" fontId="4" fillId="0" borderId="10" xfId="0" applyFont="1" applyBorder="1" applyAlignment="1">
      <alignment horizontal="left" vertical="center" wrapText="1" readingOrder="1"/>
    </xf>
    <xf numFmtId="187" fontId="3" fillId="0" borderId="26" xfId="0" applyNumberFormat="1" applyFont="1" applyBorder="1" applyAlignment="1">
      <alignment horizontal="right" vertical="center" readingOrder="1"/>
    </xf>
    <xf numFmtId="176" fontId="3" fillId="0" borderId="31" xfId="0" applyNumberFormat="1" applyFont="1" applyBorder="1" applyAlignment="1">
      <alignment vertical="center" readingOrder="1"/>
    </xf>
    <xf numFmtId="187" fontId="3" fillId="0" borderId="15" xfId="0" applyNumberFormat="1" applyFont="1" applyBorder="1" applyAlignment="1">
      <alignment horizontal="right" vertical="center" readingOrder="1"/>
    </xf>
    <xf numFmtId="187" fontId="3" fillId="0" borderId="10" xfId="0" applyNumberFormat="1" applyFont="1" applyBorder="1" applyAlignment="1">
      <alignment horizontal="right" vertical="center" readingOrder="1"/>
    </xf>
    <xf numFmtId="176" fontId="3" fillId="0" borderId="71" xfId="0" applyNumberFormat="1" applyFont="1" applyBorder="1" applyAlignment="1">
      <alignment horizontal="right" vertical="center" readingOrder="1"/>
    </xf>
    <xf numFmtId="176" fontId="3" fillId="0" borderId="72" xfId="0" applyNumberFormat="1" applyFont="1" applyBorder="1" applyAlignment="1">
      <alignment horizontal="right" vertical="center" readingOrder="1"/>
    </xf>
    <xf numFmtId="176" fontId="3" fillId="0" borderId="73" xfId="0" applyNumberFormat="1" applyFont="1" applyBorder="1" applyAlignment="1">
      <alignment horizontal="right" vertical="center" readingOrder="1"/>
    </xf>
    <xf numFmtId="176" fontId="3" fillId="0" borderId="74" xfId="0" applyNumberFormat="1" applyFont="1" applyBorder="1" applyAlignment="1">
      <alignment horizontal="right" vertical="center" readingOrder="1"/>
    </xf>
    <xf numFmtId="179" fontId="3" fillId="0" borderId="41" xfId="0" applyNumberFormat="1" applyFont="1" applyBorder="1" applyAlignment="1">
      <alignment horizontal="right" vertical="center" readingOrder="1"/>
    </xf>
    <xf numFmtId="176" fontId="3" fillId="0" borderId="40" xfId="0" applyNumberFormat="1" applyFont="1" applyBorder="1" applyAlignment="1">
      <alignment vertical="center" readingOrder="1"/>
    </xf>
    <xf numFmtId="179" fontId="3" fillId="0" borderId="40" xfId="0" applyNumberFormat="1" applyFont="1" applyBorder="1" applyAlignment="1">
      <alignment horizontal="right" vertical="center" readingOrder="1"/>
    </xf>
    <xf numFmtId="187" fontId="3" fillId="0" borderId="75" xfId="0" applyNumberFormat="1" applyFont="1" applyBorder="1" applyAlignment="1">
      <alignment horizontal="right" vertical="center" readingOrder="1"/>
    </xf>
    <xf numFmtId="176" fontId="3" fillId="0" borderId="74" xfId="0" applyNumberFormat="1" applyFont="1" applyBorder="1" applyAlignment="1">
      <alignment vertical="center" readingOrder="1"/>
    </xf>
    <xf numFmtId="176" fontId="3" fillId="0" borderId="19" xfId="0" applyNumberFormat="1" applyFont="1" applyBorder="1" applyAlignment="1">
      <alignment horizontal="right" vertical="center" readingOrder="1"/>
    </xf>
    <xf numFmtId="176" fontId="3" fillId="0" borderId="27" xfId="0" applyNumberFormat="1" applyFont="1" applyBorder="1" applyAlignment="1">
      <alignment horizontal="right" vertical="center" readingOrder="1"/>
    </xf>
    <xf numFmtId="176" fontId="3" fillId="0" borderId="37" xfId="0" applyNumberFormat="1" applyFont="1" applyBorder="1" applyAlignment="1">
      <alignment horizontal="right" vertical="center" readingOrder="1"/>
    </xf>
    <xf numFmtId="187" fontId="3" fillId="0" borderId="76" xfId="0" applyNumberFormat="1" applyFont="1" applyBorder="1" applyAlignment="1">
      <alignment horizontal="right" vertical="center" readingOrder="1"/>
    </xf>
    <xf numFmtId="176" fontId="3" fillId="0" borderId="75" xfId="0" applyNumberFormat="1" applyFont="1" applyBorder="1" applyAlignment="1">
      <alignment vertical="center" readingOrder="1"/>
    </xf>
    <xf numFmtId="176" fontId="3" fillId="0" borderId="40" xfId="0" applyNumberFormat="1" applyFont="1" applyBorder="1" applyAlignment="1">
      <alignment horizontal="right" vertical="center" readingOrder="1"/>
    </xf>
    <xf numFmtId="176" fontId="3" fillId="0" borderId="64" xfId="0" applyNumberFormat="1" applyFont="1" applyBorder="1" applyAlignment="1">
      <alignment horizontal="right" vertical="center" readingOrder="1"/>
    </xf>
    <xf numFmtId="187" fontId="3" fillId="0" borderId="39" xfId="0" applyNumberFormat="1" applyFont="1" applyBorder="1" applyAlignment="1">
      <alignment horizontal="right" vertical="center" readingOrder="1"/>
    </xf>
    <xf numFmtId="187" fontId="3" fillId="0" borderId="77" xfId="0" applyNumberFormat="1" applyFont="1" applyBorder="1" applyAlignment="1">
      <alignment horizontal="right" vertical="center" readingOrder="1"/>
    </xf>
    <xf numFmtId="176" fontId="3" fillId="0" borderId="41" xfId="0" applyNumberFormat="1" applyFont="1" applyBorder="1" applyAlignment="1">
      <alignment horizontal="right" vertical="center" readingOrder="1"/>
    </xf>
    <xf numFmtId="176" fontId="3" fillId="0" borderId="78" xfId="0" applyNumberFormat="1" applyFont="1" applyBorder="1" applyAlignment="1">
      <alignment horizontal="right" vertical="center" readingOrder="1"/>
    </xf>
    <xf numFmtId="176" fontId="3" fillId="2" borderId="78" xfId="0" applyNumberFormat="1" applyFont="1" applyFill="1" applyBorder="1" applyAlignment="1">
      <alignment horizontal="right" vertical="center" readingOrder="1"/>
    </xf>
    <xf numFmtId="0" fontId="3" fillId="3" borderId="85" xfId="0" applyFont="1" applyFill="1" applyBorder="1" applyAlignment="1">
      <alignment horizontal="center" vertical="center" wrapText="1" readingOrder="1"/>
    </xf>
    <xf numFmtId="176" fontId="3" fillId="0" borderId="7" xfId="0" applyNumberFormat="1" applyFont="1" applyBorder="1" applyAlignment="1">
      <alignment horizontal="right" vertical="center" readingOrder="1"/>
    </xf>
    <xf numFmtId="176" fontId="3" fillId="0" borderId="86" xfId="0" applyNumberFormat="1" applyFont="1" applyBorder="1" applyAlignment="1">
      <alignment horizontal="right" vertical="center" readingOrder="1"/>
    </xf>
    <xf numFmtId="187" fontId="3" fillId="0" borderId="0" xfId="0" applyNumberFormat="1" applyFont="1" applyAlignment="1">
      <alignment horizontal="right" vertical="center" readingOrder="1"/>
    </xf>
    <xf numFmtId="176" fontId="3" fillId="0" borderId="67" xfId="0" applyNumberFormat="1" applyFont="1" applyBorder="1" applyAlignment="1">
      <alignment vertical="center" readingOrder="1"/>
    </xf>
    <xf numFmtId="176" fontId="3" fillId="0" borderId="68" xfId="0" applyNumberFormat="1" applyFont="1" applyBorder="1" applyAlignment="1">
      <alignment vertical="center" readingOrder="1"/>
    </xf>
    <xf numFmtId="187" fontId="3" fillId="0" borderId="18" xfId="0" applyNumberFormat="1" applyFont="1" applyBorder="1" applyAlignment="1">
      <alignment horizontal="right" vertical="center" readingOrder="1"/>
    </xf>
    <xf numFmtId="187" fontId="3" fillId="0" borderId="13" xfId="0" applyNumberFormat="1" applyFont="1" applyBorder="1" applyAlignment="1">
      <alignment horizontal="right" vertical="center" readingOrder="1"/>
    </xf>
    <xf numFmtId="176" fontId="3" fillId="0" borderId="13" xfId="0" applyNumberFormat="1" applyFont="1" applyBorder="1" applyAlignment="1">
      <alignment horizontal="right" vertical="center" readingOrder="1"/>
    </xf>
    <xf numFmtId="0" fontId="3" fillId="3" borderId="89" xfId="0" applyFont="1" applyFill="1" applyBorder="1" applyAlignment="1">
      <alignment horizontal="center" vertical="center" wrapText="1" readingOrder="1"/>
    </xf>
    <xf numFmtId="0" fontId="3" fillId="3" borderId="90" xfId="0" applyFont="1" applyFill="1" applyBorder="1" applyAlignment="1">
      <alignment horizontal="center" vertical="center" wrapText="1" readingOrder="1"/>
    </xf>
    <xf numFmtId="176" fontId="3" fillId="0" borderId="91" xfId="0" applyNumberFormat="1" applyFont="1" applyBorder="1" applyAlignment="1">
      <alignment horizontal="right" vertical="center" readingOrder="1"/>
    </xf>
    <xf numFmtId="176" fontId="3" fillId="0" borderId="92" xfId="0" applyNumberFormat="1" applyFont="1" applyBorder="1" applyAlignment="1">
      <alignment horizontal="right" vertical="center" readingOrder="1"/>
    </xf>
    <xf numFmtId="176" fontId="3" fillId="0" borderId="93" xfId="0" applyNumberFormat="1" applyFont="1" applyBorder="1" applyAlignment="1">
      <alignment horizontal="right" vertical="center" readingOrder="1"/>
    </xf>
    <xf numFmtId="176" fontId="3" fillId="0" borderId="94" xfId="0" applyNumberFormat="1" applyFont="1" applyBorder="1" applyAlignment="1">
      <alignment horizontal="right" vertical="center" readingOrder="1"/>
    </xf>
    <xf numFmtId="176" fontId="3" fillId="0" borderId="95" xfId="0" applyNumberFormat="1" applyFont="1" applyBorder="1" applyAlignment="1">
      <alignment horizontal="right" vertical="center" readingOrder="1"/>
    </xf>
    <xf numFmtId="41" fontId="3" fillId="0" borderId="71" xfId="0" applyNumberFormat="1" applyFont="1" applyBorder="1" applyAlignment="1">
      <alignment horizontal="right" vertical="center" readingOrder="1"/>
    </xf>
    <xf numFmtId="176" fontId="3" fillId="0" borderId="96" xfId="0" applyNumberFormat="1" applyFont="1" applyBorder="1" applyAlignment="1">
      <alignment horizontal="right" vertical="center" readingOrder="1"/>
    </xf>
    <xf numFmtId="187" fontId="3" fillId="0" borderId="97" xfId="0" applyNumberFormat="1" applyFont="1" applyBorder="1" applyAlignment="1">
      <alignment horizontal="right" vertical="center" readingOrder="1"/>
    </xf>
    <xf numFmtId="176" fontId="3" fillId="0" borderId="98" xfId="0" applyNumberFormat="1" applyFont="1" applyBorder="1" applyAlignment="1">
      <alignment horizontal="right" vertical="center" readingOrder="1"/>
    </xf>
    <xf numFmtId="176" fontId="1" fillId="0" borderId="98" xfId="0" applyNumberFormat="1" applyFont="1" applyBorder="1" applyAlignment="1">
      <alignment horizontal="right" vertical="center" readingOrder="1"/>
    </xf>
    <xf numFmtId="187" fontId="3" fillId="0" borderId="99" xfId="0" applyNumberFormat="1" applyFont="1" applyBorder="1" applyAlignment="1">
      <alignment horizontal="right" vertical="center" readingOrder="1"/>
    </xf>
    <xf numFmtId="176" fontId="3" fillId="0" borderId="100" xfId="0" applyNumberFormat="1" applyFont="1" applyBorder="1" applyAlignment="1">
      <alignment horizontal="right" vertical="center" readingOrder="1"/>
    </xf>
    <xf numFmtId="176" fontId="3" fillId="0" borderId="101" xfId="0" applyNumberFormat="1" applyFont="1" applyBorder="1" applyAlignment="1">
      <alignment horizontal="right" vertical="center" readingOrder="1"/>
    </xf>
    <xf numFmtId="176" fontId="3" fillId="0" borderId="69" xfId="0" applyNumberFormat="1" applyFont="1" applyBorder="1" applyAlignment="1">
      <alignment vertical="center" readingOrder="1"/>
    </xf>
    <xf numFmtId="176" fontId="3" fillId="0" borderId="71" xfId="0" applyNumberFormat="1" applyFont="1" applyBorder="1" applyAlignment="1">
      <alignment vertical="center" readingOrder="1"/>
    </xf>
    <xf numFmtId="176" fontId="3" fillId="0" borderId="97" xfId="0" applyNumberFormat="1" applyFont="1" applyBorder="1" applyAlignment="1">
      <alignment vertical="center" readingOrder="1"/>
    </xf>
    <xf numFmtId="176" fontId="3" fillId="0" borderId="99" xfId="0" applyNumberFormat="1" applyFont="1" applyBorder="1" applyAlignment="1">
      <alignment vertical="center" readingOrder="1"/>
    </xf>
    <xf numFmtId="187" fontId="3" fillId="0" borderId="71" xfId="0" applyNumberFormat="1" applyFont="1" applyBorder="1" applyAlignment="1">
      <alignment horizontal="right" vertical="center" readingOrder="1"/>
    </xf>
    <xf numFmtId="176" fontId="3" fillId="0" borderId="99" xfId="0" applyNumberFormat="1" applyFont="1" applyBorder="1" applyAlignment="1">
      <alignment horizontal="right" vertical="center" readingOrder="1"/>
    </xf>
    <xf numFmtId="176" fontId="3" fillId="0" borderId="96" xfId="0" applyNumberFormat="1" applyFont="1" applyBorder="1" applyAlignment="1">
      <alignment vertical="center" readingOrder="1"/>
    </xf>
    <xf numFmtId="176" fontId="3" fillId="0" borderId="90" xfId="0" applyNumberFormat="1" applyFont="1" applyBorder="1" applyAlignment="1">
      <alignment horizontal="right" vertical="center" readingOrder="1"/>
    </xf>
    <xf numFmtId="187" fontId="3" fillId="2" borderId="72" xfId="0" applyNumberFormat="1" applyFont="1" applyFill="1" applyBorder="1" applyAlignment="1">
      <alignment horizontal="right" vertical="center" readingOrder="1"/>
    </xf>
    <xf numFmtId="176" fontId="3" fillId="0" borderId="102" xfId="0" applyNumberFormat="1" applyFont="1" applyBorder="1" applyAlignment="1">
      <alignment horizontal="right" vertical="center" readingOrder="1"/>
    </xf>
    <xf numFmtId="176" fontId="4" fillId="0" borderId="103" xfId="0" applyNumberFormat="1" applyFont="1" applyBorder="1" applyAlignment="1">
      <alignment horizontal="right" vertical="center" readingOrder="1"/>
    </xf>
    <xf numFmtId="176" fontId="3" fillId="0" borderId="104" xfId="0" applyNumberFormat="1" applyFont="1" applyBorder="1" applyAlignment="1">
      <alignment horizontal="right" vertical="center" readingOrder="1"/>
    </xf>
    <xf numFmtId="0" fontId="16" fillId="0" borderId="0" xfId="0" applyFont="1" applyAlignment="1">
      <alignment horizontal="right" vertical="center"/>
    </xf>
    <xf numFmtId="0" fontId="17" fillId="0" borderId="26" xfId="0" applyFont="1" applyBorder="1" applyAlignment="1">
      <alignment horizontal="left" vertical="center" wrapText="1" readingOrder="1"/>
    </xf>
    <xf numFmtId="0" fontId="21" fillId="0" borderId="15" xfId="0" applyFont="1" applyBorder="1" applyAlignment="1">
      <alignment horizontal="left" vertical="center" readingOrder="1"/>
    </xf>
    <xf numFmtId="0" fontId="32" fillId="3" borderId="5" xfId="0" applyFont="1" applyFill="1" applyBorder="1" applyAlignment="1">
      <alignment horizontal="center" vertical="center" readingOrder="1"/>
    </xf>
    <xf numFmtId="0" fontId="32" fillId="3" borderId="105" xfId="0" applyFont="1" applyFill="1" applyBorder="1" applyAlignment="1">
      <alignment horizontal="center" vertical="center" readingOrder="1"/>
    </xf>
    <xf numFmtId="0" fontId="32" fillId="7" borderId="7" xfId="0" applyFont="1" applyFill="1" applyBorder="1" applyAlignment="1">
      <alignment vertical="center" readingOrder="1"/>
    </xf>
    <xf numFmtId="0" fontId="7" fillId="0" borderId="20" xfId="0" applyFont="1" applyBorder="1" applyAlignment="1">
      <alignment vertical="center"/>
    </xf>
    <xf numFmtId="0" fontId="32" fillId="0" borderId="25" xfId="0" applyFont="1" applyBorder="1" applyAlignment="1">
      <alignment horizontal="left" vertical="center" readingOrder="1"/>
    </xf>
    <xf numFmtId="0" fontId="25" fillId="0" borderId="26" xfId="0" applyFont="1" applyBorder="1" applyAlignment="1">
      <alignment horizontal="left" vertical="center" readingOrder="1"/>
    </xf>
    <xf numFmtId="0" fontId="32" fillId="0" borderId="0" xfId="0" applyFont="1" applyAlignment="1">
      <alignment horizontal="left" vertical="center" readingOrder="1"/>
    </xf>
    <xf numFmtId="0" fontId="7" fillId="0" borderId="26" xfId="0" applyFont="1" applyBorder="1" applyAlignment="1">
      <alignment vertical="center"/>
    </xf>
    <xf numFmtId="0" fontId="32" fillId="8" borderId="62" xfId="0" applyFont="1" applyFill="1" applyBorder="1" applyAlignment="1">
      <alignment vertical="center" readingOrder="1"/>
    </xf>
    <xf numFmtId="0" fontId="32" fillId="5" borderId="111" xfId="0" applyFont="1" applyFill="1" applyBorder="1" applyAlignment="1">
      <alignment vertical="center" readingOrder="1"/>
    </xf>
    <xf numFmtId="0" fontId="32" fillId="0" borderId="62" xfId="0" applyFont="1" applyBorder="1" applyAlignment="1">
      <alignment vertical="center" readingOrder="1"/>
    </xf>
    <xf numFmtId="0" fontId="25" fillId="0" borderId="114" xfId="0" applyFont="1" applyBorder="1" applyAlignment="1">
      <alignment horizontal="left" vertical="center" readingOrder="1"/>
    </xf>
    <xf numFmtId="0" fontId="32" fillId="5" borderId="113" xfId="0" applyFont="1" applyFill="1" applyBorder="1" applyAlignment="1">
      <alignment vertical="center" readingOrder="1"/>
    </xf>
    <xf numFmtId="0" fontId="25" fillId="0" borderId="115" xfId="0" applyFont="1" applyBorder="1" applyAlignment="1">
      <alignment horizontal="left" vertical="center" readingOrder="1"/>
    </xf>
    <xf numFmtId="0" fontId="25" fillId="0" borderId="118" xfId="0" applyFont="1" applyBorder="1" applyAlignment="1">
      <alignment horizontal="left" vertical="center" readingOrder="1"/>
    </xf>
    <xf numFmtId="0" fontId="32" fillId="9" borderId="44" xfId="0" applyFont="1" applyFill="1" applyBorder="1" applyAlignment="1">
      <alignment vertical="center" readingOrder="1"/>
    </xf>
    <xf numFmtId="0" fontId="32" fillId="0" borderId="1" xfId="0" applyFont="1" applyBorder="1" applyAlignment="1">
      <alignment horizontal="left" vertical="center" readingOrder="1"/>
    </xf>
    <xf numFmtId="176" fontId="32" fillId="0" borderId="0" xfId="0" applyNumberFormat="1" applyFont="1" applyAlignment="1">
      <alignment horizontal="right" vertical="center" readingOrder="1"/>
    </xf>
    <xf numFmtId="179" fontId="32" fillId="7" borderId="106" xfId="0" applyNumberFormat="1" applyFont="1" applyFill="1" applyBorder="1" applyAlignment="1">
      <alignment horizontal="right" vertical="center" readingOrder="1"/>
    </xf>
    <xf numFmtId="179" fontId="32" fillId="9" borderId="119" xfId="0" applyNumberFormat="1" applyFont="1" applyFill="1" applyBorder="1" applyAlignment="1">
      <alignment horizontal="right" vertical="center" readingOrder="1"/>
    </xf>
    <xf numFmtId="178" fontId="9" fillId="0" borderId="0" xfId="0" applyNumberFormat="1" applyFont="1" applyAlignment="1">
      <alignment vertical="center"/>
    </xf>
    <xf numFmtId="0" fontId="32" fillId="3" borderId="1" xfId="0" applyFont="1" applyFill="1" applyBorder="1" applyAlignment="1">
      <alignment horizontal="center" vertical="center" readingOrder="1"/>
    </xf>
    <xf numFmtId="41" fontId="10" fillId="0" borderId="0" xfId="0" applyNumberFormat="1" applyFont="1" applyAlignment="1">
      <alignment vertical="center"/>
    </xf>
    <xf numFmtId="0" fontId="32" fillId="0" borderId="0" xfId="0" applyFont="1" applyAlignment="1">
      <alignment horizontal="center" vertical="center" readingOrder="1"/>
    </xf>
    <xf numFmtId="0" fontId="32" fillId="0" borderId="0" xfId="0" applyFont="1" applyAlignment="1">
      <alignment vertical="center" readingOrder="1"/>
    </xf>
    <xf numFmtId="179" fontId="32" fillId="0" borderId="0" xfId="0" applyNumberFormat="1" applyFont="1" applyAlignment="1">
      <alignment horizontal="right" vertical="center" readingOrder="1"/>
    </xf>
    <xf numFmtId="0" fontId="25" fillId="3" borderId="6" xfId="0" applyFont="1" applyFill="1" applyBorder="1" applyAlignment="1">
      <alignment horizontal="center" vertical="center" wrapText="1" readingOrder="1"/>
    </xf>
    <xf numFmtId="0" fontId="25" fillId="3" borderId="5" xfId="0" applyFont="1" applyFill="1" applyBorder="1" applyAlignment="1">
      <alignment horizontal="center" vertical="center" wrapText="1" readingOrder="1"/>
    </xf>
    <xf numFmtId="0" fontId="25" fillId="3" borderId="12" xfId="0" applyFont="1" applyFill="1" applyBorder="1" applyAlignment="1">
      <alignment horizontal="center" vertical="center" wrapText="1" readingOrder="1"/>
    </xf>
    <xf numFmtId="0" fontId="25" fillId="3" borderId="9" xfId="0" applyFont="1" applyFill="1" applyBorder="1" applyAlignment="1">
      <alignment horizontal="center" vertical="center" wrapText="1" readingOrder="1"/>
    </xf>
    <xf numFmtId="0" fontId="25" fillId="0" borderId="49" xfId="0" applyFont="1" applyBorder="1" applyAlignment="1">
      <alignment horizontal="right" vertical="center" wrapText="1" readingOrder="1"/>
    </xf>
    <xf numFmtId="0" fontId="25" fillId="0" borderId="49" xfId="0" applyFont="1" applyBorder="1" applyAlignment="1">
      <alignment horizontal="left" vertical="center" wrapText="1" readingOrder="1"/>
    </xf>
    <xf numFmtId="0" fontId="25" fillId="0" borderId="79" xfId="0" applyFont="1" applyBorder="1" applyAlignment="1">
      <alignment horizontal="right" vertical="center" wrapText="1" readingOrder="1"/>
    </xf>
    <xf numFmtId="0" fontId="33" fillId="0" borderId="28" xfId="0" applyFont="1" applyBorder="1" applyAlignment="1">
      <alignment vertical="center" wrapText="1"/>
    </xf>
    <xf numFmtId="0" fontId="23" fillId="10" borderId="41" xfId="0" applyFont="1" applyFill="1" applyBorder="1" applyAlignment="1">
      <alignment horizontal="left" vertical="center" wrapText="1" readingOrder="1"/>
    </xf>
    <xf numFmtId="0" fontId="25" fillId="10" borderId="81" xfId="0" applyFont="1" applyFill="1" applyBorder="1" applyAlignment="1">
      <alignment horizontal="left" vertical="center" wrapText="1" readingOrder="1"/>
    </xf>
    <xf numFmtId="0" fontId="33" fillId="0" borderId="128" xfId="0" applyFont="1" applyBorder="1" applyAlignment="1">
      <alignment vertical="center" wrapText="1"/>
    </xf>
    <xf numFmtId="0" fontId="25" fillId="10" borderId="83" xfId="0" applyFont="1" applyFill="1" applyBorder="1" applyAlignment="1">
      <alignment horizontal="left" vertical="center" wrapText="1" readingOrder="1"/>
    </xf>
    <xf numFmtId="0" fontId="33" fillId="0" borderId="49" xfId="0" applyFont="1" applyBorder="1" applyAlignment="1">
      <alignment horizontal="right" vertical="center" wrapText="1"/>
    </xf>
    <xf numFmtId="0" fontId="23" fillId="10" borderId="14" xfId="0" applyFont="1" applyFill="1" applyBorder="1" applyAlignment="1">
      <alignment horizontal="left" vertical="center" wrapText="1" readingOrder="1"/>
    </xf>
    <xf numFmtId="0" fontId="25" fillId="3" borderId="10" xfId="0" applyFont="1" applyFill="1" applyBorder="1" applyAlignment="1">
      <alignment horizontal="center" vertical="center" wrapText="1" readingOrder="1"/>
    </xf>
    <xf numFmtId="0" fontId="32" fillId="0" borderId="116" xfId="0" applyFont="1" applyBorder="1" applyAlignment="1">
      <alignment vertical="center" readingOrder="1"/>
    </xf>
    <xf numFmtId="179" fontId="32" fillId="7" borderId="1" xfId="0" applyNumberFormat="1" applyFont="1" applyFill="1" applyBorder="1" applyAlignment="1">
      <alignment horizontal="right" vertical="center" readingOrder="1"/>
    </xf>
    <xf numFmtId="179" fontId="32" fillId="0" borderId="20" xfId="0" applyNumberFormat="1" applyFont="1" applyBorder="1" applyAlignment="1">
      <alignment horizontal="right" vertical="center" readingOrder="1"/>
    </xf>
    <xf numFmtId="179" fontId="32" fillId="0" borderId="122" xfId="0" applyNumberFormat="1" applyFont="1" applyBorder="1" applyAlignment="1">
      <alignment horizontal="right" vertical="center" readingOrder="1"/>
    </xf>
    <xf numFmtId="179" fontId="32" fillId="0" borderId="123" xfId="0" applyNumberFormat="1" applyFont="1" applyBorder="1" applyAlignment="1">
      <alignment horizontal="right" vertical="center" readingOrder="1"/>
    </xf>
    <xf numFmtId="179" fontId="32" fillId="0" borderId="110" xfId="0" applyNumberFormat="1" applyFont="1" applyBorder="1" applyAlignment="1">
      <alignment horizontal="right" vertical="center" readingOrder="1"/>
    </xf>
    <xf numFmtId="179" fontId="32" fillId="0" borderId="109" xfId="0" applyNumberFormat="1" applyFont="1" applyBorder="1" applyAlignment="1">
      <alignment horizontal="right" vertical="center" readingOrder="1"/>
    </xf>
    <xf numFmtId="179" fontId="32" fillId="5" borderId="121" xfId="0" applyNumberFormat="1" applyFont="1" applyFill="1" applyBorder="1" applyAlignment="1">
      <alignment horizontal="right" vertical="center" readingOrder="1"/>
    </xf>
    <xf numFmtId="179" fontId="32" fillId="0" borderId="125" xfId="0" applyNumberFormat="1" applyFont="1" applyBorder="1" applyAlignment="1">
      <alignment horizontal="right" vertical="center" readingOrder="1"/>
    </xf>
    <xf numFmtId="179" fontId="32" fillId="0" borderId="117" xfId="0" applyNumberFormat="1" applyFont="1" applyBorder="1" applyAlignment="1">
      <alignment horizontal="right" vertical="center" readingOrder="1"/>
    </xf>
    <xf numFmtId="179" fontId="32" fillId="9" borderId="126" xfId="0" applyNumberFormat="1" applyFont="1" applyFill="1" applyBorder="1" applyAlignment="1">
      <alignment horizontal="right" vertical="center" readingOrder="1"/>
    </xf>
    <xf numFmtId="179" fontId="27" fillId="0" borderId="137" xfId="0" applyNumberFormat="1" applyFont="1" applyBorder="1" applyAlignment="1">
      <alignment horizontal="right" vertical="center" readingOrder="1"/>
    </xf>
    <xf numFmtId="179" fontId="16" fillId="0" borderId="138" xfId="0" applyNumberFormat="1" applyFont="1" applyBorder="1" applyAlignment="1">
      <alignment horizontal="right" vertical="center" readingOrder="1"/>
    </xf>
    <xf numFmtId="0" fontId="17" fillId="3" borderId="138" xfId="0" applyFont="1" applyFill="1" applyBorder="1" applyAlignment="1">
      <alignment horizontal="center" vertical="center" readingOrder="1"/>
    </xf>
    <xf numFmtId="179" fontId="17" fillId="0" borderId="138" xfId="0" applyNumberFormat="1" applyFont="1" applyBorder="1" applyAlignment="1">
      <alignment horizontal="right" vertical="center" readingOrder="1"/>
    </xf>
    <xf numFmtId="179" fontId="17" fillId="0" borderId="139" xfId="0" applyNumberFormat="1" applyFont="1" applyBorder="1" applyAlignment="1">
      <alignment horizontal="right" vertical="center" readingOrder="1"/>
    </xf>
    <xf numFmtId="179" fontId="17" fillId="0" borderId="140" xfId="0" applyNumberFormat="1" applyFont="1" applyBorder="1" applyAlignment="1">
      <alignment horizontal="right" vertical="center" readingOrder="1"/>
    </xf>
    <xf numFmtId="0" fontId="17" fillId="3" borderId="2" xfId="0" applyFont="1" applyFill="1" applyBorder="1" applyAlignment="1">
      <alignment vertical="center" readingOrder="1"/>
    </xf>
    <xf numFmtId="0" fontId="17" fillId="0" borderId="2" xfId="0" applyFont="1" applyBorder="1" applyAlignment="1">
      <alignment horizontal="left" vertical="center" readingOrder="1"/>
    </xf>
    <xf numFmtId="0" fontId="20" fillId="0" borderId="2" xfId="0" applyFont="1" applyBorder="1" applyAlignment="1">
      <alignment vertical="center" readingOrder="1"/>
    </xf>
    <xf numFmtId="0" fontId="17" fillId="5" borderId="2" xfId="0" applyFont="1" applyFill="1" applyBorder="1" applyAlignment="1">
      <alignment vertical="center" readingOrder="1"/>
    </xf>
    <xf numFmtId="0" fontId="17" fillId="0" borderId="2" xfId="0" applyFont="1" applyBorder="1" applyAlignment="1">
      <alignment vertical="center" readingOrder="1"/>
    </xf>
    <xf numFmtId="179" fontId="17" fillId="0" borderId="52" xfId="0" applyNumberFormat="1" applyFont="1" applyBorder="1" applyAlignment="1">
      <alignment horizontal="right" vertical="center" readingOrder="1"/>
    </xf>
    <xf numFmtId="0" fontId="35" fillId="0" borderId="0" xfId="0" applyFont="1" applyAlignment="1">
      <alignment vertical="center"/>
    </xf>
    <xf numFmtId="0" fontId="24" fillId="0" borderId="0" xfId="0" applyFont="1" applyAlignment="1">
      <alignment vertical="center"/>
    </xf>
    <xf numFmtId="191" fontId="28" fillId="0" borderId="0" xfId="0" applyNumberFormat="1" applyFont="1" applyAlignment="1">
      <alignment vertical="center"/>
    </xf>
    <xf numFmtId="192" fontId="28" fillId="0" borderId="0" xfId="0" applyNumberFormat="1" applyFont="1" applyAlignment="1">
      <alignment horizontal="right"/>
    </xf>
    <xf numFmtId="3" fontId="24" fillId="0" borderId="0" xfId="0" applyNumberFormat="1" applyFont="1" applyAlignment="1">
      <alignment vertical="center"/>
    </xf>
    <xf numFmtId="0" fontId="11" fillId="12" borderId="0" xfId="0" applyFont="1" applyFill="1" applyAlignment="1">
      <alignment vertical="center"/>
    </xf>
    <xf numFmtId="0" fontId="24" fillId="12" borderId="0" xfId="0" applyFont="1" applyFill="1" applyAlignment="1">
      <alignment vertical="center"/>
    </xf>
    <xf numFmtId="191" fontId="28" fillId="12" borderId="0" xfId="0" applyNumberFormat="1" applyFont="1" applyFill="1" applyAlignment="1">
      <alignment vertical="center"/>
    </xf>
    <xf numFmtId="0" fontId="27" fillId="0" borderId="0" xfId="0" applyFont="1" applyAlignment="1">
      <alignment vertical="center"/>
    </xf>
    <xf numFmtId="0" fontId="37" fillId="0" borderId="13" xfId="0" applyFont="1" applyBorder="1" applyAlignment="1">
      <alignment horizontal="left" vertical="center" readingOrder="1"/>
    </xf>
    <xf numFmtId="3" fontId="27" fillId="0" borderId="0" xfId="0" applyNumberFormat="1" applyFont="1" applyAlignment="1">
      <alignment vertical="center"/>
    </xf>
    <xf numFmtId="0" fontId="21" fillId="0" borderId="18" xfId="0" applyFont="1" applyBorder="1" applyAlignment="1">
      <alignment vertical="center"/>
    </xf>
    <xf numFmtId="0" fontId="17" fillId="0" borderId="0" xfId="0" applyFont="1" applyAlignment="1">
      <alignment horizontal="left" vertical="center" readingOrder="1"/>
    </xf>
    <xf numFmtId="0" fontId="21" fillId="0" borderId="150" xfId="0" applyFont="1" applyBorder="1" applyAlignment="1">
      <alignment horizontal="left" vertical="center" readingOrder="1"/>
    </xf>
    <xf numFmtId="0" fontId="17" fillId="0" borderId="156" xfId="0" applyFont="1" applyBorder="1" applyAlignment="1">
      <alignment horizontal="left" vertical="center" readingOrder="1"/>
    </xf>
    <xf numFmtId="0" fontId="21" fillId="0" borderId="0" xfId="0" applyFont="1" applyAlignment="1">
      <alignment horizontal="left" vertical="center" readingOrder="1"/>
    </xf>
    <xf numFmtId="0" fontId="17" fillId="0" borderId="13" xfId="0" applyFont="1" applyBorder="1" applyAlignment="1">
      <alignment horizontal="left" vertical="center" readingOrder="1"/>
    </xf>
    <xf numFmtId="0" fontId="21" fillId="0" borderId="25" xfId="0" applyFont="1" applyBorder="1" applyAlignment="1">
      <alignment horizontal="left" vertical="center" readingOrder="1"/>
    </xf>
    <xf numFmtId="0" fontId="17" fillId="0" borderId="149" xfId="0" applyFont="1" applyBorder="1" applyAlignment="1">
      <alignment horizontal="left" vertical="center" readingOrder="1"/>
    </xf>
    <xf numFmtId="0" fontId="17" fillId="0" borderId="150" xfId="0" applyFont="1" applyBorder="1" applyAlignment="1">
      <alignment horizontal="left" vertical="center" readingOrder="1"/>
    </xf>
    <xf numFmtId="0" fontId="17" fillId="0" borderId="165" xfId="0" applyFont="1" applyBorder="1" applyAlignment="1">
      <alignment horizontal="left" vertical="center" readingOrder="1"/>
    </xf>
    <xf numFmtId="0" fontId="21" fillId="0" borderId="166" xfId="0" applyFont="1" applyBorder="1" applyAlignment="1">
      <alignment horizontal="left" vertical="center" readingOrder="1"/>
    </xf>
    <xf numFmtId="0" fontId="21" fillId="0" borderId="25" xfId="0" applyFont="1" applyBorder="1" applyAlignment="1">
      <alignment vertical="center"/>
    </xf>
    <xf numFmtId="0" fontId="17" fillId="0" borderId="13" xfId="0" applyFont="1" applyBorder="1" applyAlignment="1">
      <alignment vertical="center" readingOrder="1"/>
    </xf>
    <xf numFmtId="0" fontId="17" fillId="5" borderId="13" xfId="0" applyFont="1" applyFill="1" applyBorder="1" applyAlignment="1">
      <alignment vertical="center" readingOrder="1"/>
    </xf>
    <xf numFmtId="0" fontId="21" fillId="0" borderId="13" xfId="0" applyFont="1" applyBorder="1" applyAlignment="1">
      <alignment vertical="center"/>
    </xf>
    <xf numFmtId="0" fontId="21" fillId="0" borderId="25" xfId="0" applyFont="1" applyBorder="1" applyAlignment="1">
      <alignment vertical="center" wrapText="1"/>
    </xf>
    <xf numFmtId="0" fontId="21" fillId="0" borderId="0" xfId="0" applyFont="1" applyAlignment="1">
      <alignment vertical="center" wrapText="1"/>
    </xf>
    <xf numFmtId="0" fontId="21" fillId="0" borderId="10" xfId="0" applyFont="1" applyBorder="1" applyAlignment="1">
      <alignment vertical="center" wrapText="1"/>
    </xf>
    <xf numFmtId="0" fontId="37" fillId="0" borderId="7" xfId="0" applyFont="1" applyBorder="1" applyAlignment="1">
      <alignment horizontal="left" vertical="center" readingOrder="1"/>
    </xf>
    <xf numFmtId="0" fontId="20" fillId="0" borderId="150" xfId="0" applyFont="1" applyBorder="1" applyAlignment="1">
      <alignment horizontal="left" vertical="center" readingOrder="1"/>
    </xf>
    <xf numFmtId="0" fontId="20" fillId="0" borderId="0" xfId="0" applyFont="1" applyAlignment="1">
      <alignment horizontal="left" vertical="center" readingOrder="1"/>
    </xf>
    <xf numFmtId="41" fontId="3" fillId="0" borderId="178" xfId="0" applyNumberFormat="1" applyFont="1" applyBorder="1" applyAlignment="1">
      <alignment horizontal="right" vertical="center" readingOrder="1"/>
    </xf>
    <xf numFmtId="41" fontId="3" fillId="0" borderId="179" xfId="0" applyNumberFormat="1" applyFont="1" applyBorder="1" applyAlignment="1">
      <alignment horizontal="right" vertical="center" readingOrder="1"/>
    </xf>
    <xf numFmtId="41" fontId="3" fillId="0" borderId="180" xfId="0" applyNumberFormat="1" applyFont="1" applyBorder="1" applyAlignment="1">
      <alignment horizontal="right" vertical="center" readingOrder="1"/>
    </xf>
    <xf numFmtId="41" fontId="3" fillId="0" borderId="181" xfId="0" applyNumberFormat="1" applyFont="1" applyBorder="1" applyAlignment="1">
      <alignment horizontal="right" vertical="center" readingOrder="1"/>
    </xf>
    <xf numFmtId="41" fontId="3" fillId="0" borderId="182" xfId="0" applyNumberFormat="1" applyFont="1" applyBorder="1" applyAlignment="1">
      <alignment horizontal="right" vertical="center" readingOrder="1"/>
    </xf>
    <xf numFmtId="41" fontId="3" fillId="0" borderId="183" xfId="0" applyNumberFormat="1" applyFont="1" applyBorder="1" applyAlignment="1">
      <alignment horizontal="right" vertical="center" readingOrder="1"/>
    </xf>
    <xf numFmtId="176" fontId="3" fillId="0" borderId="178" xfId="0" applyNumberFormat="1" applyFont="1" applyBorder="1" applyAlignment="1">
      <alignment vertical="center" readingOrder="1"/>
    </xf>
    <xf numFmtId="176" fontId="3" fillId="0" borderId="179" xfId="0" applyNumberFormat="1" applyFont="1" applyBorder="1" applyAlignment="1">
      <alignment vertical="center" readingOrder="1"/>
    </xf>
    <xf numFmtId="176" fontId="3" fillId="0" borderId="180" xfId="0" applyNumberFormat="1" applyFont="1" applyBorder="1" applyAlignment="1">
      <alignment vertical="center" readingOrder="1"/>
    </xf>
    <xf numFmtId="176" fontId="3" fillId="0" borderId="181" xfId="0" applyNumberFormat="1" applyFont="1" applyBorder="1" applyAlignment="1">
      <alignment vertical="center" readingOrder="1"/>
    </xf>
    <xf numFmtId="176" fontId="3" fillId="0" borderId="182" xfId="0" applyNumberFormat="1" applyFont="1" applyBorder="1" applyAlignment="1">
      <alignment vertical="center" readingOrder="1"/>
    </xf>
    <xf numFmtId="176" fontId="3" fillId="0" borderId="183" xfId="0" applyNumberFormat="1" applyFont="1" applyBorder="1" applyAlignment="1">
      <alignment vertical="center" readingOrder="1"/>
    </xf>
    <xf numFmtId="14" fontId="9" fillId="0" borderId="0" xfId="0" applyNumberFormat="1" applyFont="1" applyAlignment="1">
      <alignment horizontal="center" vertical="center"/>
    </xf>
    <xf numFmtId="176" fontId="3" fillId="0" borderId="184" xfId="0" applyNumberFormat="1" applyFont="1" applyBorder="1" applyAlignment="1">
      <alignment vertical="center" readingOrder="1"/>
    </xf>
    <xf numFmtId="176" fontId="3" fillId="0" borderId="185" xfId="0" applyNumberFormat="1" applyFont="1" applyBorder="1" applyAlignment="1">
      <alignment vertical="center" readingOrder="1"/>
    </xf>
    <xf numFmtId="176" fontId="3" fillId="0" borderId="186" xfId="0" applyNumberFormat="1" applyFont="1" applyBorder="1" applyAlignment="1">
      <alignment vertical="center" readingOrder="1"/>
    </xf>
    <xf numFmtId="176" fontId="3" fillId="0" borderId="134" xfId="0" applyNumberFormat="1" applyFont="1" applyBorder="1" applyAlignment="1">
      <alignment vertical="center" readingOrder="1"/>
    </xf>
    <xf numFmtId="187" fontId="3" fillId="0" borderId="134" xfId="0" applyNumberFormat="1" applyFont="1" applyBorder="1" applyAlignment="1">
      <alignment horizontal="right" vertical="center" readingOrder="1"/>
    </xf>
    <xf numFmtId="187" fontId="3" fillId="2" borderId="13" xfId="0" applyNumberFormat="1" applyFont="1" applyFill="1" applyBorder="1" applyAlignment="1">
      <alignment horizontal="right" vertical="center" readingOrder="1"/>
    </xf>
    <xf numFmtId="176" fontId="3" fillId="0" borderId="108" xfId="0" applyNumberFormat="1" applyFont="1" applyBorder="1" applyAlignment="1">
      <alignment horizontal="right" vertical="center" readingOrder="1"/>
    </xf>
    <xf numFmtId="176" fontId="3" fillId="0" borderId="105" xfId="0" applyNumberFormat="1" applyFont="1" applyBorder="1" applyAlignment="1">
      <alignment horizontal="right" vertical="center" readingOrder="1"/>
    </xf>
    <xf numFmtId="176" fontId="3" fillId="0" borderId="120" xfId="0" applyNumberFormat="1" applyFont="1" applyBorder="1" applyAlignment="1">
      <alignment horizontal="right" vertical="center" readingOrder="1"/>
    </xf>
    <xf numFmtId="187" fontId="3" fillId="0" borderId="184" xfId="0" applyNumberFormat="1" applyFont="1" applyBorder="1" applyAlignment="1">
      <alignment horizontal="right" vertical="center" readingOrder="1"/>
    </xf>
    <xf numFmtId="187" fontId="3" fillId="0" borderId="72" xfId="0" applyNumberFormat="1" applyFont="1" applyBorder="1" applyAlignment="1">
      <alignment horizontal="right" vertical="center" readingOrder="1"/>
    </xf>
    <xf numFmtId="41" fontId="3" fillId="0" borderId="102" xfId="0" applyNumberFormat="1" applyFont="1" applyBorder="1" applyAlignment="1">
      <alignment horizontal="right" vertical="center" readingOrder="1"/>
    </xf>
    <xf numFmtId="41" fontId="3" fillId="0" borderId="99" xfId="0" applyNumberFormat="1" applyFont="1" applyBorder="1" applyAlignment="1">
      <alignment vertical="center" readingOrder="1"/>
    </xf>
    <xf numFmtId="41" fontId="13" fillId="0" borderId="0" xfId="0" applyNumberFormat="1" applyFont="1" applyAlignment="1">
      <alignment horizontal="right" vertical="center"/>
    </xf>
    <xf numFmtId="41" fontId="9" fillId="0" borderId="0" xfId="0" applyNumberFormat="1" applyFont="1" applyAlignment="1">
      <alignment horizontal="center" vertical="center"/>
    </xf>
    <xf numFmtId="0" fontId="17" fillId="0" borderId="158" xfId="0" applyFont="1" applyBorder="1" applyAlignment="1">
      <alignment horizontal="left" vertical="center" readingOrder="1"/>
    </xf>
    <xf numFmtId="0" fontId="17" fillId="0" borderId="168" xfId="0" applyFont="1" applyBorder="1" applyAlignment="1">
      <alignment horizontal="left" vertical="center" readingOrder="1"/>
    </xf>
    <xf numFmtId="0" fontId="32" fillId="0" borderId="156" xfId="0" applyFont="1" applyBorder="1" applyAlignment="1">
      <alignment vertical="center" readingOrder="1"/>
    </xf>
    <xf numFmtId="178" fontId="16" fillId="0" borderId="192" xfId="0" applyNumberFormat="1" applyFont="1" applyBorder="1" applyAlignment="1">
      <alignment horizontal="right" vertical="center" readingOrder="1"/>
    </xf>
    <xf numFmtId="41" fontId="25" fillId="0" borderId="6" xfId="0" applyNumberFormat="1" applyFont="1" applyBorder="1" applyAlignment="1">
      <alignment horizontal="right" vertical="center" wrapText="1" readingOrder="1"/>
    </xf>
    <xf numFmtId="41" fontId="25" fillId="0" borderId="5" xfId="0" applyNumberFormat="1" applyFont="1" applyBorder="1" applyAlignment="1">
      <alignment horizontal="right" vertical="center" wrapText="1" readingOrder="1"/>
    </xf>
    <xf numFmtId="41" fontId="25" fillId="0" borderId="1" xfId="0" applyNumberFormat="1" applyFont="1" applyBorder="1" applyAlignment="1">
      <alignment horizontal="right" vertical="center" wrapText="1" readingOrder="1"/>
    </xf>
    <xf numFmtId="41" fontId="25" fillId="0" borderId="9" xfId="0" applyNumberFormat="1" applyFont="1" applyBorder="1" applyAlignment="1">
      <alignment horizontal="right" vertical="center" wrapText="1" readingOrder="1"/>
    </xf>
    <xf numFmtId="41" fontId="25" fillId="0" borderId="8" xfId="0" applyNumberFormat="1" applyFont="1" applyBorder="1" applyAlignment="1">
      <alignment horizontal="right" vertical="center" wrapText="1" readingOrder="1"/>
    </xf>
    <xf numFmtId="41" fontId="25" fillId="0" borderId="93" xfId="0" applyNumberFormat="1" applyFont="1" applyBorder="1" applyAlignment="1">
      <alignment horizontal="right" vertical="center" wrapText="1" readingOrder="1"/>
    </xf>
    <xf numFmtId="41" fontId="25" fillId="0" borderId="132" xfId="0" applyNumberFormat="1" applyFont="1" applyBorder="1" applyAlignment="1">
      <alignment horizontal="right" vertical="center" wrapText="1" readingOrder="1"/>
    </xf>
    <xf numFmtId="41" fontId="25" fillId="0" borderId="79" xfId="0" applyNumberFormat="1" applyFont="1" applyBorder="1" applyAlignment="1">
      <alignment horizontal="right" vertical="center" wrapText="1" readingOrder="1"/>
    </xf>
    <xf numFmtId="41" fontId="25" fillId="0" borderId="131" xfId="0" applyNumberFormat="1" applyFont="1" applyBorder="1" applyAlignment="1">
      <alignment horizontal="right" vertical="center" wrapText="1" readingOrder="1"/>
    </xf>
    <xf numFmtId="41" fontId="25" fillId="10" borderId="107" xfId="0" applyNumberFormat="1" applyFont="1" applyFill="1" applyBorder="1" applyAlignment="1">
      <alignment horizontal="right" vertical="center" wrapText="1" readingOrder="1"/>
    </xf>
    <xf numFmtId="41" fontId="25" fillId="10" borderId="16" xfId="0" applyNumberFormat="1" applyFont="1" applyFill="1" applyBorder="1" applyAlignment="1">
      <alignment horizontal="right" vertical="center" wrapText="1" readingOrder="1"/>
    </xf>
    <xf numFmtId="41" fontId="25" fillId="10" borderId="15" xfId="0" applyNumberFormat="1" applyFont="1" applyFill="1" applyBorder="1" applyAlignment="1">
      <alignment horizontal="right" vertical="center" wrapText="1" readingOrder="1"/>
    </xf>
    <xf numFmtId="41" fontId="25" fillId="10" borderId="127" xfId="0" applyNumberFormat="1" applyFont="1" applyFill="1" applyBorder="1" applyAlignment="1">
      <alignment horizontal="right" vertical="center" wrapText="1" readingOrder="1"/>
    </xf>
    <xf numFmtId="41" fontId="25" fillId="10" borderId="17" xfId="0" applyNumberFormat="1" applyFont="1" applyFill="1" applyBorder="1" applyAlignment="1">
      <alignment horizontal="right" vertical="center" wrapText="1" readingOrder="1"/>
    </xf>
    <xf numFmtId="41" fontId="25" fillId="10" borderId="134" xfId="0" applyNumberFormat="1" applyFont="1" applyFill="1" applyBorder="1" applyAlignment="1">
      <alignment horizontal="right" vertical="center" wrapText="1" readingOrder="1"/>
    </xf>
    <xf numFmtId="41" fontId="25" fillId="10" borderId="133" xfId="0" applyNumberFormat="1" applyFont="1" applyFill="1" applyBorder="1" applyAlignment="1">
      <alignment horizontal="right" vertical="center" wrapText="1" readingOrder="1"/>
    </xf>
    <xf numFmtId="41" fontId="25" fillId="10" borderId="72" xfId="0" applyNumberFormat="1" applyFont="1" applyFill="1" applyBorder="1" applyAlignment="1">
      <alignment horizontal="right" vertical="center" wrapText="1" readingOrder="1"/>
    </xf>
    <xf numFmtId="41" fontId="25" fillId="10" borderId="135" xfId="0" applyNumberFormat="1" applyFont="1" applyFill="1" applyBorder="1" applyAlignment="1">
      <alignment horizontal="right" vertical="center" wrapText="1" readingOrder="1"/>
    </xf>
    <xf numFmtId="41" fontId="25" fillId="10" borderId="130" xfId="0" applyNumberFormat="1" applyFont="1" applyFill="1" applyBorder="1" applyAlignment="1">
      <alignment horizontal="right" vertical="center" wrapText="1" readingOrder="1"/>
    </xf>
    <xf numFmtId="41" fontId="25" fillId="0" borderId="85" xfId="0" applyNumberFormat="1" applyFont="1" applyBorder="1" applyAlignment="1">
      <alignment horizontal="right" vertical="center" wrapText="1" readingOrder="1"/>
    </xf>
    <xf numFmtId="41" fontId="25" fillId="0" borderId="129" xfId="0" applyNumberFormat="1" applyFont="1" applyBorder="1" applyAlignment="1">
      <alignment horizontal="right" vertical="center" wrapText="1" readingOrder="1"/>
    </xf>
    <xf numFmtId="41" fontId="25" fillId="0" borderId="136" xfId="0" applyNumberFormat="1" applyFont="1" applyBorder="1" applyAlignment="1">
      <alignment horizontal="right" vertical="center" wrapText="1" readingOrder="1"/>
    </xf>
    <xf numFmtId="41" fontId="25" fillId="0" borderId="3" xfId="0" applyNumberFormat="1" applyFont="1" applyBorder="1" applyAlignment="1">
      <alignment horizontal="right" vertical="center" wrapText="1" readingOrder="1"/>
    </xf>
    <xf numFmtId="189" fontId="4" fillId="0" borderId="26" xfId="0" applyNumberFormat="1" applyFont="1" applyBorder="1" applyAlignment="1">
      <alignment horizontal="left" vertical="center" readingOrder="1"/>
    </xf>
    <xf numFmtId="0" fontId="21" fillId="0" borderId="121" xfId="0" applyFont="1" applyBorder="1" applyAlignment="1">
      <alignment horizontal="left" vertical="center" readingOrder="1"/>
    </xf>
    <xf numFmtId="195" fontId="28" fillId="0" borderId="0" xfId="0" applyNumberFormat="1" applyFont="1" applyAlignment="1">
      <alignment vertical="center"/>
    </xf>
    <xf numFmtId="196" fontId="21" fillId="0" borderId="166" xfId="0" applyNumberFormat="1" applyFont="1" applyBorder="1" applyAlignment="1">
      <alignment horizontal="left" vertical="center" readingOrder="1"/>
    </xf>
    <xf numFmtId="197" fontId="1" fillId="0" borderId="0" xfId="0" applyNumberFormat="1" applyFont="1" applyAlignment="1">
      <alignment vertical="center"/>
    </xf>
    <xf numFmtId="198" fontId="1" fillId="0" borderId="0" xfId="0" applyNumberFormat="1" applyFont="1" applyAlignment="1">
      <alignment vertical="center"/>
    </xf>
    <xf numFmtId="41" fontId="28" fillId="0" borderId="0" xfId="0" applyNumberFormat="1" applyFont="1" applyAlignment="1">
      <alignment vertical="center"/>
    </xf>
    <xf numFmtId="0" fontId="4" fillId="0" borderId="19" xfId="0" applyFont="1" applyBorder="1" applyAlignment="1">
      <alignment vertical="center" readingOrder="1"/>
    </xf>
    <xf numFmtId="178" fontId="16" fillId="0" borderId="157" xfId="0" applyNumberFormat="1" applyFont="1" applyBorder="1" applyAlignment="1">
      <alignment horizontal="right" vertical="center" readingOrder="1"/>
    </xf>
    <xf numFmtId="178" fontId="16" fillId="0" borderId="201" xfId="0" applyNumberFormat="1" applyFont="1" applyBorder="1" applyAlignment="1">
      <alignment horizontal="right" vertical="center" readingOrder="1"/>
    </xf>
    <xf numFmtId="41" fontId="28" fillId="12" borderId="0" xfId="0" applyNumberFormat="1" applyFont="1" applyFill="1" applyAlignment="1">
      <alignment vertical="center"/>
    </xf>
    <xf numFmtId="41" fontId="16" fillId="0" borderId="0" xfId="0" applyNumberFormat="1" applyFont="1" applyAlignment="1">
      <alignment vertical="center"/>
    </xf>
    <xf numFmtId="41" fontId="20" fillId="3" borderId="7" xfId="0" applyNumberFormat="1" applyFont="1" applyFill="1" applyBorder="1" applyAlignment="1">
      <alignment horizontal="center" vertical="center" wrapText="1" readingOrder="1"/>
    </xf>
    <xf numFmtId="41" fontId="20" fillId="3" borderId="2" xfId="0" applyNumberFormat="1" applyFont="1" applyFill="1" applyBorder="1" applyAlignment="1">
      <alignment horizontal="center" vertical="center" wrapText="1" readingOrder="1"/>
    </xf>
    <xf numFmtId="41" fontId="20" fillId="3" borderId="0" xfId="0" applyNumberFormat="1" applyFont="1" applyFill="1" applyAlignment="1">
      <alignment horizontal="center" vertical="center" wrapText="1" readingOrder="1"/>
    </xf>
    <xf numFmtId="41" fontId="20" fillId="3" borderId="29" xfId="0" applyNumberFormat="1" applyFont="1" applyFill="1" applyBorder="1" applyAlignment="1">
      <alignment horizontal="center" vertical="center" wrapText="1" readingOrder="1"/>
    </xf>
    <xf numFmtId="41" fontId="20" fillId="3" borderId="177" xfId="0" applyNumberFormat="1" applyFont="1" applyFill="1" applyBorder="1" applyAlignment="1">
      <alignment horizontal="center" vertical="center" wrapText="1" readingOrder="1"/>
    </xf>
    <xf numFmtId="41" fontId="20" fillId="3" borderId="194" xfId="0" applyNumberFormat="1" applyFont="1" applyFill="1" applyBorder="1" applyAlignment="1">
      <alignment horizontal="center" vertical="center" wrapText="1" readingOrder="1"/>
    </xf>
    <xf numFmtId="41" fontId="36" fillId="3" borderId="187" xfId="0" applyNumberFormat="1" applyFont="1" applyFill="1" applyBorder="1" applyAlignment="1">
      <alignment horizontal="center" vertical="center" wrapText="1" readingOrder="1"/>
    </xf>
    <xf numFmtId="41" fontId="22" fillId="13" borderId="141" xfId="0" applyNumberFormat="1" applyFont="1" applyFill="1" applyBorder="1" applyAlignment="1">
      <alignment horizontal="right" vertical="center" readingOrder="1"/>
    </xf>
    <xf numFmtId="41" fontId="22" fillId="13" borderId="198" xfId="0" applyNumberFormat="1" applyFont="1" applyFill="1" applyBorder="1" applyAlignment="1">
      <alignment horizontal="right" vertical="center" readingOrder="1"/>
    </xf>
    <xf numFmtId="41" fontId="16" fillId="0" borderId="145" xfId="0" applyNumberFormat="1" applyFont="1" applyBorder="1" applyAlignment="1">
      <alignment horizontal="right" vertical="center" readingOrder="1"/>
    </xf>
    <xf numFmtId="41" fontId="16" fillId="0" borderId="199" xfId="0" applyNumberFormat="1" applyFont="1" applyBorder="1" applyAlignment="1">
      <alignment horizontal="right" vertical="center" readingOrder="1"/>
    </xf>
    <xf numFmtId="41" fontId="21" fillId="5" borderId="152" xfId="0" applyNumberFormat="1" applyFont="1" applyFill="1" applyBorder="1" applyAlignment="1">
      <alignment horizontal="right" vertical="center" readingOrder="1"/>
    </xf>
    <xf numFmtId="41" fontId="16" fillId="5" borderId="200" xfId="0" applyNumberFormat="1" applyFont="1" applyFill="1" applyBorder="1" applyAlignment="1">
      <alignment horizontal="right" vertical="center" readingOrder="1"/>
    </xf>
    <xf numFmtId="41" fontId="16" fillId="0" borderId="157" xfId="0" applyNumberFormat="1" applyFont="1" applyBorder="1" applyAlignment="1">
      <alignment horizontal="right" vertical="center" readingOrder="1"/>
    </xf>
    <xf numFmtId="41" fontId="16" fillId="0" borderId="0" xfId="0" applyNumberFormat="1" applyFont="1" applyAlignment="1">
      <alignment horizontal="right" vertical="center" readingOrder="1"/>
    </xf>
    <xf numFmtId="41" fontId="16" fillId="0" borderId="201" xfId="0" applyNumberFormat="1" applyFont="1" applyBorder="1" applyAlignment="1">
      <alignment horizontal="right" vertical="center" readingOrder="1"/>
    </xf>
    <xf numFmtId="41" fontId="16" fillId="0" borderId="29" xfId="0" applyNumberFormat="1" applyFont="1" applyBorder="1" applyAlignment="1">
      <alignment horizontal="right" vertical="center" readingOrder="1"/>
    </xf>
    <xf numFmtId="41" fontId="16" fillId="0" borderId="159" xfId="0" applyNumberFormat="1" applyFont="1" applyBorder="1" applyAlignment="1">
      <alignment horizontal="right" vertical="center" readingOrder="1"/>
    </xf>
    <xf numFmtId="41" fontId="16" fillId="0" borderId="152" xfId="0" applyNumberFormat="1" applyFont="1" applyBorder="1" applyAlignment="1">
      <alignment horizontal="right" vertical="center" readingOrder="1"/>
    </xf>
    <xf numFmtId="41" fontId="16" fillId="0" borderId="150" xfId="0" applyNumberFormat="1" applyFont="1" applyBorder="1" applyAlignment="1">
      <alignment horizontal="right" vertical="center" readingOrder="1"/>
    </xf>
    <xf numFmtId="41" fontId="16" fillId="0" borderId="200" xfId="0" applyNumberFormat="1" applyFont="1" applyBorder="1" applyAlignment="1">
      <alignment horizontal="right" vertical="center" readingOrder="1"/>
    </xf>
    <xf numFmtId="41" fontId="16" fillId="0" borderId="151" xfId="0" applyNumberFormat="1" applyFont="1" applyBorder="1" applyAlignment="1">
      <alignment horizontal="right" vertical="center" readingOrder="1"/>
    </xf>
    <xf numFmtId="41" fontId="16" fillId="0" borderId="155" xfId="0" applyNumberFormat="1" applyFont="1" applyBorder="1" applyAlignment="1">
      <alignment horizontal="right" vertical="center" readingOrder="1"/>
    </xf>
    <xf numFmtId="41" fontId="16" fillId="0" borderId="141" xfId="0" applyNumberFormat="1" applyFont="1" applyBorder="1" applyAlignment="1">
      <alignment horizontal="right" vertical="center" readingOrder="1"/>
    </xf>
    <xf numFmtId="41" fontId="16" fillId="0" borderId="13" xfId="0" applyNumberFormat="1" applyFont="1" applyBorder="1" applyAlignment="1">
      <alignment horizontal="right" vertical="center" readingOrder="1"/>
    </xf>
    <xf numFmtId="41" fontId="16" fillId="0" borderId="198" xfId="0" applyNumberFormat="1" applyFont="1" applyBorder="1" applyAlignment="1">
      <alignment horizontal="right" vertical="center" readingOrder="1"/>
    </xf>
    <xf numFmtId="41" fontId="16" fillId="0" borderId="11" xfId="0" applyNumberFormat="1" applyFont="1" applyBorder="1" applyAlignment="1">
      <alignment horizontal="right" vertical="center" readingOrder="1"/>
    </xf>
    <xf numFmtId="41" fontId="16" fillId="0" borderId="144" xfId="0" applyNumberFormat="1" applyFont="1" applyBorder="1" applyAlignment="1">
      <alignment horizontal="right" vertical="center" readingOrder="1"/>
    </xf>
    <xf numFmtId="41" fontId="16" fillId="0" borderId="160" xfId="0" applyNumberFormat="1" applyFont="1" applyBorder="1" applyAlignment="1">
      <alignment horizontal="right" vertical="center" readingOrder="1"/>
    </xf>
    <xf numFmtId="41" fontId="16" fillId="0" borderId="25" xfId="0" applyNumberFormat="1" applyFont="1" applyBorder="1" applyAlignment="1">
      <alignment horizontal="right" vertical="center" readingOrder="1"/>
    </xf>
    <xf numFmtId="41" fontId="16" fillId="0" borderId="202" xfId="0" applyNumberFormat="1" applyFont="1" applyBorder="1" applyAlignment="1">
      <alignment horizontal="right" vertical="center" readingOrder="1"/>
    </xf>
    <xf numFmtId="41" fontId="16" fillId="0" borderId="24" xfId="0" applyNumberFormat="1" applyFont="1" applyBorder="1" applyAlignment="1">
      <alignment horizontal="right" vertical="center" readingOrder="1"/>
    </xf>
    <xf numFmtId="41" fontId="16" fillId="0" borderId="164" xfId="0" applyNumberFormat="1" applyFont="1" applyBorder="1" applyAlignment="1">
      <alignment horizontal="right" vertical="center" readingOrder="1"/>
    </xf>
    <xf numFmtId="41" fontId="16" fillId="5" borderId="152" xfId="0" applyNumberFormat="1" applyFont="1" applyFill="1" applyBorder="1" applyAlignment="1">
      <alignment horizontal="right" vertical="center" readingOrder="1"/>
    </xf>
    <xf numFmtId="41" fontId="16" fillId="0" borderId="167" xfId="0" applyNumberFormat="1" applyFont="1" applyBorder="1" applyAlignment="1">
      <alignment horizontal="right" vertical="center" readingOrder="1"/>
    </xf>
    <xf numFmtId="41" fontId="16" fillId="0" borderId="203" xfId="0" applyNumberFormat="1" applyFont="1" applyBorder="1" applyAlignment="1">
      <alignment horizontal="right" vertical="center" readingOrder="1"/>
    </xf>
    <xf numFmtId="41" fontId="22" fillId="0" borderId="25" xfId="0" applyNumberFormat="1" applyFont="1" applyBorder="1" applyAlignment="1">
      <alignment horizontal="right" vertical="center" readingOrder="1"/>
    </xf>
    <xf numFmtId="41" fontId="22" fillId="8" borderId="177" xfId="0" applyNumberFormat="1" applyFont="1" applyFill="1" applyBorder="1" applyAlignment="1">
      <alignment horizontal="right" vertical="center" readingOrder="1"/>
    </xf>
    <xf numFmtId="41" fontId="22" fillId="8" borderId="7" xfId="0" applyNumberFormat="1" applyFont="1" applyFill="1" applyBorder="1" applyAlignment="1">
      <alignment horizontal="right" vertical="center" readingOrder="1"/>
    </xf>
    <xf numFmtId="41" fontId="22" fillId="8" borderId="197" xfId="0" applyNumberFormat="1" applyFont="1" applyFill="1" applyBorder="1" applyAlignment="1">
      <alignment horizontal="right" vertical="center" readingOrder="1"/>
    </xf>
    <xf numFmtId="41" fontId="22" fillId="8" borderId="2" xfId="0" applyNumberFormat="1" applyFont="1" applyFill="1" applyBorder="1" applyAlignment="1">
      <alignment horizontal="right" vertical="center" readingOrder="1"/>
    </xf>
    <xf numFmtId="41" fontId="22" fillId="8" borderId="176" xfId="0" applyNumberFormat="1" applyFont="1" applyFill="1" applyBorder="1" applyAlignment="1">
      <alignment horizontal="right" vertical="center" readingOrder="1"/>
    </xf>
    <xf numFmtId="200" fontId="1" fillId="0" borderId="0" xfId="0" applyNumberFormat="1" applyFont="1" applyAlignment="1">
      <alignment vertical="center"/>
    </xf>
    <xf numFmtId="41" fontId="20" fillId="3" borderId="175" xfId="0" applyNumberFormat="1" applyFont="1" applyFill="1" applyBorder="1" applyAlignment="1">
      <alignment horizontal="center" vertical="center" wrapText="1" readingOrder="1"/>
    </xf>
    <xf numFmtId="41" fontId="22" fillId="13" borderId="143" xfId="0" applyNumberFormat="1" applyFont="1" applyFill="1" applyBorder="1" applyAlignment="1">
      <alignment horizontal="right" vertical="center" readingOrder="1"/>
    </xf>
    <xf numFmtId="41" fontId="16" fillId="0" borderId="147" xfId="0" applyNumberFormat="1" applyFont="1" applyBorder="1" applyAlignment="1">
      <alignment horizontal="right" vertical="center" readingOrder="1"/>
    </xf>
    <xf numFmtId="41" fontId="16" fillId="0" borderId="156" xfId="0" applyNumberFormat="1" applyFont="1" applyBorder="1" applyAlignment="1">
      <alignment horizontal="right" vertical="center" readingOrder="1"/>
    </xf>
    <xf numFmtId="41" fontId="16" fillId="0" borderId="149" xfId="0" applyNumberFormat="1" applyFont="1" applyBorder="1" applyAlignment="1">
      <alignment horizontal="right" vertical="center" readingOrder="1"/>
    </xf>
    <xf numFmtId="41" fontId="16" fillId="0" borderId="143" xfId="0" applyNumberFormat="1" applyFont="1" applyBorder="1" applyAlignment="1">
      <alignment horizontal="right" vertical="center" readingOrder="1"/>
    </xf>
    <xf numFmtId="41" fontId="16" fillId="0" borderId="162" xfId="0" applyNumberFormat="1" applyFont="1" applyBorder="1" applyAlignment="1">
      <alignment horizontal="right" vertical="center" readingOrder="1"/>
    </xf>
    <xf numFmtId="41" fontId="16" fillId="5" borderId="149" xfId="0" applyNumberFormat="1" applyFont="1" applyFill="1" applyBorder="1" applyAlignment="1">
      <alignment horizontal="right" vertical="center" readingOrder="1"/>
    </xf>
    <xf numFmtId="41" fontId="16" fillId="0" borderId="165" xfId="0" applyNumberFormat="1" applyFont="1" applyBorder="1" applyAlignment="1">
      <alignment horizontal="right" vertical="center" readingOrder="1"/>
    </xf>
    <xf numFmtId="178" fontId="16" fillId="0" borderId="156" xfId="0" applyNumberFormat="1" applyFont="1" applyBorder="1" applyAlignment="1">
      <alignment horizontal="right" vertical="center" readingOrder="1"/>
    </xf>
    <xf numFmtId="41" fontId="22" fillId="8" borderId="175" xfId="0" applyNumberFormat="1" applyFont="1" applyFill="1" applyBorder="1" applyAlignment="1">
      <alignment horizontal="right" vertical="center" readingOrder="1"/>
    </xf>
    <xf numFmtId="179" fontId="32" fillId="8" borderId="1" xfId="0" applyNumberFormat="1" applyFont="1" applyFill="1" applyBorder="1" applyAlignment="1">
      <alignment horizontal="right" vertical="center" readingOrder="1"/>
    </xf>
    <xf numFmtId="179" fontId="32" fillId="8" borderId="123" xfId="0" applyNumberFormat="1" applyFont="1" applyFill="1" applyBorder="1" applyAlignment="1">
      <alignment horizontal="right" vertical="center" readingOrder="1"/>
    </xf>
    <xf numFmtId="179" fontId="32" fillId="8" borderId="110" xfId="0" applyNumberFormat="1" applyFont="1" applyFill="1" applyBorder="1" applyAlignment="1">
      <alignment horizontal="right" vertical="center" readingOrder="1"/>
    </xf>
    <xf numFmtId="179" fontId="32" fillId="5" borderId="124" xfId="0" applyNumberFormat="1" applyFont="1" applyFill="1" applyBorder="1" applyAlignment="1">
      <alignment horizontal="right" vertical="center" readingOrder="1"/>
    </xf>
    <xf numFmtId="179" fontId="32" fillId="5" borderId="112" xfId="0" applyNumberFormat="1" applyFont="1" applyFill="1" applyBorder="1" applyAlignment="1">
      <alignment horizontal="right" vertical="center" readingOrder="1"/>
    </xf>
    <xf numFmtId="206" fontId="16" fillId="0" borderId="0" xfId="0" applyNumberFormat="1" applyFont="1" applyAlignment="1">
      <alignment vertical="center"/>
    </xf>
    <xf numFmtId="207" fontId="16" fillId="0" borderId="0" xfId="0" applyNumberFormat="1" applyFont="1" applyAlignment="1">
      <alignment vertical="center"/>
    </xf>
    <xf numFmtId="208" fontId="22" fillId="13" borderId="13" xfId="0" applyNumberFormat="1" applyFont="1" applyFill="1" applyBorder="1" applyAlignment="1">
      <alignment horizontal="right" vertical="center" readingOrder="1"/>
    </xf>
    <xf numFmtId="208" fontId="22" fillId="13" borderId="11" xfId="0" applyNumberFormat="1" applyFont="1" applyFill="1" applyBorder="1" applyAlignment="1">
      <alignment horizontal="right" vertical="center" readingOrder="1"/>
    </xf>
    <xf numFmtId="208" fontId="22" fillId="13" borderId="144" xfId="0" applyNumberFormat="1" applyFont="1" applyFill="1" applyBorder="1" applyAlignment="1">
      <alignment horizontal="right" vertical="center" readingOrder="1"/>
    </xf>
    <xf numFmtId="208" fontId="16" fillId="0" borderId="18" xfId="0" applyNumberFormat="1" applyFont="1" applyBorder="1" applyAlignment="1">
      <alignment horizontal="right" vertical="center" readingOrder="1"/>
    </xf>
    <xf numFmtId="208" fontId="16" fillId="0" borderId="16" xfId="0" applyNumberFormat="1" applyFont="1" applyBorder="1" applyAlignment="1">
      <alignment horizontal="right" vertical="center" readingOrder="1"/>
    </xf>
    <xf numFmtId="208" fontId="16" fillId="0" borderId="148" xfId="0" applyNumberFormat="1" applyFont="1" applyBorder="1" applyAlignment="1">
      <alignment horizontal="right" vertical="center" readingOrder="1"/>
    </xf>
    <xf numFmtId="208" fontId="16" fillId="5" borderId="150" xfId="0" applyNumberFormat="1" applyFont="1" applyFill="1" applyBorder="1" applyAlignment="1">
      <alignment horizontal="right" vertical="center" readingOrder="1"/>
    </xf>
    <xf numFmtId="208" fontId="16" fillId="5" borderId="151" xfId="0" applyNumberFormat="1" applyFont="1" applyFill="1" applyBorder="1" applyAlignment="1">
      <alignment horizontal="right" vertical="center" readingOrder="1"/>
    </xf>
    <xf numFmtId="208" fontId="16" fillId="5" borderId="155" xfId="0" applyNumberFormat="1" applyFont="1" applyFill="1" applyBorder="1" applyAlignment="1">
      <alignment horizontal="right" vertical="center" readingOrder="1"/>
    </xf>
    <xf numFmtId="208" fontId="16" fillId="0" borderId="0" xfId="0" applyNumberFormat="1" applyFont="1" applyAlignment="1">
      <alignment horizontal="right" vertical="center" readingOrder="1"/>
    </xf>
    <xf numFmtId="208" fontId="16" fillId="0" borderId="29" xfId="0" applyNumberFormat="1" applyFont="1" applyBorder="1" applyAlignment="1">
      <alignment horizontal="right" vertical="center" readingOrder="1"/>
    </xf>
    <xf numFmtId="208" fontId="16" fillId="0" borderId="159" xfId="0" applyNumberFormat="1" applyFont="1" applyBorder="1" applyAlignment="1">
      <alignment horizontal="right" vertical="center" readingOrder="1"/>
    </xf>
    <xf numFmtId="208" fontId="16" fillId="0" borderId="150" xfId="0" applyNumberFormat="1" applyFont="1" applyBorder="1" applyAlignment="1">
      <alignment horizontal="right" vertical="center" readingOrder="1"/>
    </xf>
    <xf numFmtId="208" fontId="16" fillId="0" borderId="151" xfId="0" applyNumberFormat="1" applyFont="1" applyBorder="1" applyAlignment="1">
      <alignment horizontal="right" vertical="center" readingOrder="1"/>
    </xf>
    <xf numFmtId="208" fontId="16" fillId="0" borderId="155" xfId="0" applyNumberFormat="1" applyFont="1" applyBorder="1" applyAlignment="1">
      <alignment horizontal="right" vertical="center" readingOrder="1"/>
    </xf>
    <xf numFmtId="208" fontId="16" fillId="0" borderId="25" xfId="0" applyNumberFormat="1" applyFont="1" applyBorder="1" applyAlignment="1">
      <alignment horizontal="right" vertical="center" readingOrder="1"/>
    </xf>
    <xf numFmtId="208" fontId="16" fillId="0" borderId="24" xfId="0" applyNumberFormat="1" applyFont="1" applyBorder="1" applyAlignment="1">
      <alignment horizontal="right" vertical="center" readingOrder="1"/>
    </xf>
    <xf numFmtId="208" fontId="16" fillId="0" borderId="164" xfId="0" applyNumberFormat="1" applyFont="1" applyBorder="1" applyAlignment="1">
      <alignment horizontal="right" vertical="center" readingOrder="1"/>
    </xf>
    <xf numFmtId="208" fontId="16" fillId="0" borderId="166" xfId="0" applyNumberFormat="1" applyFont="1" applyBorder="1" applyAlignment="1">
      <alignment horizontal="right" vertical="center" readingOrder="1"/>
    </xf>
    <xf numFmtId="208" fontId="16" fillId="0" borderId="204" xfId="0" applyNumberFormat="1" applyFont="1" applyBorder="1" applyAlignment="1">
      <alignment horizontal="right" vertical="center" readingOrder="1"/>
    </xf>
    <xf numFmtId="208" fontId="16" fillId="0" borderId="170" xfId="0" applyNumberFormat="1" applyFont="1" applyBorder="1" applyAlignment="1">
      <alignment horizontal="right" vertical="center" readingOrder="1"/>
    </xf>
    <xf numFmtId="209" fontId="1" fillId="0" borderId="0" xfId="0" applyNumberFormat="1" applyFont="1" applyAlignment="1">
      <alignment vertical="center"/>
    </xf>
    <xf numFmtId="41" fontId="20" fillId="13" borderId="72" xfId="0" applyNumberFormat="1" applyFont="1" applyFill="1" applyBorder="1" applyAlignment="1">
      <alignment horizontal="left" vertical="center" readingOrder="1"/>
    </xf>
    <xf numFmtId="41" fontId="17" fillId="0" borderId="97" xfId="0" applyNumberFormat="1" applyFont="1" applyBorder="1" applyAlignment="1">
      <alignment horizontal="left" vertical="center" readingOrder="1"/>
    </xf>
    <xf numFmtId="41" fontId="17" fillId="5" borderId="154" xfId="0" applyNumberFormat="1" applyFont="1" applyFill="1" applyBorder="1" applyAlignment="1">
      <alignment horizontal="left" vertical="center" readingOrder="1"/>
    </xf>
    <xf numFmtId="41" fontId="17" fillId="0" borderId="154" xfId="0" applyNumberFormat="1" applyFont="1" applyBorder="1" applyAlignment="1">
      <alignment horizontal="left" vertical="center" readingOrder="1"/>
    </xf>
    <xf numFmtId="41" fontId="17" fillId="0" borderId="72" xfId="0" applyNumberFormat="1" applyFont="1" applyBorder="1" applyAlignment="1">
      <alignment horizontal="left" vertical="center" readingOrder="1"/>
    </xf>
    <xf numFmtId="41" fontId="17" fillId="0" borderId="163" xfId="0" applyNumberFormat="1" applyFont="1" applyBorder="1" applyAlignment="1">
      <alignment horizontal="left" vertical="center" readingOrder="1"/>
    </xf>
    <xf numFmtId="41" fontId="17" fillId="0" borderId="169" xfId="0" applyNumberFormat="1" applyFont="1" applyBorder="1" applyAlignment="1">
      <alignment horizontal="left" vertical="center" readingOrder="1"/>
    </xf>
    <xf numFmtId="41" fontId="32" fillId="0" borderId="97" xfId="0" applyNumberFormat="1" applyFont="1" applyBorder="1" applyAlignment="1">
      <alignment vertical="center" readingOrder="1"/>
    </xf>
    <xf numFmtId="41" fontId="20" fillId="0" borderId="154" xfId="0" applyNumberFormat="1" applyFont="1" applyBorder="1" applyAlignment="1">
      <alignment horizontal="left" vertical="center" readingOrder="1"/>
    </xf>
    <xf numFmtId="41" fontId="20" fillId="0" borderId="97" xfId="0" applyNumberFormat="1" applyFont="1" applyBorder="1" applyAlignment="1">
      <alignment horizontal="left" vertical="center" readingOrder="1"/>
    </xf>
    <xf numFmtId="41" fontId="20" fillId="8" borderId="91" xfId="0" applyNumberFormat="1" applyFont="1" applyFill="1" applyBorder="1" applyAlignment="1">
      <alignment horizontal="left" vertical="center" readingOrder="1"/>
    </xf>
    <xf numFmtId="41" fontId="20" fillId="13" borderId="176" xfId="0" applyNumberFormat="1" applyFont="1" applyFill="1" applyBorder="1" applyAlignment="1">
      <alignment horizontal="left" vertical="center" readingOrder="1"/>
    </xf>
    <xf numFmtId="41" fontId="20" fillId="8" borderId="176" xfId="0" applyNumberFormat="1" applyFont="1" applyFill="1" applyBorder="1" applyAlignment="1">
      <alignment horizontal="left" vertical="center" readingOrder="1"/>
    </xf>
    <xf numFmtId="41" fontId="16" fillId="0" borderId="170" xfId="0" applyNumberFormat="1" applyFont="1" applyBorder="1" applyAlignment="1">
      <alignment horizontal="right" vertical="center" readingOrder="1"/>
    </xf>
    <xf numFmtId="41" fontId="16" fillId="0" borderId="195" xfId="0" applyNumberFormat="1" applyFont="1" applyBorder="1" applyAlignment="1">
      <alignment horizontal="right" vertical="center" readingOrder="1"/>
    </xf>
    <xf numFmtId="41" fontId="16" fillId="0" borderId="26" xfId="0" applyNumberFormat="1" applyFont="1" applyBorder="1" applyAlignment="1">
      <alignment horizontal="right" vertical="center" readingOrder="1"/>
    </xf>
    <xf numFmtId="41" fontId="16" fillId="0" borderId="196" xfId="0" applyNumberFormat="1" applyFont="1" applyBorder="1" applyAlignment="1">
      <alignment horizontal="right" vertical="center" readingOrder="1"/>
    </xf>
    <xf numFmtId="178" fontId="16" fillId="0" borderId="29" xfId="0" applyNumberFormat="1" applyFont="1" applyBorder="1" applyAlignment="1">
      <alignment horizontal="right" vertical="center" readingOrder="1"/>
    </xf>
    <xf numFmtId="41" fontId="21" fillId="5" borderId="153" xfId="0" applyNumberFormat="1" applyFont="1" applyFill="1" applyBorder="1" applyAlignment="1">
      <alignment horizontal="right" vertical="center" readingOrder="1"/>
    </xf>
    <xf numFmtId="41" fontId="16" fillId="5" borderId="153" xfId="0" applyNumberFormat="1" applyFont="1" applyFill="1" applyBorder="1" applyAlignment="1">
      <alignment horizontal="right" vertical="center" readingOrder="1"/>
    </xf>
    <xf numFmtId="208" fontId="16" fillId="5" borderId="153" xfId="0" applyNumberFormat="1" applyFont="1" applyFill="1" applyBorder="1" applyAlignment="1">
      <alignment horizontal="right" vertical="center" readingOrder="1"/>
    </xf>
    <xf numFmtId="41" fontId="21" fillId="5" borderId="191" xfId="0" applyNumberFormat="1" applyFont="1" applyFill="1" applyBorder="1" applyAlignment="1">
      <alignment horizontal="right" vertical="center" readingOrder="1"/>
    </xf>
    <xf numFmtId="176" fontId="39" fillId="0" borderId="164" xfId="0" applyNumberFormat="1" applyFont="1" applyBorder="1" applyAlignment="1">
      <alignment horizontal="right" vertical="center" readingOrder="1"/>
    </xf>
    <xf numFmtId="176" fontId="39" fillId="0" borderId="160" xfId="0" applyNumberFormat="1" applyFont="1" applyBorder="1" applyAlignment="1">
      <alignment horizontal="right" vertical="center" readingOrder="1"/>
    </xf>
    <xf numFmtId="176" fontId="39" fillId="0" borderId="162" xfId="0" applyNumberFormat="1" applyFont="1" applyBorder="1" applyAlignment="1">
      <alignment horizontal="right" vertical="center" readingOrder="1"/>
    </xf>
    <xf numFmtId="176" fontId="39" fillId="0" borderId="202" xfId="0" applyNumberFormat="1" applyFont="1" applyBorder="1" applyAlignment="1">
      <alignment horizontal="right" vertical="center" readingOrder="1"/>
    </xf>
    <xf numFmtId="176" fontId="39" fillId="0" borderId="25" xfId="0" applyNumberFormat="1" applyFont="1" applyBorder="1" applyAlignment="1">
      <alignment horizontal="right" vertical="center" readingOrder="1"/>
    </xf>
    <xf numFmtId="176" fontId="39" fillId="0" borderId="24" xfId="0" applyNumberFormat="1" applyFont="1" applyBorder="1" applyAlignment="1">
      <alignment horizontal="right" vertical="center" readingOrder="1"/>
    </xf>
    <xf numFmtId="176" fontId="39" fillId="5" borderId="144" xfId="0" applyNumberFormat="1" applyFont="1" applyFill="1" applyBorder="1" applyAlignment="1">
      <alignment horizontal="right" vertical="center" readingOrder="1"/>
    </xf>
    <xf numFmtId="176" fontId="39" fillId="5" borderId="141" xfId="0" applyNumberFormat="1" applyFont="1" applyFill="1" applyBorder="1" applyAlignment="1">
      <alignment horizontal="right" vertical="center" readingOrder="1"/>
    </xf>
    <xf numFmtId="176" fontId="39" fillId="5" borderId="143" xfId="0" applyNumberFormat="1" applyFont="1" applyFill="1" applyBorder="1" applyAlignment="1">
      <alignment horizontal="right" vertical="center" readingOrder="1"/>
    </xf>
    <xf numFmtId="176" fontId="39" fillId="5" borderId="198" xfId="0" applyNumberFormat="1" applyFont="1" applyFill="1" applyBorder="1" applyAlignment="1">
      <alignment horizontal="right" vertical="center" readingOrder="1"/>
    </xf>
    <xf numFmtId="176" fontId="39" fillId="5" borderId="13" xfId="0" applyNumberFormat="1" applyFont="1" applyFill="1" applyBorder="1" applyAlignment="1">
      <alignment horizontal="right" vertical="center" readingOrder="1"/>
    </xf>
    <xf numFmtId="176" fontId="39" fillId="5" borderId="11" xfId="0" applyNumberFormat="1" applyFont="1" applyFill="1" applyBorder="1" applyAlignment="1">
      <alignment horizontal="right" vertical="center" readingOrder="1"/>
    </xf>
    <xf numFmtId="176" fontId="39" fillId="0" borderId="163" xfId="0" applyNumberFormat="1" applyFont="1" applyBorder="1" applyAlignment="1">
      <alignment horizontal="right" vertical="center" readingOrder="1"/>
    </xf>
    <xf numFmtId="176" fontId="39" fillId="5" borderId="72" xfId="0" applyNumberFormat="1" applyFont="1" applyFill="1" applyBorder="1" applyAlignment="1">
      <alignment horizontal="right" vertical="center" readingOrder="1"/>
    </xf>
    <xf numFmtId="190" fontId="1" fillId="0" borderId="0" xfId="0" applyNumberFormat="1" applyFont="1" applyAlignment="1">
      <alignment vertical="center"/>
    </xf>
    <xf numFmtId="176" fontId="3" fillId="0" borderId="163" xfId="0" applyNumberFormat="1" applyFont="1" applyBorder="1" applyAlignment="1">
      <alignment horizontal="right" vertical="center" readingOrder="1"/>
    </xf>
    <xf numFmtId="176" fontId="3" fillId="0" borderId="56" xfId="0" applyNumberFormat="1" applyFont="1" applyBorder="1" applyAlignment="1">
      <alignment horizontal="right" vertical="center" readingOrder="1"/>
    </xf>
    <xf numFmtId="176" fontId="3" fillId="0" borderId="207" xfId="0" applyNumberFormat="1" applyFont="1" applyBorder="1" applyAlignment="1">
      <alignment horizontal="right" vertical="center" readingOrder="1"/>
    </xf>
    <xf numFmtId="41" fontId="36" fillId="3" borderId="206" xfId="0" applyNumberFormat="1" applyFont="1" applyFill="1" applyBorder="1" applyAlignment="1">
      <alignment horizontal="center" vertical="center" readingOrder="1"/>
    </xf>
    <xf numFmtId="41" fontId="20" fillId="3" borderId="187" xfId="0" applyNumberFormat="1" applyFont="1" applyFill="1" applyBorder="1" applyAlignment="1">
      <alignment horizontal="center" vertical="center" wrapText="1" readingOrder="1"/>
    </xf>
    <xf numFmtId="211" fontId="34" fillId="0" borderId="55" xfId="0" applyNumberFormat="1" applyFont="1" applyBorder="1" applyAlignment="1">
      <alignment vertical="center" readingOrder="1"/>
    </xf>
    <xf numFmtId="211" fontId="26" fillId="0" borderId="63" xfId="0" applyNumberFormat="1" applyFont="1" applyBorder="1" applyAlignment="1">
      <alignment vertical="center" readingOrder="1"/>
    </xf>
    <xf numFmtId="211" fontId="29" fillId="0" borderId="53" xfId="0" applyNumberFormat="1" applyFont="1" applyBorder="1" applyAlignment="1">
      <alignment vertical="center" readingOrder="1"/>
    </xf>
    <xf numFmtId="211" fontId="29" fillId="0" borderId="63" xfId="0" applyNumberFormat="1" applyFont="1" applyBorder="1" applyAlignment="1">
      <alignment vertical="center" readingOrder="1"/>
    </xf>
    <xf numFmtId="211" fontId="34" fillId="0" borderId="58" xfId="0" applyNumberFormat="1" applyFont="1" applyBorder="1" applyAlignment="1">
      <alignment horizontal="right" vertical="center" readingOrder="1"/>
    </xf>
    <xf numFmtId="211" fontId="38" fillId="0" borderId="55" xfId="0" applyNumberFormat="1" applyFont="1" applyBorder="1" applyAlignment="1">
      <alignment horizontal="right" vertical="center" readingOrder="1"/>
    </xf>
    <xf numFmtId="211" fontId="38" fillId="0" borderId="63" xfId="0" applyNumberFormat="1" applyFont="1" applyBorder="1" applyAlignment="1">
      <alignment horizontal="right" vertical="center" readingOrder="1"/>
    </xf>
    <xf numFmtId="211" fontId="34" fillId="0" borderId="55" xfId="0" applyNumberFormat="1" applyFont="1" applyBorder="1" applyAlignment="1">
      <alignment horizontal="right" vertical="center" readingOrder="1"/>
    </xf>
    <xf numFmtId="211" fontId="26" fillId="0" borderId="63" xfId="0" applyNumberFormat="1" applyFont="1" applyBorder="1" applyAlignment="1">
      <alignment horizontal="right" vertical="center" readingOrder="1"/>
    </xf>
    <xf numFmtId="211" fontId="34" fillId="0" borderId="60" xfId="0" applyNumberFormat="1" applyFont="1" applyBorder="1" applyAlignment="1">
      <alignment horizontal="right" vertical="center" readingOrder="1"/>
    </xf>
    <xf numFmtId="212" fontId="25" fillId="11" borderId="6" xfId="0" applyNumberFormat="1" applyFont="1" applyFill="1" applyBorder="1" applyAlignment="1">
      <alignment horizontal="right" vertical="center" wrapText="1" readingOrder="1"/>
    </xf>
    <xf numFmtId="212" fontId="25" fillId="11" borderId="85" xfId="0" applyNumberFormat="1" applyFont="1" applyFill="1" applyBorder="1" applyAlignment="1">
      <alignment horizontal="right" vertical="center" wrapText="1" readingOrder="1"/>
    </xf>
    <xf numFmtId="212" fontId="25" fillId="11" borderId="1" xfId="0" applyNumberFormat="1" applyFont="1" applyFill="1" applyBorder="1" applyAlignment="1">
      <alignment horizontal="right" vertical="center" wrapText="1" readingOrder="1"/>
    </xf>
    <xf numFmtId="212" fontId="25" fillId="11" borderId="9" xfId="0" applyNumberFormat="1" applyFont="1" applyFill="1" applyBorder="1" applyAlignment="1">
      <alignment horizontal="right" vertical="center" wrapText="1" readingOrder="1"/>
    </xf>
    <xf numFmtId="212" fontId="25" fillId="11" borderId="8" xfId="0" applyNumberFormat="1" applyFont="1" applyFill="1" applyBorder="1" applyAlignment="1">
      <alignment horizontal="right" vertical="center" wrapText="1" readingOrder="1"/>
    </xf>
    <xf numFmtId="212" fontId="25" fillId="11" borderId="49" xfId="0" applyNumberFormat="1" applyFont="1" applyFill="1" applyBorder="1" applyAlignment="1">
      <alignment horizontal="left" vertical="center" wrapText="1" readingOrder="1"/>
    </xf>
    <xf numFmtId="187" fontId="3" fillId="14" borderId="72" xfId="0" applyNumberFormat="1" applyFont="1" applyFill="1" applyBorder="1" applyAlignment="1">
      <alignment horizontal="right" vertical="center" readingOrder="1"/>
    </xf>
    <xf numFmtId="213" fontId="1" fillId="0" borderId="0" xfId="0" applyNumberFormat="1" applyFont="1" applyAlignment="1">
      <alignment vertical="center"/>
    </xf>
    <xf numFmtId="187" fontId="1" fillId="0" borderId="0" xfId="0" applyNumberFormat="1" applyFont="1" applyAlignment="1">
      <alignment vertical="center"/>
    </xf>
    <xf numFmtId="41" fontId="20" fillId="3" borderId="174" xfId="0" applyNumberFormat="1" applyFont="1" applyFill="1" applyBorder="1" applyAlignment="1">
      <alignment horizontal="center" vertical="center" wrapText="1" readingOrder="1"/>
    </xf>
    <xf numFmtId="208" fontId="22" fillId="13" borderId="142" xfId="0" applyNumberFormat="1" applyFont="1" applyFill="1" applyBorder="1" applyAlignment="1">
      <alignment horizontal="right" vertical="center" readingOrder="1"/>
    </xf>
    <xf numFmtId="208" fontId="16" fillId="0" borderId="146" xfId="0" applyNumberFormat="1" applyFont="1" applyBorder="1" applyAlignment="1">
      <alignment horizontal="right" vertical="center" readingOrder="1"/>
    </xf>
    <xf numFmtId="208" fontId="16" fillId="0" borderId="153" xfId="0" applyNumberFormat="1" applyFont="1" applyBorder="1" applyAlignment="1">
      <alignment horizontal="right" vertical="center" readingOrder="1"/>
    </xf>
    <xf numFmtId="208" fontId="16" fillId="0" borderId="161" xfId="0" applyNumberFormat="1" applyFont="1" applyBorder="1" applyAlignment="1">
      <alignment horizontal="right" vertical="center" readingOrder="1"/>
    </xf>
    <xf numFmtId="208" fontId="16" fillId="0" borderId="158" xfId="0" applyNumberFormat="1" applyFont="1" applyBorder="1" applyAlignment="1">
      <alignment horizontal="right" vertical="center" readingOrder="1"/>
    </xf>
    <xf numFmtId="208" fontId="16" fillId="0" borderId="168" xfId="0" applyNumberFormat="1" applyFont="1" applyBorder="1" applyAlignment="1">
      <alignment horizontal="right" vertical="center" readingOrder="1"/>
    </xf>
    <xf numFmtId="178" fontId="16" fillId="0" borderId="158" xfId="0" applyNumberFormat="1" applyFont="1" applyBorder="1" applyAlignment="1">
      <alignment horizontal="right" vertical="center" readingOrder="1"/>
    </xf>
    <xf numFmtId="41" fontId="16" fillId="0" borderId="153" xfId="0" applyNumberFormat="1" applyFont="1" applyBorder="1" applyAlignment="1">
      <alignment horizontal="right" vertical="center" readingOrder="1"/>
    </xf>
    <xf numFmtId="41" fontId="16" fillId="0" borderId="158" xfId="0" applyNumberFormat="1" applyFont="1" applyBorder="1" applyAlignment="1">
      <alignment horizontal="right" vertical="center" readingOrder="1"/>
    </xf>
    <xf numFmtId="176" fontId="39" fillId="0" borderId="161" xfId="0" applyNumberFormat="1" applyFont="1" applyBorder="1" applyAlignment="1">
      <alignment horizontal="right" vertical="center" readingOrder="1"/>
    </xf>
    <xf numFmtId="176" fontId="39" fillId="5" borderId="142" xfId="0" applyNumberFormat="1" applyFont="1" applyFill="1" applyBorder="1" applyAlignment="1">
      <alignment horizontal="right" vertical="center" readingOrder="1"/>
    </xf>
    <xf numFmtId="41" fontId="16" fillId="0" borderId="161" xfId="0" applyNumberFormat="1" applyFont="1" applyBorder="1" applyAlignment="1">
      <alignment horizontal="right" vertical="center" readingOrder="1"/>
    </xf>
    <xf numFmtId="41" fontId="16" fillId="0" borderId="142" xfId="0" applyNumberFormat="1" applyFont="1" applyBorder="1" applyAlignment="1">
      <alignment horizontal="right" vertical="center" readingOrder="1"/>
    </xf>
    <xf numFmtId="41" fontId="22" fillId="8" borderId="174" xfId="0" applyNumberFormat="1" applyFont="1" applyFill="1" applyBorder="1" applyAlignment="1">
      <alignment horizontal="right" vertical="center" readingOrder="1"/>
    </xf>
    <xf numFmtId="176" fontId="7" fillId="4" borderId="0" xfId="0" applyNumberFormat="1" applyFont="1" applyFill="1" applyAlignment="1">
      <alignment horizontal="center" vertical="center"/>
    </xf>
    <xf numFmtId="176" fontId="10" fillId="0" borderId="0" xfId="0" applyNumberFormat="1" applyFont="1" applyAlignment="1">
      <alignment horizontal="right" vertical="center"/>
    </xf>
    <xf numFmtId="176" fontId="7" fillId="0" borderId="0" xfId="0" applyNumberFormat="1" applyFont="1" applyAlignment="1">
      <alignment horizontal="right" vertical="center"/>
    </xf>
    <xf numFmtId="176" fontId="1" fillId="0" borderId="0" xfId="0" quotePrefix="1" applyNumberFormat="1" applyFont="1" applyAlignment="1">
      <alignment vertical="center"/>
    </xf>
    <xf numFmtId="41" fontId="20" fillId="3" borderId="25" xfId="0" applyNumberFormat="1" applyFont="1" applyFill="1" applyBorder="1" applyAlignment="1">
      <alignment vertical="center" wrapText="1" readingOrder="1"/>
    </xf>
    <xf numFmtId="41" fontId="20" fillId="3" borderId="24" xfId="0" applyNumberFormat="1" applyFont="1" applyFill="1" applyBorder="1" applyAlignment="1">
      <alignment vertical="center" wrapText="1" readingOrder="1"/>
    </xf>
    <xf numFmtId="41" fontId="21" fillId="5" borderId="150" xfId="0" applyNumberFormat="1" applyFont="1" applyFill="1" applyBorder="1" applyAlignment="1">
      <alignment horizontal="right" vertical="center" readingOrder="1"/>
    </xf>
    <xf numFmtId="178" fontId="16" fillId="0" borderId="0" xfId="0" applyNumberFormat="1" applyFont="1" applyAlignment="1">
      <alignment horizontal="right" vertical="center" readingOrder="1"/>
    </xf>
    <xf numFmtId="179" fontId="17" fillId="5" borderId="138" xfId="0" applyNumberFormat="1" applyFont="1" applyFill="1" applyBorder="1" applyAlignment="1">
      <alignment horizontal="right" vertical="center" readingOrder="1"/>
    </xf>
    <xf numFmtId="179" fontId="20" fillId="5" borderId="51" xfId="0" applyNumberFormat="1" applyFont="1" applyFill="1" applyBorder="1" applyAlignment="1">
      <alignment horizontal="right" vertical="center" readingOrder="1"/>
    </xf>
    <xf numFmtId="179" fontId="20" fillId="0" borderId="52" xfId="0" applyNumberFormat="1" applyFont="1" applyBorder="1" applyAlignment="1">
      <alignment horizontal="right" vertical="center" readingOrder="1"/>
    </xf>
    <xf numFmtId="208" fontId="22" fillId="13" borderId="143" xfId="0" applyNumberFormat="1" applyFont="1" applyFill="1" applyBorder="1" applyAlignment="1">
      <alignment horizontal="right" vertical="center" readingOrder="1"/>
    </xf>
    <xf numFmtId="208" fontId="16" fillId="0" borderId="147" xfId="0" applyNumberFormat="1" applyFont="1" applyBorder="1" applyAlignment="1">
      <alignment horizontal="right" vertical="center" readingOrder="1"/>
    </xf>
    <xf numFmtId="41" fontId="21" fillId="5" borderId="149" xfId="0" applyNumberFormat="1" applyFont="1" applyFill="1" applyBorder="1" applyAlignment="1">
      <alignment horizontal="right" vertical="center" readingOrder="1"/>
    </xf>
    <xf numFmtId="208" fontId="16" fillId="0" borderId="149" xfId="0" applyNumberFormat="1" applyFont="1" applyBorder="1" applyAlignment="1">
      <alignment horizontal="right" vertical="center" readingOrder="1"/>
    </xf>
    <xf numFmtId="208" fontId="16" fillId="0" borderId="162" xfId="0" applyNumberFormat="1" applyFont="1" applyBorder="1" applyAlignment="1">
      <alignment horizontal="right" vertical="center" readingOrder="1"/>
    </xf>
    <xf numFmtId="208" fontId="16" fillId="5" borderId="149" xfId="0" applyNumberFormat="1" applyFont="1" applyFill="1" applyBorder="1" applyAlignment="1">
      <alignment horizontal="right" vertical="center" readingOrder="1"/>
    </xf>
    <xf numFmtId="208" fontId="16" fillId="0" borderId="156" xfId="0" applyNumberFormat="1" applyFont="1" applyBorder="1" applyAlignment="1">
      <alignment horizontal="right" vertical="center" readingOrder="1"/>
    </xf>
    <xf numFmtId="208" fontId="16" fillId="0" borderId="165" xfId="0" applyNumberFormat="1" applyFont="1" applyBorder="1" applyAlignment="1">
      <alignment horizontal="right" vertical="center" readingOrder="1"/>
    </xf>
    <xf numFmtId="179" fontId="3" fillId="0" borderId="1" xfId="0" applyNumberFormat="1" applyFont="1" applyBorder="1" applyAlignment="1">
      <alignment horizontal="right" vertical="center" readingOrder="1"/>
    </xf>
    <xf numFmtId="179" fontId="3" fillId="0" borderId="5" xfId="0" applyNumberFormat="1" applyFont="1" applyBorder="1" applyAlignment="1">
      <alignment horizontal="right" vertical="center" readingOrder="1"/>
    </xf>
    <xf numFmtId="179" fontId="3" fillId="0" borderId="49" xfId="0" applyNumberFormat="1" applyFont="1" applyBorder="1" applyAlignment="1">
      <alignment horizontal="right" vertical="center" readingOrder="1"/>
    </xf>
    <xf numFmtId="179" fontId="3" fillId="0" borderId="8" xfId="0" applyNumberFormat="1" applyFont="1" applyBorder="1" applyAlignment="1">
      <alignment horizontal="right" vertical="center" readingOrder="1"/>
    </xf>
    <xf numFmtId="179" fontId="3" fillId="0" borderId="23" xfId="0" applyNumberFormat="1" applyFont="1" applyBorder="1" applyAlignment="1">
      <alignment horizontal="right" vertical="center" readingOrder="1"/>
    </xf>
    <xf numFmtId="179" fontId="3" fillId="0" borderId="73" xfId="0" applyNumberFormat="1" applyFont="1" applyBorder="1" applyAlignment="1">
      <alignment horizontal="right" vertical="center" readingOrder="1"/>
    </xf>
    <xf numFmtId="179" fontId="3" fillId="0" borderId="79" xfId="0" applyNumberFormat="1" applyFont="1" applyBorder="1" applyAlignment="1">
      <alignment horizontal="right" vertical="center" readingOrder="1"/>
    </xf>
    <xf numFmtId="179" fontId="3" fillId="0" borderId="22" xfId="0" applyNumberFormat="1" applyFont="1" applyBorder="1" applyAlignment="1">
      <alignment horizontal="right" vertical="center" readingOrder="1"/>
    </xf>
    <xf numFmtId="179" fontId="3" fillId="0" borderId="31" xfId="0" applyNumberFormat="1" applyFont="1" applyBorder="1" applyAlignment="1">
      <alignment horizontal="right" vertical="center" readingOrder="1"/>
    </xf>
    <xf numFmtId="179" fontId="3" fillId="0" borderId="74" xfId="0" applyNumberFormat="1" applyFont="1" applyBorder="1" applyAlignment="1">
      <alignment horizontal="right" vertical="center" readingOrder="1"/>
    </xf>
    <xf numFmtId="179" fontId="3" fillId="0" borderId="80" xfId="0" applyNumberFormat="1" applyFont="1" applyBorder="1" applyAlignment="1">
      <alignment horizontal="right" vertical="center" readingOrder="1"/>
    </xf>
    <xf numFmtId="179" fontId="3" fillId="0" borderId="33" xfId="0" applyNumberFormat="1" applyFont="1" applyBorder="1" applyAlignment="1">
      <alignment horizontal="right" vertical="center" readingOrder="1"/>
    </xf>
    <xf numFmtId="179" fontId="3" fillId="0" borderId="15" xfId="0" applyNumberFormat="1" applyFont="1" applyBorder="1" applyAlignment="1">
      <alignment horizontal="right" vertical="center" readingOrder="1"/>
    </xf>
    <xf numFmtId="179" fontId="3" fillId="0" borderId="81" xfId="0" applyNumberFormat="1" applyFont="1" applyBorder="1" applyAlignment="1">
      <alignment horizontal="right" vertical="center" readingOrder="1"/>
    </xf>
    <xf numFmtId="179" fontId="3" fillId="0" borderId="17" xfId="0" applyNumberFormat="1" applyFont="1" applyBorder="1" applyAlignment="1">
      <alignment horizontal="right" vertical="center" readingOrder="1"/>
    </xf>
    <xf numFmtId="179" fontId="3" fillId="0" borderId="26" xfId="0" applyNumberFormat="1" applyFont="1" applyBorder="1" applyAlignment="1">
      <alignment horizontal="right" vertical="center" readingOrder="1"/>
    </xf>
    <xf numFmtId="179" fontId="3" fillId="0" borderId="40" xfId="0" applyNumberFormat="1" applyFont="1" applyBorder="1" applyAlignment="1">
      <alignment vertical="center" readingOrder="1"/>
    </xf>
    <xf numFmtId="179" fontId="3" fillId="0" borderId="82" xfId="0" applyNumberFormat="1" applyFont="1" applyBorder="1" applyAlignment="1">
      <alignment horizontal="right" vertical="center" readingOrder="1"/>
    </xf>
    <xf numFmtId="179" fontId="3" fillId="0" borderId="30" xfId="0" applyNumberFormat="1" applyFont="1" applyBorder="1" applyAlignment="1">
      <alignment horizontal="right" vertical="center" readingOrder="1"/>
    </xf>
    <xf numFmtId="179" fontId="1" fillId="0" borderId="30" xfId="0" applyNumberFormat="1" applyFont="1" applyBorder="1" applyAlignment="1">
      <alignment horizontal="right" vertical="center" readingOrder="1"/>
    </xf>
    <xf numFmtId="179" fontId="3" fillId="0" borderId="39" xfId="0" applyNumberFormat="1" applyFont="1" applyBorder="1" applyAlignment="1">
      <alignment horizontal="right" vertical="center" readingOrder="1"/>
    </xf>
    <xf numFmtId="179" fontId="3" fillId="0" borderId="69" xfId="0" applyNumberFormat="1" applyFont="1" applyBorder="1" applyAlignment="1">
      <alignment horizontal="right" vertical="center" readingOrder="1"/>
    </xf>
    <xf numFmtId="179" fontId="3" fillId="0" borderId="70" xfId="0" applyNumberFormat="1" applyFont="1" applyBorder="1" applyAlignment="1">
      <alignment horizontal="right" vertical="center" readingOrder="1"/>
    </xf>
    <xf numFmtId="179" fontId="3" fillId="0" borderId="31" xfId="0" applyNumberFormat="1" applyFont="1" applyBorder="1" applyAlignment="1">
      <alignment vertical="center" readingOrder="1"/>
    </xf>
    <xf numFmtId="179" fontId="3" fillId="0" borderId="74" xfId="0" applyNumberFormat="1" applyFont="1" applyBorder="1" applyAlignment="1">
      <alignment vertical="center" readingOrder="1"/>
    </xf>
    <xf numFmtId="179" fontId="3" fillId="0" borderId="80" xfId="0" applyNumberFormat="1" applyFont="1" applyBorder="1" applyAlignment="1">
      <alignment vertical="center" readingOrder="1"/>
    </xf>
    <xf numFmtId="179" fontId="3" fillId="0" borderId="15" xfId="0" applyNumberFormat="1" applyFont="1" applyBorder="1" applyAlignment="1">
      <alignment vertical="center" readingOrder="1"/>
    </xf>
    <xf numFmtId="179" fontId="3" fillId="0" borderId="19" xfId="0" applyNumberFormat="1" applyFont="1" applyBorder="1" applyAlignment="1">
      <alignment horizontal="right" vertical="center" readingOrder="1"/>
    </xf>
    <xf numFmtId="179" fontId="3" fillId="0" borderId="81" xfId="0" applyNumberFormat="1" applyFont="1" applyBorder="1" applyAlignment="1">
      <alignment vertical="center" readingOrder="1"/>
    </xf>
    <xf numFmtId="179" fontId="3" fillId="0" borderId="26" xfId="0" applyNumberFormat="1" applyFont="1" applyBorder="1" applyAlignment="1">
      <alignment vertical="center" readingOrder="1"/>
    </xf>
    <xf numFmtId="179" fontId="3" fillId="0" borderId="27" xfId="0" applyNumberFormat="1" applyFont="1" applyBorder="1" applyAlignment="1">
      <alignment horizontal="right" vertical="center" readingOrder="1"/>
    </xf>
    <xf numFmtId="179" fontId="3" fillId="0" borderId="82" xfId="0" applyNumberFormat="1" applyFont="1" applyBorder="1" applyAlignment="1">
      <alignment vertical="center" readingOrder="1"/>
    </xf>
    <xf numFmtId="179" fontId="3" fillId="0" borderId="34" xfId="0" applyNumberFormat="1" applyFont="1" applyBorder="1" applyAlignment="1">
      <alignment vertical="center" readingOrder="1"/>
    </xf>
    <xf numFmtId="179" fontId="3" fillId="0" borderId="37" xfId="0" applyNumberFormat="1" applyFont="1" applyBorder="1" applyAlignment="1">
      <alignment horizontal="right" vertical="center" readingOrder="1"/>
    </xf>
    <xf numFmtId="179" fontId="3" fillId="0" borderId="34" xfId="0" applyNumberFormat="1" applyFont="1" applyBorder="1" applyAlignment="1">
      <alignment horizontal="right" vertical="center" readingOrder="1"/>
    </xf>
    <xf numFmtId="179" fontId="3" fillId="0" borderId="45" xfId="0" applyNumberFormat="1" applyFont="1" applyBorder="1" applyAlignment="1">
      <alignment vertical="center" readingOrder="1"/>
    </xf>
    <xf numFmtId="179" fontId="3" fillId="0" borderId="36" xfId="0" applyNumberFormat="1" applyFont="1" applyBorder="1" applyAlignment="1">
      <alignment horizontal="right" vertical="center" readingOrder="1"/>
    </xf>
    <xf numFmtId="179" fontId="3" fillId="0" borderId="76" xfId="0" applyNumberFormat="1" applyFont="1" applyBorder="1" applyAlignment="1">
      <alignment horizontal="right" vertical="center" readingOrder="1"/>
    </xf>
    <xf numFmtId="179" fontId="3" fillId="0" borderId="75" xfId="0" applyNumberFormat="1" applyFont="1" applyBorder="1" applyAlignment="1">
      <alignment vertical="center" readingOrder="1"/>
    </xf>
    <xf numFmtId="179" fontId="3" fillId="0" borderId="64" xfId="0" applyNumberFormat="1" applyFont="1" applyBorder="1" applyAlignment="1">
      <alignment horizontal="right" vertical="center" readingOrder="1"/>
    </xf>
    <xf numFmtId="179" fontId="3" fillId="0" borderId="45" xfId="0" applyNumberFormat="1" applyFont="1" applyBorder="1" applyAlignment="1">
      <alignment horizontal="right" vertical="center" readingOrder="1"/>
    </xf>
    <xf numFmtId="179" fontId="3" fillId="0" borderId="17" xfId="0" applyNumberFormat="1" applyFont="1" applyBorder="1" applyAlignment="1">
      <alignment vertical="center" readingOrder="1"/>
    </xf>
    <xf numFmtId="179" fontId="3" fillId="0" borderId="10" xfId="0" applyNumberFormat="1" applyFont="1" applyBorder="1" applyAlignment="1">
      <alignment horizontal="right" vertical="center" readingOrder="1"/>
    </xf>
    <xf numFmtId="179" fontId="3" fillId="0" borderId="78" xfId="0" applyNumberFormat="1" applyFont="1" applyBorder="1" applyAlignment="1">
      <alignment horizontal="right" vertical="center" readingOrder="1"/>
    </xf>
    <xf numFmtId="179" fontId="3" fillId="0" borderId="83" xfId="0" applyNumberFormat="1" applyFont="1" applyBorder="1" applyAlignment="1">
      <alignment horizontal="right" vertical="center" readingOrder="1"/>
    </xf>
    <xf numFmtId="179" fontId="3" fillId="0" borderId="14" xfId="0" applyNumberFormat="1" applyFont="1" applyBorder="1" applyAlignment="1">
      <alignment horizontal="right" vertical="center" readingOrder="1"/>
    </xf>
    <xf numFmtId="179" fontId="3" fillId="0" borderId="12" xfId="0" applyNumberFormat="1" applyFont="1" applyBorder="1" applyAlignment="1">
      <alignment horizontal="right" vertical="center" readingOrder="1"/>
    </xf>
    <xf numFmtId="179" fontId="3" fillId="0" borderId="77" xfId="0" applyNumberFormat="1" applyFont="1" applyBorder="1" applyAlignment="1">
      <alignment horizontal="right" vertical="center" readingOrder="1"/>
    </xf>
    <xf numFmtId="179" fontId="3" fillId="2" borderId="78" xfId="0" applyNumberFormat="1" applyFont="1" applyFill="1" applyBorder="1" applyAlignment="1">
      <alignment horizontal="right" vertical="center" readingOrder="1"/>
    </xf>
    <xf numFmtId="179" fontId="3" fillId="0" borderId="71" xfId="0" applyNumberFormat="1" applyFont="1" applyBorder="1" applyAlignment="1">
      <alignment horizontal="right" vertical="center" readingOrder="1"/>
    </xf>
    <xf numFmtId="179" fontId="3" fillId="0" borderId="72" xfId="0" applyNumberFormat="1" applyFont="1" applyBorder="1" applyAlignment="1">
      <alignment horizontal="right" vertical="center" readingOrder="1"/>
    </xf>
    <xf numFmtId="179" fontId="16" fillId="0" borderId="0" xfId="0" applyNumberFormat="1" applyFont="1" applyAlignment="1">
      <alignment vertical="center"/>
    </xf>
    <xf numFmtId="208" fontId="22" fillId="13" borderId="189" xfId="0" applyNumberFormat="1" applyFont="1" applyFill="1" applyBorder="1" applyAlignment="1">
      <alignment horizontal="right" vertical="center" readingOrder="1"/>
    </xf>
    <xf numFmtId="208" fontId="16" fillId="0" borderId="190" xfId="0" applyNumberFormat="1" applyFont="1" applyBorder="1" applyAlignment="1">
      <alignment horizontal="right" vertical="center" readingOrder="1"/>
    </xf>
    <xf numFmtId="208" fontId="16" fillId="0" borderId="191" xfId="0" applyNumberFormat="1" applyFont="1" applyBorder="1" applyAlignment="1">
      <alignment horizontal="right" vertical="center" readingOrder="1"/>
    </xf>
    <xf numFmtId="208" fontId="16" fillId="0" borderId="193" xfId="0" applyNumberFormat="1" applyFont="1" applyBorder="1" applyAlignment="1">
      <alignment horizontal="right" vertical="center" readingOrder="1"/>
    </xf>
    <xf numFmtId="208" fontId="16" fillId="5" borderId="191" xfId="0" applyNumberFormat="1" applyFont="1" applyFill="1" applyBorder="1" applyAlignment="1">
      <alignment horizontal="right" vertical="center" readingOrder="1"/>
    </xf>
    <xf numFmtId="208" fontId="16" fillId="0" borderId="192" xfId="0" applyNumberFormat="1" applyFont="1" applyBorder="1" applyAlignment="1">
      <alignment horizontal="right" vertical="center" readingOrder="1"/>
    </xf>
    <xf numFmtId="208" fontId="16" fillId="0" borderId="208" xfId="0" applyNumberFormat="1" applyFont="1" applyBorder="1" applyAlignment="1">
      <alignment horizontal="right" vertical="center" readingOrder="1"/>
    </xf>
    <xf numFmtId="41" fontId="16" fillId="0" borderId="191" xfId="0" applyNumberFormat="1" applyFont="1" applyBorder="1" applyAlignment="1">
      <alignment horizontal="right" vertical="center" readingOrder="1"/>
    </xf>
    <xf numFmtId="41" fontId="16" fillId="0" borderId="192" xfId="0" applyNumberFormat="1" applyFont="1" applyBorder="1" applyAlignment="1">
      <alignment horizontal="right" vertical="center" readingOrder="1"/>
    </xf>
    <xf numFmtId="176" fontId="39" fillId="0" borderId="193" xfId="0" applyNumberFormat="1" applyFont="1" applyBorder="1" applyAlignment="1">
      <alignment horizontal="right" vertical="center" readingOrder="1"/>
    </xf>
    <xf numFmtId="176" fontId="39" fillId="5" borderId="189" xfId="0" applyNumberFormat="1" applyFont="1" applyFill="1" applyBorder="1" applyAlignment="1">
      <alignment horizontal="right" vertical="center" readingOrder="1"/>
    </xf>
    <xf numFmtId="41" fontId="16" fillId="0" borderId="193" xfId="0" applyNumberFormat="1" applyFont="1" applyBorder="1" applyAlignment="1">
      <alignment horizontal="right" vertical="center" readingOrder="1"/>
    </xf>
    <xf numFmtId="41" fontId="16" fillId="0" borderId="189" xfId="0" applyNumberFormat="1" applyFont="1" applyBorder="1" applyAlignment="1">
      <alignment horizontal="right" vertical="center" readingOrder="1"/>
    </xf>
    <xf numFmtId="41" fontId="22" fillId="8" borderId="188" xfId="0" applyNumberFormat="1" applyFont="1" applyFill="1" applyBorder="1" applyAlignment="1">
      <alignment horizontal="right" vertical="center" readingOrder="1"/>
    </xf>
    <xf numFmtId="180" fontId="28" fillId="0" borderId="0" xfId="0" applyNumberFormat="1" applyFont="1" applyAlignment="1">
      <alignment vertical="center"/>
    </xf>
    <xf numFmtId="41" fontId="20" fillId="3" borderId="209" xfId="0" applyNumberFormat="1" applyFont="1" applyFill="1" applyBorder="1" applyAlignment="1">
      <alignment horizontal="center" vertical="center" wrapText="1" readingOrder="1"/>
    </xf>
    <xf numFmtId="208" fontId="22" fillId="13" borderId="210" xfId="0" applyNumberFormat="1" applyFont="1" applyFill="1" applyBorder="1" applyAlignment="1">
      <alignment horizontal="right" vertical="center" readingOrder="1"/>
    </xf>
    <xf numFmtId="208" fontId="16" fillId="0" borderId="211" xfId="0" applyNumberFormat="1" applyFont="1" applyBorder="1" applyAlignment="1">
      <alignment horizontal="right" vertical="center" readingOrder="1"/>
    </xf>
    <xf numFmtId="208" fontId="16" fillId="0" borderId="212" xfId="0" applyNumberFormat="1" applyFont="1" applyBorder="1" applyAlignment="1">
      <alignment horizontal="right" vertical="center" readingOrder="1"/>
    </xf>
    <xf numFmtId="208" fontId="16" fillId="0" borderId="213" xfId="0" applyNumberFormat="1" applyFont="1" applyBorder="1" applyAlignment="1">
      <alignment horizontal="right" vertical="center" readingOrder="1"/>
    </xf>
    <xf numFmtId="208" fontId="16" fillId="5" borderId="212" xfId="0" applyNumberFormat="1" applyFont="1" applyFill="1" applyBorder="1" applyAlignment="1">
      <alignment horizontal="right" vertical="center" readingOrder="1"/>
    </xf>
    <xf numFmtId="208" fontId="16" fillId="0" borderId="214" xfId="0" applyNumberFormat="1" applyFont="1" applyBorder="1" applyAlignment="1">
      <alignment horizontal="right" vertical="center" readingOrder="1"/>
    </xf>
    <xf numFmtId="208" fontId="16" fillId="0" borderId="215" xfId="0" applyNumberFormat="1" applyFont="1" applyBorder="1" applyAlignment="1">
      <alignment horizontal="right" vertical="center" readingOrder="1"/>
    </xf>
    <xf numFmtId="178" fontId="16" fillId="0" borderId="214" xfId="0" applyNumberFormat="1" applyFont="1" applyBorder="1" applyAlignment="1">
      <alignment horizontal="right" vertical="center" readingOrder="1"/>
    </xf>
    <xf numFmtId="41" fontId="16" fillId="0" borderId="212" xfId="0" applyNumberFormat="1" applyFont="1" applyBorder="1" applyAlignment="1">
      <alignment horizontal="right" vertical="center" readingOrder="1"/>
    </xf>
    <xf numFmtId="41" fontId="16" fillId="0" borderId="214" xfId="0" applyNumberFormat="1" applyFont="1" applyBorder="1" applyAlignment="1">
      <alignment horizontal="right" vertical="center" readingOrder="1"/>
    </xf>
    <xf numFmtId="176" fontId="39" fillId="0" borderId="213" xfId="0" applyNumberFormat="1" applyFont="1" applyBorder="1" applyAlignment="1">
      <alignment horizontal="right" vertical="center" readingOrder="1"/>
    </xf>
    <xf numFmtId="176" fontId="39" fillId="5" borderId="210" xfId="0" applyNumberFormat="1" applyFont="1" applyFill="1" applyBorder="1" applyAlignment="1">
      <alignment horizontal="right" vertical="center" readingOrder="1"/>
    </xf>
    <xf numFmtId="41" fontId="16" fillId="0" borderId="213" xfId="0" applyNumberFormat="1" applyFont="1" applyBorder="1" applyAlignment="1">
      <alignment horizontal="right" vertical="center" readingOrder="1"/>
    </xf>
    <xf numFmtId="41" fontId="16" fillId="0" borderId="210" xfId="0" applyNumberFormat="1" applyFont="1" applyBorder="1" applyAlignment="1">
      <alignment horizontal="right" vertical="center" readingOrder="1"/>
    </xf>
    <xf numFmtId="41" fontId="22" fillId="8" borderId="209" xfId="0" applyNumberFormat="1" applyFont="1" applyFill="1" applyBorder="1" applyAlignment="1">
      <alignment horizontal="right" vertical="center" readingOrder="1"/>
    </xf>
    <xf numFmtId="219" fontId="28" fillId="0" borderId="0" xfId="0" applyNumberFormat="1" applyFont="1" applyAlignment="1">
      <alignment vertical="center"/>
    </xf>
    <xf numFmtId="14" fontId="13" fillId="0" borderId="0" xfId="0" applyNumberFormat="1" applyFont="1" applyAlignment="1">
      <alignment horizontal="right" vertical="center"/>
    </xf>
    <xf numFmtId="187" fontId="3" fillId="0" borderId="27" xfId="0" applyNumberFormat="1" applyFont="1" applyBorder="1" applyAlignment="1">
      <alignment horizontal="right" vertical="center" readingOrder="1"/>
    </xf>
    <xf numFmtId="41" fontId="16" fillId="2" borderId="152" xfId="0" applyNumberFormat="1" applyFont="1" applyFill="1" applyBorder="1" applyAlignment="1">
      <alignment horizontal="right" vertical="center" readingOrder="1"/>
    </xf>
    <xf numFmtId="187" fontId="3" fillId="2" borderId="97" xfId="0" applyNumberFormat="1" applyFont="1" applyFill="1" applyBorder="1" applyAlignment="1">
      <alignment horizontal="right" vertical="center" readingOrder="1"/>
    </xf>
    <xf numFmtId="41" fontId="17" fillId="3" borderId="7" xfId="0" applyNumberFormat="1" applyFont="1" applyFill="1" applyBorder="1" applyAlignment="1">
      <alignment horizontal="center" vertical="center" wrapText="1" readingOrder="1"/>
    </xf>
    <xf numFmtId="41" fontId="17" fillId="3" borderId="25" xfId="0" applyNumberFormat="1" applyFont="1" applyFill="1" applyBorder="1" applyAlignment="1">
      <alignment vertical="center" wrapText="1" readingOrder="1"/>
    </xf>
    <xf numFmtId="41" fontId="17" fillId="3" borderId="24" xfId="0" applyNumberFormat="1" applyFont="1" applyFill="1" applyBorder="1" applyAlignment="1">
      <alignment vertical="center" wrapText="1" readingOrder="1"/>
    </xf>
    <xf numFmtId="41" fontId="17" fillId="3" borderId="0" xfId="0" applyNumberFormat="1" applyFont="1" applyFill="1" applyAlignment="1">
      <alignment horizontal="center" vertical="center" wrapText="1" readingOrder="1"/>
    </xf>
    <xf numFmtId="41" fontId="17" fillId="3" borderId="29" xfId="0" applyNumberFormat="1" applyFont="1" applyFill="1" applyBorder="1" applyAlignment="1">
      <alignment horizontal="center" vertical="center" wrapText="1" readingOrder="1"/>
    </xf>
    <xf numFmtId="41" fontId="41" fillId="3" borderId="206" xfId="0" applyNumberFormat="1" applyFont="1" applyFill="1" applyBorder="1" applyAlignment="1">
      <alignment horizontal="center" vertical="center" readingOrder="1"/>
    </xf>
    <xf numFmtId="41" fontId="41" fillId="3" borderId="187" xfId="0" applyNumberFormat="1" applyFont="1" applyFill="1" applyBorder="1" applyAlignment="1">
      <alignment horizontal="center" vertical="center" wrapText="1" readingOrder="1"/>
    </xf>
    <xf numFmtId="41" fontId="17" fillId="3" borderId="177" xfId="0" applyNumberFormat="1" applyFont="1" applyFill="1" applyBorder="1" applyAlignment="1">
      <alignment horizontal="center" vertical="center" wrapText="1" readingOrder="1"/>
    </xf>
    <xf numFmtId="41" fontId="17" fillId="3" borderId="175" xfId="0" applyNumberFormat="1" applyFont="1" applyFill="1" applyBorder="1" applyAlignment="1">
      <alignment horizontal="center" vertical="center" wrapText="1" readingOrder="1"/>
    </xf>
    <xf numFmtId="41" fontId="17" fillId="3" borderId="197" xfId="0" applyNumberFormat="1" applyFont="1" applyFill="1" applyBorder="1" applyAlignment="1">
      <alignment horizontal="center" vertical="center" wrapText="1" readingOrder="1"/>
    </xf>
    <xf numFmtId="41" fontId="17" fillId="3" borderId="174" xfId="0" applyNumberFormat="1" applyFont="1" applyFill="1" applyBorder="1" applyAlignment="1">
      <alignment horizontal="center" vertical="center" wrapText="1" readingOrder="1"/>
    </xf>
    <xf numFmtId="41" fontId="17" fillId="3" borderId="188" xfId="0" applyNumberFormat="1" applyFont="1" applyFill="1" applyBorder="1" applyAlignment="1">
      <alignment horizontal="center" vertical="center" wrapText="1" readingOrder="1"/>
    </xf>
    <xf numFmtId="41" fontId="17" fillId="3" borderId="194" xfId="0" applyNumberFormat="1" applyFont="1" applyFill="1" applyBorder="1" applyAlignment="1">
      <alignment horizontal="center" vertical="center" wrapText="1" readingOrder="1"/>
    </xf>
    <xf numFmtId="41" fontId="17" fillId="3" borderId="187" xfId="0" applyNumberFormat="1" applyFont="1" applyFill="1" applyBorder="1" applyAlignment="1">
      <alignment horizontal="center" vertical="center" wrapText="1" readingOrder="1"/>
    </xf>
    <xf numFmtId="223" fontId="1" fillId="0" borderId="0" xfId="0" applyNumberFormat="1" applyFont="1" applyAlignment="1">
      <alignment vertical="center"/>
    </xf>
    <xf numFmtId="176" fontId="3" fillId="0" borderId="18" xfId="0" applyNumberFormat="1" applyFont="1" applyBorder="1" applyAlignment="1">
      <alignment vertical="center" readingOrder="1"/>
    </xf>
    <xf numFmtId="0" fontId="42" fillId="0" borderId="0" xfId="0" applyFont="1" applyAlignment="1">
      <alignment horizontal="left" vertical="center" readingOrder="1"/>
    </xf>
    <xf numFmtId="180" fontId="1" fillId="0" borderId="0" xfId="0" applyNumberFormat="1" applyFont="1" applyAlignment="1">
      <alignment vertical="center"/>
    </xf>
    <xf numFmtId="41" fontId="16" fillId="16" borderId="156" xfId="0" applyNumberFormat="1" applyFont="1" applyFill="1" applyBorder="1" applyAlignment="1">
      <alignment horizontal="right" vertical="center" readingOrder="1"/>
    </xf>
    <xf numFmtId="187" fontId="3" fillId="8" borderId="99" xfId="0" applyNumberFormat="1" applyFont="1" applyFill="1" applyBorder="1" applyAlignment="1">
      <alignment horizontal="right" vertical="center" readingOrder="1"/>
    </xf>
    <xf numFmtId="176" fontId="3" fillId="2" borderId="163" xfId="0" applyNumberFormat="1" applyFont="1" applyFill="1" applyBorder="1" applyAlignment="1">
      <alignment horizontal="right" vertical="center" readingOrder="1"/>
    </xf>
    <xf numFmtId="41" fontId="16" fillId="8" borderId="149" xfId="0" applyNumberFormat="1" applyFont="1" applyFill="1" applyBorder="1" applyAlignment="1">
      <alignment horizontal="right" vertical="center" readingOrder="1"/>
    </xf>
    <xf numFmtId="41" fontId="20" fillId="3" borderId="173" xfId="0" applyNumberFormat="1" applyFont="1" applyFill="1" applyBorder="1" applyAlignment="1">
      <alignment horizontal="center" vertical="center" wrapText="1" readingOrder="1"/>
    </xf>
    <xf numFmtId="208" fontId="22" fillId="13" borderId="133" xfId="0" applyNumberFormat="1" applyFont="1" applyFill="1" applyBorder="1" applyAlignment="1">
      <alignment horizontal="right" vertical="center" readingOrder="1"/>
    </xf>
    <xf numFmtId="208" fontId="16" fillId="0" borderId="216" xfId="0" applyNumberFormat="1" applyFont="1" applyBorder="1" applyAlignment="1">
      <alignment horizontal="right" vertical="center" readingOrder="1"/>
    </xf>
    <xf numFmtId="41" fontId="21" fillId="5" borderId="217" xfId="0" applyNumberFormat="1" applyFont="1" applyFill="1" applyBorder="1" applyAlignment="1">
      <alignment horizontal="right" vertical="center" readingOrder="1"/>
    </xf>
    <xf numFmtId="208" fontId="16" fillId="0" borderId="217" xfId="0" applyNumberFormat="1" applyFont="1" applyBorder="1" applyAlignment="1">
      <alignment horizontal="right" vertical="center" readingOrder="1"/>
    </xf>
    <xf numFmtId="208" fontId="16" fillId="0" borderId="171" xfId="0" applyNumberFormat="1" applyFont="1" applyBorder="1" applyAlignment="1">
      <alignment horizontal="right" vertical="center" readingOrder="1"/>
    </xf>
    <xf numFmtId="208" fontId="16" fillId="5" borderId="217" xfId="0" applyNumberFormat="1" applyFont="1" applyFill="1" applyBorder="1" applyAlignment="1">
      <alignment horizontal="right" vertical="center" readingOrder="1"/>
    </xf>
    <xf numFmtId="208" fontId="16" fillId="0" borderId="172" xfId="0" applyNumberFormat="1" applyFont="1" applyBorder="1" applyAlignment="1">
      <alignment horizontal="right" vertical="center" readingOrder="1"/>
    </xf>
    <xf numFmtId="208" fontId="16" fillId="0" borderId="218" xfId="0" applyNumberFormat="1" applyFont="1" applyBorder="1" applyAlignment="1">
      <alignment horizontal="right" vertical="center" readingOrder="1"/>
    </xf>
    <xf numFmtId="178" fontId="16" fillId="0" borderId="172" xfId="0" applyNumberFormat="1" applyFont="1" applyBorder="1" applyAlignment="1">
      <alignment horizontal="right" vertical="center" readingOrder="1"/>
    </xf>
    <xf numFmtId="41" fontId="16" fillId="0" borderId="217" xfId="0" applyNumberFormat="1" applyFont="1" applyBorder="1" applyAlignment="1">
      <alignment horizontal="right" vertical="center" readingOrder="1"/>
    </xf>
    <xf numFmtId="41" fontId="16" fillId="0" borderId="172" xfId="0" applyNumberFormat="1" applyFont="1" applyBorder="1" applyAlignment="1">
      <alignment horizontal="right" vertical="center" readingOrder="1"/>
    </xf>
    <xf numFmtId="176" fontId="39" fillId="0" borderId="171" xfId="0" applyNumberFormat="1" applyFont="1" applyBorder="1" applyAlignment="1">
      <alignment horizontal="right" vertical="center" readingOrder="1"/>
    </xf>
    <xf numFmtId="176" fontId="39" fillId="5" borderId="133" xfId="0" applyNumberFormat="1" applyFont="1" applyFill="1" applyBorder="1" applyAlignment="1">
      <alignment horizontal="right" vertical="center" readingOrder="1"/>
    </xf>
    <xf numFmtId="41" fontId="16" fillId="0" borderId="171" xfId="0" applyNumberFormat="1" applyFont="1" applyBorder="1" applyAlignment="1">
      <alignment horizontal="right" vertical="center" readingOrder="1"/>
    </xf>
    <xf numFmtId="41" fontId="16" fillId="0" borderId="133" xfId="0" applyNumberFormat="1" applyFont="1" applyBorder="1" applyAlignment="1">
      <alignment horizontal="right" vertical="center" readingOrder="1"/>
    </xf>
    <xf numFmtId="41" fontId="22" fillId="8" borderId="173" xfId="0" applyNumberFormat="1" applyFont="1" applyFill="1" applyBorder="1" applyAlignment="1">
      <alignment horizontal="right" vertical="center" readingOrder="1"/>
    </xf>
    <xf numFmtId="208" fontId="16" fillId="8" borderId="153" xfId="0" applyNumberFormat="1" applyFont="1" applyFill="1" applyBorder="1" applyAlignment="1">
      <alignment horizontal="right" vertical="center" readingOrder="1"/>
    </xf>
    <xf numFmtId="224" fontId="3" fillId="0" borderId="2" xfId="0" applyNumberFormat="1" applyFont="1" applyBorder="1" applyAlignment="1">
      <alignment horizontal="right" vertical="center" readingOrder="1"/>
    </xf>
    <xf numFmtId="224" fontId="1" fillId="0" borderId="21" xfId="0" applyNumberFormat="1" applyFont="1" applyBorder="1" applyAlignment="1">
      <alignment horizontal="right" vertical="center" readingOrder="1"/>
    </xf>
    <xf numFmtId="224" fontId="1" fillId="0" borderId="67" xfId="0" applyNumberFormat="1" applyFont="1" applyBorder="1" applyAlignment="1">
      <alignment horizontal="right" vertical="center" readingOrder="1"/>
    </xf>
    <xf numFmtId="224" fontId="1" fillId="0" borderId="16" xfId="0" applyNumberFormat="1" applyFont="1" applyBorder="1" applyAlignment="1">
      <alignment horizontal="right" vertical="center" readingOrder="1"/>
    </xf>
    <xf numFmtId="224" fontId="1" fillId="0" borderId="29" xfId="0" applyNumberFormat="1" applyFont="1" applyBorder="1" applyAlignment="1">
      <alignment horizontal="right" vertical="center" readingOrder="1"/>
    </xf>
    <xf numFmtId="224" fontId="1" fillId="0" borderId="32" xfId="0" applyNumberFormat="1" applyFont="1" applyBorder="1" applyAlignment="1">
      <alignment horizontal="right" vertical="center" readingOrder="1"/>
    </xf>
    <xf numFmtId="224" fontId="1" fillId="0" borderId="35" xfId="0" applyNumberFormat="1" applyFont="1" applyBorder="1" applyAlignment="1">
      <alignment horizontal="right" vertical="center" readingOrder="1"/>
    </xf>
    <xf numFmtId="224" fontId="1" fillId="0" borderId="16" xfId="0" applyNumberFormat="1" applyFont="1" applyBorder="1" applyAlignment="1">
      <alignment vertical="center" readingOrder="1"/>
    </xf>
    <xf numFmtId="224" fontId="1" fillId="0" borderId="11" xfId="0" applyNumberFormat="1" applyFont="1" applyBorder="1" applyAlignment="1">
      <alignment horizontal="right" vertical="center" readingOrder="1"/>
    </xf>
    <xf numFmtId="224" fontId="3" fillId="0" borderId="21" xfId="0" applyNumberFormat="1" applyFont="1" applyBorder="1" applyAlignment="1">
      <alignment horizontal="right" vertical="center" readingOrder="1"/>
    </xf>
    <xf numFmtId="224" fontId="3" fillId="0" borderId="11" xfId="0" applyNumberFormat="1" applyFont="1" applyBorder="1" applyAlignment="1">
      <alignment horizontal="right" vertical="center" readingOrder="1"/>
    </xf>
    <xf numFmtId="224" fontId="3" fillId="0" borderId="16" xfId="0" applyNumberFormat="1" applyFont="1" applyBorder="1" applyAlignment="1">
      <alignment horizontal="right" vertical="center" readingOrder="1"/>
    </xf>
    <xf numFmtId="215" fontId="43" fillId="0" borderId="2" xfId="0" applyNumberFormat="1" applyFont="1" applyBorder="1" applyAlignment="1">
      <alignment horizontal="right" vertical="center" readingOrder="1"/>
    </xf>
    <xf numFmtId="0" fontId="43" fillId="0" borderId="7" xfId="0" applyFont="1" applyBorder="1" applyAlignment="1">
      <alignment vertical="center" readingOrder="1"/>
    </xf>
    <xf numFmtId="0" fontId="43" fillId="0" borderId="2" xfId="0" applyFont="1" applyBorder="1" applyAlignment="1">
      <alignment vertical="center" readingOrder="1"/>
    </xf>
    <xf numFmtId="179" fontId="43" fillId="0" borderId="1" xfId="0" applyNumberFormat="1" applyFont="1" applyBorder="1" applyAlignment="1">
      <alignment horizontal="right" vertical="center" readingOrder="1"/>
    </xf>
    <xf numFmtId="179" fontId="43" fillId="0" borderId="5" xfId="0" applyNumberFormat="1" applyFont="1" applyBorder="1" applyAlignment="1">
      <alignment horizontal="right" vertical="center" readingOrder="1"/>
    </xf>
    <xf numFmtId="179" fontId="43" fillId="0" borderId="84" xfId="0" applyNumberFormat="1" applyFont="1" applyBorder="1" applyAlignment="1">
      <alignment horizontal="right" vertical="center" readingOrder="1"/>
    </xf>
    <xf numFmtId="179" fontId="6" fillId="0" borderId="4" xfId="0" applyNumberFormat="1" applyFont="1" applyBorder="1" applyAlignment="1">
      <alignment horizontal="right" vertical="center" readingOrder="1"/>
    </xf>
    <xf numFmtId="179" fontId="43" fillId="0" borderId="3" xfId="0" applyNumberFormat="1" applyFont="1" applyBorder="1" applyAlignment="1">
      <alignment horizontal="right" vertical="center" readingOrder="1"/>
    </xf>
    <xf numFmtId="0" fontId="30" fillId="0" borderId="1" xfId="0" applyFont="1" applyBorder="1" applyAlignment="1">
      <alignment vertical="center" wrapText="1"/>
    </xf>
    <xf numFmtId="3" fontId="30" fillId="0" borderId="0" xfId="0" applyNumberFormat="1" applyFont="1" applyAlignment="1">
      <alignment vertical="center"/>
    </xf>
    <xf numFmtId="225" fontId="22" fillId="6" borderId="0" xfId="0" applyNumberFormat="1" applyFont="1" applyFill="1" applyAlignment="1">
      <alignment horizontal="left" vertical="center"/>
    </xf>
    <xf numFmtId="0" fontId="0" fillId="0" borderId="0" xfId="0"/>
    <xf numFmtId="0" fontId="17" fillId="0" borderId="24" xfId="0" applyFont="1" applyBorder="1" applyAlignment="1">
      <alignment horizontal="left" vertical="center" readingOrder="1"/>
    </xf>
    <xf numFmtId="0" fontId="0" fillId="0" borderId="29" xfId="0" applyBorder="1"/>
    <xf numFmtId="0" fontId="32" fillId="3" borderId="7" xfId="0" applyFont="1" applyFill="1" applyBorder="1" applyAlignment="1">
      <alignment horizontal="center" vertical="center" readingOrder="1"/>
    </xf>
    <xf numFmtId="0" fontId="0" fillId="0" borderId="13" xfId="0" applyBorder="1"/>
    <xf numFmtId="0" fontId="32" fillId="3" borderId="1" xfId="0" applyFont="1" applyFill="1" applyBorder="1" applyAlignment="1">
      <alignment horizontal="center" vertical="center" readingOrder="1"/>
    </xf>
    <xf numFmtId="0" fontId="0" fillId="0" borderId="10" xfId="0" applyBorder="1"/>
    <xf numFmtId="0" fontId="32" fillId="3" borderId="106" xfId="0" applyFont="1" applyFill="1" applyBorder="1" applyAlignment="1">
      <alignment horizontal="center" vertical="center" readingOrder="1"/>
    </xf>
    <xf numFmtId="0" fontId="0" fillId="0" borderId="7" xfId="0" applyBorder="1"/>
    <xf numFmtId="0" fontId="0" fillId="0" borderId="2" xfId="0" applyBorder="1"/>
    <xf numFmtId="0" fontId="23" fillId="0" borderId="11" xfId="0" applyFont="1" applyBorder="1" applyAlignment="1">
      <alignment horizontal="right" vertical="center" readingOrder="1"/>
    </xf>
    <xf numFmtId="0" fontId="0" fillId="0" borderId="11" xfId="0" applyBorder="1"/>
    <xf numFmtId="0" fontId="25" fillId="3" borderId="2" xfId="0" applyFont="1" applyFill="1" applyBorder="1" applyAlignment="1">
      <alignment horizontal="center" vertical="center" readingOrder="1"/>
    </xf>
    <xf numFmtId="0" fontId="23" fillId="0" borderId="2" xfId="0" applyFont="1" applyBorder="1" applyAlignment="1">
      <alignment horizontal="left" vertical="center" wrapText="1" readingOrder="1"/>
    </xf>
    <xf numFmtId="0" fontId="25" fillId="3" borderId="2" xfId="0" applyFont="1" applyFill="1" applyBorder="1" applyAlignment="1">
      <alignment horizontal="center" vertical="center" wrapText="1" readingOrder="1"/>
    </xf>
    <xf numFmtId="0" fontId="0" fillId="0" borderId="24" xfId="0" applyBorder="1"/>
    <xf numFmtId="0" fontId="23" fillId="11" borderId="2" xfId="0" applyFont="1" applyFill="1" applyBorder="1" applyAlignment="1">
      <alignment horizontal="left" vertical="center" wrapText="1" readingOrder="1"/>
    </xf>
    <xf numFmtId="0" fontId="25" fillId="3" borderId="50" xfId="0" applyFont="1" applyFill="1" applyBorder="1" applyAlignment="1">
      <alignment horizontal="center" vertical="center" wrapText="1" readingOrder="1"/>
    </xf>
    <xf numFmtId="0" fontId="0" fillId="0" borderId="44" xfId="0" applyBorder="1"/>
    <xf numFmtId="0" fontId="0" fillId="0" borderId="43" xfId="0" applyBorder="1"/>
    <xf numFmtId="0" fontId="25" fillId="3" borderId="49" xfId="0" applyFont="1" applyFill="1" applyBorder="1" applyAlignment="1">
      <alignment horizontal="center" vertical="center" wrapText="1" readingOrder="1"/>
    </xf>
    <xf numFmtId="0" fontId="0" fillId="0" borderId="83" xfId="0" applyBorder="1"/>
    <xf numFmtId="0" fontId="25" fillId="3" borderId="11" xfId="0" applyFont="1" applyFill="1" applyBorder="1" applyAlignment="1">
      <alignment horizontal="right" vertical="center" readingOrder="1"/>
    </xf>
    <xf numFmtId="0" fontId="25" fillId="3" borderId="1" xfId="0" applyFont="1" applyFill="1" applyBorder="1" applyAlignment="1">
      <alignment horizontal="center" vertical="center" wrapText="1" readingOrder="1"/>
    </xf>
    <xf numFmtId="0" fontId="23" fillId="0" borderId="61" xfId="0" applyFont="1" applyBorder="1" applyAlignment="1">
      <alignment horizontal="right" vertical="center" readingOrder="1"/>
    </xf>
    <xf numFmtId="0" fontId="0" fillId="0" borderId="61" xfId="0" applyBorder="1"/>
    <xf numFmtId="0" fontId="32" fillId="0" borderId="0" xfId="0" applyFont="1" applyAlignment="1">
      <alignment horizontal="center" vertical="center" readingOrder="1"/>
    </xf>
    <xf numFmtId="0" fontId="23" fillId="0" borderId="25" xfId="0" applyFont="1" applyBorder="1" applyAlignment="1">
      <alignment horizontal="left" vertical="center" wrapText="1" readingOrder="1"/>
    </xf>
    <xf numFmtId="0" fontId="0" fillId="0" borderId="25" xfId="0" applyBorder="1"/>
    <xf numFmtId="0" fontId="3" fillId="3" borderId="2" xfId="0" applyFont="1" applyFill="1" applyBorder="1" applyAlignment="1">
      <alignment horizontal="center" vertical="center" wrapText="1" readingOrder="1"/>
    </xf>
    <xf numFmtId="0" fontId="3" fillId="3" borderId="2" xfId="0" applyFont="1" applyFill="1" applyBorder="1" applyAlignment="1">
      <alignment horizontal="center" vertical="center" readingOrder="1"/>
    </xf>
    <xf numFmtId="0" fontId="3" fillId="3" borderId="1" xfId="0" applyFont="1" applyFill="1" applyBorder="1" applyAlignment="1">
      <alignment horizontal="center" vertical="center" wrapText="1" readingOrder="1"/>
    </xf>
    <xf numFmtId="0" fontId="3" fillId="3" borderId="50" xfId="0" applyFont="1" applyFill="1" applyBorder="1" applyAlignment="1">
      <alignment horizontal="center" vertical="center" wrapText="1" readingOrder="1"/>
    </xf>
    <xf numFmtId="0" fontId="3" fillId="3" borderId="7" xfId="0" applyFont="1" applyFill="1" applyBorder="1" applyAlignment="1">
      <alignment horizontal="center" vertical="center" wrapText="1" readingOrder="1"/>
    </xf>
    <xf numFmtId="0" fontId="3" fillId="3" borderId="219" xfId="0" applyFont="1" applyFill="1" applyBorder="1" applyAlignment="1">
      <alignment horizontal="center" vertical="center" wrapText="1" readingOrder="1"/>
    </xf>
    <xf numFmtId="0" fontId="0" fillId="0" borderId="87" xfId="0" applyBorder="1"/>
    <xf numFmtId="0" fontId="0" fillId="0" borderId="88" xfId="0" applyBorder="1"/>
    <xf numFmtId="0" fontId="17" fillId="5" borderId="149" xfId="0" applyFont="1" applyFill="1" applyBorder="1" applyAlignment="1">
      <alignment horizontal="left" vertical="center" readingOrder="1"/>
    </xf>
    <xf numFmtId="0" fontId="0" fillId="0" borderId="150" xfId="0" applyBorder="1"/>
    <xf numFmtId="0" fontId="20" fillId="8" borderId="7" xfId="0" applyFont="1" applyFill="1" applyBorder="1" applyAlignment="1">
      <alignment horizontal="left" vertical="center" readingOrder="1"/>
    </xf>
    <xf numFmtId="0" fontId="17" fillId="3" borderId="220" xfId="0" applyFont="1" applyFill="1" applyBorder="1" applyAlignment="1">
      <alignment horizontal="center" vertical="center" readingOrder="1"/>
    </xf>
    <xf numFmtId="0" fontId="0" fillId="0" borderId="205" xfId="0" applyBorder="1"/>
    <xf numFmtId="0" fontId="0" fillId="0" borderId="97" xfId="0" applyBorder="1"/>
    <xf numFmtId="0" fontId="17" fillId="0" borderId="149" xfId="0" applyFont="1" applyBorder="1" applyAlignment="1">
      <alignment horizontal="left" vertical="center" readingOrder="1"/>
    </xf>
    <xf numFmtId="0" fontId="17" fillId="3" borderId="7" xfId="0" applyFont="1" applyFill="1" applyBorder="1" applyAlignment="1">
      <alignment horizontal="center" vertical="center" readingOrder="1"/>
    </xf>
    <xf numFmtId="191" fontId="28" fillId="0" borderId="0" xfId="0" applyNumberFormat="1" applyFont="1" applyAlignment="1">
      <alignment vertical="center"/>
    </xf>
    <xf numFmtId="0" fontId="17" fillId="0" borderId="25" xfId="0" applyFont="1" applyBorder="1" applyAlignment="1">
      <alignment horizontal="left" vertical="center" readingOrder="1"/>
    </xf>
    <xf numFmtId="0" fontId="24" fillId="0" borderId="0" xfId="0" applyFont="1" applyAlignment="1">
      <alignment vertical="center"/>
    </xf>
    <xf numFmtId="226" fontId="20" fillId="13" borderId="13" xfId="0" applyNumberFormat="1" applyFont="1" applyFill="1" applyBorder="1" applyAlignment="1">
      <alignment horizontal="left" vertical="center" readingOrder="1"/>
    </xf>
    <xf numFmtId="41" fontId="17" fillId="3" borderId="1" xfId="0" applyNumberFormat="1" applyFont="1" applyFill="1" applyBorder="1" applyAlignment="1">
      <alignment horizontal="center" vertical="center" wrapText="1" readingOrder="1"/>
    </xf>
    <xf numFmtId="41" fontId="17" fillId="3" borderId="106" xfId="0" applyNumberFormat="1" applyFont="1" applyFill="1" applyBorder="1" applyAlignment="1">
      <alignment horizontal="center" vertical="center" wrapText="1" readingOrder="1"/>
    </xf>
    <xf numFmtId="41" fontId="17" fillId="3" borderId="2" xfId="0" applyNumberFormat="1" applyFont="1" applyFill="1" applyBorder="1" applyAlignment="1">
      <alignment horizontal="center" vertical="center" wrapText="1" readingOrder="1"/>
    </xf>
    <xf numFmtId="0" fontId="20" fillId="3" borderId="7" xfId="0" applyFont="1" applyFill="1" applyBorder="1" applyAlignment="1">
      <alignment horizontal="center" vertical="center" readingOrder="1"/>
    </xf>
    <xf numFmtId="41" fontId="17" fillId="3" borderId="221" xfId="0" applyNumberFormat="1" applyFont="1" applyFill="1" applyBorder="1" applyAlignment="1">
      <alignment horizontal="center" vertical="center" wrapText="1" readingOrder="1"/>
    </xf>
    <xf numFmtId="0" fontId="0" fillId="0" borderId="173" xfId="0" applyBorder="1"/>
    <xf numFmtId="0" fontId="25" fillId="3" borderId="1" xfId="0" applyFont="1" applyFill="1" applyBorder="1" applyAlignment="1">
      <alignment horizontal="center" vertical="center" readingOrder="1"/>
    </xf>
    <xf numFmtId="0" fontId="8" fillId="0" borderId="26" xfId="0" applyFont="1" applyBorder="1" applyAlignment="1">
      <alignment horizontal="left" vertical="center" readingOrder="1"/>
    </xf>
    <xf numFmtId="0" fontId="8" fillId="0" borderId="0" xfId="0" applyFont="1" applyBorder="1" applyAlignment="1">
      <alignment horizontal="left" vertical="center" readingOrder="1"/>
    </xf>
    <xf numFmtId="0" fontId="40" fillId="0" borderId="26" xfId="0" applyFont="1" applyBorder="1" applyAlignment="1">
      <alignment horizontal="left" vertical="center"/>
    </xf>
    <xf numFmtId="0" fontId="40" fillId="0" borderId="0" xfId="0" applyFont="1" applyBorder="1" applyAlignment="1">
      <alignment horizontal="left" vertical="center"/>
    </xf>
    <xf numFmtId="0" fontId="40" fillId="15" borderId="1" xfId="0" applyFont="1" applyFill="1" applyBorder="1" applyAlignment="1">
      <alignment horizontal="left" vertical="center"/>
    </xf>
    <xf numFmtId="0" fontId="40" fillId="15" borderId="7" xfId="0" applyFont="1" applyFill="1" applyBorder="1" applyAlignment="1">
      <alignment horizontal="left" vertical="center"/>
    </xf>
    <xf numFmtId="0" fontId="25" fillId="3" borderId="7" xfId="0" applyFont="1" applyFill="1" applyBorder="1" applyAlignment="1">
      <alignment horizontal="center" vertical="center" readingOrder="1"/>
    </xf>
    <xf numFmtId="0" fontId="8" fillId="0" borderId="20" xfId="0" applyFont="1" applyBorder="1" applyAlignment="1">
      <alignment horizontal="left" vertical="center" readingOrder="1"/>
    </xf>
    <xf numFmtId="0" fontId="8" fillId="0" borderId="25" xfId="0" applyFont="1" applyBorder="1" applyAlignment="1">
      <alignment horizontal="left" vertical="center" readingOrder="1"/>
    </xf>
    <xf numFmtId="0" fontId="40" fillId="0" borderId="20" xfId="0" applyFont="1" applyBorder="1" applyAlignment="1">
      <alignment horizontal="left" vertical="center"/>
    </xf>
    <xf numFmtId="0" fontId="40" fillId="0" borderId="25" xfId="0" applyFont="1" applyBorder="1" applyAlignment="1">
      <alignment horizontal="left" vertical="center"/>
    </xf>
    <xf numFmtId="0" fontId="40" fillId="0" borderId="10" xfId="0" applyFont="1" applyBorder="1" applyAlignment="1">
      <alignment horizontal="left" vertical="center"/>
    </xf>
    <xf numFmtId="0" fontId="40" fillId="0" borderId="13" xfId="0" applyFont="1" applyBorder="1" applyAlignment="1">
      <alignment horizontal="left" vertical="center"/>
    </xf>
    <xf numFmtId="0" fontId="8" fillId="0" borderId="196" xfId="0" applyFont="1" applyBorder="1" applyAlignment="1">
      <alignment horizontal="left" vertical="center" readingOrder="1"/>
    </xf>
    <xf numFmtId="0" fontId="8" fillId="0" borderId="166" xfId="0" applyFont="1" applyBorder="1" applyAlignment="1">
      <alignment horizontal="left" vertical="center" readingOrder="1"/>
    </xf>
  </cellXfs>
  <cellStyles count="1">
    <cellStyle name="표준" xfId="0" builtinId="0"/>
  </cellStyles>
  <dxfs count="26">
    <dxf>
      <numFmt numFmtId="33" formatCode="_-* #,##0_-;\-* #,##0_-;_-* &quot;-&quot;_-;_-@_-"/>
      <fill>
        <patternFill>
          <fgColor auto="1"/>
        </patternFill>
      </fill>
    </dxf>
    <dxf>
      <font>
        <color auto="1"/>
      </font>
      <numFmt numFmtId="33" formatCode="_-* #,##0_-;\-* #,##0_-;_-* &quot;-&quot;_-;_-@_-"/>
      <fill>
        <patternFill>
          <bgColor auto="1"/>
        </patternFill>
      </fill>
    </dxf>
    <dxf>
      <numFmt numFmtId="33" formatCode="_-* #,##0_-;\-* #,##0_-;_-* &quot;-&quot;_-;_-@_-"/>
      <fill>
        <patternFill>
          <fgColor auto="1"/>
        </patternFill>
      </fill>
    </dxf>
    <dxf>
      <font>
        <color auto="1"/>
      </font>
      <numFmt numFmtId="33" formatCode="_-* #,##0_-;\-* #,##0_-;_-* &quot;-&quot;_-;_-@_-"/>
      <fill>
        <patternFill>
          <bgColor auto="1"/>
        </patternFill>
      </fill>
    </dxf>
    <dxf>
      <numFmt numFmtId="33" formatCode="_-* #,##0_-;\-* #,##0_-;_-* &quot;-&quot;_-;_-@_-"/>
    </dxf>
    <dxf>
      <numFmt numFmtId="33" formatCode="_-* #,##0_-;\-* #,##0_-;_-* &quot;-&quot;_-;_-@_-"/>
    </dxf>
    <dxf>
      <numFmt numFmtId="33" formatCode="_-* #,##0_-;\-* #,##0_-;_-* &quot;-&quot;_-;_-@_-"/>
      <fill>
        <patternFill>
          <fgColor auto="1"/>
        </patternFill>
      </fill>
    </dxf>
    <dxf>
      <font>
        <color auto="1"/>
      </font>
      <numFmt numFmtId="33" formatCode="_-* #,##0_-;\-* #,##0_-;_-* &quot;-&quot;_-;_-@_-"/>
      <fill>
        <patternFill>
          <bgColor auto="1"/>
        </patternFill>
      </fill>
    </dxf>
    <dxf>
      <numFmt numFmtId="33" formatCode="_-* #,##0_-;\-* #,##0_-;_-* &quot;-&quot;_-;_-@_-"/>
      <fill>
        <patternFill>
          <fgColor auto="1"/>
        </patternFill>
      </fill>
    </dxf>
    <dxf>
      <font>
        <color auto="1"/>
      </font>
      <numFmt numFmtId="33" formatCode="_-* #,##0_-;\-* #,##0_-;_-* &quot;-&quot;_-;_-@_-"/>
      <fill>
        <patternFill>
          <bgColor auto="1"/>
        </patternFill>
      </fill>
    </dxf>
    <dxf>
      <numFmt numFmtId="33" formatCode="_-* #,##0_-;\-* #,##0_-;_-* &quot;-&quot;_-;_-@_-"/>
    </dxf>
    <dxf>
      <numFmt numFmtId="33" formatCode="_-* #,##0_-;\-* #,##0_-;_-* &quot;-&quot;_-;_-@_-"/>
    </dxf>
    <dxf>
      <font>
        <color auto="1"/>
      </font>
      <numFmt numFmtId="33" formatCode="_-* #,##0_-;\-* #,##0_-;_-* &quot;-&quot;_-;_-@_-"/>
      <fill>
        <patternFill>
          <bgColor auto="1"/>
        </patternFill>
      </fill>
    </dxf>
    <dxf>
      <font>
        <color auto="1"/>
      </font>
      <numFmt numFmtId="33" formatCode="_-* #,##0_-;\-* #,##0_-;_-* &quot;-&quot;_-;_-@_-"/>
      <fill>
        <patternFill>
          <bgColor auto="1"/>
        </patternFill>
      </fill>
    </dxf>
    <dxf>
      <font>
        <color auto="1"/>
      </font>
      <numFmt numFmtId="33" formatCode="_-* #,##0_-;\-* #,##0_-;_-* &quot;-&quot;_-;_-@_-"/>
      <fill>
        <patternFill>
          <bgColor auto="1"/>
        </patternFill>
      </fill>
    </dxf>
    <dxf>
      <font>
        <color auto="1"/>
      </font>
      <numFmt numFmtId="33" formatCode="_-* #,##0_-;\-* #,##0_-;_-* &quot;-&quot;_-;_-@_-"/>
      <fill>
        <patternFill>
          <bgColor auto="1"/>
        </patternFill>
      </fill>
    </dxf>
    <dxf>
      <font>
        <color auto="1"/>
      </font>
      <numFmt numFmtId="33" formatCode="_-* #,##0_-;\-* #,##0_-;_-* &quot;-&quot;_-;_-@_-"/>
      <fill>
        <patternFill>
          <bgColor auto="1"/>
        </patternFill>
      </fill>
    </dxf>
    <dxf>
      <font>
        <color auto="1"/>
      </font>
      <numFmt numFmtId="33" formatCode="_-* #,##0_-;\-* #,##0_-;_-* &quot;-&quot;_-;_-@_-"/>
      <fill>
        <patternFill>
          <bgColor auto="1"/>
        </patternFill>
      </fill>
    </dxf>
    <dxf>
      <font>
        <color auto="1"/>
      </font>
      <numFmt numFmtId="33" formatCode="_-* #,##0_-;\-* #,##0_-;_-* &quot;-&quot;_-;_-@_-"/>
      <fill>
        <patternFill>
          <bgColor auto="1"/>
        </patternFill>
      </fill>
    </dxf>
    <dxf>
      <font>
        <color auto="1"/>
      </font>
      <numFmt numFmtId="33" formatCode="_-* #,##0_-;\-* #,##0_-;_-* &quot;-&quot;_-;_-@_-"/>
      <fill>
        <patternFill>
          <bgColor auto="1"/>
        </patternFill>
      </fill>
    </dxf>
    <dxf>
      <font>
        <color auto="1"/>
      </font>
      <numFmt numFmtId="33" formatCode="_-* #,##0_-;\-* #,##0_-;_-* &quot;-&quot;_-;_-@_-"/>
      <fill>
        <patternFill>
          <bgColor auto="1"/>
        </patternFill>
      </fill>
    </dxf>
    <dxf>
      <font>
        <color auto="1"/>
      </font>
      <numFmt numFmtId="33" formatCode="_-* #,##0_-;\-* #,##0_-;_-* &quot;-&quot;_-;_-@_-"/>
      <fill>
        <patternFill>
          <bgColor auto="1"/>
        </patternFill>
      </fill>
    </dxf>
    <dxf>
      <font>
        <color auto="1"/>
      </font>
      <numFmt numFmtId="33" formatCode="_-* #,##0_-;\-* #,##0_-;_-* &quot;-&quot;_-;_-@_-"/>
      <fill>
        <patternFill>
          <bgColor auto="1"/>
        </patternFill>
      </fill>
    </dxf>
    <dxf>
      <font>
        <color auto="1"/>
      </font>
      <numFmt numFmtId="33" formatCode="_-* #,##0_-;\-* #,##0_-;_-* &quot;-&quot;_-;_-@_-"/>
      <fill>
        <patternFill>
          <bgColor auto="1"/>
        </patternFill>
      </fill>
    </dxf>
    <dxf>
      <font>
        <color auto="1"/>
      </font>
      <numFmt numFmtId="33" formatCode="_-* #,##0_-;\-* #,##0_-;_-* &quot;-&quot;_-;_-@_-"/>
      <fill>
        <patternFill>
          <bgColor auto="1"/>
        </patternFill>
      </fill>
    </dxf>
    <dxf>
      <font>
        <color auto="1"/>
      </font>
      <numFmt numFmtId="33" formatCode="_-* #,##0_-;\-* #,##0_-;_-* &quot;-&quot;_-;_-@_-"/>
      <fill>
        <patternFill>
          <bgColor auto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3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9</xdr:col>
      <xdr:colOff>85725</xdr:colOff>
      <xdr:row>1</xdr:row>
      <xdr:rowOff>57150</xdr:rowOff>
    </xdr:from>
    <xdr:ext cx="1904762" cy="5019048"/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943725" y="266700"/>
          <a:ext cx="1904762" cy="5019048"/>
        </a:xfrm>
        <a:prstGeom prst="rect">
          <a:avLst/>
        </a:prstGeom>
        <a:ln>
          <a:prstDash val="solid"/>
        </a:ln>
      </xdr:spPr>
    </xdr:pic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&#50577;&#48393;&#44592;\&#44592;&#54925;-&#44608;&#52264;&#51109;\dummy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&#54924;&#44228;&#54016;&#44277;&#50857;\&#54924;&#44228;&#54016;&#47928;&#49436;&#44277;\My%20Documents\dummy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microsoft.com/office/2006/relationships/xlExternalLinkPath/xlPathMissing" Target="6&#50900;&#45936;&#51060;&#53552;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ummy"/>
      <sheetName val="Sheet2"/>
      <sheetName val="Sheet3"/>
      <sheetName val="ST"/>
      <sheetName val="#REF"/>
      <sheetName val="Disclaimer"/>
      <sheetName val="Sheet1"/>
      <sheetName val="Actual_Source_Data"/>
      <sheetName val="Summary"/>
      <sheetName val="Actual_Kor"/>
      <sheetName val="Flash_report"/>
      <sheetName val="Budget_Kor"/>
      <sheetName val="Budget_Source"/>
      <sheetName val="Data02"/>
      <sheetName val="FX_Int"/>
      <sheetName val="Budget_US"/>
      <sheetName val="Actual_US"/>
      <sheetName val="Budget_KR"/>
      <sheetName val="Actual_KR"/>
      <sheetName val="Actual_Source"/>
      <sheetName val="Income_report"/>
      <sheetName val="Operation_report"/>
      <sheetName val="Monthly Details"/>
      <sheetName val="해외_HPS"/>
      <sheetName val="2005년"/>
      <sheetName val="Laying"/>
      <sheetName val="Rearing"/>
      <sheetName val="US Codes"/>
      <sheetName val="Inv "/>
      <sheetName val="Ref"/>
      <sheetName val="재무상태표"/>
      <sheetName val="손익계산서"/>
      <sheetName val="상품입고집계"/>
      <sheetName val="함수기준"/>
      <sheetName val="J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1"/>
      <sheetName val="Sheet2"/>
      <sheetName val="Sheet3"/>
      <sheetName val="#REF"/>
      <sheetName val="현금흐름표"/>
      <sheetName val="YOEMAGUM"/>
      <sheetName val="A1"/>
      <sheetName val="Adj(Actual_Summary_July)"/>
      <sheetName val="ST"/>
      <sheetName val="dummy"/>
      <sheetName val="CF_Current_Detail(July)"/>
      <sheetName val="공통"/>
      <sheetName val="상품입고집계"/>
      <sheetName val="고액조정리스트(나)"/>
      <sheetName val="US Codes"/>
      <sheetName val="복비"/>
      <sheetName val="매장리스트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6월데이터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B2:I31"/>
  <sheetViews>
    <sheetView tabSelected="1" workbookViewId="0"/>
  </sheetViews>
  <sheetFormatPr defaultRowHeight="16.5" x14ac:dyDescent="0.3"/>
  <cols>
    <col min="1" max="1" width="1.875" customWidth="1"/>
    <col min="3" max="3" width="26" customWidth="1"/>
    <col min="4" max="6" width="12.5" customWidth="1"/>
    <col min="7" max="7" width="57.625" customWidth="1"/>
    <col min="8" max="8" width="2.5" customWidth="1"/>
    <col min="9" max="9" width="23.5" customWidth="1"/>
    <col min="10" max="10" width="8.625" customWidth="1"/>
    <col min="11" max="11" width="9.5" customWidth="1"/>
    <col min="12" max="12" width="8.625" customWidth="1"/>
  </cols>
  <sheetData>
    <row r="2" spans="2:9" x14ac:dyDescent="0.3">
      <c r="B2" s="102" t="s">
        <v>0</v>
      </c>
      <c r="D2" s="700" t="str">
        <f>TEXT(ROUND(E13,1),"#,##0.0")&amp;"백만"&amp;" ("&amp; "기초 " &amp;TEXT(ROUND(E6,1),"#,###.0")&amp;"백만"&amp;" +  자금수지차 "&amp;TEXT(ROUND(E11,1),"#,###.0")&amp;"백만"&amp;IF(E2=0,""," +"&amp;" 자금조달 "&amp;ROUND(E12,1)&amp;"백만")&amp;"  = 기말 "&amp;TEXT(ROUND(E13,1),"#,##0.0")&amp;"백만)"</f>
        <v>2,391.1백만 (기초 2,421.4백만 +  자금수지차 -30.3백만  = 기말 2,391.1백만)</v>
      </c>
      <c r="E2" s="701"/>
      <c r="F2" s="701"/>
      <c r="G2" s="701"/>
    </row>
    <row r="4" spans="2:9" x14ac:dyDescent="0.3">
      <c r="G4" s="206" t="s">
        <v>1</v>
      </c>
    </row>
    <row r="5" spans="2:9" x14ac:dyDescent="0.3">
      <c r="C5" s="267" t="s">
        <v>2</v>
      </c>
      <c r="D5" s="263" t="s">
        <v>3</v>
      </c>
      <c r="E5" s="101" t="s">
        <v>4</v>
      </c>
      <c r="F5" s="100" t="s">
        <v>5</v>
      </c>
      <c r="G5" s="99" t="s">
        <v>6</v>
      </c>
      <c r="I5" s="98"/>
    </row>
    <row r="6" spans="2:9" x14ac:dyDescent="0.3">
      <c r="C6" s="268" t="s">
        <v>7</v>
      </c>
      <c r="D6" s="264">
        <f>2100+362.495882</f>
        <v>2462.4958820000002</v>
      </c>
      <c r="E6" s="541">
        <f>D13</f>
        <v>2421.357313</v>
      </c>
      <c r="F6" s="90">
        <f>E6-D6</f>
        <v>-41.138569000000189</v>
      </c>
      <c r="G6" s="87" t="str">
        <f>_xlfn.CONCAT("○ 기초잔고: 유동자금 ",TEXT(유동자금세부!L6,"#,##0.0"),"백만, ","운용자금 ",TEXT(요약2!J6,"#,##0"),"백만")</f>
        <v>○ 기초잔고: 유동자금 321.4백만, 운용자금 2,100백만</v>
      </c>
    </row>
    <row r="7" spans="2:9" x14ac:dyDescent="0.3">
      <c r="C7" s="702" t="s">
        <v>8</v>
      </c>
      <c r="D7" s="265">
        <f>유동자금세부!I8</f>
        <v>0.13434800000000002</v>
      </c>
      <c r="E7" s="96">
        <f>유동자금세부!L8</f>
        <v>0</v>
      </c>
      <c r="F7" s="95">
        <f>E7-D7</f>
        <v>-0.13434800000000002</v>
      </c>
      <c r="G7" s="208" t="s">
        <v>9</v>
      </c>
    </row>
    <row r="8" spans="2:9" x14ac:dyDescent="0.3">
      <c r="C8" s="703"/>
      <c r="D8" s="266"/>
      <c r="E8" s="94"/>
      <c r="F8" s="97"/>
      <c r="G8" s="207" t="s">
        <v>10</v>
      </c>
    </row>
    <row r="9" spans="2:9" x14ac:dyDescent="0.3">
      <c r="C9" s="702" t="s">
        <v>11</v>
      </c>
      <c r="D9" s="265">
        <f>유동자금세부!I13</f>
        <v>41.272917</v>
      </c>
      <c r="E9" s="96">
        <f>유동자금세부!L13</f>
        <v>30.305939200000001</v>
      </c>
      <c r="F9" s="95">
        <f>E9-D9</f>
        <v>-10.966977799999999</v>
      </c>
      <c r="G9" s="361" t="s">
        <v>12</v>
      </c>
    </row>
    <row r="10" spans="2:9" ht="27" x14ac:dyDescent="0.3">
      <c r="C10" s="703"/>
      <c r="D10" s="266"/>
      <c r="E10" s="94"/>
      <c r="F10" s="93"/>
      <c r="G10" s="207" t="s">
        <v>13</v>
      </c>
    </row>
    <row r="11" spans="2:9" x14ac:dyDescent="0.3">
      <c r="C11" s="269" t="s">
        <v>14</v>
      </c>
      <c r="D11" s="262">
        <f>D7-D9</f>
        <v>-41.138568999999997</v>
      </c>
      <c r="E11" s="92">
        <f>E7-E9</f>
        <v>-30.305939200000001</v>
      </c>
      <c r="F11" s="90">
        <f>E11-D11</f>
        <v>10.832629799999996</v>
      </c>
      <c r="G11" s="91"/>
    </row>
    <row r="12" spans="2:9" x14ac:dyDescent="0.3">
      <c r="C12" s="271" t="s">
        <v>15</v>
      </c>
      <c r="D12" s="264">
        <f>유동자금세부!G45</f>
        <v>0</v>
      </c>
      <c r="E12" s="272">
        <f>유동자금세부!H45</f>
        <v>0</v>
      </c>
      <c r="F12" s="90">
        <f>E12-D12</f>
        <v>0</v>
      </c>
      <c r="G12" s="89"/>
    </row>
    <row r="13" spans="2:9" x14ac:dyDescent="0.3">
      <c r="C13" s="270" t="s">
        <v>16</v>
      </c>
      <c r="D13" s="539">
        <f>D6+D11+D12</f>
        <v>2421.357313</v>
      </c>
      <c r="E13" s="540">
        <f>IF((E6+E11+E12)=요약2!F30,(E6+E11+E12),요약2!F30)</f>
        <v>2391.0513738</v>
      </c>
      <c r="F13" s="88">
        <f>E13-D13</f>
        <v>-30.305939200000012</v>
      </c>
      <c r="G13" s="87" t="str">
        <f>_xlfn.CONCAT("○ 기말잔고: 유동자금 ",TEXT(유동자금세부!L49,"#,##0.0"),"백만, ","운용자금 ",TEXT(요약2!J12,"#,##0"),"백만")</f>
        <v>○ 기말잔고: 유동자금 291.1백만, 운용자금 2,100백만</v>
      </c>
    </row>
    <row r="14" spans="2:9" x14ac:dyDescent="0.3">
      <c r="E14" s="601"/>
      <c r="G14" s="601"/>
    </row>
    <row r="15" spans="2:9" x14ac:dyDescent="0.3">
      <c r="D15" s="98">
        <f>유동자금세부!G49+2100</f>
        <v>2421.357313</v>
      </c>
      <c r="E15" s="98">
        <f>유동자금세부!L49+2100</f>
        <v>2391.0513738</v>
      </c>
      <c r="F15" s="98"/>
      <c r="G15" s="98"/>
    </row>
    <row r="16" spans="2:9" x14ac:dyDescent="0.3">
      <c r="D16" s="431" t="b">
        <f>D15=D13</f>
        <v>1</v>
      </c>
      <c r="E16" s="432" t="b">
        <f>E15=E13</f>
        <v>1</v>
      </c>
      <c r="F16" s="601"/>
      <c r="G16" s="432"/>
    </row>
    <row r="19" spans="2:7" x14ac:dyDescent="0.3">
      <c r="B19" s="102" t="s">
        <v>17</v>
      </c>
    </row>
    <row r="20" spans="2:7" x14ac:dyDescent="0.3">
      <c r="G20" s="79" t="s">
        <v>18</v>
      </c>
    </row>
    <row r="21" spans="2:7" x14ac:dyDescent="0.3">
      <c r="C21" s="704" t="s">
        <v>19</v>
      </c>
      <c r="D21" s="708" t="s">
        <v>20</v>
      </c>
      <c r="E21" s="709"/>
      <c r="F21" s="710"/>
      <c r="G21" s="706" t="s">
        <v>6</v>
      </c>
    </row>
    <row r="22" spans="2:7" x14ac:dyDescent="0.3">
      <c r="C22" s="705"/>
      <c r="D22" s="230" t="s">
        <v>21</v>
      </c>
      <c r="E22" s="209" t="s">
        <v>22</v>
      </c>
      <c r="F22" s="210" t="s">
        <v>23</v>
      </c>
      <c r="G22" s="707"/>
    </row>
    <row r="23" spans="2:7" x14ac:dyDescent="0.3">
      <c r="C23" s="211" t="s">
        <v>24</v>
      </c>
      <c r="D23" s="251">
        <f>유동자금세부!J6</f>
        <v>321.35731299999998</v>
      </c>
      <c r="E23" s="426">
        <f>유동자금세부!K6/1000</f>
        <v>0</v>
      </c>
      <c r="F23" s="227">
        <f>유동자금세부!L6</f>
        <v>321.35731299999998</v>
      </c>
      <c r="G23" s="212"/>
    </row>
    <row r="24" spans="2:7" x14ac:dyDescent="0.3">
      <c r="C24" s="213" t="s">
        <v>25</v>
      </c>
      <c r="D24" s="252">
        <f>유동자금세부!J8</f>
        <v>0</v>
      </c>
      <c r="E24" s="252">
        <f>유동자금세부!K7/1000</f>
        <v>0</v>
      </c>
      <c r="F24" s="253">
        <f>유동자금세부!L8</f>
        <v>0</v>
      </c>
      <c r="G24" s="214"/>
    </row>
    <row r="25" spans="2:7" x14ac:dyDescent="0.3">
      <c r="C25" s="219" t="s">
        <v>26</v>
      </c>
      <c r="D25" s="254">
        <f>유동자금세부!J13</f>
        <v>30.305939200000001</v>
      </c>
      <c r="E25" s="254">
        <f>유동자금세부!K13/1000</f>
        <v>0</v>
      </c>
      <c r="F25" s="255">
        <f>유동자금세부!L13</f>
        <v>30.305939200000001</v>
      </c>
      <c r="G25" s="214"/>
    </row>
    <row r="26" spans="2:7" x14ac:dyDescent="0.3">
      <c r="C26" s="217" t="s">
        <v>27</v>
      </c>
      <c r="D26" s="427">
        <f>D24-D25</f>
        <v>-30.305939200000001</v>
      </c>
      <c r="E26" s="427">
        <f>E24-E25</f>
        <v>0</v>
      </c>
      <c r="F26" s="428">
        <f>F24-F25</f>
        <v>-30.305939200000001</v>
      </c>
      <c r="G26" s="216"/>
    </row>
    <row r="27" spans="2:7" x14ac:dyDescent="0.3">
      <c r="C27" s="218" t="s">
        <v>28</v>
      </c>
      <c r="D27" s="429">
        <f>D23+D26</f>
        <v>291.05137379999996</v>
      </c>
      <c r="E27" s="429">
        <f>E23+E26</f>
        <v>0</v>
      </c>
      <c r="F27" s="430">
        <f>F23+F26</f>
        <v>291.05137379999996</v>
      </c>
      <c r="G27" s="216"/>
    </row>
    <row r="28" spans="2:7" x14ac:dyDescent="0.3">
      <c r="C28" s="219" t="s">
        <v>29</v>
      </c>
      <c r="D28" s="254">
        <f>유동자금세부!L40</f>
        <v>0</v>
      </c>
      <c r="E28" s="254">
        <f>유동자금세부!K45/1000</f>
        <v>0</v>
      </c>
      <c r="F28" s="256">
        <f>D28</f>
        <v>0</v>
      </c>
      <c r="G28" s="220"/>
    </row>
    <row r="29" spans="2:7" x14ac:dyDescent="0.3">
      <c r="C29" s="221" t="s">
        <v>30</v>
      </c>
      <c r="D29" s="257">
        <f>D27+D28</f>
        <v>291.05137379999996</v>
      </c>
      <c r="E29" s="257">
        <f>E27+E28</f>
        <v>0</v>
      </c>
      <c r="F29" s="257">
        <f>F27+F28</f>
        <v>291.05137379999996</v>
      </c>
      <c r="G29" s="222"/>
    </row>
    <row r="30" spans="2:7" x14ac:dyDescent="0.3">
      <c r="C30" s="250" t="s">
        <v>31</v>
      </c>
      <c r="D30" s="258">
        <f>유동자금세부!J41</f>
        <v>0</v>
      </c>
      <c r="E30" s="258">
        <f>유동자금세부!K41/1000</f>
        <v>0</v>
      </c>
      <c r="F30" s="259">
        <f>유동자금세부!L41</f>
        <v>0</v>
      </c>
      <c r="G30" s="223"/>
    </row>
    <row r="31" spans="2:7" x14ac:dyDescent="0.3">
      <c r="C31" s="224" t="s">
        <v>32</v>
      </c>
      <c r="D31" s="260">
        <f>유동자금세부!J49</f>
        <v>291.05137379999996</v>
      </c>
      <c r="E31" s="260">
        <f>유동자금세부!K49/1000</f>
        <v>0</v>
      </c>
      <c r="F31" s="228">
        <f>유동자금세부!L49</f>
        <v>291.05137379999996</v>
      </c>
      <c r="G31" s="225"/>
    </row>
  </sheetData>
  <mergeCells count="6">
    <mergeCell ref="D2:G2"/>
    <mergeCell ref="C7:C8"/>
    <mergeCell ref="C21:C22"/>
    <mergeCell ref="C9:C10"/>
    <mergeCell ref="G21:G22"/>
    <mergeCell ref="D21:F21"/>
  </mergeCells>
  <phoneticPr fontId="2" type="noConversion"/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B2:M54"/>
  <sheetViews>
    <sheetView workbookViewId="0"/>
  </sheetViews>
  <sheetFormatPr defaultRowHeight="16.5" x14ac:dyDescent="0.3"/>
  <cols>
    <col min="1" max="1" width="1.875" customWidth="1"/>
    <col min="3" max="3" width="21" customWidth="1"/>
    <col min="4" max="4" width="10.125" customWidth="1"/>
    <col min="5" max="10" width="11.125" customWidth="1"/>
    <col min="11" max="11" width="14.25" customWidth="1"/>
    <col min="12" max="12" width="8.625" customWidth="1"/>
  </cols>
  <sheetData>
    <row r="2" spans="2:11" x14ac:dyDescent="0.3">
      <c r="B2" s="102" t="s">
        <v>279</v>
      </c>
    </row>
    <row r="3" spans="2:11" x14ac:dyDescent="0.3">
      <c r="G3" s="79"/>
      <c r="K3" s="79" t="s">
        <v>18</v>
      </c>
    </row>
    <row r="4" spans="2:11" x14ac:dyDescent="0.3">
      <c r="C4" s="715" t="s">
        <v>2</v>
      </c>
      <c r="D4" s="716"/>
      <c r="E4" s="724" t="s">
        <v>33</v>
      </c>
      <c r="F4" s="709"/>
      <c r="G4" s="709"/>
      <c r="H4" s="718" t="s">
        <v>20</v>
      </c>
      <c r="I4" s="719"/>
      <c r="J4" s="720"/>
      <c r="K4" s="721" t="s">
        <v>6</v>
      </c>
    </row>
    <row r="5" spans="2:11" x14ac:dyDescent="0.3">
      <c r="C5" s="705"/>
      <c r="D5" s="712"/>
      <c r="E5" s="235" t="s">
        <v>21</v>
      </c>
      <c r="F5" s="236" t="s">
        <v>22</v>
      </c>
      <c r="G5" s="249" t="s">
        <v>23</v>
      </c>
      <c r="H5" s="238" t="s">
        <v>21</v>
      </c>
      <c r="I5" s="236" t="s">
        <v>22</v>
      </c>
      <c r="J5" s="237" t="s">
        <v>23</v>
      </c>
      <c r="K5" s="722"/>
    </row>
    <row r="6" spans="2:11" x14ac:dyDescent="0.3">
      <c r="C6" s="714" t="s">
        <v>34</v>
      </c>
      <c r="D6" s="710"/>
      <c r="E6" s="337">
        <v>2100</v>
      </c>
      <c r="F6" s="338">
        <v>0</v>
      </c>
      <c r="G6" s="339">
        <f>E6+F6*실적월!$I$1</f>
        <v>2100</v>
      </c>
      <c r="H6" s="340">
        <f>E12</f>
        <v>2100</v>
      </c>
      <c r="I6" s="338">
        <v>0</v>
      </c>
      <c r="J6" s="341">
        <f>G12</f>
        <v>2100</v>
      </c>
      <c r="K6" s="239"/>
    </row>
    <row r="7" spans="2:11" x14ac:dyDescent="0.3">
      <c r="C7" s="714" t="s">
        <v>35</v>
      </c>
      <c r="D7" s="710"/>
      <c r="E7" s="337">
        <f>유동자금세부!G40</f>
        <v>0</v>
      </c>
      <c r="F7" s="338">
        <f>유동자금세부!H40</f>
        <v>0</v>
      </c>
      <c r="G7" s="339">
        <f>유동자금세부!I40</f>
        <v>0</v>
      </c>
      <c r="H7" s="340">
        <f>유동자금세부!J40</f>
        <v>0</v>
      </c>
      <c r="I7" s="338">
        <f>유동자금세부!K40</f>
        <v>0</v>
      </c>
      <c r="J7" s="341">
        <f>유동자금세부!L40</f>
        <v>0</v>
      </c>
      <c r="K7" s="240" t="s">
        <v>36</v>
      </c>
    </row>
    <row r="8" spans="2:11" x14ac:dyDescent="0.3">
      <c r="C8" s="728" t="s">
        <v>37</v>
      </c>
      <c r="D8" s="729"/>
      <c r="E8" s="342">
        <f>IF(SUM(E9:E10)=유동자금세부!G41,유동자금세부!G41,"불일치")</f>
        <v>0</v>
      </c>
      <c r="F8" s="343">
        <f>IF(SUM(F9:F10)=유동자금세부!H41,유동자금세부!H41,"불일치")</f>
        <v>0</v>
      </c>
      <c r="G8" s="342">
        <f>SUM(G9:G10)</f>
        <v>0</v>
      </c>
      <c r="H8" s="344">
        <f>SUM(H9:H10)</f>
        <v>0</v>
      </c>
      <c r="I8" s="343">
        <f>SUM(I9:I10)</f>
        <v>0</v>
      </c>
      <c r="J8" s="345">
        <f>SUM(J9:J10)</f>
        <v>0</v>
      </c>
      <c r="K8" s="241" t="s">
        <v>38</v>
      </c>
    </row>
    <row r="9" spans="2:11" ht="23.25" x14ac:dyDescent="0.3">
      <c r="C9" s="242"/>
      <c r="D9" s="243" t="s">
        <v>39</v>
      </c>
      <c r="E9" s="346">
        <v>0</v>
      </c>
      <c r="F9" s="347">
        <v>0</v>
      </c>
      <c r="G9" s="348">
        <f>E9</f>
        <v>0</v>
      </c>
      <c r="H9" s="349"/>
      <c r="I9" s="347">
        <v>0</v>
      </c>
      <c r="J9" s="350">
        <f>유동자금세부!L41</f>
        <v>0</v>
      </c>
      <c r="K9" s="244"/>
    </row>
    <row r="10" spans="2:11" ht="23.25" x14ac:dyDescent="0.3">
      <c r="C10" s="245"/>
      <c r="D10" s="248" t="s">
        <v>40</v>
      </c>
      <c r="E10" s="351">
        <v>0</v>
      </c>
      <c r="F10" s="352">
        <f>유동자금세부!H41/100</f>
        <v>0</v>
      </c>
      <c r="G10" s="353">
        <f>E10</f>
        <v>0</v>
      </c>
      <c r="H10" s="354">
        <v>0</v>
      </c>
      <c r="I10" s="352">
        <f>유동자금세부!K41/100</f>
        <v>0</v>
      </c>
      <c r="J10" s="355">
        <f>0</f>
        <v>0</v>
      </c>
      <c r="K10" s="246"/>
    </row>
    <row r="11" spans="2:11" x14ac:dyDescent="0.3">
      <c r="C11" s="717" t="s">
        <v>41</v>
      </c>
      <c r="D11" s="710"/>
      <c r="E11" s="507">
        <f t="shared" ref="E11:J11" si="0">E8-E7</f>
        <v>0</v>
      </c>
      <c r="F11" s="508">
        <f t="shared" si="0"/>
        <v>0</v>
      </c>
      <c r="G11" s="509">
        <f t="shared" si="0"/>
        <v>0</v>
      </c>
      <c r="H11" s="510">
        <f t="shared" si="0"/>
        <v>0</v>
      </c>
      <c r="I11" s="508">
        <f t="shared" si="0"/>
        <v>0</v>
      </c>
      <c r="J11" s="511">
        <f t="shared" si="0"/>
        <v>0</v>
      </c>
      <c r="K11" s="512"/>
    </row>
    <row r="12" spans="2:11" ht="23.25" x14ac:dyDescent="0.3">
      <c r="C12" s="714" t="s">
        <v>42</v>
      </c>
      <c r="D12" s="710"/>
      <c r="E12" s="337">
        <f t="shared" ref="E12:J12" si="1">E6+E11</f>
        <v>2100</v>
      </c>
      <c r="F12" s="356">
        <f t="shared" si="1"/>
        <v>0</v>
      </c>
      <c r="G12" s="339">
        <f t="shared" si="1"/>
        <v>2100</v>
      </c>
      <c r="H12" s="357">
        <f t="shared" si="1"/>
        <v>2100</v>
      </c>
      <c r="I12" s="358">
        <f t="shared" si="1"/>
        <v>0</v>
      </c>
      <c r="J12" s="359">
        <f t="shared" si="1"/>
        <v>2100</v>
      </c>
      <c r="K12" s="247"/>
    </row>
    <row r="13" spans="2:11" x14ac:dyDescent="0.3">
      <c r="C13" s="233"/>
      <c r="D13" s="226"/>
      <c r="E13" s="226"/>
      <c r="F13" s="226"/>
      <c r="G13" s="215"/>
    </row>
    <row r="14" spans="2:11" x14ac:dyDescent="0.3">
      <c r="C14" s="215"/>
      <c r="D14" s="226"/>
      <c r="E14" s="226"/>
      <c r="F14" s="226"/>
      <c r="G14" s="215"/>
    </row>
    <row r="16" spans="2:11" x14ac:dyDescent="0.3">
      <c r="C16" s="233"/>
      <c r="D16" s="727"/>
      <c r="E16" s="701"/>
      <c r="F16" s="701"/>
      <c r="G16" s="727"/>
    </row>
    <row r="17" spans="2:13" x14ac:dyDescent="0.3">
      <c r="C17" s="233"/>
      <c r="D17" s="232"/>
      <c r="E17" s="232"/>
      <c r="F17" s="232"/>
      <c r="G17" s="701"/>
    </row>
    <row r="18" spans="2:13" ht="17.25" thickBot="1" x14ac:dyDescent="0.35">
      <c r="B18" s="133" t="s">
        <v>43</v>
      </c>
      <c r="C18" s="233"/>
      <c r="D18" s="131" t="str">
        <f>TEXT(ROUND(F28,1),"#,##0.0")&amp;"백만 (전월 대비 "&amp;ROUND(G30,1)&amp;"백만) = 유동자금 "&amp;ROUND(F24,1)&amp;"백만 ("&amp;TEXT(ROUND(G24,1),"+#,##0.0;-#,##0.0;0")&amp;"백만) + 운용자금 "&amp;TEXT(ROUND(F27,1),"#,##0")&amp;"백만 ("&amp;TEXT(ROUND(G27,1),"+#,##0;-#,##0;0")&amp;"백만)"</f>
        <v>2,391.1백만 (전월 대비 -30.3백만) = 유동자금 291.1백만 (-30.3백만) + 운용자금 2,100백만 (0백만)</v>
      </c>
      <c r="E18" s="234"/>
      <c r="G18" s="131"/>
      <c r="H18" s="131"/>
      <c r="I18" s="131"/>
    </row>
    <row r="19" spans="2:13" x14ac:dyDescent="0.3">
      <c r="C19" s="713" t="s">
        <v>2</v>
      </c>
      <c r="D19" s="710"/>
      <c r="E19" s="130" t="s">
        <v>3</v>
      </c>
      <c r="F19" s="129" t="s">
        <v>4</v>
      </c>
      <c r="G19" s="128" t="s">
        <v>44</v>
      </c>
      <c r="H19" s="756" t="s">
        <v>6</v>
      </c>
      <c r="I19" s="763"/>
      <c r="J19" s="763"/>
      <c r="K19" s="763"/>
    </row>
    <row r="20" spans="2:13" x14ac:dyDescent="0.3">
      <c r="C20" s="118" t="s">
        <v>45</v>
      </c>
      <c r="D20" s="127" t="s">
        <v>21</v>
      </c>
      <c r="E20" s="126">
        <f>유동자금세부!G49</f>
        <v>321.35731299999998</v>
      </c>
      <c r="F20" s="125">
        <f>유동자금세부!J49</f>
        <v>291.05137379999996</v>
      </c>
      <c r="G20" s="497">
        <f>ROUND(F20-E20,2)</f>
        <v>-30.31</v>
      </c>
      <c r="H20" s="764" t="str">
        <f>M20</f>
        <v xml:space="preserve"> ① 원화 : -30.3백만 (= 수지차-30.3백만 + 운용자금 만기해지 +0백만)</v>
      </c>
      <c r="I20" s="765"/>
      <c r="J20" s="765"/>
      <c r="K20" s="765"/>
      <c r="M20" s="103" t="str">
        <f>_xlfn.CONCAT(" ① 원화 : ",TEXT(G20, "+#,##0.0;-#,##0.0;0"),"백만"," (= 수지차",TEXT(유동자금세부!J7, "+#,##0.0;-#,##0.0;0"),"백만 ","+ 운용자금 만기해지 +",유동자금세부!J40,"백만)")</f>
        <v xml:space="preserve"> ① 원화 : -30.3백만 (= 수지차-30.3백만 + 운용자금 만기해지 +0백만)</v>
      </c>
    </row>
    <row r="21" spans="2:13" x14ac:dyDescent="0.3">
      <c r="C21" s="117"/>
      <c r="D21" s="121" t="s">
        <v>22</v>
      </c>
      <c r="E21" s="120">
        <f>유동자금세부!H49/1000</f>
        <v>0</v>
      </c>
      <c r="F21" s="119">
        <f>유동자금세부!K49</f>
        <v>0</v>
      </c>
      <c r="G21" s="498">
        <f>F21-E21</f>
        <v>0</v>
      </c>
      <c r="H21" s="770" t="s">
        <v>46</v>
      </c>
      <c r="I21" s="771"/>
      <c r="J21" s="771"/>
      <c r="K21" s="771"/>
    </row>
    <row r="22" spans="2:13" x14ac:dyDescent="0.3">
      <c r="C22" s="117"/>
      <c r="D22" s="124"/>
      <c r="E22" s="123"/>
      <c r="F22" s="122"/>
      <c r="G22" s="499"/>
      <c r="H22" s="757" t="s">
        <v>47</v>
      </c>
      <c r="I22" s="758"/>
      <c r="J22" s="758"/>
      <c r="K22" s="758"/>
    </row>
    <row r="23" spans="2:13" x14ac:dyDescent="0.3">
      <c r="C23" s="117"/>
      <c r="D23" s="121"/>
      <c r="E23" s="120"/>
      <c r="F23" s="119"/>
      <c r="G23" s="500"/>
      <c r="H23" s="770" t="s">
        <v>48</v>
      </c>
      <c r="I23" s="771"/>
      <c r="J23" s="771"/>
      <c r="K23" s="771"/>
    </row>
    <row r="24" spans="2:13" x14ac:dyDescent="0.3">
      <c r="C24" s="711" t="s">
        <v>23</v>
      </c>
      <c r="D24" s="712"/>
      <c r="E24" s="116">
        <f>유동자금세부!I49</f>
        <v>321.35731299999998</v>
      </c>
      <c r="F24" s="115">
        <f>유동자금세부!L49</f>
        <v>291.05137379999996</v>
      </c>
      <c r="G24" s="501">
        <f>ROUND(F24-E24,2)</f>
        <v>-30.31</v>
      </c>
      <c r="H24" s="768"/>
      <c r="I24" s="769"/>
      <c r="J24" s="769"/>
      <c r="K24" s="769"/>
    </row>
    <row r="25" spans="2:13" x14ac:dyDescent="0.3">
      <c r="C25" s="118" t="s">
        <v>49</v>
      </c>
      <c r="D25" s="113" t="s">
        <v>21</v>
      </c>
      <c r="E25" s="112">
        <f>요약2!E12</f>
        <v>2100</v>
      </c>
      <c r="F25" s="111">
        <f>요약2!H12</f>
        <v>2100</v>
      </c>
      <c r="G25" s="502">
        <f t="shared" ref="G25:G30" si="2">F25-E25</f>
        <v>0</v>
      </c>
      <c r="H25" s="766"/>
      <c r="I25" s="767"/>
      <c r="J25" s="767"/>
      <c r="K25" s="767"/>
    </row>
    <row r="26" spans="2:13" x14ac:dyDescent="0.3">
      <c r="C26" s="117"/>
      <c r="D26" s="109" t="s">
        <v>22</v>
      </c>
      <c r="E26" s="108">
        <f>요약2!F12</f>
        <v>0</v>
      </c>
      <c r="F26" s="107">
        <f>요약2!I12</f>
        <v>0</v>
      </c>
      <c r="G26" s="503">
        <f t="shared" si="2"/>
        <v>0</v>
      </c>
      <c r="H26" s="759"/>
      <c r="I26" s="760"/>
      <c r="J26" s="760"/>
      <c r="K26" s="760"/>
    </row>
    <row r="27" spans="2:13" x14ac:dyDescent="0.3">
      <c r="C27" s="711" t="s">
        <v>23</v>
      </c>
      <c r="D27" s="712"/>
      <c r="E27" s="108">
        <f>요약2!G12</f>
        <v>2100</v>
      </c>
      <c r="F27" s="107">
        <f>요약2!J12</f>
        <v>2100</v>
      </c>
      <c r="G27" s="503">
        <f t="shared" si="2"/>
        <v>0</v>
      </c>
      <c r="H27" s="768"/>
      <c r="I27" s="769"/>
      <c r="J27" s="769"/>
      <c r="K27" s="769"/>
    </row>
    <row r="28" spans="2:13" x14ac:dyDescent="0.3">
      <c r="C28" s="114" t="s">
        <v>50</v>
      </c>
      <c r="D28" s="113" t="s">
        <v>21</v>
      </c>
      <c r="E28" s="112">
        <f>E20+E25</f>
        <v>2421.357313</v>
      </c>
      <c r="F28" s="111">
        <f>F20+F25</f>
        <v>2391.0513738</v>
      </c>
      <c r="G28" s="504">
        <f t="shared" si="2"/>
        <v>-30.305939200000012</v>
      </c>
      <c r="H28" s="766"/>
      <c r="I28" s="767"/>
      <c r="J28" s="767"/>
      <c r="K28" s="767"/>
    </row>
    <row r="29" spans="2:13" x14ac:dyDescent="0.3">
      <c r="C29" s="110" t="s">
        <v>51</v>
      </c>
      <c r="D29" s="109" t="s">
        <v>22</v>
      </c>
      <c r="E29" s="108">
        <f>E21+E26</f>
        <v>0</v>
      </c>
      <c r="F29" s="107">
        <f>F21+F26</f>
        <v>0</v>
      </c>
      <c r="G29" s="505">
        <f t="shared" si="2"/>
        <v>0</v>
      </c>
      <c r="H29" s="759"/>
      <c r="I29" s="760"/>
      <c r="J29" s="760"/>
      <c r="K29" s="760"/>
    </row>
    <row r="30" spans="2:13" ht="17.25" thickBot="1" x14ac:dyDescent="0.35">
      <c r="C30" s="725" t="s">
        <v>52</v>
      </c>
      <c r="D30" s="726"/>
      <c r="E30" s="132">
        <f>E24+E27</f>
        <v>2421.357313</v>
      </c>
      <c r="F30" s="261">
        <f>F24+F27</f>
        <v>2391.0513738</v>
      </c>
      <c r="G30" s="506">
        <f t="shared" si="2"/>
        <v>-30.305939200000012</v>
      </c>
      <c r="H30" s="768"/>
      <c r="I30" s="769"/>
      <c r="J30" s="769"/>
      <c r="K30" s="769"/>
    </row>
    <row r="31" spans="2:13" ht="17.25" thickBot="1" x14ac:dyDescent="0.35">
      <c r="C31" s="723" t="s">
        <v>53</v>
      </c>
      <c r="D31" s="712"/>
      <c r="E31" s="106">
        <f>1-(E28/E30)</f>
        <v>0</v>
      </c>
      <c r="F31" s="105">
        <f>1-(F28/F30)</f>
        <v>0</v>
      </c>
      <c r="G31" s="104"/>
      <c r="H31" s="761"/>
      <c r="I31" s="762"/>
      <c r="J31" s="762"/>
      <c r="K31" s="762"/>
    </row>
    <row r="32" spans="2:13" x14ac:dyDescent="0.3">
      <c r="C32" s="233"/>
    </row>
    <row r="46" spans="4:6" x14ac:dyDescent="0.3">
      <c r="D46" s="77"/>
      <c r="E46" s="229"/>
      <c r="F46" s="77"/>
    </row>
    <row r="47" spans="4:6" x14ac:dyDescent="0.3">
      <c r="D47" s="77"/>
      <c r="E47" s="229"/>
      <c r="F47" s="77"/>
    </row>
    <row r="48" spans="4:6" x14ac:dyDescent="0.3">
      <c r="D48" s="77"/>
      <c r="E48" s="229"/>
      <c r="F48" s="77"/>
    </row>
    <row r="49" spans="4:6" x14ac:dyDescent="0.3">
      <c r="D49" s="77"/>
      <c r="E49" s="229"/>
      <c r="F49" s="77"/>
    </row>
    <row r="50" spans="4:6" x14ac:dyDescent="0.3">
      <c r="D50" s="77"/>
      <c r="E50" s="229"/>
      <c r="F50" s="77"/>
    </row>
    <row r="51" spans="4:6" x14ac:dyDescent="0.3">
      <c r="D51" s="77"/>
      <c r="E51" s="229"/>
      <c r="F51" s="77"/>
    </row>
    <row r="52" spans="4:6" x14ac:dyDescent="0.3">
      <c r="D52" s="77"/>
      <c r="E52" s="229"/>
      <c r="F52" s="77"/>
    </row>
    <row r="53" spans="4:6" x14ac:dyDescent="0.3">
      <c r="D53" s="77"/>
      <c r="E53" s="229"/>
      <c r="F53" s="77"/>
    </row>
    <row r="54" spans="4:6" x14ac:dyDescent="0.3">
      <c r="D54" s="77"/>
      <c r="E54" s="229"/>
      <c r="F54" s="77"/>
    </row>
  </sheetData>
  <mergeCells count="29">
    <mergeCell ref="H31:K31"/>
    <mergeCell ref="H26:K26"/>
    <mergeCell ref="H27:K27"/>
    <mergeCell ref="H28:K28"/>
    <mergeCell ref="H29:K29"/>
    <mergeCell ref="H30:K30"/>
    <mergeCell ref="H4:J4"/>
    <mergeCell ref="K4:K5"/>
    <mergeCell ref="C27:D27"/>
    <mergeCell ref="C31:D31"/>
    <mergeCell ref="E4:G4"/>
    <mergeCell ref="C30:D30"/>
    <mergeCell ref="G16:G17"/>
    <mergeCell ref="D16:F16"/>
    <mergeCell ref="C8:D8"/>
    <mergeCell ref="H19:K19"/>
    <mergeCell ref="H20:K20"/>
    <mergeCell ref="H21:K21"/>
    <mergeCell ref="H22:K22"/>
    <mergeCell ref="H23:K23"/>
    <mergeCell ref="H24:K24"/>
    <mergeCell ref="H25:K25"/>
    <mergeCell ref="C24:D24"/>
    <mergeCell ref="C19:D19"/>
    <mergeCell ref="C12:D12"/>
    <mergeCell ref="C4:D5"/>
    <mergeCell ref="C6:D6"/>
    <mergeCell ref="C7:D7"/>
    <mergeCell ref="C11:D11"/>
  </mergeCells>
  <phoneticPr fontId="2" type="noConversion"/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tabColor theme="8" tint="0.39997558519241921"/>
    <pageSetUpPr fitToPage="1"/>
  </sheetPr>
  <dimension ref="A2:R57"/>
  <sheetViews>
    <sheetView showGridLines="0" view="pageBreakPreview" zoomScale="150" zoomScaleNormal="150" zoomScaleSheetLayoutView="150" workbookViewId="0">
      <selection activeCell="G6" sqref="G6"/>
    </sheetView>
  </sheetViews>
  <sheetFormatPr defaultColWidth="8.625" defaultRowHeight="9.75" outlineLevelRow="2" outlineLevelCol="1" x14ac:dyDescent="0.3"/>
  <cols>
    <col min="1" max="1" width="0.625" style="1" customWidth="1"/>
    <col min="2" max="2" width="1.875" style="1" customWidth="1"/>
    <col min="3" max="5" width="1.125" style="1" customWidth="1"/>
    <col min="6" max="6" width="15.375" style="1" customWidth="1"/>
    <col min="7" max="13" width="7.125" style="1" customWidth="1"/>
    <col min="14" max="14" width="49.875" style="1" customWidth="1"/>
    <col min="15" max="15" width="3.625" style="1" customWidth="1"/>
    <col min="16" max="16" width="8.625" style="2" customWidth="1" outlineLevel="1"/>
    <col min="17" max="17" width="10.125" style="1" bestFit="1" customWidth="1"/>
    <col min="18" max="18" width="17" style="1" bestFit="1" customWidth="1"/>
    <col min="19" max="19" width="8.875" style="1" bestFit="1" customWidth="1"/>
    <col min="20" max="20" width="8.625" style="1" customWidth="1"/>
    <col min="21" max="16384" width="8.625" style="1"/>
  </cols>
  <sheetData>
    <row r="2" spans="1:17" s="134" customFormat="1" ht="12" customHeight="1" x14ac:dyDescent="0.3">
      <c r="A2" s="134" t="s">
        <v>54</v>
      </c>
      <c r="I2" s="135">
        <v>784638</v>
      </c>
      <c r="P2" s="136"/>
    </row>
    <row r="3" spans="1:17" ht="10.5" customHeight="1" thickBot="1" x14ac:dyDescent="0.35">
      <c r="G3" s="515"/>
      <c r="N3" s="58" t="s">
        <v>18</v>
      </c>
    </row>
    <row r="4" spans="1:17" ht="12.75" customHeight="1" x14ac:dyDescent="0.3">
      <c r="C4" s="731" t="s">
        <v>2</v>
      </c>
      <c r="D4" s="729"/>
      <c r="E4" s="729"/>
      <c r="F4" s="716"/>
      <c r="G4" s="732" t="s">
        <v>55</v>
      </c>
      <c r="H4" s="709"/>
      <c r="I4" s="709"/>
      <c r="J4" s="733" t="s">
        <v>56</v>
      </c>
      <c r="K4" s="719"/>
      <c r="L4" s="720"/>
      <c r="M4" s="730" t="s">
        <v>57</v>
      </c>
      <c r="N4" s="732" t="s">
        <v>6</v>
      </c>
      <c r="P4" s="57">
        <v>0</v>
      </c>
    </row>
    <row r="5" spans="1:17" ht="12.75" customHeight="1" x14ac:dyDescent="0.3">
      <c r="C5" s="705"/>
      <c r="D5" s="705"/>
      <c r="E5" s="705"/>
      <c r="F5" s="712"/>
      <c r="G5" s="56" t="s">
        <v>21</v>
      </c>
      <c r="H5" s="53" t="s">
        <v>22</v>
      </c>
      <c r="I5" s="55" t="s">
        <v>58</v>
      </c>
      <c r="J5" s="54" t="s">
        <v>21</v>
      </c>
      <c r="K5" s="53" t="s">
        <v>22</v>
      </c>
      <c r="L5" s="52" t="s">
        <v>59</v>
      </c>
      <c r="M5" s="712"/>
      <c r="N5" s="707"/>
    </row>
    <row r="6" spans="1:17" ht="12.75" customHeight="1" x14ac:dyDescent="0.3">
      <c r="C6" s="10" t="s">
        <v>60</v>
      </c>
      <c r="D6" s="10"/>
      <c r="E6" s="10"/>
      <c r="F6" s="10"/>
      <c r="G6" s="550">
        <v>362.49588199999999</v>
      </c>
      <c r="H6" s="551">
        <v>0</v>
      </c>
      <c r="I6" s="550">
        <f>G6+H6*$P$4/1000</f>
        <v>362.49588199999999</v>
      </c>
      <c r="J6" s="552">
        <f>G49</f>
        <v>321.35731299999998</v>
      </c>
      <c r="K6" s="551">
        <f>H49</f>
        <v>0</v>
      </c>
      <c r="L6" s="553">
        <f>J6+K6*$P$4/1000</f>
        <v>321.35731299999998</v>
      </c>
      <c r="M6" s="678">
        <f>L6-I6</f>
        <v>-41.138569000000018</v>
      </c>
      <c r="N6" s="11"/>
      <c r="O6" s="6"/>
    </row>
    <row r="7" spans="1:17" ht="12.75" customHeight="1" x14ac:dyDescent="0.3">
      <c r="C7" s="29" t="s">
        <v>61</v>
      </c>
      <c r="D7" s="29"/>
      <c r="E7" s="29"/>
      <c r="F7" s="28"/>
      <c r="G7" s="554">
        <f t="shared" ref="G7:L7" si="0">G8-G13</f>
        <v>-41.138568999999997</v>
      </c>
      <c r="H7" s="555">
        <f t="shared" si="0"/>
        <v>0</v>
      </c>
      <c r="I7" s="554">
        <f t="shared" si="0"/>
        <v>-41.138568999999997</v>
      </c>
      <c r="J7" s="556">
        <f t="shared" si="0"/>
        <v>-30.305939200000001</v>
      </c>
      <c r="K7" s="555">
        <f t="shared" si="0"/>
        <v>0</v>
      </c>
      <c r="L7" s="557">
        <f t="shared" si="0"/>
        <v>-30.305939200000001</v>
      </c>
      <c r="M7" s="679">
        <f>-(L7-I7)</f>
        <v>-10.832629799999996</v>
      </c>
      <c r="N7" s="27"/>
      <c r="O7" s="6"/>
    </row>
    <row r="8" spans="1:17" ht="12.75" customHeight="1" x14ac:dyDescent="0.3">
      <c r="C8" s="51"/>
      <c r="D8" s="25" t="s">
        <v>62</v>
      </c>
      <c r="E8" s="17"/>
      <c r="F8" s="39"/>
      <c r="G8" s="558">
        <f t="shared" ref="G8:M8" si="1">SUM(G9:G12)</f>
        <v>0.13434800000000002</v>
      </c>
      <c r="H8" s="559">
        <f t="shared" si="1"/>
        <v>0</v>
      </c>
      <c r="I8" s="558">
        <f t="shared" si="1"/>
        <v>0.13434800000000002</v>
      </c>
      <c r="J8" s="560">
        <f t="shared" si="1"/>
        <v>0</v>
      </c>
      <c r="K8" s="559">
        <f t="shared" si="1"/>
        <v>0</v>
      </c>
      <c r="L8" s="561">
        <f t="shared" si="1"/>
        <v>0</v>
      </c>
      <c r="M8" s="680">
        <f t="shared" si="1"/>
        <v>-0.13434800000000002</v>
      </c>
      <c r="N8" s="34"/>
      <c r="O8" s="6"/>
    </row>
    <row r="9" spans="1:17" ht="12.75" customHeight="1" x14ac:dyDescent="0.3">
      <c r="C9" s="51"/>
      <c r="D9" s="36"/>
      <c r="E9" s="25" t="s">
        <v>63</v>
      </c>
      <c r="F9" s="39"/>
      <c r="G9" s="562">
        <f>SUMIFS(실적월!$E:$E,실적월!$A:$A,"외상매출금",실적월!$D:$D,"KRW")/1000000</f>
        <v>5.6328000000000003E-2</v>
      </c>
      <c r="H9" s="153">
        <f>SUMIFS(실적월!$E:$E,실적월!$A:$A,"외상매출금",실적월!$D:$D,"USD")/1000</f>
        <v>0</v>
      </c>
      <c r="I9" s="562">
        <f>G9+H9*$P$4/1000</f>
        <v>5.6328000000000003E-2</v>
      </c>
      <c r="J9" s="563">
        <f>SUMIFS(계획월!$E:$E,계획월!$A:$A,"외상매출금",계획월!$D:$D,"KRW")/1000000</f>
        <v>0</v>
      </c>
      <c r="K9" s="153">
        <f>SUMIFS(계획월!$E:$E,계획월!$A:$A,"외상매출금",계획월!$D:$D,"USD")/1000</f>
        <v>0</v>
      </c>
      <c r="L9" s="564">
        <f>J9+K9*$P$4/1000</f>
        <v>0</v>
      </c>
      <c r="M9" s="681">
        <f t="shared" ref="M9:M49" si="2">L9-I9</f>
        <v>-5.6328000000000003E-2</v>
      </c>
      <c r="N9" s="141" t="s">
        <v>64</v>
      </c>
      <c r="O9" s="6"/>
    </row>
    <row r="10" spans="1:17" ht="12.75" customHeight="1" x14ac:dyDescent="0.3">
      <c r="C10" s="51"/>
      <c r="D10" s="36"/>
      <c r="E10" s="36" t="s">
        <v>65</v>
      </c>
      <c r="F10" s="43"/>
      <c r="G10" s="565">
        <f>SUMIFS(실적월!$E:$E,실적월!$A:$A,"세금환급",실적월!$D:$D,"KRW")/1000000</f>
        <v>0</v>
      </c>
      <c r="H10" s="566">
        <v>0</v>
      </c>
      <c r="I10" s="565">
        <f>G10+H10*$P$4/1000</f>
        <v>0</v>
      </c>
      <c r="J10" s="567">
        <f>SUMIFS(계획월!$E:$E,계획월!$A:$A,"세금환급",계획월!$D:$D,"KRW")/1000000</f>
        <v>0</v>
      </c>
      <c r="K10" s="566">
        <v>0</v>
      </c>
      <c r="L10" s="568">
        <f>J10+K10*$P$4/1000</f>
        <v>0</v>
      </c>
      <c r="M10" s="682">
        <f t="shared" si="2"/>
        <v>0</v>
      </c>
      <c r="N10" s="49"/>
      <c r="O10" s="6"/>
    </row>
    <row r="11" spans="1:17" ht="12.75" customHeight="1" x14ac:dyDescent="0.3">
      <c r="C11" s="51"/>
      <c r="D11" s="36"/>
      <c r="E11" s="36" t="s">
        <v>66</v>
      </c>
      <c r="F11" s="43"/>
      <c r="G11" s="565">
        <f>SUMIFS(실적월!$E:$E,실적월!$A:$A,"이자수익",실적월!$D:$D,"KRW")/1000000</f>
        <v>0</v>
      </c>
      <c r="H11" s="155">
        <f>SUMIFS(실적월!$E:$E,실적월!$A:$A,"이자수익",실적월!$D:$D,"USD")/1000</f>
        <v>0</v>
      </c>
      <c r="I11" s="565">
        <f>G11+H11*$P$4/1000</f>
        <v>0</v>
      </c>
      <c r="J11" s="567">
        <f>SUMIFS(계획월!$E:$E,계획월!$A:$A,"이자수익",계획월!$D:$D,"KRW")/1000000</f>
        <v>0</v>
      </c>
      <c r="K11" s="155">
        <f>SUMIFS(계획월!$E:$E,계획월!$A:$A,"이자수익",계획월!$D:$D,"USD")/1000</f>
        <v>0</v>
      </c>
      <c r="L11" s="569">
        <f>J11+K11*$P$4/1000</f>
        <v>0</v>
      </c>
      <c r="M11" s="682">
        <f t="shared" si="2"/>
        <v>0</v>
      </c>
      <c r="N11" s="49"/>
      <c r="O11" s="6"/>
    </row>
    <row r="12" spans="1:17" ht="12.75" customHeight="1" x14ac:dyDescent="0.3">
      <c r="C12" s="51"/>
      <c r="D12" s="36"/>
      <c r="E12" s="36" t="s">
        <v>67</v>
      </c>
      <c r="F12" s="43"/>
      <c r="G12" s="565">
        <f>SUMIFS(실적월!$E:$E,실적월!$A:$A,"기타입금",실적월!$D:$D,"KRW")/1000000+SUMIFS(실적월!$E:$E,실적월!$A:$A,"수입임대료",실적월!$D:$D,"KRW")/1000000</f>
        <v>7.8020000000000006E-2</v>
      </c>
      <c r="H12" s="570">
        <f>SUMIFS(실적월!$E:$E,실적월!$A:$A,$E$12,실적월!$D:$D,"USD")/1000</f>
        <v>0</v>
      </c>
      <c r="I12" s="565">
        <f>G12+H12*$P$4/1000</f>
        <v>7.8020000000000006E-2</v>
      </c>
      <c r="J12" s="567">
        <f>SUMIFS(계획월!$E:$E,계획월!$A:$A,"기타입금",계획월!$D:$D,"KRW")/1000000+SUMIFS(계획월!$E:$E,계획월!$A:$A,"수입임대료",계획월!$D:$D,"KRW")/1000000</f>
        <v>0</v>
      </c>
      <c r="K12" s="570">
        <f>SUMIFS(계획월!$E:$E,계획월!$A:$A,$E$12,계획월!$D:$D,"USD")/1000</f>
        <v>0</v>
      </c>
      <c r="L12" s="568">
        <f>J12+K12*$P$4/1000</f>
        <v>0</v>
      </c>
      <c r="M12" s="682">
        <f t="shared" si="2"/>
        <v>-7.8020000000000006E-2</v>
      </c>
      <c r="N12" s="49" t="s">
        <v>68</v>
      </c>
      <c r="O12" s="6"/>
    </row>
    <row r="13" spans="1:17" ht="12.75" customHeight="1" x14ac:dyDescent="0.3">
      <c r="C13" s="50"/>
      <c r="D13" s="25" t="s">
        <v>69</v>
      </c>
      <c r="E13" s="17"/>
      <c r="F13" s="17"/>
      <c r="G13" s="571">
        <f t="shared" ref="G13:L13" si="3">SUM(G14,G19,G20,G25:G28)</f>
        <v>41.272917</v>
      </c>
      <c r="H13" s="559">
        <f t="shared" si="3"/>
        <v>0</v>
      </c>
      <c r="I13" s="571">
        <f t="shared" si="3"/>
        <v>41.272917</v>
      </c>
      <c r="J13" s="560">
        <f t="shared" si="3"/>
        <v>30.305939200000001</v>
      </c>
      <c r="K13" s="559">
        <f t="shared" si="3"/>
        <v>0</v>
      </c>
      <c r="L13" s="572">
        <f t="shared" si="3"/>
        <v>30.305939200000001</v>
      </c>
      <c r="M13" s="683">
        <f t="shared" si="2"/>
        <v>-10.966977799999999</v>
      </c>
      <c r="N13" s="49"/>
      <c r="O13" s="6"/>
    </row>
    <row r="14" spans="1:17" ht="12.75" customHeight="1" x14ac:dyDescent="0.3">
      <c r="C14" s="33"/>
      <c r="D14" s="32"/>
      <c r="E14" s="25" t="s">
        <v>70</v>
      </c>
      <c r="F14" s="39"/>
      <c r="G14" s="573">
        <f t="shared" ref="G14:L14" si="4">SUM(G15:G18)</f>
        <v>19.669626999999998</v>
      </c>
      <c r="H14" s="574">
        <f t="shared" si="4"/>
        <v>0</v>
      </c>
      <c r="I14" s="558">
        <f t="shared" si="4"/>
        <v>19.669626999999998</v>
      </c>
      <c r="J14" s="575">
        <f t="shared" si="4"/>
        <v>19.932970000000001</v>
      </c>
      <c r="K14" s="574">
        <f t="shared" si="4"/>
        <v>0</v>
      </c>
      <c r="L14" s="561">
        <f t="shared" si="4"/>
        <v>19.932970000000001</v>
      </c>
      <c r="M14" s="683">
        <f t="shared" si="2"/>
        <v>0.26334300000000255</v>
      </c>
      <c r="N14" s="49"/>
      <c r="O14" s="6"/>
      <c r="Q14" s="2"/>
    </row>
    <row r="15" spans="1:17" ht="12.75" customHeight="1" outlineLevel="1" x14ac:dyDescent="0.3">
      <c r="C15" s="33"/>
      <c r="D15" s="32"/>
      <c r="E15" s="36"/>
      <c r="F15" s="25" t="s">
        <v>71</v>
      </c>
      <c r="G15" s="576">
        <f>SUMIF(실적월!$A:$A,"급여",실적월!$F:$F)/1000000</f>
        <v>14.816477000000001</v>
      </c>
      <c r="H15" s="577">
        <v>0</v>
      </c>
      <c r="I15" s="562">
        <f>G15+H15*$P$4/1000</f>
        <v>14.816477000000001</v>
      </c>
      <c r="J15" s="578">
        <f>SUMIF(계획월!$A:$A,"급여",계획월!$F:$F)/1000000</f>
        <v>15</v>
      </c>
      <c r="K15" s="577">
        <v>0</v>
      </c>
      <c r="L15" s="564">
        <f>J15+K15*$P$4/1000</f>
        <v>15</v>
      </c>
      <c r="M15" s="681">
        <f t="shared" si="2"/>
        <v>0.18352299999999921</v>
      </c>
      <c r="N15" s="49" t="s">
        <v>72</v>
      </c>
      <c r="O15" s="6"/>
      <c r="Q15" s="2"/>
    </row>
    <row r="16" spans="1:17" ht="12.75" customHeight="1" outlineLevel="1" x14ac:dyDescent="0.3">
      <c r="C16" s="33"/>
      <c r="D16" s="32"/>
      <c r="E16" s="36"/>
      <c r="F16" s="36" t="s">
        <v>73</v>
      </c>
      <c r="G16" s="579">
        <f>SUMIF(실적월!$A:$A,"상여",실적월!$F:$F)/1000000</f>
        <v>0</v>
      </c>
      <c r="H16" s="580">
        <v>0</v>
      </c>
      <c r="I16" s="565">
        <f>G16+H16*$P$4/1000</f>
        <v>0</v>
      </c>
      <c r="J16" s="581">
        <f>SUMIF(계획월!$A:$A,"상여",계획월!$F:$F)/1000000</f>
        <v>0</v>
      </c>
      <c r="K16" s="580">
        <v>0</v>
      </c>
      <c r="L16" s="568">
        <f>J16+K16*$P$4/1000</f>
        <v>0</v>
      </c>
      <c r="M16" s="682">
        <f t="shared" si="2"/>
        <v>0</v>
      </c>
      <c r="N16" s="49"/>
      <c r="O16" s="6"/>
      <c r="P16" s="454"/>
      <c r="Q16" s="2"/>
    </row>
    <row r="17" spans="3:18" ht="12.75" customHeight="1" outlineLevel="1" x14ac:dyDescent="0.3">
      <c r="C17" s="33"/>
      <c r="D17" s="32"/>
      <c r="E17" s="36"/>
      <c r="F17" s="36" t="s">
        <v>74</v>
      </c>
      <c r="G17" s="579">
        <f>SUMIF(실적월!$A:$A,"퇴직연금",실적월!$F:$F)/1000000</f>
        <v>1.92848</v>
      </c>
      <c r="H17" s="580">
        <v>0</v>
      </c>
      <c r="I17" s="565">
        <f>G17+H17*$P$4/1000</f>
        <v>1.92848</v>
      </c>
      <c r="J17" s="581">
        <f>SUMIF(계획월!$A:$A,"퇴직연금",계획월!$F:$F)/1000000</f>
        <v>1.92848</v>
      </c>
      <c r="K17" s="580">
        <v>0</v>
      </c>
      <c r="L17" s="568">
        <f>J17+K17*$P$4/1000</f>
        <v>1.92848</v>
      </c>
      <c r="M17" s="682">
        <f t="shared" si="2"/>
        <v>0</v>
      </c>
      <c r="N17" s="49" t="s">
        <v>75</v>
      </c>
      <c r="O17" s="6"/>
      <c r="Q17" s="2"/>
    </row>
    <row r="18" spans="3:18" ht="12.75" customHeight="1" outlineLevel="1" x14ac:dyDescent="0.3">
      <c r="C18" s="33"/>
      <c r="D18" s="32"/>
      <c r="E18" s="41"/>
      <c r="F18" s="41" t="s">
        <v>76</v>
      </c>
      <c r="G18" s="582">
        <f>SUMIF(실적월!$A:$A,"4대보험",실적월!$F:$F)/1000000</f>
        <v>2.9246699999999999</v>
      </c>
      <c r="H18" s="583">
        <v>0</v>
      </c>
      <c r="I18" s="584">
        <f>G18+H18*$P$4/1000</f>
        <v>2.9246699999999999</v>
      </c>
      <c r="J18" s="585">
        <f>SUMIF(계획월!$A:$A,"4대보험",계획월!$F:$F)/1000000</f>
        <v>3.0044900000000001</v>
      </c>
      <c r="K18" s="583">
        <v>0</v>
      </c>
      <c r="L18" s="586">
        <f>J18+K18*$P$4/1000</f>
        <v>3.0044900000000001</v>
      </c>
      <c r="M18" s="684">
        <f t="shared" si="2"/>
        <v>7.9820000000000224E-2</v>
      </c>
      <c r="N18" s="49" t="s">
        <v>77</v>
      </c>
      <c r="O18" s="6"/>
      <c r="P18" s="454"/>
      <c r="Q18" s="2"/>
    </row>
    <row r="19" spans="3:18" ht="12.75" customHeight="1" x14ac:dyDescent="0.3">
      <c r="C19" s="33"/>
      <c r="D19" s="32"/>
      <c r="E19" s="36" t="s">
        <v>78</v>
      </c>
      <c r="F19" s="43"/>
      <c r="G19" s="562">
        <f>SUMIFS(실적월!$F:$F,실적월!$A:$A,"광고판촉비",실적월!$D:$D,"KRW")/1000000</f>
        <v>0</v>
      </c>
      <c r="H19" s="587">
        <f>SUMIFS(실적월!$F:$F,실적월!$A:$A,"광고판촉비",실적월!$D:$D,"USD")/1000</f>
        <v>0</v>
      </c>
      <c r="I19" s="562">
        <f>G19+H19*$P$4/1000</f>
        <v>0</v>
      </c>
      <c r="J19" s="563">
        <f>SUMIFS(계획월!$F:$F,계획월!$A:$A,"광고판촉비",계획월!$D:$D,"KRW")/1000000</f>
        <v>0</v>
      </c>
      <c r="K19" s="587">
        <f>SUMIFS(계획월!$F:$F,계획월!$A:$A,"광고판촉비",계획월!$D:$D,"USD")/1000</f>
        <v>0</v>
      </c>
      <c r="L19" s="564">
        <f>J19+K19*$P$4/1000</f>
        <v>0</v>
      </c>
      <c r="M19" s="681">
        <f t="shared" si="2"/>
        <v>0</v>
      </c>
      <c r="N19" s="48"/>
      <c r="O19" s="6"/>
      <c r="P19" s="454"/>
    </row>
    <row r="20" spans="3:18" ht="12.75" customHeight="1" x14ac:dyDescent="0.3">
      <c r="C20" s="33"/>
      <c r="D20" s="32"/>
      <c r="E20" s="36" t="s">
        <v>79</v>
      </c>
      <c r="F20" s="43"/>
      <c r="G20" s="582">
        <f t="shared" ref="G20:L20" si="5">SUM(G21:G24)</f>
        <v>7.5795899999999996</v>
      </c>
      <c r="H20" s="588">
        <f t="shared" si="5"/>
        <v>0</v>
      </c>
      <c r="I20" s="584">
        <f t="shared" si="5"/>
        <v>7.5795899999999996</v>
      </c>
      <c r="J20" s="585">
        <f t="shared" si="5"/>
        <v>4.25</v>
      </c>
      <c r="K20" s="588">
        <f t="shared" si="5"/>
        <v>0</v>
      </c>
      <c r="L20" s="586">
        <f t="shared" si="5"/>
        <v>4.25</v>
      </c>
      <c r="M20" s="684">
        <f t="shared" si="2"/>
        <v>-3.3295899999999996</v>
      </c>
      <c r="N20" s="47"/>
      <c r="O20" s="6"/>
    </row>
    <row r="21" spans="3:18" ht="12.75" customHeight="1" outlineLevel="1" x14ac:dyDescent="0.3">
      <c r="C21" s="33"/>
      <c r="D21" s="32"/>
      <c r="E21" s="36"/>
      <c r="F21" s="25" t="s">
        <v>80</v>
      </c>
      <c r="G21" s="579">
        <f>SUMIF(실적월!$A:$A,"법인세",실적월!$F:$F)/1000000</f>
        <v>0</v>
      </c>
      <c r="H21" s="155">
        <v>0</v>
      </c>
      <c r="I21" s="562">
        <f t="shared" ref="I21:I27" si="6">G21+H21*$P$4/1000</f>
        <v>0</v>
      </c>
      <c r="J21" s="581">
        <f>SUMIF(계획월!$A:$A,"법인세",계획월!$F:$F)/1000000</f>
        <v>0</v>
      </c>
      <c r="K21" s="155">
        <v>0</v>
      </c>
      <c r="L21" s="564">
        <f t="shared" ref="L21:L27" si="7">J21+K21*$P$4/1000</f>
        <v>0</v>
      </c>
      <c r="M21" s="681">
        <f t="shared" si="2"/>
        <v>0</v>
      </c>
      <c r="N21" s="47"/>
      <c r="O21" s="6"/>
    </row>
    <row r="22" spans="3:18" ht="12.75" customHeight="1" outlineLevel="1" x14ac:dyDescent="0.3">
      <c r="C22" s="33"/>
      <c r="D22" s="32"/>
      <c r="E22" s="36"/>
      <c r="F22" s="36" t="s">
        <v>81</v>
      </c>
      <c r="G22" s="579">
        <f>SUMIF(실적월!$A:$A,"부가가치세",실적월!$F:$F)/1000000</f>
        <v>3.6593499999999999</v>
      </c>
      <c r="H22" s="155">
        <v>0</v>
      </c>
      <c r="I22" s="565">
        <f t="shared" si="6"/>
        <v>3.6593499999999999</v>
      </c>
      <c r="J22" s="581">
        <f>SUMIF(계획월!$A:$A,"부가가치세",계획월!$F:$F)/1000000</f>
        <v>0</v>
      </c>
      <c r="K22" s="155">
        <v>0</v>
      </c>
      <c r="L22" s="568">
        <f t="shared" si="7"/>
        <v>0</v>
      </c>
      <c r="M22" s="682">
        <f t="shared" si="2"/>
        <v>-3.6593499999999999</v>
      </c>
      <c r="N22" s="49" t="s">
        <v>82</v>
      </c>
      <c r="O22" s="6"/>
    </row>
    <row r="23" spans="3:18" ht="12.75" customHeight="1" outlineLevel="1" x14ac:dyDescent="0.3">
      <c r="C23" s="33"/>
      <c r="D23" s="32"/>
      <c r="E23" s="36"/>
      <c r="F23" s="36" t="s">
        <v>83</v>
      </c>
      <c r="G23" s="579">
        <f>SUMIF(실적월!$A:$A,"원천세",실적월!$F:$F)/1000000</f>
        <v>3.9202400000000002</v>
      </c>
      <c r="H23" s="155">
        <v>0</v>
      </c>
      <c r="I23" s="565">
        <f t="shared" si="6"/>
        <v>3.9202400000000002</v>
      </c>
      <c r="J23" s="581">
        <f>SUMIF(계획월!$A:$A,"원천세",계획월!$F:$F)/1000000</f>
        <v>4</v>
      </c>
      <c r="K23" s="155">
        <v>0</v>
      </c>
      <c r="L23" s="568">
        <f t="shared" si="7"/>
        <v>4</v>
      </c>
      <c r="M23" s="682">
        <f t="shared" si="2"/>
        <v>7.9759999999999831E-2</v>
      </c>
      <c r="N23" s="49" t="s">
        <v>84</v>
      </c>
      <c r="O23" s="6"/>
    </row>
    <row r="24" spans="3:18" ht="12.75" customHeight="1" outlineLevel="1" x14ac:dyDescent="0.3">
      <c r="C24" s="33"/>
      <c r="D24" s="32"/>
      <c r="E24" s="41"/>
      <c r="F24" s="41" t="s">
        <v>85</v>
      </c>
      <c r="G24" s="582">
        <f>SUMIF(실적월!$A:$A,"기타제세공과금",실적월!$F:$F)/1000000</f>
        <v>0</v>
      </c>
      <c r="H24" s="589">
        <v>0</v>
      </c>
      <c r="I24" s="584">
        <f t="shared" si="6"/>
        <v>0</v>
      </c>
      <c r="J24" s="585">
        <f>SUMIF(계획월!$A:$A,"기타제세공과금",계획월!$F:$F)/1000000</f>
        <v>0.25</v>
      </c>
      <c r="K24" s="589">
        <v>0</v>
      </c>
      <c r="L24" s="586">
        <f t="shared" si="7"/>
        <v>0.25</v>
      </c>
      <c r="M24" s="684">
        <f t="shared" si="2"/>
        <v>0.25</v>
      </c>
      <c r="N24" s="47"/>
      <c r="O24" s="6"/>
    </row>
    <row r="25" spans="3:18" ht="12.75" customHeight="1" x14ac:dyDescent="0.3">
      <c r="C25" s="33"/>
      <c r="D25" s="32"/>
      <c r="E25" s="36" t="s">
        <v>86</v>
      </c>
      <c r="F25" s="43"/>
      <c r="G25" s="565">
        <f>SUMIFS(실적월!$F:$F,실적월!$A:$A,E25,실적월!$D:$D,"KRW")/1000000</f>
        <v>0</v>
      </c>
      <c r="H25" s="155">
        <v>0</v>
      </c>
      <c r="I25" s="565">
        <f t="shared" si="6"/>
        <v>0</v>
      </c>
      <c r="J25" s="567">
        <f>SUMIFS(계획월!$F:$F,계획월!$A:$A,E25,계획월!$D:$D,"KRW")/1000000</f>
        <v>0</v>
      </c>
      <c r="K25" s="155">
        <v>0</v>
      </c>
      <c r="L25" s="568">
        <f t="shared" si="7"/>
        <v>0</v>
      </c>
      <c r="M25" s="682">
        <f t="shared" si="2"/>
        <v>0</v>
      </c>
      <c r="N25" s="47"/>
      <c r="O25" s="6"/>
      <c r="R25" s="3"/>
    </row>
    <row r="26" spans="3:18" ht="12.75" customHeight="1" x14ac:dyDescent="0.3">
      <c r="C26" s="33"/>
      <c r="D26" s="32"/>
      <c r="E26" s="36" t="s">
        <v>87</v>
      </c>
      <c r="F26" s="43"/>
      <c r="G26" s="565">
        <f>SUMIFS(실적월!$F:$F,실적월!$A:$A,"S/W",실적월!$D:$D,"KRW")/1000000+SUMIFS(실적월!$F:$F,실적월!$A:$A,"H/W",실적월!$D:$D,"KRW")/1000000+SUMIFS(실적월!$F:$F,실적월!$A:$A,"시설장치",실적월!$D:$D,"KRW")/1000000+SUMIFS(실적월!$F:$F,실적월!$A:$A,"차량",실적월!$D:$D,"KRW")/1000000</f>
        <v>0</v>
      </c>
      <c r="H26" s="570">
        <f>SUMIFS(실적월!$F:$F,실적월!$A:$A,"S/W",실적월!$D:$D,"USD")/1000+SUMIFS(실적월!$F:$F,실적월!$A:$A,"H/W",실적월!$D:$D,"USD")/1000+SUMIFS(실적월!$F:$F,실적월!$A:$A,"시설장치",실적월!$D:$D,"USD")/1000</f>
        <v>0</v>
      </c>
      <c r="I26" s="565">
        <f t="shared" si="6"/>
        <v>0</v>
      </c>
      <c r="J26" s="567">
        <f>SUMIFS(계획월!$F:$F,계획월!$A:$A,"S/W",계획월!$D:$D,"KRW")/1000000+SUMIFS(계획월!$F:$F,계획월!$A:$A,"H/W",계획월!$D:$D,"KRW")/1000000+SUMIFS(계획월!$F:$F,계획월!$A:$A,"시설장치",계획월!$D:$D,"KRW")/1000000+SUMIFS(계획월!$F:$F,계획월!$A:$A,"차량",계획월!$D:$D,"KRW")/1000000</f>
        <v>8.25E-4</v>
      </c>
      <c r="K26" s="570">
        <f>SUMIFS(계획월!$F:$F,계획월!$A:$A,"S/W",계획월!$D:$D,"USD")/1000+SUMIFS(계획월!$F:$F,계획월!$A:$A,"H/W",계획월!$D:$D,"USD")/1000+SUMIFS(계획월!$F:$F,계획월!$A:$A,"시설장치",계획월!$D:$D,"USD")/1000</f>
        <v>0</v>
      </c>
      <c r="L26" s="568">
        <f t="shared" si="7"/>
        <v>8.25E-4</v>
      </c>
      <c r="M26" s="682">
        <f t="shared" si="2"/>
        <v>8.25E-4</v>
      </c>
      <c r="N26" s="49"/>
      <c r="O26" s="6"/>
      <c r="R26" s="3"/>
    </row>
    <row r="27" spans="3:18" ht="12.75" customHeight="1" outlineLevel="1" x14ac:dyDescent="0.3">
      <c r="C27" s="33"/>
      <c r="D27" s="32"/>
      <c r="E27" s="36" t="s">
        <v>88</v>
      </c>
      <c r="F27" s="36"/>
      <c r="G27" s="565">
        <f>SUMIF(실적월!$A:$A,"투자금",실적월!$F:$F)/1000000+SUMIF(실적월!$A:$A,"지분투자",실적월!$F:$F)/1000000</f>
        <v>0</v>
      </c>
      <c r="H27" s="570">
        <v>0</v>
      </c>
      <c r="I27" s="579">
        <f t="shared" si="6"/>
        <v>0</v>
      </c>
      <c r="J27" s="567">
        <f>SUMIFS(계획월!$F:$F,계획월!$A:$A,"투자금",계획월!$D:$D,"KRW")/1000000</f>
        <v>0</v>
      </c>
      <c r="K27" s="570">
        <f>SUMIFS(계획월!$F:$F,계획월!$A:$A,"투자금",계획월!$D:$D,"USD")/1000</f>
        <v>0</v>
      </c>
      <c r="L27" s="568">
        <f t="shared" si="7"/>
        <v>0</v>
      </c>
      <c r="M27" s="682">
        <f t="shared" si="2"/>
        <v>0</v>
      </c>
      <c r="N27" s="49"/>
      <c r="O27" s="6"/>
      <c r="P27" s="534"/>
    </row>
    <row r="28" spans="3:18" ht="12.75" customHeight="1" x14ac:dyDescent="0.3">
      <c r="C28" s="33"/>
      <c r="D28" s="32"/>
      <c r="E28" s="36" t="s">
        <v>67</v>
      </c>
      <c r="F28" s="43"/>
      <c r="G28" s="584">
        <f t="shared" ref="G28:L28" si="8">SUM(G29:G32)</f>
        <v>14.023700000000002</v>
      </c>
      <c r="H28" s="589">
        <f t="shared" si="8"/>
        <v>0</v>
      </c>
      <c r="I28" s="584">
        <f t="shared" si="8"/>
        <v>14.023700000000002</v>
      </c>
      <c r="J28" s="590">
        <f t="shared" si="8"/>
        <v>6.1221442000000001</v>
      </c>
      <c r="K28" s="589">
        <f t="shared" si="8"/>
        <v>0</v>
      </c>
      <c r="L28" s="586">
        <f t="shared" si="8"/>
        <v>6.1221442000000001</v>
      </c>
      <c r="M28" s="684">
        <f t="shared" si="2"/>
        <v>-7.9015558000000015</v>
      </c>
      <c r="N28" s="49"/>
      <c r="O28" s="6"/>
      <c r="R28" s="3"/>
    </row>
    <row r="29" spans="3:18" ht="12.75" customHeight="1" outlineLevel="1" x14ac:dyDescent="0.3">
      <c r="C29" s="33"/>
      <c r="D29" s="32"/>
      <c r="E29" s="32"/>
      <c r="F29" s="25" t="s">
        <v>89</v>
      </c>
      <c r="G29" s="565">
        <f>SUMIFS(실적월!$F:$F,실적월!$A:$A,"전산유지비",실적월!$D:$D,"KRW")/1000000</f>
        <v>0.68539099999999997</v>
      </c>
      <c r="H29" s="570">
        <f>SUMIFS(실적월!$F:$F,실적월!$A:$A,F29,실적월!$D:$D,"USD")/1000</f>
        <v>0</v>
      </c>
      <c r="I29" s="576">
        <f t="shared" ref="I29:I38" si="9">G29+H29*$P$4/1000</f>
        <v>0.68539099999999997</v>
      </c>
      <c r="J29" s="567">
        <f>SUMIFS(계획월!$F:$F,계획월!$A:$A,F29,계획월!$D:$D,"KRW")/1000000</f>
        <v>0</v>
      </c>
      <c r="K29" s="570">
        <f>SUMIFS(계획월!$F:$F,계획월!$A:$A,F29,계획월!$D:$D,"USD")/1000</f>
        <v>0</v>
      </c>
      <c r="L29" s="591">
        <f t="shared" ref="L29:L38" si="10">J29+K29*$P$4/1000</f>
        <v>0</v>
      </c>
      <c r="M29" s="685">
        <f t="shared" si="2"/>
        <v>-0.68539099999999997</v>
      </c>
      <c r="N29" s="44" t="s">
        <v>90</v>
      </c>
      <c r="O29" s="6"/>
    </row>
    <row r="30" spans="3:18" ht="12.75" customHeight="1" outlineLevel="1" x14ac:dyDescent="0.3">
      <c r="C30" s="33"/>
      <c r="D30" s="32"/>
      <c r="E30" s="32"/>
      <c r="F30" s="36" t="s">
        <v>91</v>
      </c>
      <c r="G30" s="565">
        <f>SUMIFS(실적월!$F:$F,실적월!$A:$A,"외주용역비",실적월!$D:$D,"KRW")/1000000</f>
        <v>0</v>
      </c>
      <c r="H30" s="570">
        <f>SUMIFS(실적월!$F:$F,실적월!$A:$A,"외주용역비",실적월!$D:$D,"USD")/1000</f>
        <v>0</v>
      </c>
      <c r="I30" s="579">
        <f t="shared" si="9"/>
        <v>0</v>
      </c>
      <c r="J30" s="567">
        <f>SUMIFS(계획월!$F:$F,계획월!$A:$A,"외주용역비",계획월!$D:$D,"KRW")/1000000</f>
        <v>0</v>
      </c>
      <c r="K30" s="570">
        <f>SUMIFS(계획월!$F:$F,계획월!$A:$A,"외주용역비",계획월!$D:$D,"USD")/1000</f>
        <v>0</v>
      </c>
      <c r="L30" s="568">
        <f t="shared" si="10"/>
        <v>0</v>
      </c>
      <c r="M30" s="682">
        <f t="shared" si="2"/>
        <v>0</v>
      </c>
      <c r="N30" s="44"/>
      <c r="O30" s="6"/>
      <c r="P30" s="534"/>
    </row>
    <row r="31" spans="3:18" ht="12.75" customHeight="1" outlineLevel="1" x14ac:dyDescent="0.3">
      <c r="C31" s="33"/>
      <c r="D31" s="32"/>
      <c r="E31" s="32"/>
      <c r="F31" s="36" t="s">
        <v>92</v>
      </c>
      <c r="G31" s="565">
        <f>SUMIFS(실적월!$F:$F,실적월!$A:$A,"경영지원용역비",실적월!$D:$D,"KRW")/1000000</f>
        <v>3.309631</v>
      </c>
      <c r="H31" s="570">
        <f>SUMIFS(실적월!$F:$F,실적월!$A:$A,"경영지원용역비",실적월!$D:$D,"USD")/1000+SUMIFS(실적월!$F:$F,실적월!$A:$A,"업무지원용역비",실적월!$D:$D,"USD")/1000+SUMIFS(실적월!$F:$F,실적월!$A:$A,"운영용역비",실적월!$D:$D,"USD")/1000</f>
        <v>0</v>
      </c>
      <c r="I31" s="579">
        <f t="shared" si="9"/>
        <v>3.309631</v>
      </c>
      <c r="J31" s="567">
        <f>SUMIFS(계획월!$F:$F,계획월!$A:$A,"경영지원용역비",계획월!$D:$D,"KRW")/1000000</f>
        <v>4.3688999999999999E-2</v>
      </c>
      <c r="K31" s="570">
        <f>SUMIFS(계획월!$F:$F,계획월!$A:$A,"경영지원용역비",계획월!$D:$D,"USD")/1000</f>
        <v>0</v>
      </c>
      <c r="L31" s="568">
        <f t="shared" si="10"/>
        <v>4.3688999999999999E-2</v>
      </c>
      <c r="M31" s="682">
        <f t="shared" si="2"/>
        <v>-3.2659419999999999</v>
      </c>
      <c r="N31" s="49" t="s">
        <v>93</v>
      </c>
      <c r="O31" s="6"/>
      <c r="P31" s="534"/>
    </row>
    <row r="32" spans="3:18" ht="12.75" customHeight="1" outlineLevel="1" x14ac:dyDescent="0.3">
      <c r="C32" s="33"/>
      <c r="D32" s="32"/>
      <c r="E32" s="32"/>
      <c r="F32" s="36" t="s">
        <v>67</v>
      </c>
      <c r="G32" s="565">
        <f>SUMIFS(실적월!$F:$F,실적월!$A:$A,"기타지출",실적월!$D:$D,"KRW")/1000000+SUMIFS(실적월!$F:$F,실적월!$A:$A,"지급임차료",실적월!$D:$D,"KRW")/1000000+SUMIFS(실적월!$F:$F,실적월!$A:$A,"지급수수료",실적월!$D:$D,"KRW")/1000000+SUMIFS(실적월!$F:$F,실적월!$A:$A,"복리후생비",실적월!$D:$D,"KRW")/1000000+SUMIFS(실적월!$F:$F,실적월!$A:$A,"식당운영비",실적월!$D:$D,"KRW")/1000000+SUMIFS(실적월!$F:$F,실적월!$A:$A,"직원비용",실적월!$D:$D,"KRW")/1000000</f>
        <v>10.028678000000001</v>
      </c>
      <c r="H32" s="570">
        <f>SUMIFS(실적월!$F:$F,실적월!$A:$A,"기타",실적월!$D:$D,"USD")/1000</f>
        <v>0</v>
      </c>
      <c r="I32" s="579">
        <f t="shared" si="9"/>
        <v>10.028678000000001</v>
      </c>
      <c r="J32" s="567">
        <f>SUMIFS(계획월!$F:$F,계획월!$A:$A,"기타지출",계획월!$D:$D,"KRW")/1000000+SUMIFS(계획월!$F:$F,계획월!$A:$A,"지급임차료",계획월!$D:$D,"KRW")/1000000+SUMIFS(계획월!$F:$F,계획월!$A:$A,"지급수수료",계획월!$D:$D,"KRW")/1000000+SUMIFS(계획월!$F:$F,계획월!$A:$A,"복리후생비",계획월!$D:$D,"KRW")/1000000+SUMIFS(계획월!$F:$F,계획월!$A:$A,"식당운영비",계획월!$D:$D,"KRW")/1000000+SUMIFS(계획월!$F:$F,계획월!$A:$A,"직원비용",계획월!$D:$D,"KRW")/1000000</f>
        <v>6.0784552000000005</v>
      </c>
      <c r="K32" s="570">
        <f>SUMIFS(계획월!$F:$F,계획월!$A:$A,"기타",계획월!$D:$D,"USD")/1000</f>
        <v>0</v>
      </c>
      <c r="L32" s="568">
        <f t="shared" si="10"/>
        <v>6.0784552000000005</v>
      </c>
      <c r="M32" s="682">
        <f t="shared" si="2"/>
        <v>-3.9502228000000006</v>
      </c>
      <c r="N32" s="44"/>
      <c r="O32" s="6"/>
    </row>
    <row r="33" spans="3:17" ht="12.75" customHeight="1" outlineLevel="2" x14ac:dyDescent="0.3">
      <c r="C33" s="33"/>
      <c r="D33" s="32"/>
      <c r="E33" s="32"/>
      <c r="F33" s="25" t="s">
        <v>94</v>
      </c>
      <c r="G33" s="562">
        <f>SUMIFS(실적월!$F:$F,실적월!$A:$A,"복리후생비",실적월!$D:$D,"KRW")/1000000</f>
        <v>0.156247</v>
      </c>
      <c r="H33" s="153">
        <v>0</v>
      </c>
      <c r="I33" s="591">
        <f t="shared" si="9"/>
        <v>0.156247</v>
      </c>
      <c r="J33" s="563">
        <f>SUMIFS(계획월!$F:$F,계획월!$A:$A,"복리후생비",계획월!$D:$D,"KRW")/1000000</f>
        <v>9.7000199999999995E-2</v>
      </c>
      <c r="K33" s="577">
        <v>0</v>
      </c>
      <c r="L33" s="564">
        <f t="shared" si="10"/>
        <v>9.7000199999999995E-2</v>
      </c>
      <c r="M33" s="681">
        <f t="shared" si="2"/>
        <v>-5.9246800000000002E-2</v>
      </c>
      <c r="N33" s="44" t="s">
        <v>95</v>
      </c>
      <c r="O33" s="6"/>
    </row>
    <row r="34" spans="3:17" ht="12.75" customHeight="1" outlineLevel="2" x14ac:dyDescent="0.3">
      <c r="C34" s="33"/>
      <c r="D34" s="32"/>
      <c r="E34" s="32"/>
      <c r="F34" s="36" t="s">
        <v>96</v>
      </c>
      <c r="G34" s="565">
        <f>SUMIFS(실적월!$F:$F,실적월!$A:$A,"식당운영비",실적월!$D:$D,"KRW")/1000000</f>
        <v>0</v>
      </c>
      <c r="H34" s="155">
        <v>0</v>
      </c>
      <c r="I34" s="579">
        <f t="shared" si="9"/>
        <v>0</v>
      </c>
      <c r="J34" s="567">
        <f>SUMIFS(계획월!$F:$F,계획월!$A:$A,"식당운영비",계획월!$D:$D,"KRW")/1000000</f>
        <v>0</v>
      </c>
      <c r="K34" s="580">
        <v>0</v>
      </c>
      <c r="L34" s="568">
        <f t="shared" si="10"/>
        <v>0</v>
      </c>
      <c r="M34" s="682">
        <f t="shared" si="2"/>
        <v>0</v>
      </c>
      <c r="N34" s="44"/>
      <c r="O34" s="6"/>
    </row>
    <row r="35" spans="3:17" ht="12.75" customHeight="1" outlineLevel="2" x14ac:dyDescent="0.3">
      <c r="C35" s="33"/>
      <c r="D35" s="32"/>
      <c r="E35" s="32"/>
      <c r="F35" s="36" t="s">
        <v>97</v>
      </c>
      <c r="G35" s="565">
        <f>SUMIFS(실적월!$F:$F,실적월!$A:$A,"직원비용",실적월!$D:$D,"KRW")/1000000</f>
        <v>8.7171610000000008</v>
      </c>
      <c r="H35" s="155">
        <v>0</v>
      </c>
      <c r="I35" s="579">
        <f t="shared" si="9"/>
        <v>8.7171610000000008</v>
      </c>
      <c r="J35" s="567">
        <f>SUMIFS(계획월!$F:$F,계획월!$A:$A,"직원비용",계획월!$D:$D,"KRW")/1000000</f>
        <v>4.6100000000000003</v>
      </c>
      <c r="K35" s="580">
        <v>0</v>
      </c>
      <c r="L35" s="568">
        <f t="shared" si="10"/>
        <v>4.6100000000000003</v>
      </c>
      <c r="M35" s="682">
        <f t="shared" si="2"/>
        <v>-4.1071610000000005</v>
      </c>
      <c r="N35" s="49" t="s">
        <v>98</v>
      </c>
      <c r="O35" s="6"/>
    </row>
    <row r="36" spans="3:17" ht="12.75" customHeight="1" outlineLevel="2" x14ac:dyDescent="0.3">
      <c r="C36" s="33"/>
      <c r="D36" s="32"/>
      <c r="E36" s="32"/>
      <c r="F36" s="36" t="s">
        <v>99</v>
      </c>
      <c r="G36" s="565">
        <f>SUMIFS(실적월!$F:$F,실적월!$A:$A,"지급임차료",실적월!$D:$D,"KRW")/1000000</f>
        <v>0.91924799999999995</v>
      </c>
      <c r="H36" s="155">
        <v>0</v>
      </c>
      <c r="I36" s="579">
        <f t="shared" si="9"/>
        <v>0.91924799999999995</v>
      </c>
      <c r="J36" s="567">
        <f>SUMIFS(계획월!$F:$F,계획월!$A:$A,"지급임차료",계획월!$D:$D,"KRW")/1000000</f>
        <v>0.91924799999999995</v>
      </c>
      <c r="K36" s="580">
        <v>0</v>
      </c>
      <c r="L36" s="568">
        <f t="shared" si="10"/>
        <v>0.91924799999999995</v>
      </c>
      <c r="M36" s="682">
        <f t="shared" si="2"/>
        <v>0</v>
      </c>
      <c r="N36" s="360" t="s">
        <v>100</v>
      </c>
      <c r="O36" s="6"/>
    </row>
    <row r="37" spans="3:17" ht="12.75" customHeight="1" outlineLevel="2" x14ac:dyDescent="0.3">
      <c r="C37" s="33"/>
      <c r="D37" s="32"/>
      <c r="E37" s="32"/>
      <c r="F37" s="36" t="s">
        <v>101</v>
      </c>
      <c r="G37" s="565">
        <f>SUMIFS(실적월!$F:$F,실적월!$A:$A,"지급수수료",실적월!$D:$D,"KRW")/1000000</f>
        <v>0</v>
      </c>
      <c r="H37" s="155">
        <v>0</v>
      </c>
      <c r="I37" s="579">
        <f t="shared" si="9"/>
        <v>0</v>
      </c>
      <c r="J37" s="567">
        <f>SUMIFS(계획월!$F:$F,계획월!$A:$A,"지급수수료",계획월!$D:$D,"KRW")/1000000</f>
        <v>0</v>
      </c>
      <c r="K37" s="580">
        <v>0</v>
      </c>
      <c r="L37" s="568">
        <f t="shared" si="10"/>
        <v>0</v>
      </c>
      <c r="M37" s="682">
        <f t="shared" si="2"/>
        <v>0</v>
      </c>
      <c r="N37" s="49"/>
      <c r="O37" s="6"/>
    </row>
    <row r="38" spans="3:17" ht="12.75" customHeight="1" outlineLevel="2" x14ac:dyDescent="0.3">
      <c r="C38" s="33"/>
      <c r="D38" s="32"/>
      <c r="E38" s="31"/>
      <c r="F38" s="15" t="s">
        <v>102</v>
      </c>
      <c r="G38" s="592">
        <f>G32-SUM(G33:G37)</f>
        <v>0.23602200000000018</v>
      </c>
      <c r="H38" s="593">
        <v>0</v>
      </c>
      <c r="I38" s="579">
        <f t="shared" si="9"/>
        <v>0.23602200000000018</v>
      </c>
      <c r="J38" s="594">
        <f>J32-SUM(J33:J37)</f>
        <v>0.45220700000000047</v>
      </c>
      <c r="K38" s="595">
        <v>0</v>
      </c>
      <c r="L38" s="596">
        <f t="shared" si="10"/>
        <v>0.45220700000000047</v>
      </c>
      <c r="M38" s="686">
        <f t="shared" si="2"/>
        <v>0.21618500000000029</v>
      </c>
      <c r="N38" s="49" t="s">
        <v>103</v>
      </c>
      <c r="O38" s="6"/>
      <c r="Q38" s="3"/>
    </row>
    <row r="39" spans="3:17" ht="12.75" customHeight="1" x14ac:dyDescent="0.3">
      <c r="C39" s="29" t="s">
        <v>104</v>
      </c>
      <c r="D39" s="29"/>
      <c r="E39" s="29"/>
      <c r="F39" s="28"/>
      <c r="G39" s="554">
        <f t="shared" ref="G39:L39" si="11">G40-G41</f>
        <v>0</v>
      </c>
      <c r="H39" s="555">
        <f t="shared" si="11"/>
        <v>0</v>
      </c>
      <c r="I39" s="554">
        <f t="shared" si="11"/>
        <v>0</v>
      </c>
      <c r="J39" s="556">
        <f t="shared" si="11"/>
        <v>0</v>
      </c>
      <c r="K39" s="555">
        <f t="shared" si="11"/>
        <v>0</v>
      </c>
      <c r="L39" s="557">
        <f t="shared" si="11"/>
        <v>0</v>
      </c>
      <c r="M39" s="687">
        <f t="shared" si="2"/>
        <v>0</v>
      </c>
      <c r="N39" s="27"/>
      <c r="O39" s="6"/>
    </row>
    <row r="40" spans="3:17" ht="12.75" customHeight="1" x14ac:dyDescent="0.3">
      <c r="C40" s="18"/>
      <c r="D40" s="25" t="s">
        <v>105</v>
      </c>
      <c r="E40" s="17"/>
      <c r="F40" s="17"/>
      <c r="G40" s="562">
        <f>SUMIFS(실적월!$E:$E,실적월!$A:$A,"금융상품",실적월!$D:$D,"KRW")/1000000</f>
        <v>0</v>
      </c>
      <c r="H40" s="153">
        <f>SUMIFS(실적월!$E:$E,실적월!$A:$A,"금융상품",실적월!$D:$D,"USD")/1000</f>
        <v>0</v>
      </c>
      <c r="I40" s="562">
        <f>G40+H40*$P$4/1000</f>
        <v>0</v>
      </c>
      <c r="J40" s="563">
        <f>SUMIFS(계획월!$E:$E,계획월!$A:$A,"금융상품",계획월!$D:$D,"KRW")/1000000</f>
        <v>0</v>
      </c>
      <c r="K40" s="153">
        <f>SUMIFS(계획월!$E:$E,계획월!$A:$A,"금융상품",계획월!$D:$D,"USD")/1000</f>
        <v>0</v>
      </c>
      <c r="L40" s="564">
        <f>J40+K40*$P$4/1000</f>
        <v>0</v>
      </c>
      <c r="M40" s="681">
        <f t="shared" si="2"/>
        <v>0</v>
      </c>
      <c r="N40" s="142"/>
      <c r="O40" s="6"/>
    </row>
    <row r="41" spans="3:17" ht="12.75" customHeight="1" x14ac:dyDescent="0.3">
      <c r="C41" s="14"/>
      <c r="D41" s="15" t="s">
        <v>106</v>
      </c>
      <c r="E41" s="14"/>
      <c r="F41" s="14"/>
      <c r="G41" s="592">
        <f>SUMIFS(실적월!$F:$F,실적월!$A:$A,"금융상품",실적월!$D:$D,"KRW")/1000000</f>
        <v>0</v>
      </c>
      <c r="H41" s="597">
        <f>SUMIFS(실적월!$F:$F,실적월!$A:$A,"금융상품",실적월!$D:$D,"USD")/1000</f>
        <v>0</v>
      </c>
      <c r="I41" s="592">
        <f>G41+H41*$P$4/1000</f>
        <v>0</v>
      </c>
      <c r="J41" s="594">
        <f>SUMIFS(계획월!$F:$F,계획월!$A:$A,"금융상품",계획월!$D:$D,"KRW")/1000000</f>
        <v>0</v>
      </c>
      <c r="K41" s="598">
        <f>SUMIFS(계획월!$F:$F,계획월!$A:$A,"금융상품",계획월!$D:$D,"USD")/1000</f>
        <v>0</v>
      </c>
      <c r="L41" s="596">
        <f>J41+K41*$P$4/1000</f>
        <v>0</v>
      </c>
      <c r="M41" s="688">
        <f t="shared" si="2"/>
        <v>0</v>
      </c>
      <c r="N41" s="26"/>
      <c r="O41" s="6"/>
    </row>
    <row r="42" spans="3:17" ht="12.75" customHeight="1" x14ac:dyDescent="0.3">
      <c r="C42" s="23" t="s">
        <v>107</v>
      </c>
      <c r="D42" s="23"/>
      <c r="E42" s="22"/>
      <c r="F42" s="21"/>
      <c r="G42" s="554">
        <f t="shared" ref="G42:L42" si="12">G43-G44</f>
        <v>0</v>
      </c>
      <c r="H42" s="555">
        <f t="shared" si="12"/>
        <v>0</v>
      </c>
      <c r="I42" s="554">
        <f t="shared" si="12"/>
        <v>0</v>
      </c>
      <c r="J42" s="556">
        <f t="shared" si="12"/>
        <v>0</v>
      </c>
      <c r="K42" s="555">
        <f t="shared" si="12"/>
        <v>0</v>
      </c>
      <c r="L42" s="557">
        <f t="shared" si="12"/>
        <v>0</v>
      </c>
      <c r="M42" s="687">
        <f t="shared" si="2"/>
        <v>0</v>
      </c>
      <c r="N42" s="143"/>
      <c r="O42" s="6"/>
    </row>
    <row r="43" spans="3:17" ht="12.75" customHeight="1" x14ac:dyDescent="0.3">
      <c r="C43" s="18"/>
      <c r="D43" s="25" t="s">
        <v>108</v>
      </c>
      <c r="E43" s="17"/>
      <c r="F43" s="17"/>
      <c r="G43" s="599">
        <f>SUMIF(실적월!$A:$A,"외환매도",실적월!$E:$E)/1000000</f>
        <v>0</v>
      </c>
      <c r="H43" s="153">
        <f>SUMIF(실적월!$A:$A,"외환매입",실적월!$F:$F)/1000</f>
        <v>0</v>
      </c>
      <c r="I43" s="562">
        <f>G43+H43*$P$4/1000</f>
        <v>0</v>
      </c>
      <c r="J43" s="563">
        <f>SUMIF(계획월!$A:$A,"외환매도",계획월!$F:$F)/1000000</f>
        <v>0</v>
      </c>
      <c r="K43" s="153">
        <f>SUMIF(계획월!$A:$A,"외환매입",계획월!$E:$E)/1000</f>
        <v>0</v>
      </c>
      <c r="L43" s="564">
        <f>J43+K43*$P$4/1000</f>
        <v>0</v>
      </c>
      <c r="M43" s="689">
        <f t="shared" si="2"/>
        <v>0</v>
      </c>
      <c r="N43" s="24"/>
      <c r="O43" s="6"/>
    </row>
    <row r="44" spans="3:17" ht="12.75" customHeight="1" x14ac:dyDescent="0.3">
      <c r="C44" s="14"/>
      <c r="D44" s="15" t="s">
        <v>109</v>
      </c>
      <c r="E44" s="14"/>
      <c r="F44" s="14"/>
      <c r="G44" s="600">
        <f>SUMIF(실적월!$A:$A,"외환매입",실적월!$E:$E)/1000000</f>
        <v>0</v>
      </c>
      <c r="H44" s="593">
        <f>SUMIF(실적월!$A:$A,"외환매도",실적월!$F:$F)/1000</f>
        <v>0</v>
      </c>
      <c r="I44" s="592">
        <f>G44+(H44*$P$4/1000)</f>
        <v>0</v>
      </c>
      <c r="J44" s="594">
        <f>SUMIF(계획월!$A:$A,"외환매입",계획월!$F:$F)/1000000</f>
        <v>0</v>
      </c>
      <c r="K44" s="593">
        <f>SUMIF(계획월!$A:$A,"외환매도",계획월!$E:$E)/1000</f>
        <v>0</v>
      </c>
      <c r="L44" s="596">
        <f>J44+K44*$P$4/1000</f>
        <v>0</v>
      </c>
      <c r="M44" s="688">
        <f t="shared" si="2"/>
        <v>0</v>
      </c>
      <c r="N44" s="144"/>
      <c r="O44" s="6"/>
    </row>
    <row r="45" spans="3:17" ht="12.75" customHeight="1" x14ac:dyDescent="0.3">
      <c r="C45" s="23" t="s">
        <v>110</v>
      </c>
      <c r="D45" s="23"/>
      <c r="E45" s="22"/>
      <c r="F45" s="21"/>
      <c r="G45" s="554">
        <f t="shared" ref="G45:L45" si="13">G46-G47</f>
        <v>0</v>
      </c>
      <c r="H45" s="555">
        <f t="shared" si="13"/>
        <v>0</v>
      </c>
      <c r="I45" s="554">
        <f t="shared" si="13"/>
        <v>0</v>
      </c>
      <c r="J45" s="556">
        <f t="shared" si="13"/>
        <v>0</v>
      </c>
      <c r="K45" s="555">
        <f t="shared" si="13"/>
        <v>0</v>
      </c>
      <c r="L45" s="557">
        <f t="shared" si="13"/>
        <v>0</v>
      </c>
      <c r="M45" s="687">
        <f t="shared" si="2"/>
        <v>0</v>
      </c>
      <c r="N45" s="19"/>
      <c r="O45" s="6"/>
    </row>
    <row r="46" spans="3:17" ht="12.75" customHeight="1" x14ac:dyDescent="0.3">
      <c r="C46" s="18"/>
      <c r="D46" s="367" t="s">
        <v>108</v>
      </c>
      <c r="E46" s="17"/>
      <c r="F46" s="17"/>
      <c r="G46" s="599">
        <f>SUMIF(실적월!$A:$A,"차입금",실적월!$E:$E)/1000000+SUMIF(실적월!$A:$A,"투자금",실적월!$E:$E)/1000000</f>
        <v>0</v>
      </c>
      <c r="H46" s="153">
        <v>0</v>
      </c>
      <c r="I46" s="562">
        <f>G46+H46*$P$4/1000</f>
        <v>0</v>
      </c>
      <c r="J46" s="563">
        <v>0</v>
      </c>
      <c r="K46" s="153">
        <v>0</v>
      </c>
      <c r="L46" s="564">
        <f>J46+K46*$P$4/1000</f>
        <v>0</v>
      </c>
      <c r="M46" s="689">
        <f t="shared" si="2"/>
        <v>0</v>
      </c>
      <c r="N46" s="44"/>
      <c r="O46" s="6"/>
    </row>
    <row r="47" spans="3:17" ht="12.75" customHeight="1" x14ac:dyDescent="0.3">
      <c r="C47" s="14"/>
      <c r="D47" s="15" t="s">
        <v>109</v>
      </c>
      <c r="E47" s="14"/>
      <c r="F47" s="14"/>
      <c r="G47" s="600">
        <f>SUMIF(실적월!$A:$A,"차입금상환",실적월!$F:$F)/1000000</f>
        <v>0</v>
      </c>
      <c r="H47" s="593">
        <v>0</v>
      </c>
      <c r="I47" s="592">
        <f>G47+(H47*$P$4/1000)</f>
        <v>0</v>
      </c>
      <c r="J47" s="594">
        <v>0</v>
      </c>
      <c r="K47" s="593">
        <v>0</v>
      </c>
      <c r="L47" s="596">
        <f>J47+K47*$P$4/1000</f>
        <v>0</v>
      </c>
      <c r="M47" s="688">
        <f t="shared" si="2"/>
        <v>0</v>
      </c>
      <c r="N47" s="12"/>
      <c r="O47" s="6"/>
    </row>
    <row r="48" spans="3:17" ht="12.75" customHeight="1" x14ac:dyDescent="0.3">
      <c r="C48" s="10" t="s">
        <v>111</v>
      </c>
      <c r="D48" s="10"/>
      <c r="E48" s="10"/>
      <c r="F48" s="9"/>
      <c r="G48" s="550">
        <f t="shared" ref="G48:L48" si="14">G7+G39+G42+G45</f>
        <v>-41.138568999999997</v>
      </c>
      <c r="H48" s="551">
        <f t="shared" si="14"/>
        <v>0</v>
      </c>
      <c r="I48" s="550">
        <f t="shared" si="14"/>
        <v>-41.138568999999997</v>
      </c>
      <c r="J48" s="552">
        <f t="shared" si="14"/>
        <v>-30.305939200000001</v>
      </c>
      <c r="K48" s="551">
        <f t="shared" si="14"/>
        <v>0</v>
      </c>
      <c r="L48" s="553">
        <f t="shared" si="14"/>
        <v>-30.305939200000001</v>
      </c>
      <c r="M48" s="678">
        <f t="shared" si="2"/>
        <v>10.832629799999996</v>
      </c>
      <c r="N48" s="11"/>
      <c r="O48" s="6"/>
    </row>
    <row r="49" spans="3:18" s="134" customFormat="1" ht="12.75" customHeight="1" thickBot="1" x14ac:dyDescent="0.35">
      <c r="C49" s="691" t="s">
        <v>112</v>
      </c>
      <c r="D49" s="691"/>
      <c r="E49" s="691"/>
      <c r="F49" s="692"/>
      <c r="G49" s="693">
        <f t="shared" ref="G49:L49" si="15">G6+G48</f>
        <v>321.35731299999998</v>
      </c>
      <c r="H49" s="694">
        <f t="shared" si="15"/>
        <v>0</v>
      </c>
      <c r="I49" s="693">
        <f t="shared" si="15"/>
        <v>321.35731299999998</v>
      </c>
      <c r="J49" s="695">
        <f t="shared" si="15"/>
        <v>291.05137379999996</v>
      </c>
      <c r="K49" s="696">
        <f t="shared" si="15"/>
        <v>0</v>
      </c>
      <c r="L49" s="697">
        <f t="shared" si="15"/>
        <v>291.05137379999996</v>
      </c>
      <c r="M49" s="690">
        <f t="shared" si="2"/>
        <v>-30.305939200000012</v>
      </c>
      <c r="N49" s="698"/>
      <c r="O49" s="699"/>
      <c r="P49" s="136"/>
    </row>
    <row r="50" spans="3:18" ht="12.75" customHeight="1" x14ac:dyDescent="0.3">
      <c r="G50" s="655"/>
      <c r="R50" s="652"/>
    </row>
    <row r="51" spans="3:18" x14ac:dyDescent="0.3">
      <c r="G51" s="514"/>
      <c r="H51" s="4"/>
      <c r="J51" s="2"/>
      <c r="M51" s="5"/>
      <c r="N51" s="365"/>
    </row>
    <row r="52" spans="3:18" x14ac:dyDescent="0.3">
      <c r="H52" s="4"/>
      <c r="N52" s="365"/>
    </row>
    <row r="53" spans="3:18" x14ac:dyDescent="0.3">
      <c r="J53" s="3"/>
      <c r="L53" s="414"/>
      <c r="N53" s="364"/>
    </row>
    <row r="57" spans="3:18" x14ac:dyDescent="0.3">
      <c r="G57" s="2"/>
    </row>
  </sheetData>
  <mergeCells count="5">
    <mergeCell ref="M4:M5"/>
    <mergeCell ref="C4:F5"/>
    <mergeCell ref="N4:N5"/>
    <mergeCell ref="G4:I4"/>
    <mergeCell ref="J4:L4"/>
  </mergeCells>
  <phoneticPr fontId="2" type="noConversion"/>
  <conditionalFormatting sqref="F6:M12 G13:M49">
    <cfRule type="cellIs" dxfId="25" priority="1" operator="equal">
      <formula>0</formula>
    </cfRule>
  </conditionalFormatting>
  <conditionalFormatting sqref="M12">
    <cfRule type="cellIs" dxfId="24" priority="47" operator="equal">
      <formula>0</formula>
    </cfRule>
  </conditionalFormatting>
  <printOptions horizontalCentered="1"/>
  <pageMargins left="0.27559055118110237" right="0.23622047244094491" top="0.39370078740157483" bottom="0.43307086614173229" header="0.31496062992125978" footer="0.31496062992125978"/>
  <pageSetup paperSize="9" scale="85" orientation="landscape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2:AW52"/>
  <sheetViews>
    <sheetView showGridLines="0" view="pageBreakPreview" zoomScale="145" zoomScaleNormal="150" zoomScaleSheetLayoutView="145" workbookViewId="0">
      <pane xSplit="6" topLeftCell="L1" activePane="topRight" state="frozen"/>
      <selection pane="topRight" activeCell="AB46" sqref="AB46"/>
    </sheetView>
  </sheetViews>
  <sheetFormatPr defaultColWidth="8.625" defaultRowHeight="9.75" outlineLevelRow="1" x14ac:dyDescent="0.3"/>
  <cols>
    <col min="1" max="1" width="0.625" style="1" customWidth="1"/>
    <col min="2" max="2" width="1.875" style="1" customWidth="1"/>
    <col min="3" max="5" width="1.125" style="1" customWidth="1"/>
    <col min="6" max="6" width="15.375" style="1" customWidth="1"/>
    <col min="7" max="18" width="7.125" style="1" customWidth="1"/>
    <col min="19" max="19" width="7.125" style="1" customWidth="1" collapsed="1"/>
    <col min="20" max="24" width="7.125" style="1" customWidth="1"/>
    <col min="25" max="25" width="7.125" style="1" customWidth="1" collapsed="1"/>
    <col min="26" max="48" width="7.125" style="1" customWidth="1"/>
    <col min="49" max="49" width="8.625" style="1" customWidth="1"/>
    <col min="50" max="16384" width="8.625" style="1"/>
  </cols>
  <sheetData>
    <row r="2" spans="1:49" s="134" customFormat="1" ht="12" customHeight="1" x14ac:dyDescent="0.3">
      <c r="A2" s="134" t="s">
        <v>113</v>
      </c>
      <c r="I2" s="135"/>
      <c r="O2" s="135">
        <v>771398</v>
      </c>
    </row>
    <row r="3" spans="1:49" x14ac:dyDescent="0.3">
      <c r="R3" s="58"/>
      <c r="U3" s="58"/>
      <c r="V3" s="58"/>
      <c r="W3" s="58"/>
      <c r="AA3" s="58"/>
      <c r="AB3" s="58"/>
      <c r="AC3" s="58"/>
      <c r="AE3" s="58"/>
      <c r="AF3" s="58"/>
      <c r="AG3" s="58"/>
      <c r="AH3" s="58"/>
      <c r="AI3" s="58"/>
      <c r="AJ3" s="58"/>
      <c r="AK3" s="58"/>
      <c r="AL3" s="58"/>
      <c r="AM3" s="58"/>
      <c r="AV3" s="58" t="s">
        <v>18</v>
      </c>
      <c r="AW3" s="1">
        <v>12</v>
      </c>
    </row>
    <row r="4" spans="1:49" ht="12.75" customHeight="1" x14ac:dyDescent="0.3">
      <c r="C4" s="731" t="s">
        <v>2</v>
      </c>
      <c r="D4" s="729"/>
      <c r="E4" s="729"/>
      <c r="F4" s="716"/>
      <c r="G4" s="732" t="s">
        <v>114</v>
      </c>
      <c r="H4" s="709"/>
      <c r="I4" s="709"/>
      <c r="J4" s="735" t="s">
        <v>115</v>
      </c>
      <c r="K4" s="736"/>
      <c r="L4" s="737"/>
      <c r="M4" s="734" t="s">
        <v>116</v>
      </c>
      <c r="N4" s="709"/>
      <c r="O4" s="709"/>
      <c r="P4" s="735" t="s">
        <v>117</v>
      </c>
      <c r="Q4" s="736"/>
      <c r="R4" s="737"/>
      <c r="S4" s="735" t="s">
        <v>118</v>
      </c>
      <c r="T4" s="736"/>
      <c r="U4" s="737"/>
      <c r="V4" s="735" t="s">
        <v>119</v>
      </c>
      <c r="W4" s="736"/>
      <c r="X4" s="737"/>
      <c r="Y4" s="735" t="s">
        <v>120</v>
      </c>
      <c r="Z4" s="736"/>
      <c r="AA4" s="737"/>
      <c r="AB4" s="735" t="s">
        <v>121</v>
      </c>
      <c r="AC4" s="736"/>
      <c r="AD4" s="737"/>
      <c r="AE4" s="735" t="s">
        <v>122</v>
      </c>
      <c r="AF4" s="736"/>
      <c r="AG4" s="737"/>
      <c r="AH4" s="735" t="s">
        <v>123</v>
      </c>
      <c r="AI4" s="736"/>
      <c r="AJ4" s="737"/>
      <c r="AK4" s="735" t="s">
        <v>124</v>
      </c>
      <c r="AL4" s="736"/>
      <c r="AM4" s="737"/>
      <c r="AN4" s="735" t="s">
        <v>125</v>
      </c>
      <c r="AO4" s="736"/>
      <c r="AP4" s="737"/>
      <c r="AQ4" s="735" t="s">
        <v>126</v>
      </c>
      <c r="AR4" s="736"/>
      <c r="AS4" s="737"/>
      <c r="AT4" s="735" t="s">
        <v>127</v>
      </c>
      <c r="AU4" s="736"/>
      <c r="AV4" s="737"/>
    </row>
    <row r="5" spans="1:49" ht="12.75" customHeight="1" x14ac:dyDescent="0.3">
      <c r="C5" s="705"/>
      <c r="D5" s="705"/>
      <c r="E5" s="705"/>
      <c r="F5" s="712"/>
      <c r="G5" s="56" t="s">
        <v>21</v>
      </c>
      <c r="H5" s="53" t="s">
        <v>22</v>
      </c>
      <c r="I5" s="55" t="s">
        <v>58</v>
      </c>
      <c r="J5" s="179" t="s">
        <v>21</v>
      </c>
      <c r="K5" s="53" t="s">
        <v>22</v>
      </c>
      <c r="L5" s="180" t="s">
        <v>59</v>
      </c>
      <c r="M5" s="170" t="s">
        <v>21</v>
      </c>
      <c r="N5" s="53" t="s">
        <v>22</v>
      </c>
      <c r="O5" s="55" t="s">
        <v>58</v>
      </c>
      <c r="P5" s="179" t="s">
        <v>21</v>
      </c>
      <c r="Q5" s="53" t="s">
        <v>22</v>
      </c>
      <c r="R5" s="180" t="s">
        <v>59</v>
      </c>
      <c r="S5" s="179" t="s">
        <v>21</v>
      </c>
      <c r="T5" s="53" t="s">
        <v>22</v>
      </c>
      <c r="U5" s="180" t="s">
        <v>59</v>
      </c>
      <c r="V5" s="179" t="s">
        <v>21</v>
      </c>
      <c r="W5" s="53" t="s">
        <v>22</v>
      </c>
      <c r="X5" s="180" t="s">
        <v>59</v>
      </c>
      <c r="Y5" s="179" t="s">
        <v>21</v>
      </c>
      <c r="Z5" s="53" t="s">
        <v>22</v>
      </c>
      <c r="AA5" s="180" t="s">
        <v>59</v>
      </c>
      <c r="AB5" s="179" t="s">
        <v>21</v>
      </c>
      <c r="AC5" s="53" t="s">
        <v>22</v>
      </c>
      <c r="AD5" s="180" t="s">
        <v>59</v>
      </c>
      <c r="AE5" s="179" t="s">
        <v>21</v>
      </c>
      <c r="AF5" s="53" t="s">
        <v>22</v>
      </c>
      <c r="AG5" s="180" t="s">
        <v>59</v>
      </c>
      <c r="AH5" s="179" t="s">
        <v>21</v>
      </c>
      <c r="AI5" s="53" t="s">
        <v>22</v>
      </c>
      <c r="AJ5" s="180" t="s">
        <v>59</v>
      </c>
      <c r="AK5" s="179" t="s">
        <v>21</v>
      </c>
      <c r="AL5" s="53" t="s">
        <v>22</v>
      </c>
      <c r="AM5" s="180" t="s">
        <v>59</v>
      </c>
      <c r="AN5" s="179" t="s">
        <v>21</v>
      </c>
      <c r="AO5" s="53" t="s">
        <v>22</v>
      </c>
      <c r="AP5" s="180" t="s">
        <v>59</v>
      </c>
      <c r="AQ5" s="179" t="s">
        <v>21</v>
      </c>
      <c r="AR5" s="53" t="s">
        <v>22</v>
      </c>
      <c r="AS5" s="180" t="s">
        <v>59</v>
      </c>
      <c r="AT5" s="179" t="s">
        <v>21</v>
      </c>
      <c r="AU5" s="53" t="s">
        <v>22</v>
      </c>
      <c r="AV5" s="180" t="s">
        <v>59</v>
      </c>
    </row>
    <row r="6" spans="1:49" ht="12.75" customHeight="1" x14ac:dyDescent="0.3">
      <c r="C6" s="10" t="s">
        <v>128</v>
      </c>
      <c r="D6" s="10"/>
      <c r="E6" s="10"/>
      <c r="F6" s="10"/>
      <c r="G6" s="7">
        <v>3607.0897920000002</v>
      </c>
      <c r="H6" s="8">
        <v>0</v>
      </c>
      <c r="I6" s="7">
        <f>G6+H6*$R$46/1000</f>
        <v>3607.0897920000002</v>
      </c>
      <c r="J6" s="181">
        <f>G44</f>
        <v>3561.0751520000003</v>
      </c>
      <c r="K6" s="8">
        <f>H44</f>
        <v>0</v>
      </c>
      <c r="L6" s="182">
        <f>J6+K6*$R$46/1000</f>
        <v>3561.0751520000003</v>
      </c>
      <c r="M6" s="171">
        <f>J44</f>
        <v>3497.4780820000005</v>
      </c>
      <c r="N6" s="8">
        <v>0</v>
      </c>
      <c r="O6" s="7">
        <f>M6+N6*$R$46/1000</f>
        <v>3497.4780820000005</v>
      </c>
      <c r="P6" s="181">
        <f>M44</f>
        <v>2471.1936115000008</v>
      </c>
      <c r="Q6" s="8">
        <v>0</v>
      </c>
      <c r="R6" s="182">
        <f>P6+Q6*$R$46/1000</f>
        <v>2471.1936115000008</v>
      </c>
      <c r="S6" s="181">
        <f>P44</f>
        <v>2470.1373735000006</v>
      </c>
      <c r="T6" s="8">
        <f>Q44</f>
        <v>0</v>
      </c>
      <c r="U6" s="182">
        <f>S6+T6*U46/1000</f>
        <v>2470.1373735000006</v>
      </c>
      <c r="V6" s="181">
        <f>S44</f>
        <v>2488.5866575000005</v>
      </c>
      <c r="W6" s="8">
        <f>Q44</f>
        <v>0</v>
      </c>
      <c r="X6" s="182">
        <f>V6+W6*X46/1000</f>
        <v>2488.5866575000005</v>
      </c>
      <c r="Y6" s="181">
        <f>V44</f>
        <v>2462.3252125000004</v>
      </c>
      <c r="Z6" s="8">
        <f>T44</f>
        <v>0</v>
      </c>
      <c r="AA6" s="182">
        <f>Y6+Z6*AA46/1000</f>
        <v>2462.3252125000004</v>
      </c>
      <c r="AB6" s="181">
        <f>Y44</f>
        <v>2421.1866435000002</v>
      </c>
      <c r="AC6" s="8">
        <f>T44</f>
        <v>0</v>
      </c>
      <c r="AD6" s="182">
        <f>AB6+AC6*AD46/1000</f>
        <v>2421.1866435000002</v>
      </c>
      <c r="AE6" s="181">
        <f>AB44</f>
        <v>2390.1965043</v>
      </c>
      <c r="AF6" s="8">
        <f>T44</f>
        <v>0</v>
      </c>
      <c r="AG6" s="182">
        <f>AE6+AF6*AG46/1000</f>
        <v>2390.1965043</v>
      </c>
      <c r="AH6" s="181">
        <f>AE44</f>
        <v>2390.1965043</v>
      </c>
      <c r="AI6" s="8">
        <f>T44</f>
        <v>0</v>
      </c>
      <c r="AJ6" s="182">
        <f>AH6+AI6*AJ46/1000</f>
        <v>2390.1965043</v>
      </c>
      <c r="AK6" s="181">
        <f>AH44</f>
        <v>2390.1965043</v>
      </c>
      <c r="AL6" s="8">
        <f>T44</f>
        <v>0</v>
      </c>
      <c r="AM6" s="182">
        <f>AK6+AL6*AM46/1000</f>
        <v>2390.1965043</v>
      </c>
      <c r="AN6" s="181">
        <f>AK44</f>
        <v>2390.1965043</v>
      </c>
      <c r="AO6" s="8">
        <f>W44</f>
        <v>0</v>
      </c>
      <c r="AP6" s="182">
        <f>AN6+AO6*AP46/1000</f>
        <v>2390.1965043</v>
      </c>
      <c r="AQ6" s="181">
        <f>G6</f>
        <v>3607.0897920000002</v>
      </c>
      <c r="AR6" s="8">
        <f>Z44</f>
        <v>0</v>
      </c>
      <c r="AS6" s="182">
        <f>AQ6+AR6*AS46/1000</f>
        <v>3607.0897920000002</v>
      </c>
      <c r="AT6" s="181"/>
      <c r="AU6" s="8">
        <f>AC44</f>
        <v>0</v>
      </c>
      <c r="AV6" s="182">
        <f>AT6+AU6*AV46/1000</f>
        <v>0</v>
      </c>
    </row>
    <row r="7" spans="1:49" ht="12.75" customHeight="1" x14ac:dyDescent="0.3">
      <c r="C7" s="29" t="s">
        <v>61</v>
      </c>
      <c r="D7" s="29"/>
      <c r="E7" s="29"/>
      <c r="F7" s="28"/>
      <c r="G7" s="20">
        <f t="shared" ref="G7:AV7" si="0">G8-G13</f>
        <v>-46.014639999999993</v>
      </c>
      <c r="H7" s="151">
        <f t="shared" si="0"/>
        <v>0</v>
      </c>
      <c r="I7" s="20">
        <f t="shared" si="0"/>
        <v>-46.014639999999993</v>
      </c>
      <c r="J7" s="183">
        <f t="shared" si="0"/>
        <v>-63.597070000000002</v>
      </c>
      <c r="K7" s="151">
        <f t="shared" si="0"/>
        <v>0</v>
      </c>
      <c r="L7" s="184">
        <f t="shared" si="0"/>
        <v>-63.597070000000002</v>
      </c>
      <c r="M7" s="172">
        <f t="shared" si="0"/>
        <v>-1026.2844705</v>
      </c>
      <c r="N7" s="151">
        <f t="shared" si="0"/>
        <v>0</v>
      </c>
      <c r="O7" s="20">
        <f t="shared" si="0"/>
        <v>-1026.113801</v>
      </c>
      <c r="P7" s="183">
        <f t="shared" si="0"/>
        <v>-1.0562379999999933</v>
      </c>
      <c r="Q7" s="151">
        <f t="shared" si="0"/>
        <v>0</v>
      </c>
      <c r="R7" s="184">
        <f t="shared" si="0"/>
        <v>-1.0562379999999933</v>
      </c>
      <c r="S7" s="183">
        <f t="shared" si="0"/>
        <v>18.449283999999999</v>
      </c>
      <c r="T7" s="151">
        <f t="shared" si="0"/>
        <v>0</v>
      </c>
      <c r="U7" s="184">
        <f t="shared" si="0"/>
        <v>18.449283999999999</v>
      </c>
      <c r="V7" s="183">
        <f t="shared" si="0"/>
        <v>-26.261444999999995</v>
      </c>
      <c r="W7" s="151">
        <f t="shared" si="0"/>
        <v>0</v>
      </c>
      <c r="X7" s="184">
        <f t="shared" si="0"/>
        <v>-26.261444999999995</v>
      </c>
      <c r="Y7" s="183">
        <f t="shared" si="0"/>
        <v>-41.138568999999997</v>
      </c>
      <c r="Z7" s="151">
        <f t="shared" si="0"/>
        <v>0</v>
      </c>
      <c r="AA7" s="184">
        <f t="shared" si="0"/>
        <v>-41.138568999999997</v>
      </c>
      <c r="AB7" s="183">
        <f t="shared" si="0"/>
        <v>-30.990139200000002</v>
      </c>
      <c r="AC7" s="151">
        <f t="shared" si="0"/>
        <v>0</v>
      </c>
      <c r="AD7" s="184">
        <f t="shared" si="0"/>
        <v>-30.990139200000002</v>
      </c>
      <c r="AE7" s="183">
        <f t="shared" si="0"/>
        <v>0</v>
      </c>
      <c r="AF7" s="151">
        <f t="shared" si="0"/>
        <v>0</v>
      </c>
      <c r="AG7" s="184">
        <f t="shared" si="0"/>
        <v>0</v>
      </c>
      <c r="AH7" s="183">
        <f t="shared" si="0"/>
        <v>0</v>
      </c>
      <c r="AI7" s="151">
        <f t="shared" si="0"/>
        <v>0</v>
      </c>
      <c r="AJ7" s="184">
        <f t="shared" si="0"/>
        <v>0</v>
      </c>
      <c r="AK7" s="183">
        <f t="shared" si="0"/>
        <v>0</v>
      </c>
      <c r="AL7" s="151">
        <f t="shared" si="0"/>
        <v>0</v>
      </c>
      <c r="AM7" s="184">
        <f t="shared" si="0"/>
        <v>0</v>
      </c>
      <c r="AN7" s="183">
        <f t="shared" si="0"/>
        <v>0</v>
      </c>
      <c r="AO7" s="151">
        <f t="shared" si="0"/>
        <v>0</v>
      </c>
      <c r="AP7" s="184">
        <f t="shared" si="0"/>
        <v>0</v>
      </c>
      <c r="AQ7" s="183">
        <f t="shared" si="0"/>
        <v>-1007.1272749999999</v>
      </c>
      <c r="AR7" s="151">
        <f t="shared" si="0"/>
        <v>0</v>
      </c>
      <c r="AS7" s="184">
        <f t="shared" si="0"/>
        <v>-1007.1272749999999</v>
      </c>
      <c r="AT7" s="183">
        <f t="shared" si="0"/>
        <v>-83.927272916666666</v>
      </c>
      <c r="AU7" s="151">
        <f t="shared" si="0"/>
        <v>0</v>
      </c>
      <c r="AV7" s="184">
        <f t="shared" si="0"/>
        <v>-83.927272916666666</v>
      </c>
    </row>
    <row r="8" spans="1:49" ht="12.75" customHeight="1" x14ac:dyDescent="0.3">
      <c r="C8" s="51"/>
      <c r="D8" s="25" t="s">
        <v>62</v>
      </c>
      <c r="E8" s="17"/>
      <c r="F8" s="39"/>
      <c r="G8" s="38">
        <f t="shared" ref="G8:AV8" si="1">SUM(G9:G12)</f>
        <v>16.726368999999998</v>
      </c>
      <c r="H8" s="152">
        <f t="shared" si="1"/>
        <v>0</v>
      </c>
      <c r="I8" s="38">
        <f t="shared" si="1"/>
        <v>16.726368999999998</v>
      </c>
      <c r="J8" s="140">
        <f t="shared" si="1"/>
        <v>1.412739</v>
      </c>
      <c r="K8" s="152">
        <f t="shared" si="1"/>
        <v>0</v>
      </c>
      <c r="L8" s="185">
        <f t="shared" si="1"/>
        <v>1.412739</v>
      </c>
      <c r="M8" s="137">
        <f t="shared" si="1"/>
        <v>0.63271200000000005</v>
      </c>
      <c r="N8" s="152">
        <f t="shared" si="1"/>
        <v>0</v>
      </c>
      <c r="O8" s="38">
        <f t="shared" si="1"/>
        <v>0.63271200000000005</v>
      </c>
      <c r="P8" s="140">
        <f t="shared" si="1"/>
        <v>30.488058000000002</v>
      </c>
      <c r="Q8" s="152">
        <f t="shared" si="1"/>
        <v>0</v>
      </c>
      <c r="R8" s="185">
        <f t="shared" si="1"/>
        <v>30.488058000000002</v>
      </c>
      <c r="S8" s="140">
        <f t="shared" si="1"/>
        <v>52.683681999999997</v>
      </c>
      <c r="T8" s="152">
        <f t="shared" si="1"/>
        <v>0</v>
      </c>
      <c r="U8" s="185">
        <f t="shared" si="1"/>
        <v>52.683681999999997</v>
      </c>
      <c r="V8" s="140">
        <f t="shared" si="1"/>
        <v>6.535533</v>
      </c>
      <c r="W8" s="152">
        <f t="shared" si="1"/>
        <v>0</v>
      </c>
      <c r="X8" s="185">
        <f t="shared" si="1"/>
        <v>6.535533</v>
      </c>
      <c r="Y8" s="140">
        <f t="shared" si="1"/>
        <v>0.13434800000000002</v>
      </c>
      <c r="Z8" s="152">
        <f t="shared" si="1"/>
        <v>0</v>
      </c>
      <c r="AA8" s="185">
        <f t="shared" si="1"/>
        <v>0.13434800000000002</v>
      </c>
      <c r="AB8" s="140">
        <f t="shared" si="1"/>
        <v>0</v>
      </c>
      <c r="AC8" s="152">
        <f t="shared" si="1"/>
        <v>0</v>
      </c>
      <c r="AD8" s="185">
        <f t="shared" si="1"/>
        <v>0</v>
      </c>
      <c r="AE8" s="140">
        <f t="shared" si="1"/>
        <v>0</v>
      </c>
      <c r="AF8" s="152">
        <f t="shared" si="1"/>
        <v>0</v>
      </c>
      <c r="AG8" s="185">
        <f t="shared" si="1"/>
        <v>0</v>
      </c>
      <c r="AH8" s="140">
        <f t="shared" si="1"/>
        <v>0</v>
      </c>
      <c r="AI8" s="152">
        <f t="shared" si="1"/>
        <v>0</v>
      </c>
      <c r="AJ8" s="185">
        <f t="shared" si="1"/>
        <v>0</v>
      </c>
      <c r="AK8" s="140">
        <f t="shared" si="1"/>
        <v>0</v>
      </c>
      <c r="AL8" s="152">
        <f t="shared" si="1"/>
        <v>0</v>
      </c>
      <c r="AM8" s="185">
        <f t="shared" si="1"/>
        <v>0</v>
      </c>
      <c r="AN8" s="140">
        <f t="shared" si="1"/>
        <v>0</v>
      </c>
      <c r="AO8" s="152">
        <f t="shared" si="1"/>
        <v>0</v>
      </c>
      <c r="AP8" s="185">
        <f t="shared" si="1"/>
        <v>0</v>
      </c>
      <c r="AQ8" s="140">
        <f t="shared" si="1"/>
        <v>0</v>
      </c>
      <c r="AR8" s="152">
        <f t="shared" si="1"/>
        <v>0</v>
      </c>
      <c r="AS8" s="185">
        <f t="shared" si="1"/>
        <v>0</v>
      </c>
      <c r="AT8" s="140">
        <f t="shared" si="1"/>
        <v>0</v>
      </c>
      <c r="AU8" s="152">
        <f t="shared" si="1"/>
        <v>0</v>
      </c>
      <c r="AV8" s="185">
        <f t="shared" si="1"/>
        <v>0</v>
      </c>
    </row>
    <row r="9" spans="1:49" ht="12.75" customHeight="1" x14ac:dyDescent="0.3">
      <c r="C9" s="51"/>
      <c r="D9" s="36"/>
      <c r="E9" s="25" t="s">
        <v>63</v>
      </c>
      <c r="F9" s="39"/>
      <c r="G9" s="37">
        <v>0</v>
      </c>
      <c r="H9" s="158">
        <v>0</v>
      </c>
      <c r="I9" s="16">
        <f>G9+H9*$R$46/1000</f>
        <v>0</v>
      </c>
      <c r="J9" s="37">
        <v>0</v>
      </c>
      <c r="K9" s="158">
        <v>0</v>
      </c>
      <c r="L9" s="187">
        <f>J9+K9*$R$46/1000</f>
        <v>0</v>
      </c>
      <c r="M9" s="37">
        <v>9.2090000000000005E-2</v>
      </c>
      <c r="N9" s="158">
        <v>0</v>
      </c>
      <c r="O9" s="16">
        <f>M9+N9*$R$46/1000</f>
        <v>9.2090000000000005E-2</v>
      </c>
      <c r="P9" s="186">
        <v>0</v>
      </c>
      <c r="Q9" s="153">
        <v>0</v>
      </c>
      <c r="R9" s="187">
        <f>P9+Q9*$R$46/1000</f>
        <v>0</v>
      </c>
      <c r="S9" s="186">
        <v>0</v>
      </c>
      <c r="T9" s="153">
        <v>0</v>
      </c>
      <c r="U9" s="187">
        <f>S9+T9*U46/1000</f>
        <v>0</v>
      </c>
      <c r="V9" s="186">
        <v>5.1810000000000002E-2</v>
      </c>
      <c r="W9" s="153">
        <v>0</v>
      </c>
      <c r="X9" s="187">
        <f>V9+W9*X46/1000</f>
        <v>5.1810000000000002E-2</v>
      </c>
      <c r="Y9" s="186">
        <v>5.6328000000000003E-2</v>
      </c>
      <c r="Z9" s="153">
        <v>0</v>
      </c>
      <c r="AA9" s="187">
        <f>Y9+Z9*AA46/1000</f>
        <v>5.6328000000000003E-2</v>
      </c>
      <c r="AB9" s="186">
        <v>0</v>
      </c>
      <c r="AC9" s="153">
        <v>0</v>
      </c>
      <c r="AD9" s="187">
        <f>AB9+AC9*AD46/1000</f>
        <v>0</v>
      </c>
      <c r="AE9" s="186"/>
      <c r="AF9" s="153"/>
      <c r="AG9" s="187">
        <f>AE9+AF9*AG46/1000</f>
        <v>0</v>
      </c>
      <c r="AH9" s="186"/>
      <c r="AI9" s="153"/>
      <c r="AJ9" s="187">
        <f>AH9+AI9*AJ46/1000</f>
        <v>0</v>
      </c>
      <c r="AK9" s="186"/>
      <c r="AL9" s="153"/>
      <c r="AM9" s="187">
        <f>AK9+AL9*AM46/1000</f>
        <v>0</v>
      </c>
      <c r="AN9" s="186"/>
      <c r="AO9" s="153"/>
      <c r="AP9" s="187">
        <f>AN9+AO9*AP46/1000</f>
        <v>0</v>
      </c>
      <c r="AQ9" s="305"/>
      <c r="AR9" s="306"/>
      <c r="AS9" s="187">
        <f>AQ9+AR9*AS46/1000</f>
        <v>0</v>
      </c>
      <c r="AT9" s="305">
        <f>AQ9/$AW$3</f>
        <v>0</v>
      </c>
      <c r="AU9" s="306">
        <f>SUM(K9,N9,Q9,T9,W9,Z9,AC9,AF9,AI9,AL9,AO9,AR9)</f>
        <v>0</v>
      </c>
      <c r="AV9" s="187">
        <f>AT9+AU9*AV46/1000</f>
        <v>0</v>
      </c>
    </row>
    <row r="10" spans="1:49" ht="12.75" customHeight="1" x14ac:dyDescent="0.3">
      <c r="C10" s="51"/>
      <c r="D10" s="36"/>
      <c r="E10" s="36" t="s">
        <v>129</v>
      </c>
      <c r="F10" s="43"/>
      <c r="G10" s="35">
        <v>0</v>
      </c>
      <c r="H10" s="159">
        <v>0</v>
      </c>
      <c r="I10" s="42">
        <f>G10+H10*$R$46/1000</f>
        <v>0</v>
      </c>
      <c r="J10" s="35">
        <v>1.2717799999999999</v>
      </c>
      <c r="K10" s="159">
        <v>0</v>
      </c>
      <c r="L10" s="189">
        <f>J10+K10*$R$46/1000</f>
        <v>1.2717799999999999</v>
      </c>
      <c r="M10" s="35">
        <v>0</v>
      </c>
      <c r="N10" s="159">
        <v>0</v>
      </c>
      <c r="O10" s="42">
        <f>M10+N10*$R$46/1000</f>
        <v>0</v>
      </c>
      <c r="P10" s="188">
        <v>14.979520000000001</v>
      </c>
      <c r="Q10" s="154">
        <v>0</v>
      </c>
      <c r="R10" s="189">
        <f>P10+Q10*$R$46/1000</f>
        <v>14.979520000000001</v>
      </c>
      <c r="S10" s="188">
        <v>1.4978899999999999</v>
      </c>
      <c r="T10" s="154">
        <v>0</v>
      </c>
      <c r="U10" s="189">
        <f>S10+T10*U46/1000</f>
        <v>1.4978899999999999</v>
      </c>
      <c r="V10" s="188">
        <v>0</v>
      </c>
      <c r="W10" s="154">
        <v>0</v>
      </c>
      <c r="X10" s="189">
        <f>V10+W10*X46/1000</f>
        <v>0</v>
      </c>
      <c r="Y10" s="188">
        <v>0</v>
      </c>
      <c r="Z10" s="154">
        <v>0</v>
      </c>
      <c r="AA10" s="189">
        <f>Y10+Z10*AA46/1000</f>
        <v>0</v>
      </c>
      <c r="AB10" s="188">
        <v>0</v>
      </c>
      <c r="AC10" s="154">
        <v>0</v>
      </c>
      <c r="AD10" s="189">
        <f>AB10+AC10*AD46/1000</f>
        <v>0</v>
      </c>
      <c r="AE10" s="188"/>
      <c r="AF10" s="154"/>
      <c r="AG10" s="189">
        <f>AE10+AF10*AG48/1000</f>
        <v>0</v>
      </c>
      <c r="AH10" s="188"/>
      <c r="AI10" s="154"/>
      <c r="AJ10" s="189">
        <f>AH10+AI10*AJ46/1000</f>
        <v>0</v>
      </c>
      <c r="AK10" s="188"/>
      <c r="AL10" s="154"/>
      <c r="AM10" s="189">
        <f>AK10+AL10*AM46/1000</f>
        <v>0</v>
      </c>
      <c r="AN10" s="188"/>
      <c r="AO10" s="154"/>
      <c r="AP10" s="189">
        <f>AN10+AO10*AP46/1000</f>
        <v>0</v>
      </c>
      <c r="AQ10" s="307"/>
      <c r="AR10" s="308"/>
      <c r="AS10" s="189">
        <f>AQ10+AR10*AS46/1000</f>
        <v>0</v>
      </c>
      <c r="AT10" s="307">
        <f>AQ10/$AW$3</f>
        <v>0</v>
      </c>
      <c r="AU10" s="308">
        <f>SUM(K10,N10,Q10,T10,W10,Z10,AC10,AF10,AI10,AL10,AO10,AR10)</f>
        <v>0</v>
      </c>
      <c r="AV10" s="189">
        <f>AT10+AU10*AV46/1000</f>
        <v>0</v>
      </c>
    </row>
    <row r="11" spans="1:49" ht="12.75" customHeight="1" x14ac:dyDescent="0.3">
      <c r="C11" s="51"/>
      <c r="D11" s="36"/>
      <c r="E11" s="36" t="s">
        <v>66</v>
      </c>
      <c r="F11" s="43"/>
      <c r="G11" s="35">
        <v>14.92319</v>
      </c>
      <c r="H11" s="159">
        <v>0</v>
      </c>
      <c r="I11" s="42">
        <f>G11+H11*$R$46/1000</f>
        <v>14.92319</v>
      </c>
      <c r="J11" s="35">
        <v>0</v>
      </c>
      <c r="K11" s="159">
        <v>0</v>
      </c>
      <c r="L11" s="190">
        <f>J11+K11*$R$46/1000</f>
        <v>0</v>
      </c>
      <c r="M11" s="35">
        <v>0.54062200000000005</v>
      </c>
      <c r="N11" s="159">
        <v>0</v>
      </c>
      <c r="O11" s="42">
        <f>M11+N11*$R$46/1000</f>
        <v>0.54062200000000005</v>
      </c>
      <c r="P11" s="188">
        <v>0</v>
      </c>
      <c r="Q11" s="163">
        <v>0</v>
      </c>
      <c r="R11" s="190">
        <f>P11+Q11*$R$46/1000</f>
        <v>0</v>
      </c>
      <c r="S11" s="188">
        <v>0</v>
      </c>
      <c r="T11" s="163">
        <v>0</v>
      </c>
      <c r="U11" s="190">
        <f>S11+T11*$U46/1000</f>
        <v>0</v>
      </c>
      <c r="V11" s="188">
        <v>6.4837230000000003</v>
      </c>
      <c r="W11" s="163">
        <v>0</v>
      </c>
      <c r="X11" s="190">
        <f>V11+W11*$U46/1000</f>
        <v>6.4837230000000003</v>
      </c>
      <c r="Y11" s="188">
        <v>0</v>
      </c>
      <c r="Z11" s="163">
        <v>0</v>
      </c>
      <c r="AA11" s="190">
        <f>Y11+Z11*$U46/1000</f>
        <v>0</v>
      </c>
      <c r="AB11" s="188">
        <v>0</v>
      </c>
      <c r="AC11" s="163">
        <v>0</v>
      </c>
      <c r="AD11" s="190">
        <f>AB11+AC11*$U46/1000</f>
        <v>0</v>
      </c>
      <c r="AE11" s="188"/>
      <c r="AF11" s="163"/>
      <c r="AG11" s="190">
        <f>AE11+AF11*$U46/1000</f>
        <v>0</v>
      </c>
      <c r="AH11" s="188"/>
      <c r="AI11" s="163"/>
      <c r="AJ11" s="190">
        <f>AH11+AI11*$U46/1000</f>
        <v>0</v>
      </c>
      <c r="AK11" s="188"/>
      <c r="AL11" s="163"/>
      <c r="AM11" s="190">
        <f>AK11+AL11*$U46/1000</f>
        <v>0</v>
      </c>
      <c r="AN11" s="188"/>
      <c r="AO11" s="163"/>
      <c r="AP11" s="190">
        <f>AN11+AO11*$U46/1000</f>
        <v>0</v>
      </c>
      <c r="AQ11" s="307"/>
      <c r="AR11" s="308"/>
      <c r="AS11" s="190">
        <f>AQ11+AR11*$U46/1000</f>
        <v>0</v>
      </c>
      <c r="AT11" s="307">
        <f>AQ11/$AW$3</f>
        <v>0</v>
      </c>
      <c r="AU11" s="308">
        <f>SUM(K11,N11,Q11,T11,W11,Z11,AC11,AF11,AI11,AL11,AO11,AR11)</f>
        <v>0</v>
      </c>
      <c r="AV11" s="190">
        <f>AT11+AU11*$U46/1000</f>
        <v>0</v>
      </c>
    </row>
    <row r="12" spans="1:49" ht="12.75" customHeight="1" x14ac:dyDescent="0.3">
      <c r="C12" s="51"/>
      <c r="D12" s="36"/>
      <c r="E12" s="41" t="s">
        <v>67</v>
      </c>
      <c r="F12" s="46"/>
      <c r="G12" s="40">
        <v>1.8031790000000001</v>
      </c>
      <c r="H12" s="160">
        <v>0</v>
      </c>
      <c r="I12" s="45">
        <f>G12+H12*$R$46/1000</f>
        <v>1.8031790000000001</v>
      </c>
      <c r="J12" s="40">
        <v>0.140959</v>
      </c>
      <c r="K12" s="160">
        <v>0</v>
      </c>
      <c r="L12" s="192">
        <f>J12+K12*$R$46/1000</f>
        <v>0.140959</v>
      </c>
      <c r="M12" s="40">
        <v>0</v>
      </c>
      <c r="N12" s="160">
        <v>0</v>
      </c>
      <c r="O12" s="45">
        <f>M12+N12*$R$46/1000</f>
        <v>0</v>
      </c>
      <c r="P12" s="657">
        <f>15.37848+0.130058</f>
        <v>15.508538</v>
      </c>
      <c r="Q12" s="156">
        <v>0</v>
      </c>
      <c r="R12" s="192">
        <f>P12+Q12*$R$46/1000</f>
        <v>15.508538</v>
      </c>
      <c r="S12" s="191">
        <v>51.185791999999999</v>
      </c>
      <c r="T12" s="156">
        <v>0</v>
      </c>
      <c r="U12" s="192">
        <f>S12+T12*U46/1000</f>
        <v>51.185791999999999</v>
      </c>
      <c r="V12" s="191">
        <v>0</v>
      </c>
      <c r="W12" s="156">
        <v>0</v>
      </c>
      <c r="X12" s="192">
        <f>V12+W12*X46/1000</f>
        <v>0</v>
      </c>
      <c r="Y12" s="191">
        <v>7.8020000000000006E-2</v>
      </c>
      <c r="Z12" s="156">
        <v>0</v>
      </c>
      <c r="AA12" s="192">
        <f>Y12+Z12*AA46/1000</f>
        <v>7.8020000000000006E-2</v>
      </c>
      <c r="AB12" s="191">
        <v>0</v>
      </c>
      <c r="AC12" s="156">
        <v>0</v>
      </c>
      <c r="AD12" s="192">
        <f>AB12+AC12*AD46/1000</f>
        <v>0</v>
      </c>
      <c r="AE12" s="191"/>
      <c r="AF12" s="156"/>
      <c r="AG12" s="192">
        <f>AE12+AF12*AG46/1000</f>
        <v>0</v>
      </c>
      <c r="AH12" s="191"/>
      <c r="AI12" s="156"/>
      <c r="AJ12" s="192">
        <f>AH12+AI12*AJ46/1000</f>
        <v>0</v>
      </c>
      <c r="AK12" s="191"/>
      <c r="AL12" s="156"/>
      <c r="AM12" s="192">
        <f>AK12+AL12*AM46/1000</f>
        <v>0</v>
      </c>
      <c r="AN12" s="191"/>
      <c r="AO12" s="156"/>
      <c r="AP12" s="192">
        <f>AN12+AO12*AP46/1000</f>
        <v>0</v>
      </c>
      <c r="AQ12" s="309"/>
      <c r="AR12" s="310"/>
      <c r="AS12" s="192">
        <f>AQ12+AR12*AS46/1000</f>
        <v>0</v>
      </c>
      <c r="AT12" s="309">
        <f>AQ12/$AW$3</f>
        <v>0</v>
      </c>
      <c r="AU12" s="310">
        <f>SUM(K12,N12,Q12,T12,W12,Z12,AC12,AF12,AI12,AL12,AO12,AR12)</f>
        <v>0</v>
      </c>
      <c r="AV12" s="192">
        <f>AT12+AU12*AV46/1000</f>
        <v>0</v>
      </c>
    </row>
    <row r="13" spans="1:49" ht="12.75" customHeight="1" x14ac:dyDescent="0.3">
      <c r="C13" s="50"/>
      <c r="D13" s="25" t="s">
        <v>69</v>
      </c>
      <c r="E13" s="17"/>
      <c r="F13" s="17"/>
      <c r="G13" s="140">
        <f t="shared" ref="G13:AV13" si="2">SUM(G14,G19,G20,G25:G28)</f>
        <v>62.741008999999991</v>
      </c>
      <c r="H13" s="152">
        <f t="shared" si="2"/>
        <v>0</v>
      </c>
      <c r="I13" s="140">
        <f t="shared" si="2"/>
        <v>62.741008999999991</v>
      </c>
      <c r="J13" s="140">
        <f t="shared" si="2"/>
        <v>65.009809000000004</v>
      </c>
      <c r="K13" s="152">
        <f t="shared" si="2"/>
        <v>0</v>
      </c>
      <c r="L13" s="193">
        <f t="shared" si="2"/>
        <v>65.009809000000004</v>
      </c>
      <c r="M13" s="137">
        <f t="shared" si="2"/>
        <v>1026.9171825000001</v>
      </c>
      <c r="N13" s="152">
        <f t="shared" si="2"/>
        <v>0</v>
      </c>
      <c r="O13" s="140">
        <f t="shared" si="2"/>
        <v>1026.746513</v>
      </c>
      <c r="P13" s="140">
        <f t="shared" si="2"/>
        <v>31.544295999999996</v>
      </c>
      <c r="Q13" s="152">
        <f t="shared" si="2"/>
        <v>0</v>
      </c>
      <c r="R13" s="193">
        <f t="shared" si="2"/>
        <v>31.544295999999996</v>
      </c>
      <c r="S13" s="140">
        <f t="shared" si="2"/>
        <v>34.234397999999999</v>
      </c>
      <c r="T13" s="152">
        <f t="shared" si="2"/>
        <v>0</v>
      </c>
      <c r="U13" s="193">
        <f t="shared" si="2"/>
        <v>34.234397999999999</v>
      </c>
      <c r="V13" s="140">
        <f t="shared" si="2"/>
        <v>32.796977999999996</v>
      </c>
      <c r="W13" s="152">
        <f t="shared" si="2"/>
        <v>0</v>
      </c>
      <c r="X13" s="193">
        <f t="shared" si="2"/>
        <v>32.796977999999996</v>
      </c>
      <c r="Y13" s="140">
        <f t="shared" si="2"/>
        <v>41.272917</v>
      </c>
      <c r="Z13" s="152">
        <f t="shared" si="2"/>
        <v>0</v>
      </c>
      <c r="AA13" s="193">
        <f t="shared" si="2"/>
        <v>41.272917</v>
      </c>
      <c r="AB13" s="140">
        <f t="shared" si="2"/>
        <v>30.990139200000002</v>
      </c>
      <c r="AC13" s="152">
        <f t="shared" si="2"/>
        <v>0</v>
      </c>
      <c r="AD13" s="193">
        <f t="shared" si="2"/>
        <v>30.990139200000002</v>
      </c>
      <c r="AE13" s="140">
        <f t="shared" si="2"/>
        <v>0</v>
      </c>
      <c r="AF13" s="152">
        <f t="shared" si="2"/>
        <v>0</v>
      </c>
      <c r="AG13" s="193">
        <f t="shared" si="2"/>
        <v>0</v>
      </c>
      <c r="AH13" s="140">
        <f t="shared" si="2"/>
        <v>0</v>
      </c>
      <c r="AI13" s="152">
        <f t="shared" si="2"/>
        <v>0</v>
      </c>
      <c r="AJ13" s="193">
        <f t="shared" si="2"/>
        <v>0</v>
      </c>
      <c r="AK13" s="140">
        <f t="shared" si="2"/>
        <v>0</v>
      </c>
      <c r="AL13" s="152">
        <f t="shared" si="2"/>
        <v>0</v>
      </c>
      <c r="AM13" s="193">
        <f t="shared" si="2"/>
        <v>0</v>
      </c>
      <c r="AN13" s="140">
        <f t="shared" si="2"/>
        <v>0</v>
      </c>
      <c r="AO13" s="152">
        <f t="shared" si="2"/>
        <v>0</v>
      </c>
      <c r="AP13" s="193">
        <f t="shared" si="2"/>
        <v>0</v>
      </c>
      <c r="AQ13" s="140">
        <f t="shared" si="2"/>
        <v>1007.1272749999999</v>
      </c>
      <c r="AR13" s="152">
        <f t="shared" si="2"/>
        <v>0</v>
      </c>
      <c r="AS13" s="193">
        <f t="shared" si="2"/>
        <v>1007.1272749999999</v>
      </c>
      <c r="AT13" s="140">
        <f t="shared" si="2"/>
        <v>83.927272916666666</v>
      </c>
      <c r="AU13" s="152">
        <f t="shared" si="2"/>
        <v>0</v>
      </c>
      <c r="AV13" s="193">
        <f t="shared" si="2"/>
        <v>83.927272916666666</v>
      </c>
    </row>
    <row r="14" spans="1:49" ht="12.75" customHeight="1" x14ac:dyDescent="0.3">
      <c r="C14" s="33"/>
      <c r="D14" s="32"/>
      <c r="E14" s="25" t="s">
        <v>70</v>
      </c>
      <c r="F14" s="39"/>
      <c r="G14" s="146">
        <f t="shared" ref="G14:AV14" si="3">SUM(G15:G18)</f>
        <v>43.634929999999997</v>
      </c>
      <c r="H14" s="157">
        <f t="shared" si="3"/>
        <v>0</v>
      </c>
      <c r="I14" s="38">
        <f t="shared" si="3"/>
        <v>43.634929999999997</v>
      </c>
      <c r="J14" s="194">
        <f t="shared" si="3"/>
        <v>38.992429999999999</v>
      </c>
      <c r="K14" s="157">
        <f t="shared" si="3"/>
        <v>0</v>
      </c>
      <c r="L14" s="185">
        <f t="shared" si="3"/>
        <v>38.992429999999999</v>
      </c>
      <c r="M14" s="174">
        <f t="shared" si="3"/>
        <v>20.246437</v>
      </c>
      <c r="N14" s="157">
        <f t="shared" si="3"/>
        <v>0</v>
      </c>
      <c r="O14" s="38">
        <f t="shared" si="3"/>
        <v>20.246437</v>
      </c>
      <c r="P14" s="194">
        <f t="shared" si="3"/>
        <v>20.133706999999998</v>
      </c>
      <c r="Q14" s="157">
        <f t="shared" si="3"/>
        <v>0</v>
      </c>
      <c r="R14" s="185">
        <f t="shared" si="3"/>
        <v>20.133706999999998</v>
      </c>
      <c r="S14" s="194">
        <f t="shared" si="3"/>
        <v>18.989177000000002</v>
      </c>
      <c r="T14" s="157">
        <f t="shared" si="3"/>
        <v>0</v>
      </c>
      <c r="U14" s="185">
        <f t="shared" si="3"/>
        <v>18.989177000000002</v>
      </c>
      <c r="V14" s="194">
        <f t="shared" si="3"/>
        <v>19.808036999999999</v>
      </c>
      <c r="W14" s="157">
        <f t="shared" si="3"/>
        <v>0</v>
      </c>
      <c r="X14" s="185">
        <f t="shared" si="3"/>
        <v>19.808036999999999</v>
      </c>
      <c r="Y14" s="194">
        <f t="shared" si="3"/>
        <v>19.669626999999998</v>
      </c>
      <c r="Z14" s="157">
        <f t="shared" si="3"/>
        <v>0</v>
      </c>
      <c r="AA14" s="185">
        <f t="shared" si="3"/>
        <v>19.669626999999998</v>
      </c>
      <c r="AB14" s="194">
        <f t="shared" si="3"/>
        <v>19.932970000000001</v>
      </c>
      <c r="AC14" s="157">
        <f t="shared" si="3"/>
        <v>0</v>
      </c>
      <c r="AD14" s="185">
        <f t="shared" si="3"/>
        <v>19.932970000000001</v>
      </c>
      <c r="AE14" s="194">
        <f t="shared" si="3"/>
        <v>0</v>
      </c>
      <c r="AF14" s="157">
        <f t="shared" si="3"/>
        <v>0</v>
      </c>
      <c r="AG14" s="185">
        <f t="shared" si="3"/>
        <v>0</v>
      </c>
      <c r="AH14" s="194">
        <f t="shared" si="3"/>
        <v>0</v>
      </c>
      <c r="AI14" s="157">
        <f t="shared" si="3"/>
        <v>0</v>
      </c>
      <c r="AJ14" s="185">
        <f t="shared" si="3"/>
        <v>0</v>
      </c>
      <c r="AK14" s="194">
        <f t="shared" si="3"/>
        <v>0</v>
      </c>
      <c r="AL14" s="157">
        <f t="shared" si="3"/>
        <v>0</v>
      </c>
      <c r="AM14" s="185">
        <f t="shared" si="3"/>
        <v>0</v>
      </c>
      <c r="AN14" s="194">
        <f t="shared" si="3"/>
        <v>0</v>
      </c>
      <c r="AO14" s="157">
        <f t="shared" si="3"/>
        <v>0</v>
      </c>
      <c r="AP14" s="185">
        <f t="shared" si="3"/>
        <v>0</v>
      </c>
      <c r="AQ14" s="194">
        <f t="shared" si="3"/>
        <v>0</v>
      </c>
      <c r="AR14" s="157">
        <f t="shared" si="3"/>
        <v>0</v>
      </c>
      <c r="AS14" s="185">
        <f t="shared" si="3"/>
        <v>0</v>
      </c>
      <c r="AT14" s="194">
        <f t="shared" si="3"/>
        <v>0</v>
      </c>
      <c r="AU14" s="157">
        <f t="shared" si="3"/>
        <v>0</v>
      </c>
      <c r="AV14" s="185">
        <f t="shared" si="3"/>
        <v>0</v>
      </c>
    </row>
    <row r="15" spans="1:49" ht="12.75" customHeight="1" outlineLevel="1" x14ac:dyDescent="0.3">
      <c r="C15" s="33"/>
      <c r="D15" s="32"/>
      <c r="E15" s="36"/>
      <c r="F15" s="25" t="s">
        <v>71</v>
      </c>
      <c r="G15" s="37">
        <v>39.307029999999997</v>
      </c>
      <c r="H15" s="158">
        <v>0</v>
      </c>
      <c r="I15" s="16">
        <f>G15+H15*$R$46/1000</f>
        <v>39.307029999999997</v>
      </c>
      <c r="J15" s="37">
        <v>31.665140000000001</v>
      </c>
      <c r="K15" s="158">
        <v>0</v>
      </c>
      <c r="L15" s="187">
        <f>J15+K15*$R$46/1000</f>
        <v>31.665140000000001</v>
      </c>
      <c r="M15" s="37">
        <v>14.831917000000001</v>
      </c>
      <c r="N15" s="158">
        <v>0</v>
      </c>
      <c r="O15" s="324">
        <f>M15+N15*$R$46/1000</f>
        <v>14.831917000000001</v>
      </c>
      <c r="P15" s="653">
        <v>15.263567</v>
      </c>
      <c r="Q15" s="158">
        <v>0</v>
      </c>
      <c r="R15" s="187">
        <f>P15+Q15*$R$46/1000</f>
        <v>15.263567</v>
      </c>
      <c r="S15" s="195">
        <v>14.856137</v>
      </c>
      <c r="T15" s="158">
        <v>0</v>
      </c>
      <c r="U15" s="187">
        <f>S15+T15*U46/1000</f>
        <v>14.856137</v>
      </c>
      <c r="V15" s="195">
        <v>14.855136999999999</v>
      </c>
      <c r="W15" s="158">
        <v>0</v>
      </c>
      <c r="X15" s="187">
        <f>V15+W15*X46/1000</f>
        <v>14.855136999999999</v>
      </c>
      <c r="Y15" s="195">
        <v>14.816477000000001</v>
      </c>
      <c r="Z15" s="158">
        <v>0</v>
      </c>
      <c r="AA15" s="187">
        <f>Y15+Z15*AA46/1000</f>
        <v>14.816477000000001</v>
      </c>
      <c r="AB15" s="195">
        <v>15</v>
      </c>
      <c r="AC15" s="167">
        <v>0</v>
      </c>
      <c r="AD15" s="187">
        <f>AB15+AC15*AD46/1000</f>
        <v>15</v>
      </c>
      <c r="AE15" s="195"/>
      <c r="AF15" s="167"/>
      <c r="AG15" s="187">
        <f>AE15+AF15*AG46/1000</f>
        <v>0</v>
      </c>
      <c r="AH15" s="195"/>
      <c r="AI15" s="167"/>
      <c r="AJ15" s="187">
        <f>AH15+AI15*AJ46/1000</f>
        <v>0</v>
      </c>
      <c r="AK15" s="195"/>
      <c r="AL15" s="167"/>
      <c r="AM15" s="187">
        <f>AK15+AL15*AM46/1000</f>
        <v>0</v>
      </c>
      <c r="AN15" s="195"/>
      <c r="AO15" s="167"/>
      <c r="AP15" s="187">
        <f>AN15+AO15*AP46/1000</f>
        <v>0</v>
      </c>
      <c r="AQ15" s="311"/>
      <c r="AR15" s="312"/>
      <c r="AS15" s="187">
        <f>AQ15+AR15*AS46/1000</f>
        <v>0</v>
      </c>
      <c r="AT15" s="311">
        <f>AQ15/$AW$3</f>
        <v>0</v>
      </c>
      <c r="AU15" s="312">
        <f>SUM(K15,N15,Q15,T15,W15,Z15,AC15,AF15,AI15,AL15,AO15,AR15)</f>
        <v>0</v>
      </c>
      <c r="AV15" s="187">
        <f>AT15+AU15*AV46/1000</f>
        <v>0</v>
      </c>
    </row>
    <row r="16" spans="1:49" ht="12.75" customHeight="1" outlineLevel="1" x14ac:dyDescent="0.3">
      <c r="C16" s="33"/>
      <c r="D16" s="32"/>
      <c r="E16" s="36"/>
      <c r="F16" s="36" t="s">
        <v>73</v>
      </c>
      <c r="G16" s="35">
        <v>0</v>
      </c>
      <c r="H16" s="159">
        <v>0</v>
      </c>
      <c r="I16" s="42">
        <f>G16+H16*$R$46/1000</f>
        <v>0</v>
      </c>
      <c r="J16" s="35">
        <v>0</v>
      </c>
      <c r="K16" s="159">
        <v>0</v>
      </c>
      <c r="L16" s="189">
        <f>J16+K16*$R$46/1000</f>
        <v>0</v>
      </c>
      <c r="M16" s="35">
        <v>0</v>
      </c>
      <c r="N16" s="159">
        <v>0</v>
      </c>
      <c r="O16" s="42">
        <f>M16+N16*$R$46/1000</f>
        <v>0</v>
      </c>
      <c r="P16" s="196">
        <v>0</v>
      </c>
      <c r="Q16" s="159">
        <v>0</v>
      </c>
      <c r="R16" s="189">
        <f>P16+Q16*$R$46/1000</f>
        <v>0</v>
      </c>
      <c r="S16" s="196">
        <v>0</v>
      </c>
      <c r="T16" s="159">
        <v>0</v>
      </c>
      <c r="U16" s="189">
        <f>S16+T16*U46/1000</f>
        <v>0</v>
      </c>
      <c r="V16" s="196">
        <v>0</v>
      </c>
      <c r="W16" s="159">
        <v>0</v>
      </c>
      <c r="X16" s="189">
        <f>V16+W16*X46/1000</f>
        <v>0</v>
      </c>
      <c r="Y16" s="196">
        <v>0</v>
      </c>
      <c r="Z16" s="159">
        <v>0</v>
      </c>
      <c r="AA16" s="189">
        <f>Y16+Z16*AA46/1000</f>
        <v>0</v>
      </c>
      <c r="AB16" s="196">
        <v>0</v>
      </c>
      <c r="AC16" s="163">
        <v>0</v>
      </c>
      <c r="AD16" s="189">
        <f>AB16+AC16*AD46/1000</f>
        <v>0</v>
      </c>
      <c r="AE16" s="196"/>
      <c r="AF16" s="163"/>
      <c r="AG16" s="189">
        <f>AE16+AF16*AG46/1000</f>
        <v>0</v>
      </c>
      <c r="AH16" s="196"/>
      <c r="AI16" s="163"/>
      <c r="AJ16" s="189">
        <f>AH16+AI16*AJ46/1000</f>
        <v>0</v>
      </c>
      <c r="AK16" s="196"/>
      <c r="AL16" s="163"/>
      <c r="AM16" s="189">
        <f>AK16+AL16*AM46/1000</f>
        <v>0</v>
      </c>
      <c r="AN16" s="196"/>
      <c r="AO16" s="163"/>
      <c r="AP16" s="189">
        <f>AN16+AO16*AP46/1000</f>
        <v>0</v>
      </c>
      <c r="AQ16" s="313"/>
      <c r="AR16" s="314"/>
      <c r="AS16" s="189">
        <f>AQ16+AR16*AS46/1000</f>
        <v>0</v>
      </c>
      <c r="AT16" s="313">
        <f>AQ16/$AW$3</f>
        <v>0</v>
      </c>
      <c r="AU16" s="314">
        <f>SUM(K16,N16,Q16,T16,W16,Z16,AC16,AF16,AI16,AL16,AO16,AR16)</f>
        <v>0</v>
      </c>
      <c r="AV16" s="189">
        <f>AT16+AU16*AV46/1000</f>
        <v>0</v>
      </c>
    </row>
    <row r="17" spans="3:48" ht="12.75" customHeight="1" outlineLevel="1" x14ac:dyDescent="0.3">
      <c r="C17" s="33"/>
      <c r="D17" s="32"/>
      <c r="E17" s="36"/>
      <c r="F17" s="36" t="s">
        <v>74</v>
      </c>
      <c r="G17" s="35">
        <v>0</v>
      </c>
      <c r="H17" s="159">
        <v>0</v>
      </c>
      <c r="I17" s="42">
        <f>G17+H17*$R$46/1000</f>
        <v>0</v>
      </c>
      <c r="J17" s="35">
        <v>2.86999</v>
      </c>
      <c r="K17" s="159">
        <v>0</v>
      </c>
      <c r="L17" s="189">
        <f>J17+K17*$R$46/1000</f>
        <v>2.86999</v>
      </c>
      <c r="M17" s="35">
        <v>1.9180600000000001</v>
      </c>
      <c r="N17" s="159">
        <v>0</v>
      </c>
      <c r="O17" s="42">
        <f>M17+N17*$R$46/1000</f>
        <v>1.9180600000000001</v>
      </c>
      <c r="P17" s="196">
        <v>1.92848</v>
      </c>
      <c r="Q17" s="159">
        <v>0</v>
      </c>
      <c r="R17" s="189">
        <f>P17+Q17*$R$46/1000</f>
        <v>1.92848</v>
      </c>
      <c r="S17" s="196">
        <v>1.92848</v>
      </c>
      <c r="T17" s="159">
        <v>0</v>
      </c>
      <c r="U17" s="189">
        <f>S17+T17*U46/1000</f>
        <v>1.92848</v>
      </c>
      <c r="V17" s="196">
        <v>1.92848</v>
      </c>
      <c r="W17" s="159">
        <v>0</v>
      </c>
      <c r="X17" s="189">
        <f>V17+W17*X46/1000</f>
        <v>1.92848</v>
      </c>
      <c r="Y17" s="196">
        <v>1.92848</v>
      </c>
      <c r="Z17" s="159">
        <v>0</v>
      </c>
      <c r="AA17" s="189">
        <f>Y17+Z17*AA46/1000</f>
        <v>1.92848</v>
      </c>
      <c r="AB17" s="196">
        <v>1.92848</v>
      </c>
      <c r="AC17" s="163">
        <v>0</v>
      </c>
      <c r="AD17" s="189">
        <f>AB17+AC17*AD46/1000</f>
        <v>1.92848</v>
      </c>
      <c r="AE17" s="196"/>
      <c r="AF17" s="163"/>
      <c r="AG17" s="189">
        <f>AE17+AF17*AG46/1000</f>
        <v>0</v>
      </c>
      <c r="AH17" s="196"/>
      <c r="AI17" s="163"/>
      <c r="AJ17" s="189">
        <f>AH17+AI17*AJ46/1000</f>
        <v>0</v>
      </c>
      <c r="AK17" s="196"/>
      <c r="AL17" s="163"/>
      <c r="AM17" s="189">
        <f>AK17+AL17*AM46/1000</f>
        <v>0</v>
      </c>
      <c r="AN17" s="196"/>
      <c r="AO17" s="163"/>
      <c r="AP17" s="189">
        <f>AN17+AO17*AP46/1000</f>
        <v>0</v>
      </c>
      <c r="AQ17" s="313"/>
      <c r="AR17" s="314"/>
      <c r="AS17" s="189">
        <f>AQ17+AR17*AS46/1000</f>
        <v>0</v>
      </c>
      <c r="AT17" s="313">
        <f>AQ17/$AW$3</f>
        <v>0</v>
      </c>
      <c r="AU17" s="314">
        <f>SUM(K17,N17,Q17,T17,W17,Z17,AC17,AF17,AI17,AL17,AO17,AR17)</f>
        <v>0</v>
      </c>
      <c r="AV17" s="189">
        <f>AT17+AU17*AV46/1000</f>
        <v>0</v>
      </c>
    </row>
    <row r="18" spans="3:48" ht="12.75" customHeight="1" outlineLevel="1" x14ac:dyDescent="0.3">
      <c r="C18" s="33"/>
      <c r="D18" s="32"/>
      <c r="E18" s="41"/>
      <c r="F18" s="41" t="s">
        <v>76</v>
      </c>
      <c r="G18" s="40">
        <v>4.3278999999999996</v>
      </c>
      <c r="H18" s="160">
        <v>0</v>
      </c>
      <c r="I18" s="45">
        <f>G18+H18*$R$46/1000</f>
        <v>4.3278999999999996</v>
      </c>
      <c r="J18" s="40">
        <v>4.4573</v>
      </c>
      <c r="K18" s="160">
        <v>0</v>
      </c>
      <c r="L18" s="192">
        <f>J18+K18*$R$46/1000</f>
        <v>4.4573</v>
      </c>
      <c r="M18" s="40">
        <v>3.4964599999999999</v>
      </c>
      <c r="N18" s="160">
        <v>0</v>
      </c>
      <c r="O18" s="45">
        <f>M18+N18*$R$46/1000</f>
        <v>3.4964599999999999</v>
      </c>
      <c r="P18" s="197">
        <v>2.9416600000000002</v>
      </c>
      <c r="Q18" s="160">
        <v>0</v>
      </c>
      <c r="R18" s="192">
        <f>P18+Q18*$R$46/1000</f>
        <v>2.9416600000000002</v>
      </c>
      <c r="S18" s="197">
        <v>2.2045599999999999</v>
      </c>
      <c r="T18" s="160">
        <v>0</v>
      </c>
      <c r="U18" s="192">
        <f>S18+T18*U46/1000</f>
        <v>2.2045599999999999</v>
      </c>
      <c r="V18" s="197">
        <v>3.0244200000000001</v>
      </c>
      <c r="W18" s="160">
        <v>0</v>
      </c>
      <c r="X18" s="192">
        <f>V18+W18*X46/1000</f>
        <v>3.0244200000000001</v>
      </c>
      <c r="Y18" s="197">
        <v>2.9246699999999999</v>
      </c>
      <c r="Z18" s="160">
        <v>0</v>
      </c>
      <c r="AA18" s="192">
        <f>Y18+Z18*AA46/1000</f>
        <v>2.9246699999999999</v>
      </c>
      <c r="AB18" s="197">
        <v>3.0044900000000001</v>
      </c>
      <c r="AC18" s="164">
        <v>0</v>
      </c>
      <c r="AD18" s="192">
        <f>AB18+AC18*AD46/1000</f>
        <v>3.0044900000000001</v>
      </c>
      <c r="AE18" s="197"/>
      <c r="AF18" s="164"/>
      <c r="AG18" s="192">
        <f>AE18+AF18*AG46/1000</f>
        <v>0</v>
      </c>
      <c r="AH18" s="197"/>
      <c r="AI18" s="164"/>
      <c r="AJ18" s="192">
        <f>AH18+AI18*AJ46/1000</f>
        <v>0</v>
      </c>
      <c r="AK18" s="197"/>
      <c r="AL18" s="164"/>
      <c r="AM18" s="192">
        <f>AK18+AL18*AM46/1000</f>
        <v>0</v>
      </c>
      <c r="AN18" s="197"/>
      <c r="AO18" s="164"/>
      <c r="AP18" s="192">
        <f>AN18+AO18*AP46/1000</f>
        <v>0</v>
      </c>
      <c r="AQ18" s="315"/>
      <c r="AR18" s="316"/>
      <c r="AS18" s="192">
        <f>AQ18+AR18*AS46/1000</f>
        <v>0</v>
      </c>
      <c r="AT18" s="315">
        <f>AQ18/$AW$3</f>
        <v>0</v>
      </c>
      <c r="AU18" s="316">
        <f>SUM(K18,N18,Q18,T18,W18,Z18,AC18,AF18,AI18,AL18,AO18,AR18)</f>
        <v>0</v>
      </c>
      <c r="AV18" s="192">
        <f>AT18+AU18*AV46/1000</f>
        <v>0</v>
      </c>
    </row>
    <row r="19" spans="3:48" ht="12.75" customHeight="1" x14ac:dyDescent="0.3">
      <c r="C19" s="33"/>
      <c r="D19" s="32"/>
      <c r="E19" s="36" t="s">
        <v>78</v>
      </c>
      <c r="F19" s="43"/>
      <c r="G19" s="147">
        <v>0</v>
      </c>
      <c r="H19" s="161">
        <v>0</v>
      </c>
      <c r="I19" s="16">
        <f>G19+H19*$R$46/1000</f>
        <v>0</v>
      </c>
      <c r="J19" s="198">
        <v>0</v>
      </c>
      <c r="K19" s="161">
        <v>0</v>
      </c>
      <c r="L19" s="187">
        <f>J19+K19*$R$46/1000</f>
        <v>0</v>
      </c>
      <c r="M19" s="176">
        <v>0</v>
      </c>
      <c r="N19" s="161">
        <v>0</v>
      </c>
      <c r="O19" s="16">
        <f>M19+N19*$R$46/1000</f>
        <v>0</v>
      </c>
      <c r="P19" s="198">
        <v>0</v>
      </c>
      <c r="Q19" s="161">
        <v>0</v>
      </c>
      <c r="R19" s="187">
        <f>P19+Q19*$R$46/1000</f>
        <v>0</v>
      </c>
      <c r="S19" s="198">
        <v>0</v>
      </c>
      <c r="T19" s="161">
        <v>0</v>
      </c>
      <c r="U19" s="187">
        <f>S19+T19*U46/1000</f>
        <v>0</v>
      </c>
      <c r="V19" s="198">
        <v>0</v>
      </c>
      <c r="W19" s="161">
        <v>0</v>
      </c>
      <c r="X19" s="187">
        <f>V19+W19*X46/1000</f>
        <v>0</v>
      </c>
      <c r="Y19" s="198">
        <v>0</v>
      </c>
      <c r="Z19" s="161">
        <v>0</v>
      </c>
      <c r="AA19" s="187">
        <f>Y19+Z19*AA46/1000</f>
        <v>0</v>
      </c>
      <c r="AB19" s="198">
        <v>0</v>
      </c>
      <c r="AC19" s="161">
        <v>0</v>
      </c>
      <c r="AD19" s="187">
        <f>AB19+AC19*AD46/1000</f>
        <v>0</v>
      </c>
      <c r="AE19" s="198">
        <v>0</v>
      </c>
      <c r="AF19" s="161">
        <v>0</v>
      </c>
      <c r="AG19" s="187">
        <f>AE19+AF19*AG46/1000</f>
        <v>0</v>
      </c>
      <c r="AH19" s="198">
        <v>0</v>
      </c>
      <c r="AI19" s="161">
        <v>0</v>
      </c>
      <c r="AJ19" s="187">
        <f>AH19+AI19*AJ46/1000</f>
        <v>0</v>
      </c>
      <c r="AK19" s="198">
        <v>0</v>
      </c>
      <c r="AL19" s="161">
        <v>0</v>
      </c>
      <c r="AM19" s="187">
        <f>AK19+AL19*AM46/1000</f>
        <v>0</v>
      </c>
      <c r="AN19" s="198">
        <v>0</v>
      </c>
      <c r="AO19" s="161">
        <v>0</v>
      </c>
      <c r="AP19" s="187">
        <f>AN19+AO19*AP46/1000</f>
        <v>0</v>
      </c>
      <c r="AQ19" s="198">
        <f>SUM(G19,J19,M19,P19,S19,V19,Y19,AB19,AE19,AH19,AK19,AN19)</f>
        <v>0</v>
      </c>
      <c r="AR19" s="161">
        <f>SUM(H19,K19,N19,Q19,T19,W19,Z19,AC19,AF19,AI19,AL19,AO19)</f>
        <v>0</v>
      </c>
      <c r="AS19" s="187">
        <f>AQ19+AR19*AS46/1000</f>
        <v>0</v>
      </c>
      <c r="AT19" s="198">
        <f>AQ19/$AW$3</f>
        <v>0</v>
      </c>
      <c r="AU19" s="161">
        <f>SUM(K19,N19,Q19,T19,W19,Z19,AC19,AF19,AI19,AL19,AO19,AR19)</f>
        <v>0</v>
      </c>
      <c r="AV19" s="187">
        <f>AT19+AU19*AV46/1000</f>
        <v>0</v>
      </c>
    </row>
    <row r="20" spans="3:48" ht="12.75" customHeight="1" x14ac:dyDescent="0.3">
      <c r="C20" s="33"/>
      <c r="D20" s="32"/>
      <c r="E20" s="36" t="s">
        <v>79</v>
      </c>
      <c r="F20" s="43"/>
      <c r="G20" s="40">
        <f t="shared" ref="G20:AN20" si="4">SUM(G21:G24)</f>
        <v>4.9392199999999997</v>
      </c>
      <c r="H20" s="162">
        <f t="shared" si="4"/>
        <v>0</v>
      </c>
      <c r="I20" s="45">
        <f t="shared" si="4"/>
        <v>4.9392199999999997</v>
      </c>
      <c r="J20" s="197">
        <f t="shared" si="4"/>
        <v>5.2613000000000003</v>
      </c>
      <c r="K20" s="162">
        <f t="shared" si="4"/>
        <v>0</v>
      </c>
      <c r="L20" s="192">
        <f t="shared" si="4"/>
        <v>5.2613000000000003</v>
      </c>
      <c r="M20" s="175">
        <f t="shared" si="4"/>
        <v>0</v>
      </c>
      <c r="N20" s="162">
        <f t="shared" si="4"/>
        <v>0</v>
      </c>
      <c r="O20" s="45">
        <f t="shared" si="4"/>
        <v>0</v>
      </c>
      <c r="P20" s="197">
        <f t="shared" si="4"/>
        <v>0</v>
      </c>
      <c r="Q20" s="162">
        <f t="shared" si="4"/>
        <v>0</v>
      </c>
      <c r="R20" s="192">
        <f t="shared" si="4"/>
        <v>0</v>
      </c>
      <c r="S20" s="197">
        <f t="shared" si="4"/>
        <v>0</v>
      </c>
      <c r="T20" s="162">
        <f t="shared" si="4"/>
        <v>0</v>
      </c>
      <c r="U20" s="192">
        <f t="shared" si="4"/>
        <v>0</v>
      </c>
      <c r="V20" s="197">
        <f t="shared" si="4"/>
        <v>1.7501599999999999</v>
      </c>
      <c r="W20" s="162">
        <f t="shared" si="4"/>
        <v>0</v>
      </c>
      <c r="X20" s="192">
        <f t="shared" si="4"/>
        <v>1.7501599999999999</v>
      </c>
      <c r="Y20" s="197">
        <f t="shared" si="4"/>
        <v>7.5795899999999996</v>
      </c>
      <c r="Z20" s="162">
        <f t="shared" si="4"/>
        <v>0</v>
      </c>
      <c r="AA20" s="192">
        <f t="shared" si="4"/>
        <v>7.5795899999999996</v>
      </c>
      <c r="AB20" s="197">
        <f t="shared" si="4"/>
        <v>4.25</v>
      </c>
      <c r="AC20" s="162">
        <f t="shared" si="4"/>
        <v>0</v>
      </c>
      <c r="AD20" s="192">
        <f t="shared" si="4"/>
        <v>4.25</v>
      </c>
      <c r="AE20" s="197">
        <f t="shared" si="4"/>
        <v>0</v>
      </c>
      <c r="AF20" s="162">
        <f t="shared" si="4"/>
        <v>0</v>
      </c>
      <c r="AG20" s="192">
        <f t="shared" si="4"/>
        <v>0</v>
      </c>
      <c r="AH20" s="197">
        <f t="shared" si="4"/>
        <v>0</v>
      </c>
      <c r="AI20" s="162">
        <f t="shared" si="4"/>
        <v>0</v>
      </c>
      <c r="AJ20" s="192">
        <f t="shared" si="4"/>
        <v>0</v>
      </c>
      <c r="AK20" s="197">
        <f t="shared" si="4"/>
        <v>0</v>
      </c>
      <c r="AL20" s="162">
        <f t="shared" si="4"/>
        <v>0</v>
      </c>
      <c r="AM20" s="192">
        <f t="shared" si="4"/>
        <v>0</v>
      </c>
      <c r="AN20" s="197">
        <f t="shared" si="4"/>
        <v>0</v>
      </c>
      <c r="AO20" s="162"/>
      <c r="AP20" s="192">
        <f>SUM(AP21:AP24)</f>
        <v>0</v>
      </c>
      <c r="AQ20" s="197">
        <f>SUM(AQ21:AQ24)</f>
        <v>0</v>
      </c>
      <c r="AR20" s="162"/>
      <c r="AS20" s="192">
        <f>SUM(AS21:AS24)</f>
        <v>0</v>
      </c>
      <c r="AT20" s="197">
        <f>SUM(AT21:AT24)</f>
        <v>0</v>
      </c>
      <c r="AU20" s="162"/>
      <c r="AV20" s="192">
        <f>SUM(AV21:AV24)</f>
        <v>0</v>
      </c>
    </row>
    <row r="21" spans="3:48" ht="12.75" customHeight="1" outlineLevel="1" x14ac:dyDescent="0.3">
      <c r="C21" s="33"/>
      <c r="D21" s="32"/>
      <c r="E21" s="36"/>
      <c r="F21" s="25" t="s">
        <v>80</v>
      </c>
      <c r="G21" s="37">
        <v>0</v>
      </c>
      <c r="H21" s="158">
        <v>0</v>
      </c>
      <c r="I21" s="16">
        <f t="shared" ref="I21:I27" si="5">G21+H21*$R$46/1000</f>
        <v>0</v>
      </c>
      <c r="J21" s="37">
        <v>0</v>
      </c>
      <c r="K21" s="158">
        <v>0</v>
      </c>
      <c r="L21" s="187">
        <f t="shared" ref="L21:L27" si="6">J21+K21*$R$46/1000</f>
        <v>0</v>
      </c>
      <c r="M21" s="37">
        <v>0</v>
      </c>
      <c r="N21" s="158">
        <v>0</v>
      </c>
      <c r="O21" s="16">
        <f t="shared" ref="O21:O27" si="7">M21+N21*$R$46/1000</f>
        <v>0</v>
      </c>
      <c r="P21" s="195">
        <v>0</v>
      </c>
      <c r="Q21" s="158"/>
      <c r="R21" s="187">
        <f t="shared" ref="R21:R27" si="8">P21+Q21*$R$46/1000</f>
        <v>0</v>
      </c>
      <c r="S21" s="195">
        <v>0</v>
      </c>
      <c r="T21" s="158">
        <v>0</v>
      </c>
      <c r="U21" s="187">
        <f>S21+T21*U46/1000</f>
        <v>0</v>
      </c>
      <c r="V21" s="195">
        <v>0</v>
      </c>
      <c r="W21" s="158">
        <v>0</v>
      </c>
      <c r="X21" s="187">
        <f>V21+W21*X46/1000</f>
        <v>0</v>
      </c>
      <c r="Y21" s="195">
        <v>0</v>
      </c>
      <c r="Z21" s="158">
        <v>0</v>
      </c>
      <c r="AA21" s="187">
        <f>Y21+Z21*AA46/1000</f>
        <v>0</v>
      </c>
      <c r="AB21" s="195">
        <v>0</v>
      </c>
      <c r="AC21" s="158">
        <v>0</v>
      </c>
      <c r="AD21" s="187">
        <f>AB21+AC21*AD46/1000</f>
        <v>0</v>
      </c>
      <c r="AE21" s="195"/>
      <c r="AF21" s="158"/>
      <c r="AG21" s="187">
        <f>AE21+AF21*AG46/1000</f>
        <v>0</v>
      </c>
      <c r="AH21" s="195"/>
      <c r="AI21" s="158"/>
      <c r="AJ21" s="187">
        <f>AH21+AI21*AJ46/1000</f>
        <v>0</v>
      </c>
      <c r="AK21" s="195"/>
      <c r="AL21" s="158"/>
      <c r="AM21" s="187">
        <f>AK21+AL21*AM46/1000</f>
        <v>0</v>
      </c>
      <c r="AN21" s="195"/>
      <c r="AO21" s="158"/>
      <c r="AP21" s="187">
        <f>AN21+AO21*AP46/1000</f>
        <v>0</v>
      </c>
      <c r="AQ21" s="195"/>
      <c r="AR21" s="158"/>
      <c r="AS21" s="187">
        <f>AQ21+AR21*AS46/1000</f>
        <v>0</v>
      </c>
      <c r="AT21" s="195">
        <f t="shared" ref="AT21:AT27" si="9">AQ21/$AW$3</f>
        <v>0</v>
      </c>
      <c r="AU21" s="167">
        <f t="shared" ref="AU21:AU27" si="10">SUM(K21,N21,Q21,T21,W21,Z21,AC21,AF21,AI21,AL21,AO21,AR21)</f>
        <v>0</v>
      </c>
      <c r="AV21" s="187">
        <f>AT21+AU21*AV46/1000</f>
        <v>0</v>
      </c>
    </row>
    <row r="22" spans="3:48" ht="12.75" customHeight="1" outlineLevel="1" x14ac:dyDescent="0.3">
      <c r="C22" s="33"/>
      <c r="D22" s="32"/>
      <c r="E22" s="36"/>
      <c r="F22" s="36" t="s">
        <v>81</v>
      </c>
      <c r="G22" s="35">
        <v>0</v>
      </c>
      <c r="H22" s="159">
        <v>0</v>
      </c>
      <c r="I22" s="42">
        <f t="shared" si="5"/>
        <v>0</v>
      </c>
      <c r="J22" s="35">
        <v>0</v>
      </c>
      <c r="K22" s="159">
        <v>0</v>
      </c>
      <c r="L22" s="189">
        <f t="shared" si="6"/>
        <v>0</v>
      </c>
      <c r="M22" s="35">
        <v>0</v>
      </c>
      <c r="N22" s="159">
        <v>0</v>
      </c>
      <c r="O22" s="42">
        <f t="shared" si="7"/>
        <v>0</v>
      </c>
      <c r="P22" s="196">
        <v>0</v>
      </c>
      <c r="Q22" s="159"/>
      <c r="R22" s="189">
        <f t="shared" si="8"/>
        <v>0</v>
      </c>
      <c r="S22" s="196">
        <v>0</v>
      </c>
      <c r="T22" s="159">
        <v>0</v>
      </c>
      <c r="U22" s="189">
        <f>S22+T22*$U46/1000</f>
        <v>0</v>
      </c>
      <c r="V22" s="196">
        <v>0</v>
      </c>
      <c r="W22" s="159">
        <v>0</v>
      </c>
      <c r="X22" s="189">
        <f>V22+W22*$U46/1000</f>
        <v>0</v>
      </c>
      <c r="Y22" s="196">
        <v>3.6593499999999999</v>
      </c>
      <c r="Z22" s="159">
        <v>0</v>
      </c>
      <c r="AA22" s="189">
        <f>Y22+Z22*$U46/1000</f>
        <v>3.6593499999999999</v>
      </c>
      <c r="AB22" s="196">
        <v>0</v>
      </c>
      <c r="AC22" s="159">
        <v>0</v>
      </c>
      <c r="AD22" s="189">
        <f>AB22+AC22*$U46/1000</f>
        <v>0</v>
      </c>
      <c r="AE22" s="196"/>
      <c r="AF22" s="159"/>
      <c r="AG22" s="189">
        <f>AE22+AF22*$U46/1000</f>
        <v>0</v>
      </c>
      <c r="AH22" s="196"/>
      <c r="AI22" s="159"/>
      <c r="AJ22" s="189">
        <f>AH22+AI22*$U46/1000</f>
        <v>0</v>
      </c>
      <c r="AK22" s="196"/>
      <c r="AL22" s="159"/>
      <c r="AM22" s="189">
        <f>AK22+AL22*$U46/1000</f>
        <v>0</v>
      </c>
      <c r="AN22" s="196"/>
      <c r="AO22" s="159"/>
      <c r="AP22" s="189">
        <f>AN22+AO22*$U46/1000</f>
        <v>0</v>
      </c>
      <c r="AQ22" s="196"/>
      <c r="AR22" s="159"/>
      <c r="AS22" s="189">
        <f>AQ22+AR22*$U46/1000</f>
        <v>0</v>
      </c>
      <c r="AT22" s="319">
        <f t="shared" si="9"/>
        <v>0</v>
      </c>
      <c r="AU22" s="163">
        <f t="shared" si="10"/>
        <v>0</v>
      </c>
      <c r="AV22" s="189">
        <f>AT22+AU22*$U46/1000</f>
        <v>0</v>
      </c>
    </row>
    <row r="23" spans="3:48" ht="12.75" customHeight="1" outlineLevel="1" x14ac:dyDescent="0.3">
      <c r="C23" s="33"/>
      <c r="D23" s="32"/>
      <c r="E23" s="36"/>
      <c r="F23" s="36" t="s">
        <v>83</v>
      </c>
      <c r="G23" s="35">
        <v>4.9392199999999997</v>
      </c>
      <c r="H23" s="159">
        <v>0</v>
      </c>
      <c r="I23" s="42">
        <f t="shared" si="5"/>
        <v>4.9392199999999997</v>
      </c>
      <c r="J23" s="35">
        <v>5.2613000000000003</v>
      </c>
      <c r="K23" s="159">
        <v>0</v>
      </c>
      <c r="L23" s="189">
        <f t="shared" si="6"/>
        <v>5.2613000000000003</v>
      </c>
      <c r="M23" s="35">
        <v>0</v>
      </c>
      <c r="N23" s="159">
        <v>0</v>
      </c>
      <c r="O23" s="42">
        <f t="shared" si="7"/>
        <v>0</v>
      </c>
      <c r="P23" s="196">
        <v>0</v>
      </c>
      <c r="Q23" s="159"/>
      <c r="R23" s="189">
        <f t="shared" si="8"/>
        <v>0</v>
      </c>
      <c r="S23" s="196"/>
      <c r="T23" s="159">
        <v>0</v>
      </c>
      <c r="U23" s="189">
        <f>S23+T23*U46/1000</f>
        <v>0</v>
      </c>
      <c r="V23" s="196">
        <v>1.7501599999999999</v>
      </c>
      <c r="W23" s="159">
        <v>0</v>
      </c>
      <c r="X23" s="189">
        <f>V23+W23*X46/1000</f>
        <v>1.7501599999999999</v>
      </c>
      <c r="Y23" s="196">
        <v>3.9202400000000002</v>
      </c>
      <c r="Z23" s="159">
        <v>0</v>
      </c>
      <c r="AA23" s="189">
        <f>Y23+Z23*AA46/1000</f>
        <v>3.9202400000000002</v>
      </c>
      <c r="AB23" s="196">
        <v>4</v>
      </c>
      <c r="AC23" s="159">
        <v>0</v>
      </c>
      <c r="AD23" s="189">
        <f>AB23+AC23*AD46/1000</f>
        <v>4</v>
      </c>
      <c r="AE23" s="196"/>
      <c r="AF23" s="159"/>
      <c r="AG23" s="189">
        <f>AE23+AF23*AG46/1000</f>
        <v>0</v>
      </c>
      <c r="AH23" s="196"/>
      <c r="AI23" s="159"/>
      <c r="AJ23" s="189">
        <f>AH23+AI23*AJ46/1000</f>
        <v>0</v>
      </c>
      <c r="AK23" s="196"/>
      <c r="AL23" s="159"/>
      <c r="AM23" s="189">
        <f>AK23+AL23*AM46/1000</f>
        <v>0</v>
      </c>
      <c r="AN23" s="196"/>
      <c r="AO23" s="159"/>
      <c r="AP23" s="189">
        <f>AN23+AO23*AP46/1000</f>
        <v>0</v>
      </c>
      <c r="AQ23" s="196"/>
      <c r="AR23" s="159"/>
      <c r="AS23" s="189">
        <f>AQ23+AR23*AS46/1000</f>
        <v>0</v>
      </c>
      <c r="AT23" s="319">
        <f t="shared" si="9"/>
        <v>0</v>
      </c>
      <c r="AU23" s="163">
        <f t="shared" si="10"/>
        <v>0</v>
      </c>
      <c r="AV23" s="189">
        <f>AT23+AU23*AV46/1000</f>
        <v>0</v>
      </c>
    </row>
    <row r="24" spans="3:48" ht="12.75" customHeight="1" outlineLevel="1" x14ac:dyDescent="0.3">
      <c r="C24" s="33"/>
      <c r="D24" s="32"/>
      <c r="E24" s="41"/>
      <c r="F24" s="41" t="s">
        <v>85</v>
      </c>
      <c r="G24" s="40">
        <v>0</v>
      </c>
      <c r="H24" s="160">
        <v>0</v>
      </c>
      <c r="I24" s="45">
        <f t="shared" si="5"/>
        <v>0</v>
      </c>
      <c r="J24" s="40">
        <v>0</v>
      </c>
      <c r="K24" s="160">
        <v>0</v>
      </c>
      <c r="L24" s="192">
        <f t="shared" si="6"/>
        <v>0</v>
      </c>
      <c r="M24" s="40">
        <v>0</v>
      </c>
      <c r="N24" s="160">
        <v>0</v>
      </c>
      <c r="O24" s="45">
        <f t="shared" si="7"/>
        <v>0</v>
      </c>
      <c r="P24" s="197">
        <v>0</v>
      </c>
      <c r="Q24" s="160"/>
      <c r="R24" s="192">
        <f t="shared" si="8"/>
        <v>0</v>
      </c>
      <c r="S24" s="197">
        <v>0</v>
      </c>
      <c r="T24" s="160">
        <v>0</v>
      </c>
      <c r="U24" s="192">
        <f>S24+T24*U46/1000</f>
        <v>0</v>
      </c>
      <c r="V24" s="197">
        <v>0</v>
      </c>
      <c r="W24" s="160">
        <v>0</v>
      </c>
      <c r="X24" s="192">
        <f>V24+W24*X46/1000</f>
        <v>0</v>
      </c>
      <c r="Y24" s="197">
        <v>0</v>
      </c>
      <c r="Z24" s="160">
        <v>0</v>
      </c>
      <c r="AA24" s="192">
        <f>Y24+Z24*AA46/1000</f>
        <v>0</v>
      </c>
      <c r="AB24" s="197">
        <v>0.25</v>
      </c>
      <c r="AC24" s="160">
        <v>0</v>
      </c>
      <c r="AD24" s="192">
        <f>AB24+AC24*AD46/1000</f>
        <v>0.25</v>
      </c>
      <c r="AE24" s="197"/>
      <c r="AF24" s="160"/>
      <c r="AG24" s="192">
        <f>AE24+AF24*AG46/1000</f>
        <v>0</v>
      </c>
      <c r="AH24" s="197"/>
      <c r="AI24" s="160"/>
      <c r="AJ24" s="192">
        <f>AH24+AI24*AJ46/1000</f>
        <v>0</v>
      </c>
      <c r="AK24" s="197"/>
      <c r="AL24" s="160"/>
      <c r="AM24" s="192">
        <f>AK24+AL24*AM46/1000</f>
        <v>0</v>
      </c>
      <c r="AN24" s="197"/>
      <c r="AO24" s="160"/>
      <c r="AP24" s="192">
        <f>AN24+AO24*AP46/1000</f>
        <v>0</v>
      </c>
      <c r="AQ24" s="330"/>
      <c r="AR24" s="160"/>
      <c r="AS24" s="192">
        <f>AQ24+AR24*AS46/1000</f>
        <v>0</v>
      </c>
      <c r="AT24" s="320">
        <f t="shared" si="9"/>
        <v>0</v>
      </c>
      <c r="AU24" s="164">
        <f t="shared" si="10"/>
        <v>0</v>
      </c>
      <c r="AV24" s="192">
        <f>AT24+AU24*AV46/1000</f>
        <v>0</v>
      </c>
    </row>
    <row r="25" spans="3:48" ht="12.75" customHeight="1" x14ac:dyDescent="0.3">
      <c r="C25" s="33"/>
      <c r="D25" s="32"/>
      <c r="E25" s="36" t="s">
        <v>86</v>
      </c>
      <c r="F25" s="43"/>
      <c r="G25" s="145">
        <v>0</v>
      </c>
      <c r="H25" s="163">
        <v>0</v>
      </c>
      <c r="I25" s="42">
        <f t="shared" si="5"/>
        <v>0</v>
      </c>
      <c r="J25" s="188">
        <v>0</v>
      </c>
      <c r="K25" s="163">
        <v>0</v>
      </c>
      <c r="L25" s="189">
        <f t="shared" si="6"/>
        <v>0</v>
      </c>
      <c r="M25" s="173">
        <v>0</v>
      </c>
      <c r="N25" s="163">
        <v>0</v>
      </c>
      <c r="O25" s="42">
        <f t="shared" si="7"/>
        <v>0</v>
      </c>
      <c r="P25" s="188">
        <v>0</v>
      </c>
      <c r="Q25" s="163">
        <v>0</v>
      </c>
      <c r="R25" s="189">
        <f t="shared" si="8"/>
        <v>0</v>
      </c>
      <c r="S25" s="188">
        <v>0</v>
      </c>
      <c r="T25" s="163">
        <v>0</v>
      </c>
      <c r="U25" s="189">
        <f>S25+T25*U46/1000</f>
        <v>0</v>
      </c>
      <c r="V25" s="188">
        <v>0</v>
      </c>
      <c r="W25" s="163">
        <v>0</v>
      </c>
      <c r="X25" s="189">
        <f>V25+W25*X46/1000</f>
        <v>0</v>
      </c>
      <c r="Y25" s="188">
        <v>0</v>
      </c>
      <c r="Z25" s="163">
        <v>0</v>
      </c>
      <c r="AA25" s="189">
        <f>Y25+Z25*AA46/1000</f>
        <v>0</v>
      </c>
      <c r="AB25" s="188">
        <v>0</v>
      </c>
      <c r="AC25" s="163">
        <v>0</v>
      </c>
      <c r="AD25" s="189">
        <f>AB25+AC25*AD46/1000</f>
        <v>0</v>
      </c>
      <c r="AE25" s="188">
        <v>0</v>
      </c>
      <c r="AF25" s="163">
        <v>0</v>
      </c>
      <c r="AG25" s="189">
        <f>AE25+AF25*AG46/1000</f>
        <v>0</v>
      </c>
      <c r="AH25" s="188">
        <v>0</v>
      </c>
      <c r="AI25" s="163">
        <v>0</v>
      </c>
      <c r="AJ25" s="189">
        <f>AH25+AI25*AJ46/1000</f>
        <v>0</v>
      </c>
      <c r="AK25" s="188">
        <v>0</v>
      </c>
      <c r="AL25" s="163">
        <v>0</v>
      </c>
      <c r="AM25" s="189">
        <f>AK25+AL25*AM46/1000</f>
        <v>0</v>
      </c>
      <c r="AN25" s="188">
        <v>0</v>
      </c>
      <c r="AO25" s="163">
        <v>0</v>
      </c>
      <c r="AP25" s="189">
        <f>AN25+AO25*AP46/1000</f>
        <v>0</v>
      </c>
      <c r="AQ25" s="188">
        <f t="shared" ref="AQ25:AR27" si="11">SUM(G25,J25,M25,P25,S25,V25,Y25,AB25,AE25,AH25,AK25,AN25)</f>
        <v>0</v>
      </c>
      <c r="AR25" s="163">
        <f t="shared" si="11"/>
        <v>0</v>
      </c>
      <c r="AS25" s="189">
        <f>AQ25+AR25*AS46/1000</f>
        <v>0</v>
      </c>
      <c r="AT25" s="318">
        <f t="shared" si="9"/>
        <v>0</v>
      </c>
      <c r="AU25" s="163">
        <f t="shared" si="10"/>
        <v>0</v>
      </c>
      <c r="AV25" s="189">
        <f>AT25+AU25*AV46/1000</f>
        <v>0</v>
      </c>
    </row>
    <row r="26" spans="3:48" ht="12.75" customHeight="1" x14ac:dyDescent="0.3">
      <c r="C26" s="33"/>
      <c r="D26" s="32"/>
      <c r="E26" s="36" t="s">
        <v>87</v>
      </c>
      <c r="F26" s="43"/>
      <c r="G26" s="145">
        <v>0</v>
      </c>
      <c r="H26" s="165">
        <v>0</v>
      </c>
      <c r="I26" s="42">
        <f t="shared" si="5"/>
        <v>0</v>
      </c>
      <c r="J26" s="188">
        <v>0</v>
      </c>
      <c r="K26" s="165">
        <v>0</v>
      </c>
      <c r="L26" s="189">
        <f t="shared" si="6"/>
        <v>0</v>
      </c>
      <c r="M26" s="173">
        <v>0</v>
      </c>
      <c r="N26" s="165">
        <v>0</v>
      </c>
      <c r="O26" s="42">
        <f t="shared" si="7"/>
        <v>0</v>
      </c>
      <c r="P26" s="188">
        <v>0</v>
      </c>
      <c r="Q26" s="165">
        <v>0</v>
      </c>
      <c r="R26" s="189">
        <f t="shared" si="8"/>
        <v>0</v>
      </c>
      <c r="S26" s="188">
        <v>0</v>
      </c>
      <c r="T26" s="165">
        <v>0</v>
      </c>
      <c r="U26" s="189">
        <f>S26+T26*U46/1000</f>
        <v>0</v>
      </c>
      <c r="V26" s="188"/>
      <c r="W26" s="165">
        <v>0</v>
      </c>
      <c r="X26" s="189">
        <f>V26+W26*X46/1000</f>
        <v>0</v>
      </c>
      <c r="Y26" s="188">
        <v>0</v>
      </c>
      <c r="Z26" s="165">
        <v>0</v>
      </c>
      <c r="AA26" s="189">
        <f>Y26+Z26*AA46/1000</f>
        <v>0</v>
      </c>
      <c r="AB26" s="188">
        <v>8.25E-4</v>
      </c>
      <c r="AC26" s="165">
        <v>0</v>
      </c>
      <c r="AD26" s="189">
        <f>AB26+AC26*AD46/1000</f>
        <v>8.25E-4</v>
      </c>
      <c r="AE26" s="188">
        <v>0</v>
      </c>
      <c r="AF26" s="165">
        <v>0</v>
      </c>
      <c r="AG26" s="189">
        <f>AE26+AF26*AG46/1000</f>
        <v>0</v>
      </c>
      <c r="AH26" s="188">
        <v>0</v>
      </c>
      <c r="AI26" s="165">
        <v>0</v>
      </c>
      <c r="AJ26" s="189">
        <f>AH26+AI26*AJ46/1000</f>
        <v>0</v>
      </c>
      <c r="AK26" s="188">
        <v>0</v>
      </c>
      <c r="AL26" s="165">
        <v>0</v>
      </c>
      <c r="AM26" s="189">
        <f>AK26+AL26*AM46/1000</f>
        <v>0</v>
      </c>
      <c r="AN26" s="188">
        <v>0</v>
      </c>
      <c r="AO26" s="165">
        <v>0</v>
      </c>
      <c r="AP26" s="189">
        <f>AN26+AO26*AP46/1000</f>
        <v>0</v>
      </c>
      <c r="AQ26" s="188">
        <f t="shared" si="11"/>
        <v>8.25E-4</v>
      </c>
      <c r="AR26" s="165">
        <f t="shared" si="11"/>
        <v>0</v>
      </c>
      <c r="AS26" s="189">
        <f>AQ26+AR26*AS46/1000</f>
        <v>8.25E-4</v>
      </c>
      <c r="AT26" s="319">
        <f t="shared" si="9"/>
        <v>6.8750000000000004E-5</v>
      </c>
      <c r="AU26" s="165">
        <f t="shared" si="10"/>
        <v>0</v>
      </c>
      <c r="AV26" s="189">
        <f>AT26+AU26*AV46/1000</f>
        <v>6.8750000000000004E-5</v>
      </c>
    </row>
    <row r="27" spans="3:48" ht="12.75" customHeight="1" x14ac:dyDescent="0.3">
      <c r="C27" s="33"/>
      <c r="D27" s="32"/>
      <c r="E27" s="36" t="s">
        <v>88</v>
      </c>
      <c r="F27" s="43"/>
      <c r="G27" s="145">
        <v>0</v>
      </c>
      <c r="H27" s="635">
        <v>0</v>
      </c>
      <c r="I27" s="42">
        <f t="shared" si="5"/>
        <v>0</v>
      </c>
      <c r="J27" s="637">
        <v>7.13645</v>
      </c>
      <c r="K27" s="635">
        <v>0</v>
      </c>
      <c r="L27" s="189">
        <f t="shared" si="6"/>
        <v>7.13645</v>
      </c>
      <c r="M27" s="637">
        <v>999.99</v>
      </c>
      <c r="N27" s="635">
        <v>0</v>
      </c>
      <c r="O27" s="42">
        <f t="shared" si="7"/>
        <v>999.99</v>
      </c>
      <c r="P27" s="188">
        <v>0</v>
      </c>
      <c r="Q27" s="635">
        <v>0</v>
      </c>
      <c r="R27" s="189">
        <f t="shared" si="8"/>
        <v>0</v>
      </c>
      <c r="S27" s="188">
        <v>0</v>
      </c>
      <c r="T27" s="635">
        <v>0</v>
      </c>
      <c r="U27" s="189">
        <f>S27+T27*U47/1000</f>
        <v>0</v>
      </c>
      <c r="V27" s="188"/>
      <c r="W27" s="635">
        <v>0</v>
      </c>
      <c r="X27" s="189">
        <f>V27+W27*X47/1000</f>
        <v>0</v>
      </c>
      <c r="Y27" s="188">
        <v>0</v>
      </c>
      <c r="Z27" s="635">
        <v>0</v>
      </c>
      <c r="AA27" s="189">
        <f>Y27+Z27*AA47/1000</f>
        <v>0</v>
      </c>
      <c r="AB27" s="188">
        <v>0</v>
      </c>
      <c r="AC27" s="635">
        <v>0</v>
      </c>
      <c r="AD27" s="189">
        <f>AB27+AC27*AD47/1000</f>
        <v>0</v>
      </c>
      <c r="AE27" s="188">
        <v>0</v>
      </c>
      <c r="AF27" s="635">
        <v>0</v>
      </c>
      <c r="AG27" s="189">
        <f>AE27+AF27*AG47/1000</f>
        <v>0</v>
      </c>
      <c r="AH27" s="188">
        <v>0</v>
      </c>
      <c r="AI27" s="635">
        <v>0</v>
      </c>
      <c r="AJ27" s="189">
        <f>AH27+AI27*AJ47/1000</f>
        <v>0</v>
      </c>
      <c r="AK27" s="188">
        <v>0</v>
      </c>
      <c r="AL27" s="635">
        <v>0</v>
      </c>
      <c r="AM27" s="189">
        <f>AK27+AL27*AM47/1000</f>
        <v>0</v>
      </c>
      <c r="AN27" s="188">
        <v>0</v>
      </c>
      <c r="AO27" s="635">
        <v>0</v>
      </c>
      <c r="AP27" s="189">
        <f>AN27+AO27*AP47/1000</f>
        <v>0</v>
      </c>
      <c r="AQ27" s="188">
        <f t="shared" si="11"/>
        <v>1007.12645</v>
      </c>
      <c r="AR27" s="635">
        <f t="shared" si="11"/>
        <v>0</v>
      </c>
      <c r="AS27" s="189">
        <f>AQ27+AR27*AS47/1000</f>
        <v>1007.12645</v>
      </c>
      <c r="AT27" s="196">
        <f t="shared" si="9"/>
        <v>83.927204166666669</v>
      </c>
      <c r="AU27" s="635">
        <f t="shared" si="10"/>
        <v>0</v>
      </c>
      <c r="AV27" s="189">
        <f>AT27+AU27*AV47/1000</f>
        <v>83.927204166666669</v>
      </c>
    </row>
    <row r="28" spans="3:48" ht="12.75" customHeight="1" x14ac:dyDescent="0.3">
      <c r="C28" s="33"/>
      <c r="D28" s="32"/>
      <c r="E28" s="36" t="s">
        <v>67</v>
      </c>
      <c r="F28" s="43"/>
      <c r="G28" s="45">
        <f t="shared" ref="G28:L28" si="12">SUM(G29:G32)</f>
        <v>14.166858999999999</v>
      </c>
      <c r="H28" s="164">
        <f t="shared" si="12"/>
        <v>0</v>
      </c>
      <c r="I28" s="45">
        <f t="shared" si="12"/>
        <v>14.166858999999999</v>
      </c>
      <c r="J28" s="199">
        <f t="shared" si="12"/>
        <v>13.619629</v>
      </c>
      <c r="K28" s="164">
        <f t="shared" si="12"/>
        <v>0</v>
      </c>
      <c r="L28" s="192">
        <f t="shared" si="12"/>
        <v>13.619629</v>
      </c>
      <c r="M28" s="138">
        <v>6.6807454999999996</v>
      </c>
      <c r="N28" s="164">
        <v>0</v>
      </c>
      <c r="O28" s="45">
        <f t="shared" ref="O28:Y28" si="13">SUM(O29:O32)</f>
        <v>6.5100759999999998</v>
      </c>
      <c r="P28" s="199">
        <f t="shared" si="13"/>
        <v>11.410589</v>
      </c>
      <c r="Q28" s="164">
        <f t="shared" si="13"/>
        <v>0</v>
      </c>
      <c r="R28" s="192">
        <f t="shared" si="13"/>
        <v>11.410589</v>
      </c>
      <c r="S28" s="199">
        <f t="shared" si="13"/>
        <v>15.245220999999999</v>
      </c>
      <c r="T28" s="164">
        <f t="shared" si="13"/>
        <v>0</v>
      </c>
      <c r="U28" s="192">
        <f t="shared" si="13"/>
        <v>15.245220999999999</v>
      </c>
      <c r="V28" s="199">
        <f t="shared" si="13"/>
        <v>11.238780999999999</v>
      </c>
      <c r="W28" s="164">
        <f t="shared" si="13"/>
        <v>0</v>
      </c>
      <c r="X28" s="192">
        <f t="shared" si="13"/>
        <v>11.238780999999999</v>
      </c>
      <c r="Y28" s="199">
        <f t="shared" si="13"/>
        <v>14.0237</v>
      </c>
      <c r="Z28" s="164">
        <v>0</v>
      </c>
      <c r="AA28" s="192">
        <f t="shared" ref="AA28:AV28" si="14">SUM(AA29:AA32)</f>
        <v>14.0237</v>
      </c>
      <c r="AB28" s="199">
        <f t="shared" si="14"/>
        <v>6.8063442000000016</v>
      </c>
      <c r="AC28" s="164">
        <f t="shared" si="14"/>
        <v>0</v>
      </c>
      <c r="AD28" s="192">
        <f t="shared" si="14"/>
        <v>6.8063442000000016</v>
      </c>
      <c r="AE28" s="199">
        <f t="shared" si="14"/>
        <v>0</v>
      </c>
      <c r="AF28" s="164">
        <f t="shared" si="14"/>
        <v>0</v>
      </c>
      <c r="AG28" s="192">
        <f t="shared" si="14"/>
        <v>0</v>
      </c>
      <c r="AH28" s="199">
        <f t="shared" si="14"/>
        <v>0</v>
      </c>
      <c r="AI28" s="164">
        <f t="shared" si="14"/>
        <v>0</v>
      </c>
      <c r="AJ28" s="192">
        <f t="shared" si="14"/>
        <v>0</v>
      </c>
      <c r="AK28" s="199">
        <f t="shared" si="14"/>
        <v>0</v>
      </c>
      <c r="AL28" s="164">
        <f t="shared" si="14"/>
        <v>0</v>
      </c>
      <c r="AM28" s="192">
        <f t="shared" si="14"/>
        <v>0</v>
      </c>
      <c r="AN28" s="199">
        <f t="shared" si="14"/>
        <v>0</v>
      </c>
      <c r="AO28" s="164">
        <f t="shared" si="14"/>
        <v>0</v>
      </c>
      <c r="AP28" s="192">
        <f t="shared" si="14"/>
        <v>0</v>
      </c>
      <c r="AQ28" s="199">
        <f t="shared" si="14"/>
        <v>0</v>
      </c>
      <c r="AR28" s="164">
        <f t="shared" si="14"/>
        <v>0</v>
      </c>
      <c r="AS28" s="192">
        <f t="shared" si="14"/>
        <v>0</v>
      </c>
      <c r="AT28" s="199">
        <f t="shared" si="14"/>
        <v>0</v>
      </c>
      <c r="AU28" s="164">
        <f t="shared" si="14"/>
        <v>0</v>
      </c>
      <c r="AV28" s="192">
        <f t="shared" si="14"/>
        <v>0</v>
      </c>
    </row>
    <row r="29" spans="3:48" ht="12.75" customHeight="1" outlineLevel="1" x14ac:dyDescent="0.3">
      <c r="C29" s="33"/>
      <c r="D29" s="32"/>
      <c r="E29" s="32"/>
      <c r="F29" s="25" t="s">
        <v>89</v>
      </c>
      <c r="G29" s="37">
        <v>0.78595000000000004</v>
      </c>
      <c r="H29" s="158">
        <v>0</v>
      </c>
      <c r="I29" s="37">
        <f>G29+H29*$R$46/1000</f>
        <v>0.78595000000000004</v>
      </c>
      <c r="J29" s="37">
        <v>2.8408090000000001</v>
      </c>
      <c r="K29" s="158">
        <v>0</v>
      </c>
      <c r="L29" s="200">
        <f>J29+K29*$R$46/1000</f>
        <v>2.8408090000000001</v>
      </c>
      <c r="M29" s="37">
        <v>0.91030599999999995</v>
      </c>
      <c r="N29" s="158">
        <v>0</v>
      </c>
      <c r="O29" s="37">
        <f>M29+N29*$R$46/1000</f>
        <v>0.91030599999999995</v>
      </c>
      <c r="P29" s="195">
        <v>0.70820399999999994</v>
      </c>
      <c r="Q29" s="158">
        <v>0</v>
      </c>
      <c r="R29" s="200">
        <f>P29+Q29*$R$46/1000</f>
        <v>0.70820399999999994</v>
      </c>
      <c r="S29" s="195">
        <v>0.82648299999999997</v>
      </c>
      <c r="T29" s="158">
        <v>0</v>
      </c>
      <c r="U29" s="200">
        <f>S29+T29*U46/1000</f>
        <v>0.82648299999999997</v>
      </c>
      <c r="V29" s="195">
        <v>1.4114899999999999</v>
      </c>
      <c r="W29" s="158">
        <v>0</v>
      </c>
      <c r="X29" s="200">
        <f>V29+W29*X46/1000</f>
        <v>1.4114899999999999</v>
      </c>
      <c r="Y29" s="195">
        <v>0.68539100000000008</v>
      </c>
      <c r="Z29" s="158">
        <v>0</v>
      </c>
      <c r="AA29" s="200">
        <f>Y29+Z29*AA46/1000</f>
        <v>0.68539100000000008</v>
      </c>
      <c r="AB29" s="195">
        <v>0.68420000000000003</v>
      </c>
      <c r="AC29" s="158">
        <v>0</v>
      </c>
      <c r="AD29" s="200">
        <f>AB29+AC29*AD50/1000</f>
        <v>0.68420000000000003</v>
      </c>
      <c r="AE29" s="195"/>
      <c r="AF29" s="158"/>
      <c r="AG29" s="200">
        <f>AE29+AF29*AG46/1000</f>
        <v>0</v>
      </c>
      <c r="AH29" s="195"/>
      <c r="AI29" s="158"/>
      <c r="AJ29" s="200">
        <f>AH29+AI29*AJ46/1000</f>
        <v>0</v>
      </c>
      <c r="AK29" s="195"/>
      <c r="AL29" s="158"/>
      <c r="AM29" s="200">
        <f>AK29+AL29*AM46/1000</f>
        <v>0</v>
      </c>
      <c r="AN29" s="195"/>
      <c r="AO29" s="163"/>
      <c r="AP29" s="200">
        <f>AN29+AO29*AP46/1000</f>
        <v>0</v>
      </c>
      <c r="AQ29" s="195"/>
      <c r="AR29" s="163"/>
      <c r="AS29" s="200">
        <f>AQ29+AR29*AS46/1000</f>
        <v>0</v>
      </c>
      <c r="AT29" s="318">
        <f>AQ29/$AW$3</f>
        <v>0</v>
      </c>
      <c r="AU29" s="163">
        <f>SUM(K29,N29,Q29,T29,W29,Z29,AC29,AF29,AI29,AL29,AO29,AR29)</f>
        <v>0</v>
      </c>
      <c r="AV29" s="200">
        <f>AT29+AU29*AV46/1000</f>
        <v>0</v>
      </c>
    </row>
    <row r="30" spans="3:48" ht="12.75" customHeight="1" outlineLevel="1" x14ac:dyDescent="0.3">
      <c r="C30" s="33"/>
      <c r="D30" s="32"/>
      <c r="E30" s="32"/>
      <c r="F30" s="36" t="s">
        <v>91</v>
      </c>
      <c r="G30" s="35">
        <v>0</v>
      </c>
      <c r="H30" s="159">
        <v>0</v>
      </c>
      <c r="I30" s="35">
        <f>G30+H30*$R$46/1000</f>
        <v>0</v>
      </c>
      <c r="J30" s="35">
        <v>0</v>
      </c>
      <c r="K30" s="159">
        <v>0</v>
      </c>
      <c r="L30" s="189">
        <f>J30+K30*$R$46/1000</f>
        <v>0</v>
      </c>
      <c r="M30" s="35">
        <v>0</v>
      </c>
      <c r="N30" s="159">
        <v>0</v>
      </c>
      <c r="O30" s="35">
        <f>M30+N30*$R$46/1000</f>
        <v>0</v>
      </c>
      <c r="P30" s="196">
        <v>0</v>
      </c>
      <c r="Q30" s="159">
        <v>0</v>
      </c>
      <c r="R30" s="189">
        <f>P30+Q30*$R$46/1000</f>
        <v>0</v>
      </c>
      <c r="S30" s="196">
        <v>0</v>
      </c>
      <c r="T30" s="159">
        <v>0</v>
      </c>
      <c r="U30" s="189">
        <f>S30+T30*U46/1000</f>
        <v>0</v>
      </c>
      <c r="V30" s="196">
        <v>0</v>
      </c>
      <c r="W30" s="159">
        <v>0</v>
      </c>
      <c r="X30" s="189">
        <f>V30+W30*X46/1000</f>
        <v>0</v>
      </c>
      <c r="Y30" s="196">
        <v>0</v>
      </c>
      <c r="Z30" s="159">
        <v>0</v>
      </c>
      <c r="AA30" s="189">
        <f>Y30+Z30*AA46/1000</f>
        <v>0</v>
      </c>
      <c r="AB30" s="196">
        <v>0</v>
      </c>
      <c r="AC30" s="159">
        <v>0</v>
      </c>
      <c r="AD30" s="189">
        <f>AB30+AC30*AD51/1000</f>
        <v>0</v>
      </c>
      <c r="AE30" s="196"/>
      <c r="AF30" s="159"/>
      <c r="AG30" s="189">
        <f>AE30+AF30*AG46/1000</f>
        <v>0</v>
      </c>
      <c r="AH30" s="196"/>
      <c r="AI30" s="159"/>
      <c r="AJ30" s="189">
        <f>AH30+AI30*AJ46/1000</f>
        <v>0</v>
      </c>
      <c r="AK30" s="196"/>
      <c r="AL30" s="159"/>
      <c r="AM30" s="189">
        <f>AK30+AL30*AM46/1000</f>
        <v>0</v>
      </c>
      <c r="AN30" s="196"/>
      <c r="AO30" s="163"/>
      <c r="AP30" s="189">
        <f>AN30+AO30*AP46/1000</f>
        <v>0</v>
      </c>
      <c r="AQ30" s="196"/>
      <c r="AR30" s="163"/>
      <c r="AS30" s="189">
        <f>AQ30+AR30*AS46/1000</f>
        <v>0</v>
      </c>
      <c r="AT30" s="319">
        <f>AQ30/$AW$3</f>
        <v>0</v>
      </c>
      <c r="AU30" s="163">
        <f>SUM(K30,N30,Q30,T30,W30,Z30,AC30,AF30,AI30,AL30,AO30,AR30)</f>
        <v>0</v>
      </c>
      <c r="AV30" s="189">
        <f>AT30+AU30*AV46/1000</f>
        <v>0</v>
      </c>
    </row>
    <row r="31" spans="3:48" ht="12.75" customHeight="1" outlineLevel="1" x14ac:dyDescent="0.3">
      <c r="C31" s="33"/>
      <c r="D31" s="32"/>
      <c r="E31" s="32"/>
      <c r="F31" s="36" t="s">
        <v>92</v>
      </c>
      <c r="G31" s="35">
        <v>3.5573239999999999</v>
      </c>
      <c r="H31" s="159">
        <v>0</v>
      </c>
      <c r="I31" s="35">
        <f>G31+H31*$R$46/1000</f>
        <v>3.5573239999999999</v>
      </c>
      <c r="J31" s="35">
        <v>6.1712000000000003E-2</v>
      </c>
      <c r="K31" s="159">
        <v>0</v>
      </c>
      <c r="L31" s="189">
        <f>J31+K31*$R$46/1000</f>
        <v>6.1712000000000003E-2</v>
      </c>
      <c r="M31" s="35">
        <v>4.2290000000000001E-2</v>
      </c>
      <c r="N31" s="159">
        <v>0</v>
      </c>
      <c r="O31" s="35">
        <f>M31+N31*$R$46/1000</f>
        <v>4.2290000000000001E-2</v>
      </c>
      <c r="P31" s="196">
        <v>3.349059</v>
      </c>
      <c r="Q31" s="159">
        <v>0</v>
      </c>
      <c r="R31" s="189">
        <f>P31+Q31*$R$46/1000</f>
        <v>3.349059</v>
      </c>
      <c r="S31" s="196">
        <v>4.4596999999999998E-2</v>
      </c>
      <c r="T31" s="159">
        <v>0</v>
      </c>
      <c r="U31" s="189">
        <f>S31+T31*U46/1000</f>
        <v>4.4596999999999998E-2</v>
      </c>
      <c r="V31" s="196">
        <v>4.4976000000000002E-2</v>
      </c>
      <c r="W31" s="159">
        <v>0</v>
      </c>
      <c r="X31" s="189">
        <f>V31+W31*X46/1000</f>
        <v>4.4976000000000002E-2</v>
      </c>
      <c r="Y31" s="196">
        <v>3.309631</v>
      </c>
      <c r="Z31" s="159">
        <v>0</v>
      </c>
      <c r="AA31" s="189">
        <f>Y31+Z31*AA46/1000</f>
        <v>3.309631</v>
      </c>
      <c r="AB31" s="196">
        <v>4.3688999999999999E-2</v>
      </c>
      <c r="AC31" s="159">
        <v>0</v>
      </c>
      <c r="AD31" s="189">
        <f>AB31+AC31*AD52/1000</f>
        <v>4.3688999999999999E-2</v>
      </c>
      <c r="AE31" s="196"/>
      <c r="AF31" s="159"/>
      <c r="AG31" s="189">
        <f>AE31+AF31*AG46/1000</f>
        <v>0</v>
      </c>
      <c r="AH31" s="196"/>
      <c r="AI31" s="159"/>
      <c r="AJ31" s="189">
        <f>AH31+AI31*AJ46/1000</f>
        <v>0</v>
      </c>
      <c r="AK31" s="196"/>
      <c r="AL31" s="159"/>
      <c r="AM31" s="189">
        <f>AK31+AL31*AM46/1000</f>
        <v>0</v>
      </c>
      <c r="AN31" s="196"/>
      <c r="AO31" s="163"/>
      <c r="AP31" s="189">
        <f>AN31+AO31*AP46/1000</f>
        <v>0</v>
      </c>
      <c r="AQ31" s="196"/>
      <c r="AR31" s="163"/>
      <c r="AS31" s="189">
        <f>AQ31+AR31*AS46/1000</f>
        <v>0</v>
      </c>
      <c r="AT31" s="319">
        <f>AQ31/$AW$3</f>
        <v>0</v>
      </c>
      <c r="AU31" s="163">
        <f>SUM(K31,N31,Q31,T31,W31,Z31,AC31,AF31,AI31,AL31,AO31,AR31)</f>
        <v>0</v>
      </c>
      <c r="AV31" s="189">
        <f>AT31+AU31*AV46/1000</f>
        <v>0</v>
      </c>
    </row>
    <row r="32" spans="3:48" ht="12.75" customHeight="1" outlineLevel="1" x14ac:dyDescent="0.3">
      <c r="C32" s="33"/>
      <c r="D32" s="32"/>
      <c r="E32" s="31"/>
      <c r="F32" s="15" t="s">
        <v>67</v>
      </c>
      <c r="G32" s="40">
        <v>9.8235849999999996</v>
      </c>
      <c r="H32" s="160">
        <v>0</v>
      </c>
      <c r="I32" s="30">
        <f>G32+H32*$R$46/1000</f>
        <v>9.8235849999999996</v>
      </c>
      <c r="J32" s="40">
        <v>10.717108</v>
      </c>
      <c r="K32" s="160">
        <v>0</v>
      </c>
      <c r="L32" s="201">
        <f>J32+K32*$R$46/1000</f>
        <v>10.717108</v>
      </c>
      <c r="M32" s="40">
        <v>5.55748</v>
      </c>
      <c r="N32" s="160">
        <v>0</v>
      </c>
      <c r="O32" s="30">
        <f>M32+N32*$R$46/1000</f>
        <v>5.55748</v>
      </c>
      <c r="P32" s="197">
        <v>7.353326</v>
      </c>
      <c r="Q32" s="160">
        <v>0</v>
      </c>
      <c r="R32" s="201">
        <f>P32+Q32*$R$46/1000</f>
        <v>7.353326</v>
      </c>
      <c r="S32" s="197">
        <v>14.374141</v>
      </c>
      <c r="T32" s="160">
        <v>0</v>
      </c>
      <c r="U32" s="201">
        <f>S32+T32*U46/1000</f>
        <v>14.374141</v>
      </c>
      <c r="V32" s="197">
        <v>9.7823150000000005</v>
      </c>
      <c r="W32" s="160">
        <v>0</v>
      </c>
      <c r="X32" s="201">
        <f>V32+W32*X46/1000</f>
        <v>9.7823150000000005</v>
      </c>
      <c r="Y32" s="197">
        <v>10.028677999999999</v>
      </c>
      <c r="Z32" s="160">
        <v>0</v>
      </c>
      <c r="AA32" s="201">
        <f>Y32+Z32*AA46/1000</f>
        <v>10.028677999999999</v>
      </c>
      <c r="AB32" s="197">
        <v>6.0784552000000014</v>
      </c>
      <c r="AC32" s="160">
        <v>0</v>
      </c>
      <c r="AD32" s="201">
        <f>AB32+AC32*AD53/1000</f>
        <v>6.0784552000000014</v>
      </c>
      <c r="AE32" s="197"/>
      <c r="AF32" s="160"/>
      <c r="AG32" s="201">
        <f>AE32+AF32*AG46/1000</f>
        <v>0</v>
      </c>
      <c r="AH32" s="197"/>
      <c r="AI32" s="160"/>
      <c r="AJ32" s="201">
        <f>AH32+AI32*AJ46/1000</f>
        <v>0</v>
      </c>
      <c r="AK32" s="197"/>
      <c r="AL32" s="160"/>
      <c r="AM32" s="201">
        <f>AK32+AL32*AM46/1000</f>
        <v>0</v>
      </c>
      <c r="AN32" s="197"/>
      <c r="AO32" s="163"/>
      <c r="AP32" s="201">
        <f>AN32+AO32*AP46/1000</f>
        <v>0</v>
      </c>
      <c r="AQ32" s="197"/>
      <c r="AR32" s="163"/>
      <c r="AS32" s="201">
        <f>AQ32+AR32*AS46/1000</f>
        <v>0</v>
      </c>
      <c r="AT32" s="321">
        <f>AQ32/$AW$3</f>
        <v>0</v>
      </c>
      <c r="AU32" s="163">
        <f>SUM(K32,N32,Q32,T32,W32,Z32,AC32,AF32,AI32,AL32,AO32,AR32)</f>
        <v>0</v>
      </c>
      <c r="AV32" s="201">
        <f>AT32+AU32*AV46/1000</f>
        <v>0</v>
      </c>
    </row>
    <row r="33" spans="3:48" ht="12.75" customHeight="1" x14ac:dyDescent="0.3">
      <c r="C33" s="29" t="s">
        <v>104</v>
      </c>
      <c r="D33" s="29"/>
      <c r="E33" s="29"/>
      <c r="F33" s="28"/>
      <c r="G33" s="20">
        <f t="shared" ref="G33:AV33" si="15">G34-G35</f>
        <v>900</v>
      </c>
      <c r="H33" s="151">
        <f t="shared" si="15"/>
        <v>0</v>
      </c>
      <c r="I33" s="20">
        <f t="shared" si="15"/>
        <v>900</v>
      </c>
      <c r="J33" s="183">
        <f t="shared" si="15"/>
        <v>0</v>
      </c>
      <c r="K33" s="151">
        <f t="shared" si="15"/>
        <v>0</v>
      </c>
      <c r="L33" s="184">
        <f t="shared" si="15"/>
        <v>0</v>
      </c>
      <c r="M33" s="172">
        <f t="shared" si="15"/>
        <v>0</v>
      </c>
      <c r="N33" s="151">
        <f t="shared" si="15"/>
        <v>0</v>
      </c>
      <c r="O33" s="326">
        <f t="shared" si="15"/>
        <v>0</v>
      </c>
      <c r="P33" s="172">
        <f t="shared" si="15"/>
        <v>0</v>
      </c>
      <c r="Q33" s="151">
        <f t="shared" si="15"/>
        <v>0</v>
      </c>
      <c r="R33" s="184">
        <f t="shared" si="15"/>
        <v>0</v>
      </c>
      <c r="S33" s="183">
        <f t="shared" si="15"/>
        <v>0</v>
      </c>
      <c r="T33" s="151">
        <f t="shared" si="15"/>
        <v>0</v>
      </c>
      <c r="U33" s="184">
        <f t="shared" si="15"/>
        <v>0</v>
      </c>
      <c r="V33" s="183">
        <f t="shared" si="15"/>
        <v>300</v>
      </c>
      <c r="W33" s="151">
        <f t="shared" si="15"/>
        <v>0</v>
      </c>
      <c r="X33" s="184">
        <f t="shared" si="15"/>
        <v>300</v>
      </c>
      <c r="Y33" s="183">
        <f t="shared" si="15"/>
        <v>0</v>
      </c>
      <c r="Z33" s="151">
        <f t="shared" si="15"/>
        <v>0</v>
      </c>
      <c r="AA33" s="184">
        <f t="shared" si="15"/>
        <v>0</v>
      </c>
      <c r="AB33" s="183">
        <f t="shared" si="15"/>
        <v>0</v>
      </c>
      <c r="AC33" s="151">
        <f t="shared" si="15"/>
        <v>0</v>
      </c>
      <c r="AD33" s="184">
        <f t="shared" si="15"/>
        <v>0</v>
      </c>
      <c r="AE33" s="183">
        <f t="shared" si="15"/>
        <v>0</v>
      </c>
      <c r="AF33" s="151">
        <f t="shared" si="15"/>
        <v>0</v>
      </c>
      <c r="AG33" s="184">
        <f t="shared" si="15"/>
        <v>0</v>
      </c>
      <c r="AH33" s="183">
        <f t="shared" si="15"/>
        <v>0</v>
      </c>
      <c r="AI33" s="151">
        <f t="shared" si="15"/>
        <v>0</v>
      </c>
      <c r="AJ33" s="184">
        <f t="shared" si="15"/>
        <v>0</v>
      </c>
      <c r="AK33" s="183">
        <f t="shared" si="15"/>
        <v>0</v>
      </c>
      <c r="AL33" s="151">
        <f t="shared" si="15"/>
        <v>0</v>
      </c>
      <c r="AM33" s="184">
        <f t="shared" si="15"/>
        <v>0</v>
      </c>
      <c r="AN33" s="183">
        <f t="shared" si="15"/>
        <v>0</v>
      </c>
      <c r="AO33" s="151">
        <f t="shared" si="15"/>
        <v>0</v>
      </c>
      <c r="AP33" s="184">
        <f t="shared" si="15"/>
        <v>0</v>
      </c>
      <c r="AQ33" s="183">
        <f t="shared" si="15"/>
        <v>1200</v>
      </c>
      <c r="AR33" s="151">
        <f t="shared" si="15"/>
        <v>0</v>
      </c>
      <c r="AS33" s="184">
        <f t="shared" si="15"/>
        <v>1200</v>
      </c>
      <c r="AT33" s="183">
        <f t="shared" si="15"/>
        <v>100</v>
      </c>
      <c r="AU33" s="151">
        <f t="shared" si="15"/>
        <v>0</v>
      </c>
      <c r="AV33" s="184">
        <f t="shared" si="15"/>
        <v>100</v>
      </c>
    </row>
    <row r="34" spans="3:48" ht="12.75" customHeight="1" x14ac:dyDescent="0.3">
      <c r="C34" s="18"/>
      <c r="D34" s="25" t="s">
        <v>105</v>
      </c>
      <c r="E34" s="17"/>
      <c r="F34" s="17"/>
      <c r="G34" s="147">
        <v>900</v>
      </c>
      <c r="H34" s="167">
        <f>SUMIFS(실적월!$E:$E,실적월!$A:$A,"금융상품",실적월!$D:$D,"USD")/1000</f>
        <v>0</v>
      </c>
      <c r="I34" s="324">
        <f>G34+H34*$R$46/1000</f>
        <v>900</v>
      </c>
      <c r="J34" s="176">
        <v>0</v>
      </c>
      <c r="K34" s="167">
        <f>SUMIFS(계획월!$E:$E,계획월!$A:$A,"금융상품",계획월!$D:$D,"USD")/1000</f>
        <v>0</v>
      </c>
      <c r="L34" s="187">
        <f>J34+K34*$R$46/1000</f>
        <v>0</v>
      </c>
      <c r="M34" s="176"/>
      <c r="N34" s="167">
        <f>SUMIFS(실적월!$E:$E,실적월!$A:$A,"금융상품",실적월!$D:$D,"USD")/1000</f>
        <v>0</v>
      </c>
      <c r="O34" s="324">
        <f>M34+N34*$R$46/1000</f>
        <v>0</v>
      </c>
      <c r="P34" s="176">
        <v>0</v>
      </c>
      <c r="Q34" s="167">
        <f>SUMIFS(계획월!$E:$E,계획월!$A:$A,"금융상품",계획월!$D:$D,"USD")/1000</f>
        <v>0</v>
      </c>
      <c r="R34" s="187">
        <f>P34+Q34*$R$46/1000</f>
        <v>0</v>
      </c>
      <c r="S34" s="176">
        <v>0</v>
      </c>
      <c r="T34" s="167">
        <f>SUMIFS(계획월!$E:$E,계획월!$A:$A,"금융상품",계획월!$D:$D,"USD")/1000</f>
        <v>0</v>
      </c>
      <c r="U34" s="187">
        <f>S34+T34*U46/1000</f>
        <v>0</v>
      </c>
      <c r="V34" s="176">
        <v>300</v>
      </c>
      <c r="W34" s="167">
        <v>0</v>
      </c>
      <c r="X34" s="187">
        <f>V34+W34*X46/1000</f>
        <v>300</v>
      </c>
      <c r="Y34" s="176">
        <v>0</v>
      </c>
      <c r="Z34" s="167">
        <v>0</v>
      </c>
      <c r="AA34" s="187">
        <f>Y34+Z34*AA46/1000</f>
        <v>0</v>
      </c>
      <c r="AB34" s="176">
        <v>0</v>
      </c>
      <c r="AC34" s="167">
        <v>0</v>
      </c>
      <c r="AD34" s="187">
        <f>AB34+AC34*AD46/1000</f>
        <v>0</v>
      </c>
      <c r="AE34" s="176"/>
      <c r="AF34" s="167">
        <f>SUMIFS(계획월!$E:$E,계획월!$A:$A,"금융상품",계획월!$D:$D,"USD")/1000</f>
        <v>0</v>
      </c>
      <c r="AG34" s="187">
        <f>AE34+AF34*AG46/1000</f>
        <v>0</v>
      </c>
      <c r="AH34" s="176">
        <v>0</v>
      </c>
      <c r="AI34" s="167">
        <v>0</v>
      </c>
      <c r="AJ34" s="187">
        <f>AH34+AI34*AJ46/1000</f>
        <v>0</v>
      </c>
      <c r="AK34" s="176">
        <v>0</v>
      </c>
      <c r="AL34" s="167">
        <f>SUMIFS(계획월!$E:$E,계획월!$A:$A,"금융상품",계획월!$D:$D,"USD")/1000</f>
        <v>0</v>
      </c>
      <c r="AM34" s="187">
        <f>AK34+AL34*AM46/1000</f>
        <v>0</v>
      </c>
      <c r="AN34" s="176">
        <v>0</v>
      </c>
      <c r="AO34" s="167">
        <f>SUMIFS(계획월!$E:$E,계획월!$A:$A,"금융상품",계획월!$D:$D,"USD")/1000</f>
        <v>0</v>
      </c>
      <c r="AP34" s="187">
        <f>AN34+AO34*AP46/1000</f>
        <v>0</v>
      </c>
      <c r="AQ34" s="327">
        <f>SUM(G34,J34,M34,P34,S34,V34,Y34,AB34,AE34,AH34,AK34,AN34)</f>
        <v>1200</v>
      </c>
      <c r="AR34" s="167">
        <f>SUM(H34,K34,N34,Q34,T34,W34,Z34,AC34,AF34,AI34,AL34,AO34)</f>
        <v>0</v>
      </c>
      <c r="AS34" s="187">
        <f>AQ34+AR34*AS46/1000</f>
        <v>1200</v>
      </c>
      <c r="AT34" s="327">
        <f>AQ34/AW3</f>
        <v>100</v>
      </c>
      <c r="AU34" s="167">
        <f>SUM(K34,N34,Q34,T34,W34,Z34,AC34,AF34,AI34,AL34,AO34,AR34)</f>
        <v>0</v>
      </c>
      <c r="AV34" s="187">
        <f>AT34+AU34*AV46/1000</f>
        <v>100</v>
      </c>
    </row>
    <row r="35" spans="3:48" ht="12.75" customHeight="1" x14ac:dyDescent="0.3">
      <c r="C35" s="14"/>
      <c r="D35" s="15" t="s">
        <v>106</v>
      </c>
      <c r="E35" s="14"/>
      <c r="F35" s="14"/>
      <c r="G35" s="148">
        <v>0</v>
      </c>
      <c r="H35" s="166">
        <f>SUMIFS(실적월!$F:$F,실적월!$A:$A,"금융상품",실적월!$D:$D,"USD")/1000</f>
        <v>0</v>
      </c>
      <c r="I35" s="325">
        <f>G35+H35*$R$46/1000</f>
        <v>0</v>
      </c>
      <c r="J35" s="323">
        <v>0</v>
      </c>
      <c r="K35" s="169">
        <f>SUMIFS(계획월!$F:$F,계획월!$A:$A,"금융상품",계획월!$D:$D,"USD")/1000</f>
        <v>0</v>
      </c>
      <c r="L35" s="201">
        <f>J35+K35*$R$46/1000</f>
        <v>0</v>
      </c>
      <c r="M35" s="177"/>
      <c r="N35" s="166">
        <f>SUMIFS(실적월!$F:$F,실적월!$A:$A,"금융상품",실적월!$D:$D,"USD")/1000</f>
        <v>0</v>
      </c>
      <c r="O35" s="325">
        <f>M35+N35*$R$46/1000</f>
        <v>0</v>
      </c>
      <c r="P35" s="323">
        <v>0</v>
      </c>
      <c r="Q35" s="169">
        <f>SUMIFS(계획월!$F:$F,계획월!$A:$A,"금융상품",계획월!$D:$D,"USD")/1000</f>
        <v>0</v>
      </c>
      <c r="R35" s="201">
        <f>P35+Q35*$R$46/1000</f>
        <v>0</v>
      </c>
      <c r="S35" s="328">
        <v>0</v>
      </c>
      <c r="T35" s="169">
        <f>SUMIFS(계획월!$F:$F,계획월!$A:$A,"금융상품",계획월!$D:$D,"USD")/1000</f>
        <v>0</v>
      </c>
      <c r="U35" s="201">
        <f>S35+T35*U46/1000</f>
        <v>0</v>
      </c>
      <c r="V35" s="513"/>
      <c r="W35" s="169">
        <v>0</v>
      </c>
      <c r="X35" s="201">
        <f>V35+W35*X46/1000</f>
        <v>0</v>
      </c>
      <c r="Y35" s="328">
        <v>0</v>
      </c>
      <c r="Z35" s="169">
        <v>0</v>
      </c>
      <c r="AA35" s="201">
        <f>Y35+Z35*AA46/1000</f>
        <v>0</v>
      </c>
      <c r="AB35" s="328">
        <v>0</v>
      </c>
      <c r="AC35" s="169">
        <v>0</v>
      </c>
      <c r="AD35" s="201">
        <f>AB35+AC35*AD46/1000</f>
        <v>0</v>
      </c>
      <c r="AE35" s="202">
        <v>0</v>
      </c>
      <c r="AF35" s="169">
        <f>SUMIFS(계획월!$F:$F,계획월!$A:$A,"금융상품",계획월!$D:$D,"USD")/1000</f>
        <v>0</v>
      </c>
      <c r="AG35" s="201">
        <f>AE35+AF35*AG46/1000</f>
        <v>0</v>
      </c>
      <c r="AH35" s="202">
        <v>0</v>
      </c>
      <c r="AI35" s="169">
        <v>0</v>
      </c>
      <c r="AJ35" s="201">
        <f>AH35+AI35*AJ46/1000</f>
        <v>0</v>
      </c>
      <c r="AK35" s="328">
        <v>0</v>
      </c>
      <c r="AL35" s="169">
        <f>SUMIFS(계획월!$F:$F,계획월!$A:$A,"금융상품",계획월!$D:$D,"USD")/1000</f>
        <v>0</v>
      </c>
      <c r="AM35" s="201">
        <f>AK35+AL35*AM46/1000</f>
        <v>0</v>
      </c>
      <c r="AN35" s="328">
        <v>0</v>
      </c>
      <c r="AO35" s="169">
        <f>SUMIFS(계획월!$F:$F,계획월!$A:$A,"금융상품",계획월!$D:$D,"USD")/1000</f>
        <v>0</v>
      </c>
      <c r="AP35" s="201">
        <f>AN35+AO35*AP46/1000</f>
        <v>0</v>
      </c>
      <c r="AQ35" s="322">
        <f>SUM(G35,J35,M35,P35,S35,V35,Y35,AB35,AE35,AH35,AK35,AN35)</f>
        <v>0</v>
      </c>
      <c r="AR35" s="169">
        <f>SUM(H35,K35,N35,Q35,T35,W35,Z35,AC35,AF35,AI35,AL35,AO35)</f>
        <v>0</v>
      </c>
      <c r="AS35" s="201">
        <f>AQ35+AR35*AS46/1000</f>
        <v>0</v>
      </c>
      <c r="AT35" s="322">
        <f>AQ35/AW3</f>
        <v>0</v>
      </c>
      <c r="AU35" s="169">
        <f>SUM(K35,N35,Q35,T35,W35,Z35,AC35,AF35,AI35,AL35,AO35,AR35)</f>
        <v>0</v>
      </c>
      <c r="AV35" s="201">
        <f>AT35+AU35*AV46/1000</f>
        <v>0</v>
      </c>
    </row>
    <row r="36" spans="3:48" ht="12.75" customHeight="1" x14ac:dyDescent="0.3">
      <c r="C36" s="23" t="s">
        <v>107</v>
      </c>
      <c r="D36" s="23"/>
      <c r="E36" s="22"/>
      <c r="F36" s="21"/>
      <c r="G36" s="20">
        <f t="shared" ref="G36:AV36" si="16">G37-G38</f>
        <v>0</v>
      </c>
      <c r="H36" s="151">
        <f t="shared" si="16"/>
        <v>0</v>
      </c>
      <c r="I36" s="20">
        <f t="shared" si="16"/>
        <v>0</v>
      </c>
      <c r="J36" s="183">
        <f t="shared" si="16"/>
        <v>0</v>
      </c>
      <c r="K36" s="151">
        <f t="shared" si="16"/>
        <v>0</v>
      </c>
      <c r="L36" s="184">
        <f t="shared" si="16"/>
        <v>0</v>
      </c>
      <c r="M36" s="172">
        <f t="shared" si="16"/>
        <v>0</v>
      </c>
      <c r="N36" s="151">
        <f t="shared" si="16"/>
        <v>0</v>
      </c>
      <c r="O36" s="20">
        <f t="shared" si="16"/>
        <v>0</v>
      </c>
      <c r="P36" s="183">
        <f t="shared" si="16"/>
        <v>0</v>
      </c>
      <c r="Q36" s="151">
        <f t="shared" si="16"/>
        <v>0</v>
      </c>
      <c r="R36" s="184">
        <f t="shared" si="16"/>
        <v>0</v>
      </c>
      <c r="S36" s="183">
        <f t="shared" si="16"/>
        <v>0</v>
      </c>
      <c r="T36" s="151">
        <f t="shared" si="16"/>
        <v>0</v>
      </c>
      <c r="U36" s="184">
        <f t="shared" si="16"/>
        <v>0</v>
      </c>
      <c r="V36" s="183">
        <f t="shared" si="16"/>
        <v>0</v>
      </c>
      <c r="W36" s="151">
        <f t="shared" si="16"/>
        <v>0</v>
      </c>
      <c r="X36" s="184">
        <f t="shared" si="16"/>
        <v>0</v>
      </c>
      <c r="Y36" s="183">
        <f t="shared" si="16"/>
        <v>0</v>
      </c>
      <c r="Z36" s="151">
        <f t="shared" si="16"/>
        <v>0</v>
      </c>
      <c r="AA36" s="184">
        <f t="shared" si="16"/>
        <v>0</v>
      </c>
      <c r="AB36" s="183">
        <f t="shared" si="16"/>
        <v>0</v>
      </c>
      <c r="AC36" s="151">
        <f t="shared" si="16"/>
        <v>0</v>
      </c>
      <c r="AD36" s="184">
        <f t="shared" si="16"/>
        <v>0</v>
      </c>
      <c r="AE36" s="183">
        <f t="shared" si="16"/>
        <v>0</v>
      </c>
      <c r="AF36" s="151">
        <f t="shared" si="16"/>
        <v>0</v>
      </c>
      <c r="AG36" s="184">
        <f t="shared" si="16"/>
        <v>0</v>
      </c>
      <c r="AH36" s="183">
        <f t="shared" si="16"/>
        <v>0</v>
      </c>
      <c r="AI36" s="151">
        <f t="shared" si="16"/>
        <v>0</v>
      </c>
      <c r="AJ36" s="184">
        <f t="shared" si="16"/>
        <v>0</v>
      </c>
      <c r="AK36" s="183">
        <f t="shared" si="16"/>
        <v>0</v>
      </c>
      <c r="AL36" s="151">
        <f t="shared" si="16"/>
        <v>0</v>
      </c>
      <c r="AM36" s="184">
        <f t="shared" si="16"/>
        <v>0</v>
      </c>
      <c r="AN36" s="183">
        <f t="shared" si="16"/>
        <v>0</v>
      </c>
      <c r="AO36" s="151">
        <f t="shared" si="16"/>
        <v>0</v>
      </c>
      <c r="AP36" s="184">
        <f t="shared" si="16"/>
        <v>0</v>
      </c>
      <c r="AQ36" s="183">
        <f t="shared" si="16"/>
        <v>0</v>
      </c>
      <c r="AR36" s="151">
        <f t="shared" si="16"/>
        <v>0</v>
      </c>
      <c r="AS36" s="184">
        <f t="shared" si="16"/>
        <v>0</v>
      </c>
      <c r="AT36" s="183">
        <f t="shared" si="16"/>
        <v>0</v>
      </c>
      <c r="AU36" s="151">
        <f t="shared" si="16"/>
        <v>0</v>
      </c>
      <c r="AV36" s="184">
        <f t="shared" si="16"/>
        <v>0</v>
      </c>
    </row>
    <row r="37" spans="3:48" ht="12.75" customHeight="1" x14ac:dyDescent="0.3">
      <c r="C37" s="18"/>
      <c r="D37" s="25" t="s">
        <v>108</v>
      </c>
      <c r="E37" s="17"/>
      <c r="F37" s="17"/>
      <c r="G37" s="149"/>
      <c r="H37" s="167"/>
      <c r="I37" s="16">
        <f>G37+H37*$R$46/1000</f>
        <v>0</v>
      </c>
      <c r="J37" s="149">
        <v>0</v>
      </c>
      <c r="K37" s="167">
        <v>0</v>
      </c>
      <c r="L37" s="187">
        <f>J37+K37*$R$46/1000</f>
        <v>0</v>
      </c>
      <c r="M37" s="139">
        <v>0</v>
      </c>
      <c r="N37" s="167">
        <v>0</v>
      </c>
      <c r="O37" s="16">
        <f>M37+N37*$R$46/1000</f>
        <v>0</v>
      </c>
      <c r="P37" s="149">
        <v>0</v>
      </c>
      <c r="Q37" s="167">
        <v>0</v>
      </c>
      <c r="R37" s="187">
        <f>P37+Q37*$R$46/1000</f>
        <v>0</v>
      </c>
      <c r="S37" s="149">
        <v>0</v>
      </c>
      <c r="T37" s="167">
        <v>0</v>
      </c>
      <c r="U37" s="187">
        <f>S37+T37*U46/1000</f>
        <v>0</v>
      </c>
      <c r="V37" s="149">
        <v>0</v>
      </c>
      <c r="W37" s="167">
        <v>0</v>
      </c>
      <c r="X37" s="187">
        <f>V37+W37*X46/1000</f>
        <v>0</v>
      </c>
      <c r="Y37" s="149">
        <v>0</v>
      </c>
      <c r="Z37" s="167">
        <v>0</v>
      </c>
      <c r="AA37" s="187">
        <f>Y37+Z37*AA46/1000</f>
        <v>0</v>
      </c>
      <c r="AB37" s="149">
        <v>0</v>
      </c>
      <c r="AC37" s="167">
        <v>0</v>
      </c>
      <c r="AD37" s="187">
        <f>AB37+AC37*AD46/1000</f>
        <v>0</v>
      </c>
      <c r="AE37" s="149">
        <v>0</v>
      </c>
      <c r="AF37" s="167">
        <v>0</v>
      </c>
      <c r="AG37" s="187">
        <f>AE37+AF37*AG46/1000</f>
        <v>0</v>
      </c>
      <c r="AH37" s="149">
        <v>0</v>
      </c>
      <c r="AI37" s="167">
        <v>0</v>
      </c>
      <c r="AJ37" s="187">
        <f>AH37+AI37*AJ46/1000</f>
        <v>0</v>
      </c>
      <c r="AK37" s="149">
        <v>0</v>
      </c>
      <c r="AL37" s="167">
        <v>0</v>
      </c>
      <c r="AM37" s="187">
        <f>AK37+AL37*AM46/1000</f>
        <v>0</v>
      </c>
      <c r="AN37" s="149">
        <v>0</v>
      </c>
      <c r="AO37" s="167">
        <v>0</v>
      </c>
      <c r="AP37" s="187">
        <f>AN37+AO37*AP46/1000</f>
        <v>0</v>
      </c>
      <c r="AQ37" s="149">
        <f>SUM(G37,J37,M37,P37,S37,V37,Y37,AB37,AE37,AH37,AK37,AN37)</f>
        <v>0</v>
      </c>
      <c r="AR37" s="167">
        <f>SUM(H37,K37,N37,Q37,T37,W37,Z37,AC37,AF37,AI37,AL37,AO37)</f>
        <v>0</v>
      </c>
      <c r="AS37" s="187">
        <f>AQ37+AR37*AS46/1000</f>
        <v>0</v>
      </c>
      <c r="AT37" s="149">
        <f>SUM(J37,M37,P37,S37,V37,Y37,AB37,AE37,AH37,AK37,AN37,AQ37)</f>
        <v>0</v>
      </c>
      <c r="AU37" s="167">
        <f>SUM(K37,N37,Q37,T37,W37,Z37,AC37,AF37,AI37,AL37,AO37,AR37)</f>
        <v>0</v>
      </c>
      <c r="AV37" s="187">
        <f>AT37+AU37*AV46/1000</f>
        <v>0</v>
      </c>
    </row>
    <row r="38" spans="3:48" ht="12.75" customHeight="1" x14ac:dyDescent="0.3">
      <c r="C38" s="14"/>
      <c r="D38" s="15" t="s">
        <v>109</v>
      </c>
      <c r="E38" s="14"/>
      <c r="F38" s="14"/>
      <c r="G38" s="150"/>
      <c r="H38" s="168"/>
      <c r="I38" s="13">
        <f>G38+(H38*$R$46/1000)</f>
        <v>0</v>
      </c>
      <c r="J38" s="150">
        <v>0</v>
      </c>
      <c r="K38" s="168">
        <v>0</v>
      </c>
      <c r="L38" s="201">
        <f>J38+K38*$R$46/1000</f>
        <v>0</v>
      </c>
      <c r="M38" s="178">
        <v>0</v>
      </c>
      <c r="N38" s="168">
        <v>0</v>
      </c>
      <c r="O38" s="13">
        <f>M38+(N38*$R$46/1000)</f>
        <v>0</v>
      </c>
      <c r="P38" s="150">
        <v>0</v>
      </c>
      <c r="Q38" s="168">
        <v>0</v>
      </c>
      <c r="R38" s="201">
        <f>P38+Q38*$R$46/1000</f>
        <v>0</v>
      </c>
      <c r="S38" s="150">
        <v>0</v>
      </c>
      <c r="T38" s="168">
        <v>0</v>
      </c>
      <c r="U38" s="201">
        <f>S38+T38*U46/1000</f>
        <v>0</v>
      </c>
      <c r="V38" s="150">
        <v>0</v>
      </c>
      <c r="W38" s="168">
        <v>0</v>
      </c>
      <c r="X38" s="201">
        <f>V38+W38*X46/1000</f>
        <v>0</v>
      </c>
      <c r="Y38" s="150">
        <v>0</v>
      </c>
      <c r="Z38" s="168">
        <v>0</v>
      </c>
      <c r="AA38" s="201">
        <f>Y38+Z38*AA46/1000</f>
        <v>0</v>
      </c>
      <c r="AB38" s="150">
        <v>0</v>
      </c>
      <c r="AC38" s="168">
        <v>0</v>
      </c>
      <c r="AD38" s="201">
        <f>AB38+AC38*AD46/1000</f>
        <v>0</v>
      </c>
      <c r="AE38" s="150">
        <v>0</v>
      </c>
      <c r="AF38" s="168">
        <v>0</v>
      </c>
      <c r="AG38" s="201">
        <f>AE38+AF38*AG46/1000</f>
        <v>0</v>
      </c>
      <c r="AH38" s="150">
        <v>0</v>
      </c>
      <c r="AI38" s="168">
        <v>0</v>
      </c>
      <c r="AJ38" s="201">
        <f>AH38+AI38*AJ46/1000</f>
        <v>0</v>
      </c>
      <c r="AK38" s="150">
        <v>0</v>
      </c>
      <c r="AL38" s="168">
        <v>0</v>
      </c>
      <c r="AM38" s="201">
        <f>AK38+AL38*AM46/1000</f>
        <v>0</v>
      </c>
      <c r="AN38" s="150">
        <v>0</v>
      </c>
      <c r="AO38" s="168">
        <v>0</v>
      </c>
      <c r="AP38" s="201">
        <f>AN38+AO38*AP46/1000</f>
        <v>0</v>
      </c>
      <c r="AQ38" s="150">
        <f>SUM(G38,J38,M38,P38,S38,V38,Y38,AB38,AE38,AH38,AK38,AN38)</f>
        <v>0</v>
      </c>
      <c r="AR38" s="168">
        <f>SUM(H38,K38,N38,Q38,T38,W38,Z38,AC38,AF38,AI38,AL38,AO38)</f>
        <v>0</v>
      </c>
      <c r="AS38" s="201">
        <f>AQ38+AR38*AS46/1000</f>
        <v>0</v>
      </c>
      <c r="AT38" s="150">
        <f>SUM(J38,M38,P38,S38,V38,Y38,AB38,AE38,AH38,AK38,AN38,AQ38)</f>
        <v>0</v>
      </c>
      <c r="AU38" s="168">
        <f>SUM(K38,N38,Q38,T38,W38,Z38,AC38,AF38,AI38,AL38,AO38,AR38)</f>
        <v>0</v>
      </c>
      <c r="AV38" s="201">
        <f>AT38+AU38*AV46/1000</f>
        <v>0</v>
      </c>
    </row>
    <row r="39" spans="3:48" ht="12.75" customHeight="1" x14ac:dyDescent="0.3">
      <c r="C39" s="23" t="s">
        <v>110</v>
      </c>
      <c r="D39" s="23"/>
      <c r="E39" s="22"/>
      <c r="F39" s="21"/>
      <c r="G39" s="20">
        <f t="shared" ref="G39:AV39" si="17">G40-G41</f>
        <v>0</v>
      </c>
      <c r="H39" s="151">
        <f t="shared" si="17"/>
        <v>0</v>
      </c>
      <c r="I39" s="20">
        <f t="shared" si="17"/>
        <v>0</v>
      </c>
      <c r="J39" s="183">
        <f t="shared" si="17"/>
        <v>0</v>
      </c>
      <c r="K39" s="151">
        <f t="shared" si="17"/>
        <v>0</v>
      </c>
      <c r="L39" s="184">
        <f t="shared" si="17"/>
        <v>0</v>
      </c>
      <c r="M39" s="172">
        <f t="shared" si="17"/>
        <v>0</v>
      </c>
      <c r="N39" s="151">
        <f t="shared" si="17"/>
        <v>0</v>
      </c>
      <c r="O39" s="20">
        <f t="shared" si="17"/>
        <v>0</v>
      </c>
      <c r="P39" s="183">
        <f t="shared" si="17"/>
        <v>0</v>
      </c>
      <c r="Q39" s="151">
        <f t="shared" si="17"/>
        <v>0</v>
      </c>
      <c r="R39" s="184">
        <f t="shared" si="17"/>
        <v>0</v>
      </c>
      <c r="S39" s="183">
        <f t="shared" si="17"/>
        <v>0</v>
      </c>
      <c r="T39" s="151">
        <f t="shared" si="17"/>
        <v>0</v>
      </c>
      <c r="U39" s="184">
        <f t="shared" si="17"/>
        <v>0</v>
      </c>
      <c r="V39" s="183">
        <f t="shared" si="17"/>
        <v>0</v>
      </c>
      <c r="W39" s="151">
        <f t="shared" si="17"/>
        <v>0</v>
      </c>
      <c r="X39" s="184">
        <f t="shared" si="17"/>
        <v>0</v>
      </c>
      <c r="Y39" s="183">
        <f t="shared" si="17"/>
        <v>0</v>
      </c>
      <c r="Z39" s="151">
        <f t="shared" si="17"/>
        <v>0</v>
      </c>
      <c r="AA39" s="184">
        <f t="shared" si="17"/>
        <v>0</v>
      </c>
      <c r="AB39" s="183">
        <f t="shared" si="17"/>
        <v>0</v>
      </c>
      <c r="AC39" s="151">
        <f t="shared" si="17"/>
        <v>0</v>
      </c>
      <c r="AD39" s="184">
        <f t="shared" si="17"/>
        <v>0</v>
      </c>
      <c r="AE39" s="183">
        <f t="shared" si="17"/>
        <v>0</v>
      </c>
      <c r="AF39" s="151">
        <f t="shared" si="17"/>
        <v>0</v>
      </c>
      <c r="AG39" s="184">
        <f t="shared" si="17"/>
        <v>0</v>
      </c>
      <c r="AH39" s="183">
        <f t="shared" si="17"/>
        <v>0</v>
      </c>
      <c r="AI39" s="151">
        <f t="shared" si="17"/>
        <v>0</v>
      </c>
      <c r="AJ39" s="184">
        <f t="shared" si="17"/>
        <v>0</v>
      </c>
      <c r="AK39" s="183">
        <f t="shared" si="17"/>
        <v>0</v>
      </c>
      <c r="AL39" s="151">
        <f t="shared" si="17"/>
        <v>0</v>
      </c>
      <c r="AM39" s="184">
        <f t="shared" si="17"/>
        <v>0</v>
      </c>
      <c r="AN39" s="183">
        <f t="shared" si="17"/>
        <v>0</v>
      </c>
      <c r="AO39" s="151">
        <f t="shared" si="17"/>
        <v>0</v>
      </c>
      <c r="AP39" s="184">
        <f t="shared" si="17"/>
        <v>0</v>
      </c>
      <c r="AQ39" s="183">
        <f t="shared" si="17"/>
        <v>0</v>
      </c>
      <c r="AR39" s="151">
        <f t="shared" si="17"/>
        <v>0</v>
      </c>
      <c r="AS39" s="184">
        <f t="shared" si="17"/>
        <v>0</v>
      </c>
      <c r="AT39" s="183">
        <f t="shared" si="17"/>
        <v>0</v>
      </c>
      <c r="AU39" s="151">
        <f t="shared" si="17"/>
        <v>0</v>
      </c>
      <c r="AV39" s="184">
        <f t="shared" si="17"/>
        <v>0</v>
      </c>
    </row>
    <row r="40" spans="3:48" ht="12.75" customHeight="1" x14ac:dyDescent="0.3">
      <c r="C40" s="18"/>
      <c r="D40" s="367" t="s">
        <v>108</v>
      </c>
      <c r="E40" s="17"/>
      <c r="F40" s="17"/>
      <c r="G40" s="149">
        <f>SUMIF(실적월!$A:$A,"차입금",실적월!$E:$E)/1000000</f>
        <v>0</v>
      </c>
      <c r="H40" s="167">
        <v>0</v>
      </c>
      <c r="I40" s="16">
        <f>G40+H40*$R$46/1000</f>
        <v>0</v>
      </c>
      <c r="J40" s="149">
        <v>0</v>
      </c>
      <c r="K40" s="167">
        <v>0</v>
      </c>
      <c r="L40" s="187">
        <f>J40+K40*$R$46/1000</f>
        <v>0</v>
      </c>
      <c r="M40" s="139">
        <f>SUMIF(실적월!$A:$A,"차입금",실적월!$E:$E)/1000000</f>
        <v>0</v>
      </c>
      <c r="N40" s="167">
        <v>0</v>
      </c>
      <c r="O40" s="16">
        <f>M40+N40*$R$46/1000</f>
        <v>0</v>
      </c>
      <c r="P40" s="149"/>
      <c r="Q40" s="167">
        <v>0</v>
      </c>
      <c r="R40" s="187">
        <f>P40+Q40*$R$46/1000</f>
        <v>0</v>
      </c>
      <c r="S40" s="149">
        <v>0</v>
      </c>
      <c r="T40" s="167">
        <v>0</v>
      </c>
      <c r="U40" s="187">
        <f>S40+T40*U46/1000</f>
        <v>0</v>
      </c>
      <c r="V40" s="149">
        <v>0</v>
      </c>
      <c r="W40" s="167">
        <v>0</v>
      </c>
      <c r="X40" s="187">
        <f>V40+W40*X46/1000</f>
        <v>0</v>
      </c>
      <c r="Y40" s="149">
        <v>0</v>
      </c>
      <c r="Z40" s="167">
        <v>0</v>
      </c>
      <c r="AA40" s="187">
        <f>Y40+Z40*AA46/1000</f>
        <v>0</v>
      </c>
      <c r="AB40" s="149">
        <v>0</v>
      </c>
      <c r="AC40" s="167">
        <v>0</v>
      </c>
      <c r="AD40" s="187">
        <f>AB40+AC40*AD46/1000</f>
        <v>0</v>
      </c>
      <c r="AE40" s="149"/>
      <c r="AF40" s="167">
        <v>0</v>
      </c>
      <c r="AG40" s="187">
        <f>AE40+AF40*AG46/1000</f>
        <v>0</v>
      </c>
      <c r="AH40" s="149">
        <v>0</v>
      </c>
      <c r="AI40" s="167">
        <v>0</v>
      </c>
      <c r="AJ40" s="187">
        <f>AH40+AI40*AJ46/1000</f>
        <v>0</v>
      </c>
      <c r="AK40" s="149"/>
      <c r="AL40" s="167">
        <v>0</v>
      </c>
      <c r="AM40" s="187">
        <f>AK40+AL40*AM46/1000</f>
        <v>0</v>
      </c>
      <c r="AN40" s="149"/>
      <c r="AO40" s="167">
        <v>0</v>
      </c>
      <c r="AP40" s="187">
        <f>AN40+AO40*AP46/1000</f>
        <v>0</v>
      </c>
      <c r="AQ40" s="149">
        <f>SUM(G40,J40,M40,P40,S40,V40,Y40,AB40,AE40,AH40,AK40,AN40)</f>
        <v>0</v>
      </c>
      <c r="AR40" s="167">
        <f>SUM(H40,K40,N40,Q40,T40,W40,Z40,AC40,AF40,AI40,AL40,AO40)</f>
        <v>0</v>
      </c>
      <c r="AS40" s="187">
        <f>AQ40+AR40*AS46/1000</f>
        <v>0</v>
      </c>
      <c r="AT40" s="149">
        <f>SUM(J40,M40,P40,S40,V40,Y40,AB40,AE40,AH40,AK40,AN40,AQ40)</f>
        <v>0</v>
      </c>
      <c r="AU40" s="167">
        <f>SUM(K40,N40,Q40,T40,W40,Z40,AC40,AF40,AI40,AL40,AO40,AR40)</f>
        <v>0</v>
      </c>
      <c r="AV40" s="187">
        <f>AT40+AU40*AV46/1000</f>
        <v>0</v>
      </c>
    </row>
    <row r="41" spans="3:48" ht="12.75" customHeight="1" x14ac:dyDescent="0.3">
      <c r="C41" s="14"/>
      <c r="D41" s="15" t="s">
        <v>109</v>
      </c>
      <c r="E41" s="14"/>
      <c r="F41" s="14"/>
      <c r="G41" s="150">
        <f>SUMIF(실적월!$A:$A,"차입금상환",실적월!$F:$F)/1000000</f>
        <v>0</v>
      </c>
      <c r="H41" s="168">
        <v>0</v>
      </c>
      <c r="I41" s="13">
        <f>G41+(H41*$R$46/1000)</f>
        <v>0</v>
      </c>
      <c r="J41" s="150">
        <v>0</v>
      </c>
      <c r="K41" s="168">
        <v>0</v>
      </c>
      <c r="L41" s="201">
        <f>J41+K41*$R$46/1000</f>
        <v>0</v>
      </c>
      <c r="M41" s="178">
        <f>SUMIF(실적월!$A:$A,"차입금상환",실적월!$F:$F)/1000000</f>
        <v>0</v>
      </c>
      <c r="N41" s="168">
        <v>0</v>
      </c>
      <c r="O41" s="13">
        <f>M41+(N41*$R$46/1000)</f>
        <v>0</v>
      </c>
      <c r="P41" s="150">
        <v>0</v>
      </c>
      <c r="Q41" s="168">
        <v>0</v>
      </c>
      <c r="R41" s="201">
        <f>P41+Q41*$R$46/1000</f>
        <v>0</v>
      </c>
      <c r="S41" s="150">
        <v>0</v>
      </c>
      <c r="T41" s="168">
        <v>0</v>
      </c>
      <c r="U41" s="201">
        <f>S41+T41*U46/1000</f>
        <v>0</v>
      </c>
      <c r="V41" s="150">
        <v>0</v>
      </c>
      <c r="W41" s="168">
        <v>0</v>
      </c>
      <c r="X41" s="201">
        <f>V41+W41*X46/1000</f>
        <v>0</v>
      </c>
      <c r="Y41" s="150">
        <v>0</v>
      </c>
      <c r="Z41" s="168">
        <v>0</v>
      </c>
      <c r="AA41" s="201">
        <f>Y41+Z41*AA46/1000</f>
        <v>0</v>
      </c>
      <c r="AB41" s="150">
        <v>0</v>
      </c>
      <c r="AC41" s="168">
        <v>0</v>
      </c>
      <c r="AD41" s="201">
        <f>AB41+AC41*AD46/1000</f>
        <v>0</v>
      </c>
      <c r="AE41" s="150">
        <v>0</v>
      </c>
      <c r="AF41" s="168">
        <v>0</v>
      </c>
      <c r="AG41" s="201">
        <f>AE41+AF41*AG46/1000</f>
        <v>0</v>
      </c>
      <c r="AH41" s="150">
        <v>0</v>
      </c>
      <c r="AI41" s="168">
        <v>0</v>
      </c>
      <c r="AJ41" s="201">
        <f>AH41+AI41*AJ46/1000</f>
        <v>0</v>
      </c>
      <c r="AK41" s="150">
        <v>0</v>
      </c>
      <c r="AL41" s="168">
        <v>0</v>
      </c>
      <c r="AM41" s="201">
        <f>AK41+AL41*AM46/1000</f>
        <v>0</v>
      </c>
      <c r="AN41" s="150">
        <v>0</v>
      </c>
      <c r="AO41" s="168">
        <v>0</v>
      </c>
      <c r="AP41" s="201">
        <f>AN41+AO41*AP46/1000</f>
        <v>0</v>
      </c>
      <c r="AQ41" s="150">
        <f>SUM(G41,J41,M41,P41,S41,V41,Y41,AB41,AE41,AH41,AK41,AN41)</f>
        <v>0</v>
      </c>
      <c r="AR41" s="168">
        <f>SUM(H41,K41,N41,Q41,T41,W41,Z41,AC41,AF41,AI41,AL41,AO41)</f>
        <v>0</v>
      </c>
      <c r="AS41" s="201">
        <f>AQ41+AR41*AS46/1000</f>
        <v>0</v>
      </c>
      <c r="AT41" s="150">
        <f>SUM(J41,M41,P41,S41,V41,Y41,AB41,AE41,AH41,AK41,AN41,AQ41)</f>
        <v>0</v>
      </c>
      <c r="AU41" s="168">
        <f>SUM(K41,N41,Q41,T41,W41,Z41,AC41,AF41,AI41,AL41,AO41,AR41)</f>
        <v>0</v>
      </c>
      <c r="AV41" s="201">
        <f>AT41+AU41*AV46/1000</f>
        <v>0</v>
      </c>
    </row>
    <row r="42" spans="3:48" ht="12.75" customHeight="1" x14ac:dyDescent="0.3">
      <c r="C42" s="10" t="s">
        <v>111</v>
      </c>
      <c r="D42" s="10"/>
      <c r="E42" s="10"/>
      <c r="F42" s="9"/>
      <c r="G42" s="7">
        <f t="shared" ref="G42:AV42" si="18">G7+G33+G36+G39</f>
        <v>853.98536000000001</v>
      </c>
      <c r="H42" s="8">
        <f t="shared" si="18"/>
        <v>0</v>
      </c>
      <c r="I42" s="7">
        <f t="shared" si="18"/>
        <v>853.98536000000001</v>
      </c>
      <c r="J42" s="181">
        <f t="shared" si="18"/>
        <v>-63.597070000000002</v>
      </c>
      <c r="K42" s="8">
        <f t="shared" si="18"/>
        <v>0</v>
      </c>
      <c r="L42" s="182">
        <f t="shared" si="18"/>
        <v>-63.597070000000002</v>
      </c>
      <c r="M42" s="171">
        <f t="shared" si="18"/>
        <v>-1026.2844705</v>
      </c>
      <c r="N42" s="8">
        <f t="shared" si="18"/>
        <v>0</v>
      </c>
      <c r="O42" s="7">
        <f t="shared" si="18"/>
        <v>-1026.113801</v>
      </c>
      <c r="P42" s="181">
        <f t="shared" si="18"/>
        <v>-1.0562379999999933</v>
      </c>
      <c r="Q42" s="8">
        <f t="shared" si="18"/>
        <v>0</v>
      </c>
      <c r="R42" s="182">
        <f t="shared" si="18"/>
        <v>-1.0562379999999933</v>
      </c>
      <c r="S42" s="181">
        <f t="shared" si="18"/>
        <v>18.449283999999999</v>
      </c>
      <c r="T42" s="8">
        <f t="shared" si="18"/>
        <v>0</v>
      </c>
      <c r="U42" s="182">
        <f t="shared" si="18"/>
        <v>18.449283999999999</v>
      </c>
      <c r="V42" s="181">
        <f t="shared" si="18"/>
        <v>273.73855500000002</v>
      </c>
      <c r="W42" s="8">
        <f t="shared" si="18"/>
        <v>0</v>
      </c>
      <c r="X42" s="182">
        <f t="shared" si="18"/>
        <v>273.73855500000002</v>
      </c>
      <c r="Y42" s="181">
        <f t="shared" si="18"/>
        <v>-41.138568999999997</v>
      </c>
      <c r="Z42" s="8">
        <f t="shared" si="18"/>
        <v>0</v>
      </c>
      <c r="AA42" s="182">
        <f t="shared" si="18"/>
        <v>-41.138568999999997</v>
      </c>
      <c r="AB42" s="181">
        <f t="shared" si="18"/>
        <v>-30.990139200000002</v>
      </c>
      <c r="AC42" s="8">
        <f t="shared" si="18"/>
        <v>0</v>
      </c>
      <c r="AD42" s="182">
        <f t="shared" si="18"/>
        <v>-30.990139200000002</v>
      </c>
      <c r="AE42" s="181">
        <f t="shared" si="18"/>
        <v>0</v>
      </c>
      <c r="AF42" s="8">
        <f t="shared" si="18"/>
        <v>0</v>
      </c>
      <c r="AG42" s="182">
        <f t="shared" si="18"/>
        <v>0</v>
      </c>
      <c r="AH42" s="181">
        <f t="shared" si="18"/>
        <v>0</v>
      </c>
      <c r="AI42" s="8">
        <f t="shared" si="18"/>
        <v>0</v>
      </c>
      <c r="AJ42" s="182">
        <f t="shared" si="18"/>
        <v>0</v>
      </c>
      <c r="AK42" s="181">
        <f t="shared" si="18"/>
        <v>0</v>
      </c>
      <c r="AL42" s="8">
        <f t="shared" si="18"/>
        <v>0</v>
      </c>
      <c r="AM42" s="182">
        <f t="shared" si="18"/>
        <v>0</v>
      </c>
      <c r="AN42" s="181">
        <f t="shared" si="18"/>
        <v>0</v>
      </c>
      <c r="AO42" s="8">
        <f t="shared" si="18"/>
        <v>0</v>
      </c>
      <c r="AP42" s="182">
        <f t="shared" si="18"/>
        <v>0</v>
      </c>
      <c r="AQ42" s="181">
        <f t="shared" si="18"/>
        <v>192.87272500000006</v>
      </c>
      <c r="AR42" s="8">
        <f t="shared" si="18"/>
        <v>0</v>
      </c>
      <c r="AS42" s="182">
        <f t="shared" si="18"/>
        <v>192.87272500000006</v>
      </c>
      <c r="AT42" s="181">
        <f t="shared" si="18"/>
        <v>16.072727083333334</v>
      </c>
      <c r="AU42" s="8">
        <f t="shared" si="18"/>
        <v>0</v>
      </c>
      <c r="AV42" s="182">
        <f t="shared" si="18"/>
        <v>16.072727083333334</v>
      </c>
    </row>
    <row r="43" spans="3:48" ht="12.75" customHeight="1" x14ac:dyDescent="0.3">
      <c r="C43" s="10" t="s">
        <v>130</v>
      </c>
      <c r="D43" s="10" t="s">
        <v>131</v>
      </c>
      <c r="E43" s="10"/>
      <c r="F43" s="9"/>
      <c r="G43" s="7">
        <f>G35-G34</f>
        <v>-900</v>
      </c>
      <c r="H43" s="8">
        <f>H35-H34</f>
        <v>0</v>
      </c>
      <c r="I43" s="7">
        <f>I35-I34</f>
        <v>-900</v>
      </c>
      <c r="J43" s="492"/>
      <c r="K43" s="493"/>
      <c r="L43" s="494"/>
      <c r="M43" s="171"/>
      <c r="N43" s="8"/>
      <c r="O43" s="7"/>
      <c r="P43" s="492"/>
      <c r="Q43" s="493"/>
      <c r="R43" s="494"/>
      <c r="S43" s="492"/>
      <c r="T43" s="493"/>
      <c r="U43" s="494"/>
      <c r="V43" s="658">
        <f>V35-V34</f>
        <v>-300</v>
      </c>
      <c r="W43" s="493">
        <f>W35-W34</f>
        <v>0</v>
      </c>
      <c r="X43" s="494">
        <f>V43</f>
        <v>-300</v>
      </c>
      <c r="Y43" s="492"/>
      <c r="Z43" s="493"/>
      <c r="AA43" s="494"/>
      <c r="AB43" s="492"/>
      <c r="AC43" s="493"/>
      <c r="AD43" s="494"/>
      <c r="AE43" s="492"/>
      <c r="AF43" s="493"/>
      <c r="AG43" s="494"/>
      <c r="AH43" s="492"/>
      <c r="AI43" s="493"/>
      <c r="AJ43" s="494"/>
      <c r="AK43" s="492"/>
      <c r="AL43" s="493"/>
      <c r="AM43" s="494"/>
      <c r="AN43" s="492"/>
      <c r="AO43" s="493"/>
      <c r="AP43" s="494"/>
      <c r="AQ43" s="150">
        <f>SUM(G43,J43,M43,P43,S43,V43,Y43,AB43,AE43,AH43,AK43,AN43)</f>
        <v>-1200</v>
      </c>
      <c r="AR43" s="493"/>
      <c r="AS43" s="150">
        <f>SUM(I43,L43,O43,R43,U43,X43,AA43,AD43,AG43,AJ43,AM43,AP43)</f>
        <v>-1200</v>
      </c>
      <c r="AT43" s="492"/>
      <c r="AU43" s="493"/>
      <c r="AV43" s="494"/>
    </row>
    <row r="44" spans="3:48" ht="12.75" customHeight="1" x14ac:dyDescent="0.3">
      <c r="C44" s="10" t="s">
        <v>132</v>
      </c>
      <c r="D44" s="10"/>
      <c r="E44" s="10"/>
      <c r="F44" s="9"/>
      <c r="G44" s="7">
        <f>G6+G42+G43</f>
        <v>3561.0751520000003</v>
      </c>
      <c r="H44" s="8">
        <f>H6+H42+H43</f>
        <v>0</v>
      </c>
      <c r="I44" s="7">
        <f>I6+I42+I43</f>
        <v>3561.0751520000003</v>
      </c>
      <c r="J44" s="203">
        <f t="shared" ref="J44:U44" si="19">J6+J42</f>
        <v>3497.4780820000005</v>
      </c>
      <c r="K44" s="204">
        <f t="shared" si="19"/>
        <v>0</v>
      </c>
      <c r="L44" s="205">
        <f t="shared" si="19"/>
        <v>3497.4780820000005</v>
      </c>
      <c r="M44" s="171">
        <f t="shared" si="19"/>
        <v>2471.1936115000008</v>
      </c>
      <c r="N44" s="8">
        <f t="shared" si="19"/>
        <v>0</v>
      </c>
      <c r="O44" s="7">
        <f t="shared" si="19"/>
        <v>2471.3642810000006</v>
      </c>
      <c r="P44" s="203">
        <f t="shared" si="19"/>
        <v>2470.1373735000006</v>
      </c>
      <c r="Q44" s="204">
        <f t="shared" si="19"/>
        <v>0</v>
      </c>
      <c r="R44" s="205">
        <f t="shared" si="19"/>
        <v>2470.1373735000006</v>
      </c>
      <c r="S44" s="203">
        <f t="shared" si="19"/>
        <v>2488.5866575000005</v>
      </c>
      <c r="T44" s="204">
        <f t="shared" si="19"/>
        <v>0</v>
      </c>
      <c r="U44" s="205">
        <f t="shared" si="19"/>
        <v>2488.5866575000005</v>
      </c>
      <c r="V44" s="203">
        <f>V6+V42+V43</f>
        <v>2462.3252125000004</v>
      </c>
      <c r="W44" s="204">
        <f>W6+W42+W43</f>
        <v>0</v>
      </c>
      <c r="X44" s="205">
        <f>X6+X42+X43</f>
        <v>2462.3252125000004</v>
      </c>
      <c r="Y44" s="329">
        <f t="shared" ref="Y44:AD44" si="20">Y6+Y42</f>
        <v>2421.1866435000002</v>
      </c>
      <c r="Z44" s="204">
        <f t="shared" si="20"/>
        <v>0</v>
      </c>
      <c r="AA44" s="205">
        <f t="shared" si="20"/>
        <v>2421.1866435000002</v>
      </c>
      <c r="AB44" s="203">
        <f t="shared" si="20"/>
        <v>2390.1965043</v>
      </c>
      <c r="AC44" s="204">
        <f t="shared" si="20"/>
        <v>0</v>
      </c>
      <c r="AD44" s="205">
        <f t="shared" si="20"/>
        <v>2390.1965043</v>
      </c>
      <c r="AE44" s="329">
        <f>AE6+AE42+AE43</f>
        <v>2390.1965043</v>
      </c>
      <c r="AF44" s="204">
        <f>AF6+AF42</f>
        <v>0</v>
      </c>
      <c r="AG44" s="205">
        <f>AG6+AG42+AG43</f>
        <v>2390.1965043</v>
      </c>
      <c r="AH44" s="329">
        <f t="shared" ref="AH44:AP44" si="21">AH6+AH42</f>
        <v>2390.1965043</v>
      </c>
      <c r="AI44" s="204">
        <f t="shared" si="21"/>
        <v>0</v>
      </c>
      <c r="AJ44" s="205">
        <f t="shared" si="21"/>
        <v>2390.1965043</v>
      </c>
      <c r="AK44" s="203">
        <f t="shared" si="21"/>
        <v>2390.1965043</v>
      </c>
      <c r="AL44" s="204">
        <f t="shared" si="21"/>
        <v>0</v>
      </c>
      <c r="AM44" s="205">
        <f t="shared" si="21"/>
        <v>2390.1965043</v>
      </c>
      <c r="AN44" s="203">
        <f t="shared" si="21"/>
        <v>2390.1965043</v>
      </c>
      <c r="AO44" s="204">
        <f t="shared" si="21"/>
        <v>0</v>
      </c>
      <c r="AP44" s="205">
        <f t="shared" si="21"/>
        <v>2390.1965043</v>
      </c>
      <c r="AQ44" s="329">
        <f>AQ6+AQ42+AQ43</f>
        <v>2599.9625170000004</v>
      </c>
      <c r="AR44" s="204">
        <f>AR6+AR42</f>
        <v>0</v>
      </c>
      <c r="AS44" s="205">
        <f>AS42+AS6+AS43</f>
        <v>2599.9625170000004</v>
      </c>
      <c r="AT44" s="203"/>
      <c r="AU44" s="204">
        <f>AU6+AU42</f>
        <v>0</v>
      </c>
      <c r="AV44" s="205"/>
    </row>
    <row r="45" spans="3:48" ht="12.75" customHeight="1" x14ac:dyDescent="0.3">
      <c r="G45" s="2"/>
      <c r="P45" s="2"/>
      <c r="AB45" s="2">
        <f>AB44-요약1!E13</f>
        <v>-0.85486949999994977</v>
      </c>
    </row>
    <row r="46" spans="3:48" x14ac:dyDescent="0.3">
      <c r="H46" s="4"/>
      <c r="J46" s="2"/>
      <c r="N46" s="4"/>
      <c r="P46" s="2"/>
      <c r="R46" s="57"/>
      <c r="S46" s="2"/>
      <c r="U46" s="57"/>
      <c r="V46" s="2"/>
      <c r="X46" s="57"/>
      <c r="Y46" s="2"/>
      <c r="AA46" s="57"/>
      <c r="AB46" s="2">
        <v>-0.85486949999994977</v>
      </c>
      <c r="AD46" s="57"/>
      <c r="AE46" s="57"/>
      <c r="AF46" s="57"/>
      <c r="AG46" s="57"/>
      <c r="AH46" s="2"/>
      <c r="AJ46" s="57"/>
      <c r="AK46" s="2"/>
      <c r="AM46" s="57"/>
      <c r="AN46" s="2"/>
      <c r="AP46" s="57"/>
    </row>
    <row r="47" spans="3:48" x14ac:dyDescent="0.3">
      <c r="H47" s="4"/>
      <c r="N47" s="4"/>
      <c r="V47" s="5"/>
    </row>
    <row r="48" spans="3:48" x14ac:dyDescent="0.3">
      <c r="J48" s="3"/>
      <c r="L48" s="2"/>
      <c r="P48" s="3"/>
      <c r="R48" s="2"/>
      <c r="S48" s="3"/>
      <c r="U48" s="2"/>
      <c r="V48" s="2"/>
      <c r="W48" s="2"/>
      <c r="X48" s="2"/>
      <c r="Y48" s="3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  <c r="AL48" s="2"/>
      <c r="AM48" s="2"/>
      <c r="AN48" s="2"/>
      <c r="AO48" s="2"/>
      <c r="AP48" s="2"/>
    </row>
    <row r="49" spans="7:22" x14ac:dyDescent="0.3">
      <c r="V49" s="2"/>
    </row>
    <row r="50" spans="7:22" x14ac:dyDescent="0.3">
      <c r="V50" s="491"/>
    </row>
    <row r="52" spans="7:22" x14ac:dyDescent="0.3">
      <c r="G52" s="2"/>
      <c r="M52" s="2"/>
    </row>
  </sheetData>
  <mergeCells count="15">
    <mergeCell ref="AQ4:AS4"/>
    <mergeCell ref="AE4:AG4"/>
    <mergeCell ref="AT4:AV4"/>
    <mergeCell ref="Y4:AA4"/>
    <mergeCell ref="AB4:AD4"/>
    <mergeCell ref="AH4:AJ4"/>
    <mergeCell ref="AN4:AP4"/>
    <mergeCell ref="C4:F5"/>
    <mergeCell ref="M4:O4"/>
    <mergeCell ref="S4:U4"/>
    <mergeCell ref="AK4:AM4"/>
    <mergeCell ref="G4:I4"/>
    <mergeCell ref="V4:X4"/>
    <mergeCell ref="J4:L4"/>
    <mergeCell ref="P4:R4"/>
  </mergeCells>
  <phoneticPr fontId="2" type="noConversion"/>
  <conditionalFormatting sqref="F6:F12">
    <cfRule type="cellIs" dxfId="23" priority="263" operator="equal">
      <formula>0</formula>
    </cfRule>
  </conditionalFormatting>
  <conditionalFormatting sqref="G28:L39">
    <cfRule type="cellIs" dxfId="22" priority="11" operator="equal">
      <formula>0</formula>
    </cfRule>
  </conditionalFormatting>
  <conditionalFormatting sqref="G9:N12">
    <cfRule type="cellIs" dxfId="21" priority="237" operator="equal">
      <formula>0</formula>
    </cfRule>
  </conditionalFormatting>
  <conditionalFormatting sqref="G6:R8">
    <cfRule type="cellIs" dxfId="20" priority="261" operator="equal">
      <formula>0</formula>
    </cfRule>
  </conditionalFormatting>
  <conditionalFormatting sqref="G40:R44">
    <cfRule type="cellIs" dxfId="19" priority="252" operator="equal">
      <formula>0</formula>
    </cfRule>
  </conditionalFormatting>
  <conditionalFormatting sqref="G13:AV27">
    <cfRule type="cellIs" dxfId="18" priority="1" operator="equal">
      <formula>0</formula>
    </cfRule>
  </conditionalFormatting>
  <conditionalFormatting sqref="M33:R39">
    <cfRule type="cellIs" dxfId="17" priority="290" operator="equal">
      <formula>0</formula>
    </cfRule>
  </conditionalFormatting>
  <conditionalFormatting sqref="M28:AV32">
    <cfRule type="cellIs" dxfId="16" priority="12" operator="equal">
      <formula>0</formula>
    </cfRule>
  </conditionalFormatting>
  <conditionalFormatting sqref="O9:R9">
    <cfRule type="cellIs" dxfId="15" priority="295" operator="equal">
      <formula>0</formula>
    </cfRule>
  </conditionalFormatting>
  <conditionalFormatting sqref="O10:AV12">
    <cfRule type="cellIs" dxfId="14" priority="23" operator="equal">
      <formula>0</formula>
    </cfRule>
  </conditionalFormatting>
  <conditionalFormatting sqref="S6:AV9">
    <cfRule type="cellIs" dxfId="13" priority="37" operator="equal">
      <formula>0</formula>
    </cfRule>
  </conditionalFormatting>
  <conditionalFormatting sqref="S33:AV44">
    <cfRule type="cellIs" dxfId="12" priority="3" operator="equal">
      <formula>0</formula>
    </cfRule>
  </conditionalFormatting>
  <pageMargins left="0.26" right="0.23622047244094491" top="0.39370078740157483" bottom="0.43307086614173229" header="0.31496062992125978" footer="0.31496062992125978"/>
  <pageSetup paperSize="9" scale="56" orientation="landscape" r:id="rId1"/>
  <colBreaks count="1" manualBreakCount="1">
    <brk id="36" max="42" man="1"/>
  </colBreaks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K32"/>
  <sheetViews>
    <sheetView zoomScale="130" zoomScaleNormal="130" workbookViewId="0">
      <selection activeCell="E35" sqref="E35"/>
    </sheetView>
  </sheetViews>
  <sheetFormatPr defaultColWidth="9" defaultRowHeight="16.5" customHeight="1" x14ac:dyDescent="0.3"/>
  <cols>
    <col min="1" max="1" width="14.625" style="61" customWidth="1"/>
    <col min="2" max="2" width="35.125" style="61" bestFit="1" customWidth="1"/>
    <col min="3" max="3" width="76.625" style="62" customWidth="1"/>
    <col min="4" max="4" width="13" style="61" customWidth="1"/>
    <col min="5" max="5" width="14.625" style="63" bestFit="1" customWidth="1"/>
    <col min="6" max="6" width="15.125" style="533" bestFit="1" customWidth="1"/>
    <col min="7" max="7" width="14.5" style="59" customWidth="1"/>
    <col min="8" max="8" width="14.125" style="60" bestFit="1" customWidth="1"/>
    <col min="9" max="9" width="12.875" style="59" bestFit="1" customWidth="1"/>
    <col min="10" max="10" width="15.125" style="59" bestFit="1" customWidth="1"/>
    <col min="11" max="11" width="9.5" style="59" bestFit="1" customWidth="1"/>
    <col min="12" max="12" width="9" style="59" customWidth="1"/>
    <col min="13" max="16384" width="9" style="59"/>
  </cols>
  <sheetData>
    <row r="1" spans="1:11" s="69" customFormat="1" ht="16.5" customHeight="1" x14ac:dyDescent="0.3">
      <c r="A1" s="75" t="s">
        <v>133</v>
      </c>
      <c r="B1" s="74"/>
      <c r="C1" s="73"/>
      <c r="D1" s="72"/>
      <c r="E1" s="231"/>
      <c r="F1" s="532"/>
      <c r="H1" s="71" t="s">
        <v>134</v>
      </c>
      <c r="I1" s="70">
        <v>1541.5</v>
      </c>
      <c r="K1" s="70"/>
    </row>
    <row r="2" spans="1:11" ht="16.5" customHeight="1" x14ac:dyDescent="0.3">
      <c r="B2" s="64"/>
      <c r="C2" s="68"/>
    </row>
    <row r="3" spans="1:11" s="61" customFormat="1" ht="16.5" customHeight="1" x14ac:dyDescent="0.3">
      <c r="A3" s="66" t="s">
        <v>2</v>
      </c>
      <c r="B3" s="66" t="s">
        <v>135</v>
      </c>
      <c r="C3" s="66" t="s">
        <v>136</v>
      </c>
      <c r="D3" s="66" t="s">
        <v>137</v>
      </c>
      <c r="E3" s="67" t="s">
        <v>108</v>
      </c>
      <c r="F3" s="531" t="s">
        <v>109</v>
      </c>
      <c r="G3" s="66" t="s">
        <v>138</v>
      </c>
    </row>
    <row r="4" spans="1:11" ht="16.5" customHeight="1" x14ac:dyDescent="0.3">
      <c r="A4" t="s">
        <v>139</v>
      </c>
      <c r="B4" t="s">
        <v>140</v>
      </c>
      <c r="C4" t="s">
        <v>141</v>
      </c>
      <c r="D4" t="s">
        <v>142</v>
      </c>
      <c r="F4">
        <v>1000</v>
      </c>
    </row>
    <row r="5" spans="1:11" ht="16.5" customHeight="1" x14ac:dyDescent="0.3">
      <c r="A5" t="s">
        <v>83</v>
      </c>
      <c r="B5" t="s">
        <v>143</v>
      </c>
      <c r="C5" t="s">
        <v>144</v>
      </c>
      <c r="D5" t="s">
        <v>142</v>
      </c>
      <c r="F5">
        <v>3563860</v>
      </c>
    </row>
    <row r="6" spans="1:11" ht="16.5" customHeight="1" x14ac:dyDescent="0.3">
      <c r="A6" t="s">
        <v>83</v>
      </c>
      <c r="B6" t="s">
        <v>145</v>
      </c>
      <c r="C6" t="s">
        <v>146</v>
      </c>
      <c r="D6" t="s">
        <v>142</v>
      </c>
      <c r="F6">
        <v>356380</v>
      </c>
    </row>
    <row r="7" spans="1:11" ht="16.5" customHeight="1" x14ac:dyDescent="0.3">
      <c r="A7" t="s">
        <v>147</v>
      </c>
      <c r="B7" t="s">
        <v>148</v>
      </c>
      <c r="C7" t="s">
        <v>149</v>
      </c>
      <c r="D7" t="s">
        <v>142</v>
      </c>
      <c r="F7">
        <v>1678060</v>
      </c>
    </row>
    <row r="8" spans="1:11" ht="16.5" customHeight="1" x14ac:dyDescent="0.3">
      <c r="A8" t="s">
        <v>147</v>
      </c>
      <c r="B8" t="s">
        <v>150</v>
      </c>
      <c r="C8" t="s">
        <v>151</v>
      </c>
      <c r="D8" t="s">
        <v>142</v>
      </c>
      <c r="F8">
        <v>1085920</v>
      </c>
    </row>
    <row r="9" spans="1:11" ht="16.5" customHeight="1" x14ac:dyDescent="0.3">
      <c r="A9" t="s">
        <v>147</v>
      </c>
      <c r="B9" t="s">
        <v>152</v>
      </c>
      <c r="C9" t="s">
        <v>153</v>
      </c>
      <c r="D9" t="s">
        <v>142</v>
      </c>
      <c r="F9">
        <v>117760</v>
      </c>
    </row>
    <row r="10" spans="1:11" ht="16.5" customHeight="1" x14ac:dyDescent="0.3">
      <c r="A10" t="s">
        <v>147</v>
      </c>
      <c r="B10" t="s">
        <v>152</v>
      </c>
      <c r="C10" t="s">
        <v>154</v>
      </c>
      <c r="D10" t="s">
        <v>142</v>
      </c>
      <c r="F10">
        <v>42930</v>
      </c>
    </row>
    <row r="11" spans="1:11" ht="16.5" customHeight="1" x14ac:dyDescent="0.3">
      <c r="A11" t="s">
        <v>155</v>
      </c>
      <c r="B11" t="s">
        <v>156</v>
      </c>
      <c r="C11" t="s">
        <v>157</v>
      </c>
      <c r="D11" t="s">
        <v>142</v>
      </c>
      <c r="E11">
        <v>78020</v>
      </c>
    </row>
    <row r="12" spans="1:11" ht="16.5" customHeight="1" x14ac:dyDescent="0.3">
      <c r="A12" t="s">
        <v>74</v>
      </c>
      <c r="B12" t="s">
        <v>158</v>
      </c>
      <c r="C12" t="s">
        <v>159</v>
      </c>
      <c r="D12" t="s">
        <v>142</v>
      </c>
      <c r="F12">
        <v>1466670</v>
      </c>
    </row>
    <row r="13" spans="1:11" ht="16.5" customHeight="1" x14ac:dyDescent="0.3">
      <c r="A13" t="s">
        <v>74</v>
      </c>
      <c r="B13" t="s">
        <v>160</v>
      </c>
      <c r="C13" t="s">
        <v>161</v>
      </c>
      <c r="D13" t="s">
        <v>142</v>
      </c>
      <c r="F13">
        <v>461810</v>
      </c>
    </row>
    <row r="14" spans="1:11" ht="16.5" customHeight="1" x14ac:dyDescent="0.3">
      <c r="A14" t="s">
        <v>139</v>
      </c>
      <c r="B14" t="s">
        <v>162</v>
      </c>
      <c r="C14" t="s">
        <v>163</v>
      </c>
      <c r="D14" t="s">
        <v>142</v>
      </c>
      <c r="F14">
        <v>110000</v>
      </c>
    </row>
    <row r="15" spans="1:11" ht="16.5" customHeight="1" x14ac:dyDescent="0.3">
      <c r="A15" t="s">
        <v>139</v>
      </c>
      <c r="B15" t="s">
        <v>164</v>
      </c>
      <c r="C15" t="s">
        <v>165</v>
      </c>
      <c r="D15" t="s">
        <v>142</v>
      </c>
      <c r="F15">
        <v>99000</v>
      </c>
    </row>
    <row r="16" spans="1:11" ht="16.5" customHeight="1" x14ac:dyDescent="0.3">
      <c r="A16" t="s">
        <v>94</v>
      </c>
      <c r="B16" t="s">
        <v>166</v>
      </c>
      <c r="C16" t="s">
        <v>167</v>
      </c>
      <c r="D16" t="s">
        <v>142</v>
      </c>
      <c r="F16">
        <v>96000</v>
      </c>
    </row>
    <row r="17" spans="1:6" ht="16.5" customHeight="1" x14ac:dyDescent="0.3">
      <c r="A17" t="s">
        <v>94</v>
      </c>
      <c r="B17" t="s">
        <v>168</v>
      </c>
      <c r="C17" t="s">
        <v>169</v>
      </c>
      <c r="D17" t="s">
        <v>142</v>
      </c>
      <c r="F17">
        <v>59247</v>
      </c>
    </row>
    <row r="18" spans="1:6" ht="16.5" customHeight="1" x14ac:dyDescent="0.3">
      <c r="A18" t="s">
        <v>94</v>
      </c>
      <c r="B18" t="s">
        <v>170</v>
      </c>
      <c r="C18" t="s">
        <v>171</v>
      </c>
      <c r="D18" t="s">
        <v>142</v>
      </c>
      <c r="F18">
        <v>1000</v>
      </c>
    </row>
    <row r="19" spans="1:6" ht="16.5" customHeight="1" x14ac:dyDescent="0.3">
      <c r="A19" t="s">
        <v>172</v>
      </c>
      <c r="B19" t="s">
        <v>173</v>
      </c>
      <c r="C19" t="s">
        <v>174</v>
      </c>
      <c r="D19" t="s">
        <v>142</v>
      </c>
      <c r="F19">
        <v>8717161</v>
      </c>
    </row>
    <row r="20" spans="1:6" ht="16.5" customHeight="1" x14ac:dyDescent="0.3">
      <c r="A20" t="s">
        <v>175</v>
      </c>
      <c r="B20" t="s">
        <v>176</v>
      </c>
      <c r="C20" t="s">
        <v>177</v>
      </c>
      <c r="D20" t="s">
        <v>142</v>
      </c>
      <c r="F20">
        <v>2970000</v>
      </c>
    </row>
    <row r="21" spans="1:6" ht="16.5" customHeight="1" x14ac:dyDescent="0.3">
      <c r="A21" t="s">
        <v>178</v>
      </c>
      <c r="B21" t="s">
        <v>176</v>
      </c>
      <c r="C21" t="s">
        <v>179</v>
      </c>
      <c r="D21" t="s">
        <v>142</v>
      </c>
      <c r="F21">
        <v>919248</v>
      </c>
    </row>
    <row r="22" spans="1:6" ht="16.5" customHeight="1" x14ac:dyDescent="0.3">
      <c r="A22" t="s">
        <v>175</v>
      </c>
      <c r="B22" t="s">
        <v>176</v>
      </c>
      <c r="C22" t="s">
        <v>180</v>
      </c>
      <c r="D22" t="s">
        <v>142</v>
      </c>
      <c r="F22">
        <v>295375</v>
      </c>
    </row>
    <row r="23" spans="1:6" ht="16.5" customHeight="1" x14ac:dyDescent="0.3">
      <c r="A23" t="s">
        <v>175</v>
      </c>
      <c r="B23" t="s">
        <v>176</v>
      </c>
      <c r="C23" t="s">
        <v>181</v>
      </c>
      <c r="D23" t="s">
        <v>142</v>
      </c>
      <c r="F23">
        <v>44256</v>
      </c>
    </row>
    <row r="24" spans="1:6" ht="16.5" customHeight="1" x14ac:dyDescent="0.3">
      <c r="A24" t="s">
        <v>182</v>
      </c>
      <c r="B24" t="s">
        <v>183</v>
      </c>
      <c r="C24" t="s">
        <v>184</v>
      </c>
      <c r="D24" t="s">
        <v>142</v>
      </c>
      <c r="F24">
        <v>825</v>
      </c>
    </row>
    <row r="25" spans="1:6" ht="16.5" customHeight="1" x14ac:dyDescent="0.3">
      <c r="A25" t="s">
        <v>139</v>
      </c>
      <c r="B25" t="s">
        <v>185</v>
      </c>
      <c r="C25" t="s">
        <v>186</v>
      </c>
      <c r="D25" t="s">
        <v>142</v>
      </c>
      <c r="F25">
        <v>4172</v>
      </c>
    </row>
    <row r="26" spans="1:6" ht="16.5" customHeight="1" x14ac:dyDescent="0.3">
      <c r="A26" t="s">
        <v>71</v>
      </c>
      <c r="B26" t="s">
        <v>173</v>
      </c>
      <c r="C26" t="s">
        <v>187</v>
      </c>
      <c r="D26" t="s">
        <v>142</v>
      </c>
      <c r="F26">
        <v>14816477</v>
      </c>
    </row>
    <row r="27" spans="1:6" ht="16.5" customHeight="1" x14ac:dyDescent="0.3">
      <c r="A27" t="s">
        <v>81</v>
      </c>
      <c r="B27" t="s">
        <v>145</v>
      </c>
      <c r="C27" t="s">
        <v>188</v>
      </c>
      <c r="D27" t="s">
        <v>142</v>
      </c>
      <c r="F27">
        <v>3659350</v>
      </c>
    </row>
    <row r="28" spans="1:6" ht="16.5" customHeight="1" x14ac:dyDescent="0.3">
      <c r="A28" t="s">
        <v>182</v>
      </c>
      <c r="B28" t="s">
        <v>189</v>
      </c>
      <c r="C28" t="s">
        <v>190</v>
      </c>
      <c r="D28" t="s">
        <v>142</v>
      </c>
      <c r="F28">
        <v>347857</v>
      </c>
    </row>
    <row r="29" spans="1:6" ht="16.5" customHeight="1" x14ac:dyDescent="0.3">
      <c r="A29" t="s">
        <v>182</v>
      </c>
      <c r="B29" t="s">
        <v>191</v>
      </c>
      <c r="C29" t="s">
        <v>192</v>
      </c>
      <c r="D29" t="s">
        <v>142</v>
      </c>
      <c r="F29">
        <v>336709</v>
      </c>
    </row>
    <row r="30" spans="1:6" ht="16.5" customHeight="1" x14ac:dyDescent="0.3">
      <c r="A30" t="s">
        <v>139</v>
      </c>
      <c r="B30" t="s">
        <v>193</v>
      </c>
      <c r="C30" t="s">
        <v>194</v>
      </c>
      <c r="D30" t="s">
        <v>142</v>
      </c>
      <c r="F30">
        <v>18700</v>
      </c>
    </row>
    <row r="31" spans="1:6" ht="16.5" customHeight="1" x14ac:dyDescent="0.3">
      <c r="A31" t="s">
        <v>139</v>
      </c>
      <c r="B31" t="s">
        <v>195</v>
      </c>
      <c r="C31" t="s">
        <v>196</v>
      </c>
      <c r="D31" t="s">
        <v>142</v>
      </c>
      <c r="F31">
        <v>3150</v>
      </c>
    </row>
    <row r="32" spans="1:6" ht="16.5" customHeight="1" x14ac:dyDescent="0.3">
      <c r="A32" t="s">
        <v>197</v>
      </c>
      <c r="B32" t="s">
        <v>198</v>
      </c>
      <c r="C32" t="s">
        <v>199</v>
      </c>
      <c r="D32" t="s">
        <v>142</v>
      </c>
      <c r="E32">
        <v>56328</v>
      </c>
    </row>
  </sheetData>
  <autoFilter ref="A3:G90" xr:uid="{00000000-0009-0000-0000-000004000000}"/>
  <phoneticPr fontId="2" type="noConversion"/>
  <pageMargins left="0.7" right="0.7" top="0.75" bottom="0.75" header="0.3" footer="0.3"/>
  <pageSetup paperSize="9" orientation="portrait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>
    <pageSetUpPr fitToPage="1"/>
  </sheetPr>
  <dimension ref="A1:V61"/>
  <sheetViews>
    <sheetView zoomScale="115" zoomScaleNormal="115" workbookViewId="0">
      <selection activeCell="B42" sqref="B42"/>
    </sheetView>
  </sheetViews>
  <sheetFormatPr defaultColWidth="9" defaultRowHeight="16.5" customHeight="1" x14ac:dyDescent="0.3"/>
  <cols>
    <col min="1" max="1" width="18" style="65" customWidth="1"/>
    <col min="2" max="2" width="38.625" style="65" customWidth="1"/>
    <col min="3" max="3" width="71.875" style="76" customWidth="1"/>
    <col min="4" max="4" width="13.125" style="65" customWidth="1"/>
    <col min="5" max="6" width="20" style="77" customWidth="1"/>
    <col min="7" max="7" width="21.125" style="76" customWidth="1"/>
    <col min="8" max="8" width="9.875" style="76" customWidth="1"/>
    <col min="9" max="9" width="11" style="76" bestFit="1" customWidth="1"/>
    <col min="10" max="10" width="12.5" style="76" bestFit="1" customWidth="1"/>
    <col min="11" max="11" width="11.875" style="77" bestFit="1" customWidth="1"/>
    <col min="12" max="12" width="13.375" style="77" bestFit="1" customWidth="1"/>
    <col min="13" max="21" width="10.625" style="76" customWidth="1"/>
    <col min="22" max="22" width="14.875" style="76" customWidth="1"/>
    <col min="23" max="23" width="9" style="76" customWidth="1"/>
    <col min="24" max="16384" width="9" style="76"/>
  </cols>
  <sheetData>
    <row r="1" spans="1:22" ht="20.25" customHeight="1" x14ac:dyDescent="0.3">
      <c r="A1" s="85" t="s">
        <v>200</v>
      </c>
      <c r="B1" s="317"/>
      <c r="G1" s="84" t="s">
        <v>201</v>
      </c>
      <c r="H1" s="81" t="s">
        <v>134</v>
      </c>
      <c r="I1" s="83">
        <v>1541.5</v>
      </c>
      <c r="J1" s="634"/>
      <c r="L1" s="331"/>
      <c r="M1" s="82"/>
      <c r="N1" s="81"/>
      <c r="O1" s="82"/>
      <c r="P1" s="81"/>
      <c r="Q1" s="82"/>
      <c r="R1" s="81"/>
      <c r="S1" s="82"/>
      <c r="T1" s="81"/>
      <c r="U1" s="82"/>
      <c r="V1" s="81"/>
    </row>
    <row r="2" spans="1:22" ht="16.5" customHeight="1" x14ac:dyDescent="0.3">
      <c r="A2" s="78"/>
      <c r="B2" s="332"/>
      <c r="H2" s="79"/>
      <c r="J2" s="65"/>
      <c r="K2" s="332"/>
      <c r="L2" s="332"/>
      <c r="Q2" s="77"/>
    </row>
    <row r="3" spans="1:22" ht="16.5" customHeight="1" x14ac:dyDescent="0.3">
      <c r="A3" s="80" t="s">
        <v>2</v>
      </c>
      <c r="B3" s="80" t="s">
        <v>135</v>
      </c>
      <c r="C3" s="80" t="s">
        <v>136</v>
      </c>
      <c r="D3" s="80" t="s">
        <v>137</v>
      </c>
      <c r="E3" s="67" t="s">
        <v>108</v>
      </c>
      <c r="F3" s="67" t="s">
        <v>109</v>
      </c>
      <c r="G3" s="66" t="s">
        <v>138</v>
      </c>
      <c r="H3" s="79"/>
    </row>
    <row r="4" spans="1:22" s="59" customFormat="1" ht="16.5" hidden="1" customHeight="1" x14ac:dyDescent="0.3">
      <c r="A4" t="s">
        <v>172</v>
      </c>
      <c r="B4" t="s">
        <v>156</v>
      </c>
      <c r="C4" t="s">
        <v>202</v>
      </c>
      <c r="D4" t="s">
        <v>142</v>
      </c>
      <c r="F4">
        <v>500000</v>
      </c>
    </row>
    <row r="5" spans="1:22" s="59" customFormat="1" ht="16.5" hidden="1" customHeight="1" x14ac:dyDescent="0.3">
      <c r="A5" t="s">
        <v>172</v>
      </c>
      <c r="B5" t="s">
        <v>203</v>
      </c>
      <c r="C5" t="s">
        <v>204</v>
      </c>
      <c r="D5" t="s">
        <v>142</v>
      </c>
      <c r="F5">
        <v>4000000</v>
      </c>
    </row>
    <row r="6" spans="1:22" s="59" customFormat="1" ht="16.5" customHeight="1" x14ac:dyDescent="0.3">
      <c r="A6" t="s">
        <v>139</v>
      </c>
      <c r="B6" t="s">
        <v>205</v>
      </c>
      <c r="C6" t="s">
        <v>206</v>
      </c>
      <c r="D6" t="s">
        <v>142</v>
      </c>
      <c r="F6">
        <v>300000</v>
      </c>
    </row>
    <row r="7" spans="1:22" s="59" customFormat="1" ht="16.5" customHeight="1" x14ac:dyDescent="0.3">
      <c r="A7" t="s">
        <v>139</v>
      </c>
      <c r="B7" t="s">
        <v>164</v>
      </c>
      <c r="C7" t="s">
        <v>207</v>
      </c>
      <c r="D7" t="s">
        <v>142</v>
      </c>
      <c r="F7">
        <v>110000</v>
      </c>
    </row>
    <row r="8" spans="1:22" s="59" customFormat="1" ht="16.5" customHeight="1" x14ac:dyDescent="0.3">
      <c r="A8" t="s">
        <v>147</v>
      </c>
      <c r="B8" t="s">
        <v>208</v>
      </c>
      <c r="C8" t="s">
        <v>209</v>
      </c>
      <c r="D8" t="s">
        <v>142</v>
      </c>
      <c r="F8">
        <v>1165240</v>
      </c>
    </row>
    <row r="9" spans="1:22" s="59" customFormat="1" ht="16.5" customHeight="1" x14ac:dyDescent="0.3">
      <c r="A9" t="s">
        <v>147</v>
      </c>
      <c r="B9" t="s">
        <v>210</v>
      </c>
      <c r="C9" t="s">
        <v>211</v>
      </c>
      <c r="D9" t="s">
        <v>142</v>
      </c>
      <c r="F9">
        <v>1678060</v>
      </c>
    </row>
    <row r="10" spans="1:22" s="59" customFormat="1" ht="16.5" customHeight="1" x14ac:dyDescent="0.3">
      <c r="A10" t="s">
        <v>147</v>
      </c>
      <c r="B10" t="s">
        <v>152</v>
      </c>
      <c r="C10" t="s">
        <v>212</v>
      </c>
      <c r="D10" t="s">
        <v>142</v>
      </c>
      <c r="F10">
        <v>161190</v>
      </c>
    </row>
    <row r="11" spans="1:22" s="59" customFormat="1" ht="16.5" customHeight="1" x14ac:dyDescent="0.3">
      <c r="A11" t="s">
        <v>71</v>
      </c>
      <c r="B11" t="s">
        <v>173</v>
      </c>
      <c r="C11" t="s">
        <v>71</v>
      </c>
      <c r="D11" t="s">
        <v>142</v>
      </c>
      <c r="F11">
        <v>15000000</v>
      </c>
    </row>
    <row r="12" spans="1:22" s="59" customFormat="1" ht="16.5" customHeight="1" x14ac:dyDescent="0.3">
      <c r="A12" t="s">
        <v>83</v>
      </c>
      <c r="B12" t="s">
        <v>213</v>
      </c>
      <c r="C12" t="s">
        <v>214</v>
      </c>
      <c r="D12" t="s">
        <v>142</v>
      </c>
      <c r="F12">
        <v>4000000</v>
      </c>
    </row>
    <row r="13" spans="1:22" s="59" customFormat="1" ht="16.5" customHeight="1" x14ac:dyDescent="0.3">
      <c r="A13" t="s">
        <v>74</v>
      </c>
      <c r="B13" t="s">
        <v>215</v>
      </c>
      <c r="C13" t="s">
        <v>74</v>
      </c>
      <c r="D13" t="s">
        <v>142</v>
      </c>
      <c r="F13">
        <v>1928480</v>
      </c>
    </row>
    <row r="14" spans="1:22" s="59" customFormat="1" ht="16.5" customHeight="1" thickBot="1" x14ac:dyDescent="0.35">
      <c r="A14" t="s">
        <v>175</v>
      </c>
      <c r="B14" t="s">
        <v>216</v>
      </c>
      <c r="C14" t="s">
        <v>217</v>
      </c>
      <c r="D14" t="s">
        <v>142</v>
      </c>
      <c r="F14">
        <v>43689</v>
      </c>
    </row>
    <row r="15" spans="1:22" s="59" customFormat="1" ht="16.5" customHeight="1" thickTop="1" thickBot="1" x14ac:dyDescent="0.35">
      <c r="A15" t="s">
        <v>178</v>
      </c>
      <c r="B15" t="s">
        <v>216</v>
      </c>
      <c r="C15" t="s">
        <v>218</v>
      </c>
      <c r="D15" t="s">
        <v>142</v>
      </c>
      <c r="F15">
        <v>919248</v>
      </c>
    </row>
    <row r="16" spans="1:22" s="59" customFormat="1" ht="16.5" customHeight="1" thickTop="1" x14ac:dyDescent="0.3">
      <c r="A16" t="s">
        <v>139</v>
      </c>
      <c r="B16" t="s">
        <v>219</v>
      </c>
      <c r="C16" t="s">
        <v>220</v>
      </c>
      <c r="D16" t="s">
        <v>142</v>
      </c>
      <c r="F16">
        <v>18700</v>
      </c>
    </row>
    <row r="17" spans="1:6" s="59" customFormat="1" ht="16.5" customHeight="1" x14ac:dyDescent="0.3">
      <c r="A17" t="s">
        <v>172</v>
      </c>
      <c r="B17" t="s">
        <v>162</v>
      </c>
      <c r="C17" t="s">
        <v>221</v>
      </c>
      <c r="D17" t="s">
        <v>142</v>
      </c>
      <c r="F17">
        <v>110000</v>
      </c>
    </row>
    <row r="18" spans="1:6" s="59" customFormat="1" ht="16.5" customHeight="1" x14ac:dyDescent="0.3">
      <c r="A18" t="s">
        <v>85</v>
      </c>
      <c r="B18" t="s">
        <v>145</v>
      </c>
      <c r="C18" t="s">
        <v>222</v>
      </c>
      <c r="D18" t="s">
        <v>142</v>
      </c>
      <c r="F18">
        <v>250000</v>
      </c>
    </row>
    <row r="19" spans="1:6" s="59" customFormat="1" ht="16.5" customHeight="1" x14ac:dyDescent="0.3">
      <c r="A19" t="s">
        <v>182</v>
      </c>
      <c r="B19" t="s">
        <v>198</v>
      </c>
      <c r="C19" t="s">
        <v>223</v>
      </c>
      <c r="D19" t="s">
        <v>142</v>
      </c>
      <c r="E19">
        <v>56328</v>
      </c>
    </row>
    <row r="20" spans="1:6" s="59" customFormat="1" ht="16.5" customHeight="1" x14ac:dyDescent="0.3">
      <c r="A20" t="s">
        <v>224</v>
      </c>
      <c r="B20" t="s">
        <v>225</v>
      </c>
      <c r="C20" t="s">
        <v>226</v>
      </c>
      <c r="D20" t="s">
        <v>142</v>
      </c>
      <c r="F20">
        <v>825</v>
      </c>
    </row>
    <row r="21" spans="1:6" s="59" customFormat="1" ht="16.5" customHeight="1" x14ac:dyDescent="0.3">
      <c r="A21" t="s">
        <v>182</v>
      </c>
      <c r="B21" t="s">
        <v>227</v>
      </c>
      <c r="C21" t="s">
        <v>228</v>
      </c>
      <c r="D21" t="s">
        <v>142</v>
      </c>
      <c r="F21">
        <v>347600</v>
      </c>
    </row>
    <row r="22" spans="1:6" s="59" customFormat="1" ht="16.5" customHeight="1" x14ac:dyDescent="0.3">
      <c r="A22" t="s">
        <v>182</v>
      </c>
      <c r="B22" t="s">
        <v>191</v>
      </c>
      <c r="C22" t="s">
        <v>229</v>
      </c>
      <c r="D22" t="s">
        <v>142</v>
      </c>
      <c r="F22">
        <v>336600</v>
      </c>
    </row>
    <row r="23" spans="1:6" s="59" customFormat="1" ht="16.5" customHeight="1" x14ac:dyDescent="0.3">
      <c r="A23" t="s">
        <v>94</v>
      </c>
      <c r="B23" t="s">
        <v>230</v>
      </c>
      <c r="C23" t="s">
        <v>231</v>
      </c>
      <c r="D23" t="s">
        <v>142</v>
      </c>
      <c r="F23">
        <v>96000.3</v>
      </c>
    </row>
    <row r="24" spans="1:6" s="59" customFormat="1" ht="16.5" customHeight="1" x14ac:dyDescent="0.3">
      <c r="A24" t="s">
        <v>94</v>
      </c>
      <c r="B24" t="s">
        <v>232</v>
      </c>
      <c r="C24" t="s">
        <v>233</v>
      </c>
      <c r="D24" t="s">
        <v>142</v>
      </c>
      <c r="F24">
        <v>999.9</v>
      </c>
    </row>
    <row r="25" spans="1:6" s="59" customFormat="1" ht="16.5" customHeight="1" x14ac:dyDescent="0.3">
      <c r="A25" t="s">
        <v>139</v>
      </c>
      <c r="B25" t="s">
        <v>195</v>
      </c>
      <c r="C25" t="s">
        <v>234</v>
      </c>
      <c r="D25" t="s">
        <v>142</v>
      </c>
      <c r="F25">
        <v>3157</v>
      </c>
    </row>
    <row r="26" spans="1:6" s="59" customFormat="1" ht="16.5" customHeight="1" x14ac:dyDescent="0.3">
      <c r="A26" t="s">
        <v>139</v>
      </c>
      <c r="B26" t="s">
        <v>235</v>
      </c>
      <c r="C26" t="s">
        <v>236</v>
      </c>
      <c r="D26" t="s">
        <v>142</v>
      </c>
      <c r="F26">
        <v>20350</v>
      </c>
    </row>
    <row r="27" spans="1:6" s="59" customFormat="1" ht="16.5" customHeight="1" x14ac:dyDescent="0.3"/>
    <row r="28" spans="1:6" s="59" customFormat="1" ht="16.5" customHeight="1" x14ac:dyDescent="0.3"/>
    <row r="29" spans="1:6" s="59" customFormat="1" ht="16.5" customHeight="1" x14ac:dyDescent="0.3"/>
    <row r="30" spans="1:6" s="59" customFormat="1" ht="16.5" customHeight="1" x14ac:dyDescent="0.3"/>
    <row r="31" spans="1:6" s="59" customFormat="1" ht="16.5" customHeight="1" x14ac:dyDescent="0.3"/>
    <row r="32" spans="1:6" s="59" customFormat="1" ht="15.6" customHeight="1" x14ac:dyDescent="0.3"/>
    <row r="33" s="59" customFormat="1" ht="15.6" customHeight="1" x14ac:dyDescent="0.3"/>
    <row r="34" s="59" customFormat="1" ht="15.6" customHeight="1" x14ac:dyDescent="0.3"/>
    <row r="35" s="59" customFormat="1" ht="15.6" customHeight="1" x14ac:dyDescent="0.3"/>
    <row r="36" s="59" customFormat="1" ht="15.6" customHeight="1" x14ac:dyDescent="0.3"/>
    <row r="37" s="59" customFormat="1" ht="15.6" customHeight="1" x14ac:dyDescent="0.3"/>
    <row r="38" s="59" customFormat="1" ht="15.6" customHeight="1" x14ac:dyDescent="0.3"/>
    <row r="39" s="59" customFormat="1" ht="15.6" customHeight="1" x14ac:dyDescent="0.3"/>
    <row r="40" s="59" customFormat="1" ht="15.6" customHeight="1" x14ac:dyDescent="0.3"/>
    <row r="41" s="59" customFormat="1" ht="15.6" customHeight="1" x14ac:dyDescent="0.3"/>
    <row r="42" s="59" customFormat="1" ht="15.6" customHeight="1" x14ac:dyDescent="0.3"/>
    <row r="43" s="59" customFormat="1" ht="16.5" hidden="1" customHeight="1" x14ac:dyDescent="0.3"/>
    <row r="44" s="59" customFormat="1" ht="16.5" customHeight="1" x14ac:dyDescent="0.3"/>
    <row r="45" s="59" customFormat="1" ht="16.5" customHeight="1" x14ac:dyDescent="0.3"/>
    <row r="46" s="59" customFormat="1" ht="16.5" customHeight="1" x14ac:dyDescent="0.3"/>
    <row r="47" s="59" customFormat="1" ht="16.5" customHeight="1" x14ac:dyDescent="0.3"/>
    <row r="48" s="59" customFormat="1" ht="16.5" customHeight="1" x14ac:dyDescent="0.3"/>
    <row r="49" s="59" customFormat="1" ht="16.5" customHeight="1" x14ac:dyDescent="0.3"/>
    <row r="50" s="59" customFormat="1" ht="16.5" customHeight="1" x14ac:dyDescent="0.3"/>
    <row r="51" s="59" customFormat="1" ht="16.5" customHeight="1" x14ac:dyDescent="0.3"/>
    <row r="52" s="59" customFormat="1" ht="16.5" customHeight="1" x14ac:dyDescent="0.3"/>
    <row r="53" s="59" customFormat="1" ht="16.5" customHeight="1" x14ac:dyDescent="0.3"/>
    <row r="54" s="59" customFormat="1" ht="16.5" customHeight="1" x14ac:dyDescent="0.3"/>
    <row r="55" s="59" customFormat="1" ht="16.5" customHeight="1" x14ac:dyDescent="0.3"/>
    <row r="56" s="59" customFormat="1" ht="16.5" customHeight="1" x14ac:dyDescent="0.3"/>
    <row r="57" s="59" customFormat="1" ht="16.5" customHeight="1" x14ac:dyDescent="0.3"/>
    <row r="58" s="59" customFormat="1" ht="16.5" customHeight="1" x14ac:dyDescent="0.3"/>
    <row r="59" s="59" customFormat="1" ht="16.5" customHeight="1" x14ac:dyDescent="0.3"/>
    <row r="60" s="59" customFormat="1" ht="16.5" customHeight="1" x14ac:dyDescent="0.3"/>
    <row r="61" s="59" customFormat="1" ht="16.5" customHeight="1" x14ac:dyDescent="0.3"/>
  </sheetData>
  <autoFilter ref="A3:G278" xr:uid="{00000000-0009-0000-0000-000005000000}"/>
  <phoneticPr fontId="2" type="noConversion"/>
  <pageMargins left="0.70866141732283472" right="0.70866141732283472" top="0.74803149606299213" bottom="0.74803149606299213" header="0.31496062992125978" footer="0.31496062992125978"/>
  <pageSetup paperSize="9" scale="35" orientation="landscape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>
    <tabColor rgb="FFFF0000"/>
    <pageSetUpPr fitToPage="1"/>
  </sheetPr>
  <dimension ref="A1:Y45"/>
  <sheetViews>
    <sheetView showGridLines="0" topLeftCell="A4" zoomScale="130" zoomScaleNormal="130" workbookViewId="0">
      <selection activeCell="M11" sqref="M11"/>
    </sheetView>
  </sheetViews>
  <sheetFormatPr defaultColWidth="8.875" defaultRowHeight="13.5" x14ac:dyDescent="0.3"/>
  <cols>
    <col min="1" max="1" width="1.875" style="274" customWidth="1"/>
    <col min="2" max="2" width="2.375" style="274" customWidth="1"/>
    <col min="3" max="3" width="2.125" style="275" customWidth="1"/>
    <col min="4" max="4" width="2.375" style="275" customWidth="1"/>
    <col min="5" max="5" width="24.625" style="275" bestFit="1" customWidth="1"/>
    <col min="6" max="7" width="8.125" style="275" customWidth="1"/>
    <col min="8" max="10" width="7.125" style="366" bestFit="1" customWidth="1"/>
    <col min="11" max="11" width="7.125" style="366" customWidth="1"/>
    <col min="12" max="12" width="7.125" style="366" bestFit="1" customWidth="1"/>
    <col min="13" max="13" width="7.375" style="366" customWidth="1"/>
    <col min="14" max="21" width="7.125" style="366" bestFit="1" customWidth="1"/>
    <col min="22" max="22" width="50.875" style="275" customWidth="1"/>
    <col min="23" max="23" width="7.875" style="274" customWidth="1"/>
    <col min="24" max="24" width="8.875" style="274" customWidth="1"/>
    <col min="25" max="25" width="9.375" style="277" bestFit="1" customWidth="1"/>
    <col min="26" max="26" width="8.875" style="274" customWidth="1"/>
    <col min="27" max="16384" width="8.875" style="274"/>
  </cols>
  <sheetData>
    <row r="1" spans="1:25" ht="19.7" customHeight="1" x14ac:dyDescent="0.25">
      <c r="A1" s="273" t="s">
        <v>237</v>
      </c>
      <c r="V1" s="276"/>
    </row>
    <row r="2" spans="1:25" ht="2.1" customHeight="1" x14ac:dyDescent="0.3">
      <c r="A2" s="278"/>
      <c r="B2" s="279"/>
      <c r="C2" s="280"/>
      <c r="D2" s="280"/>
      <c r="E2" s="280"/>
      <c r="F2" s="280"/>
      <c r="G2" s="280"/>
      <c r="H2" s="370"/>
      <c r="I2" s="370"/>
      <c r="J2" s="370"/>
      <c r="K2" s="370"/>
      <c r="L2" s="370"/>
      <c r="M2" s="370"/>
      <c r="N2" s="370"/>
      <c r="O2" s="370"/>
      <c r="P2" s="370"/>
      <c r="Q2" s="370"/>
      <c r="R2" s="370"/>
      <c r="S2" s="370"/>
      <c r="T2" s="370"/>
      <c r="U2" s="370"/>
      <c r="V2" s="280"/>
    </row>
    <row r="7" spans="1:25" x14ac:dyDescent="0.3">
      <c r="B7" s="102"/>
      <c r="C7" s="86"/>
      <c r="D7" s="86"/>
      <c r="E7" s="86"/>
      <c r="F7" s="86"/>
      <c r="G7" s="86"/>
      <c r="H7" s="371"/>
      <c r="I7" s="371"/>
      <c r="J7" s="371"/>
      <c r="K7" s="371"/>
      <c r="L7" s="371"/>
      <c r="M7" s="371"/>
      <c r="N7" s="371"/>
      <c r="O7" s="371"/>
      <c r="P7" s="371"/>
      <c r="Q7" s="371"/>
      <c r="R7" s="371"/>
      <c r="S7" s="371"/>
      <c r="T7" s="371"/>
      <c r="U7" s="371"/>
      <c r="V7" s="206" t="s">
        <v>1</v>
      </c>
    </row>
    <row r="8" spans="1:25" ht="16.350000000000001" customHeight="1" x14ac:dyDescent="0.3">
      <c r="B8" s="745" t="s">
        <v>2</v>
      </c>
      <c r="C8" s="729"/>
      <c r="D8" s="729"/>
      <c r="E8" s="729"/>
      <c r="F8" s="741" t="s">
        <v>238</v>
      </c>
      <c r="G8" s="742"/>
      <c r="H8" s="750" t="s">
        <v>239</v>
      </c>
      <c r="I8" s="709"/>
      <c r="J8" s="709"/>
      <c r="K8" s="709"/>
      <c r="L8" s="709"/>
      <c r="M8" s="709"/>
      <c r="N8" s="709"/>
      <c r="O8" s="709"/>
      <c r="P8" s="709"/>
      <c r="Q8" s="709"/>
      <c r="R8" s="709"/>
      <c r="S8" s="709"/>
      <c r="T8" s="639"/>
      <c r="U8" s="640"/>
      <c r="V8" s="745" t="s">
        <v>240</v>
      </c>
      <c r="X8" s="274">
        <v>12</v>
      </c>
    </row>
    <row r="9" spans="1:25" ht="16.350000000000001" customHeight="1" x14ac:dyDescent="0.3">
      <c r="B9" s="748"/>
      <c r="C9" s="746"/>
      <c r="D9" s="746"/>
      <c r="E9" s="746"/>
      <c r="F9" s="743"/>
      <c r="G9" s="703"/>
      <c r="H9" s="751" t="s">
        <v>241</v>
      </c>
      <c r="I9" s="709"/>
      <c r="J9" s="709"/>
      <c r="K9" s="709"/>
      <c r="L9" s="709"/>
      <c r="M9" s="709"/>
      <c r="N9" s="709"/>
      <c r="O9" s="709"/>
      <c r="P9" s="709"/>
      <c r="Q9" s="709"/>
      <c r="R9" s="709"/>
      <c r="S9" s="710"/>
      <c r="T9" s="641"/>
      <c r="U9" s="642"/>
      <c r="V9" s="746"/>
    </row>
    <row r="10" spans="1:25" x14ac:dyDescent="0.3">
      <c r="B10" s="705"/>
      <c r="C10" s="705"/>
      <c r="D10" s="705"/>
      <c r="E10" s="705"/>
      <c r="F10" s="643" t="s">
        <v>126</v>
      </c>
      <c r="G10" s="644" t="s">
        <v>242</v>
      </c>
      <c r="H10" s="645" t="s">
        <v>243</v>
      </c>
      <c r="I10" s="646" t="s">
        <v>244</v>
      </c>
      <c r="J10" s="647" t="s">
        <v>245</v>
      </c>
      <c r="K10" s="646" t="s">
        <v>246</v>
      </c>
      <c r="L10" s="648" t="s">
        <v>247</v>
      </c>
      <c r="M10" s="638" t="s">
        <v>248</v>
      </c>
      <c r="N10" s="646" t="s">
        <v>249</v>
      </c>
      <c r="O10" s="648" t="s">
        <v>250</v>
      </c>
      <c r="P10" s="638" t="s">
        <v>251</v>
      </c>
      <c r="Q10" s="646" t="s">
        <v>252</v>
      </c>
      <c r="R10" s="646" t="s">
        <v>253</v>
      </c>
      <c r="S10" s="649" t="s">
        <v>254</v>
      </c>
      <c r="T10" s="650" t="s">
        <v>126</v>
      </c>
      <c r="U10" s="651" t="s">
        <v>242</v>
      </c>
      <c r="V10" s="705"/>
    </row>
    <row r="11" spans="1:25" s="281" customFormat="1" ht="16.5" x14ac:dyDescent="0.3">
      <c r="B11" s="749" t="s">
        <v>7</v>
      </c>
      <c r="C11" s="705"/>
      <c r="D11" s="705"/>
      <c r="E11" s="705"/>
      <c r="F11" s="455">
        <v>6331.6219659999997</v>
      </c>
      <c r="G11" s="466"/>
      <c r="H11" s="379">
        <v>4099.9981340000004</v>
      </c>
      <c r="I11" s="416">
        <f t="shared" ref="I11:S11" si="0">H40</f>
        <v>4038.6535610000005</v>
      </c>
      <c r="J11" s="380">
        <f t="shared" si="0"/>
        <v>3995.3713430000007</v>
      </c>
      <c r="K11" s="416">
        <f t="shared" si="0"/>
        <v>3959.2228690000006</v>
      </c>
      <c r="L11" s="517">
        <f t="shared" si="0"/>
        <v>3934.9534520000002</v>
      </c>
      <c r="M11" s="433">
        <f t="shared" si="0"/>
        <v>3903.8527350000004</v>
      </c>
      <c r="N11" s="542">
        <f t="shared" si="0"/>
        <v>3866.2086440000003</v>
      </c>
      <c r="O11" s="517">
        <f t="shared" si="0"/>
        <v>3813.1416670000003</v>
      </c>
      <c r="P11" s="433">
        <f t="shared" si="0"/>
        <v>3775.7700440000003</v>
      </c>
      <c r="Q11" s="542">
        <f t="shared" si="0"/>
        <v>3737.8337080000001</v>
      </c>
      <c r="R11" s="542">
        <f t="shared" si="0"/>
        <v>3694.882251</v>
      </c>
      <c r="S11" s="602">
        <f t="shared" si="0"/>
        <v>3652.9075509999998</v>
      </c>
      <c r="T11" s="433">
        <f>H11</f>
        <v>4099.9981340000004</v>
      </c>
      <c r="U11" s="435"/>
      <c r="V11" s="282"/>
      <c r="Y11" s="283"/>
    </row>
    <row r="12" spans="1:25" ht="16.5" x14ac:dyDescent="0.3">
      <c r="B12" s="747" t="s">
        <v>8</v>
      </c>
      <c r="C12" s="729"/>
      <c r="D12" s="729"/>
      <c r="E12" s="729"/>
      <c r="F12" s="456">
        <v>792.85789</v>
      </c>
      <c r="G12" s="438">
        <f t="shared" ref="G12:G36" si="1">F12/12</f>
        <v>66.071490833333328</v>
      </c>
      <c r="H12" s="381">
        <f t="shared" ref="H12:S12" si="2">SUM(H13:H14)</f>
        <v>0.98334200000000005</v>
      </c>
      <c r="I12" s="417">
        <f t="shared" si="2"/>
        <v>1.1247480000000001</v>
      </c>
      <c r="J12" s="382">
        <f t="shared" si="2"/>
        <v>5.5227130000000004</v>
      </c>
      <c r="K12" s="417">
        <f t="shared" si="2"/>
        <v>22.720412999999429</v>
      </c>
      <c r="L12" s="518">
        <f t="shared" si="2"/>
        <v>6.7492390000000002</v>
      </c>
      <c r="M12" s="436">
        <f t="shared" si="2"/>
        <v>9.5922200000000011</v>
      </c>
      <c r="N12" s="543">
        <f t="shared" si="2"/>
        <v>0.39360899999999999</v>
      </c>
      <c r="O12" s="518">
        <f t="shared" si="2"/>
        <v>2.6522800000000002</v>
      </c>
      <c r="P12" s="436">
        <f t="shared" si="2"/>
        <v>3.9503879999999998</v>
      </c>
      <c r="Q12" s="543">
        <f t="shared" si="2"/>
        <v>2.582751</v>
      </c>
      <c r="R12" s="543">
        <f t="shared" si="2"/>
        <v>1.4468589999999999</v>
      </c>
      <c r="S12" s="603">
        <f t="shared" si="2"/>
        <v>0.55698899999999996</v>
      </c>
      <c r="T12" s="436">
        <f>SUM(T13,T14)</f>
        <v>58.275550999999425</v>
      </c>
      <c r="U12" s="438">
        <f t="shared" ref="U12:U36" si="3">T12/$X$8</f>
        <v>4.8562959166666184</v>
      </c>
      <c r="V12" s="284"/>
    </row>
    <row r="13" spans="1:25" ht="17.100000000000001" customHeight="1" x14ac:dyDescent="0.3">
      <c r="B13" s="285"/>
      <c r="C13" s="738" t="s">
        <v>255</v>
      </c>
      <c r="D13" s="739"/>
      <c r="E13" s="739"/>
      <c r="F13" s="457">
        <v>100.150471</v>
      </c>
      <c r="G13" s="441">
        <f t="shared" si="1"/>
        <v>8.3458725833333336</v>
      </c>
      <c r="H13" s="383">
        <v>0.98334200000000005</v>
      </c>
      <c r="I13" s="473">
        <v>1.1247480000000001</v>
      </c>
      <c r="J13" s="474">
        <v>5.5227130000000004</v>
      </c>
      <c r="K13" s="474">
        <v>22.720412999999429</v>
      </c>
      <c r="L13" s="473">
        <v>6.7492390000000002</v>
      </c>
      <c r="M13" s="537">
        <v>9.5922200000000011</v>
      </c>
      <c r="N13" s="544">
        <v>0.39360899999999999</v>
      </c>
      <c r="O13" s="475">
        <v>2.6522800000000002</v>
      </c>
      <c r="P13" s="537">
        <v>3.9503879999999998</v>
      </c>
      <c r="Q13" s="544">
        <v>2.582751</v>
      </c>
      <c r="R13" s="547">
        <v>1.4468589999999999</v>
      </c>
      <c r="S13" s="476">
        <v>0.55698899999999996</v>
      </c>
      <c r="T13" s="439">
        <f>SUM(H13:S13)</f>
        <v>58.275550999999425</v>
      </c>
      <c r="U13" s="441">
        <f t="shared" si="3"/>
        <v>4.8562959166666184</v>
      </c>
      <c r="V13" s="288" t="s">
        <v>256</v>
      </c>
    </row>
    <row r="14" spans="1:25" ht="17.45" customHeight="1" x14ac:dyDescent="0.3">
      <c r="B14" s="285"/>
      <c r="C14" s="744" t="s">
        <v>257</v>
      </c>
      <c r="D14" s="739"/>
      <c r="E14" s="739"/>
      <c r="F14" s="458">
        <v>692.70741899999996</v>
      </c>
      <c r="G14" s="447">
        <f t="shared" si="1"/>
        <v>57.725618249999997</v>
      </c>
      <c r="H14" s="390">
        <v>0</v>
      </c>
      <c r="I14" s="419">
        <v>0</v>
      </c>
      <c r="J14" s="392">
        <v>0</v>
      </c>
      <c r="K14" s="419">
        <v>0</v>
      </c>
      <c r="L14" s="519">
        <v>0</v>
      </c>
      <c r="M14" s="445">
        <v>0</v>
      </c>
      <c r="N14" s="545">
        <v>0</v>
      </c>
      <c r="O14" s="519">
        <v>0</v>
      </c>
      <c r="P14" s="445">
        <v>0</v>
      </c>
      <c r="Q14" s="545">
        <v>0</v>
      </c>
      <c r="R14" s="545">
        <v>0</v>
      </c>
      <c r="S14" s="604">
        <v>0</v>
      </c>
      <c r="T14" s="445">
        <f>SUM(H14:S14)</f>
        <v>0</v>
      </c>
      <c r="U14" s="447">
        <f t="shared" si="3"/>
        <v>0</v>
      </c>
      <c r="V14" s="286" t="s">
        <v>258</v>
      </c>
    </row>
    <row r="15" spans="1:25" ht="16.5" x14ac:dyDescent="0.3">
      <c r="B15" s="747" t="s">
        <v>11</v>
      </c>
      <c r="C15" s="729"/>
      <c r="D15" s="729"/>
      <c r="E15" s="729"/>
      <c r="F15" s="460">
        <v>3024.481722</v>
      </c>
      <c r="G15" s="450">
        <f t="shared" si="1"/>
        <v>252.0401435</v>
      </c>
      <c r="H15" s="400">
        <v>62.327914999999997</v>
      </c>
      <c r="I15" s="421">
        <v>44.406966000000011</v>
      </c>
      <c r="J15" s="402">
        <v>41.671187000000003</v>
      </c>
      <c r="K15" s="421">
        <v>46.989829999999998</v>
      </c>
      <c r="L15" s="520">
        <v>37.849955999999999</v>
      </c>
      <c r="M15" s="448">
        <v>47.236311000000242</v>
      </c>
      <c r="N15" s="546">
        <f t="shared" ref="N15:S15" si="4">N16+N29</f>
        <v>53.460585999999999</v>
      </c>
      <c r="O15" s="520">
        <f t="shared" si="4"/>
        <v>40.023903000000004</v>
      </c>
      <c r="P15" s="448">
        <f t="shared" si="4"/>
        <v>41.886724000000001</v>
      </c>
      <c r="Q15" s="546">
        <f t="shared" si="4"/>
        <v>45.534208</v>
      </c>
      <c r="R15" s="546">
        <f t="shared" si="4"/>
        <v>43.421558999999995</v>
      </c>
      <c r="S15" s="605">
        <f t="shared" si="4"/>
        <v>46.617187999999999</v>
      </c>
      <c r="T15" s="448">
        <f>SUM(T16,T29)</f>
        <v>551.42633300000023</v>
      </c>
      <c r="U15" s="450">
        <f t="shared" si="3"/>
        <v>45.952194416666686</v>
      </c>
      <c r="V15" s="290"/>
    </row>
    <row r="16" spans="1:25" ht="17.45" customHeight="1" x14ac:dyDescent="0.3">
      <c r="B16" s="285"/>
      <c r="C16" s="738" t="s">
        <v>255</v>
      </c>
      <c r="D16" s="739"/>
      <c r="E16" s="739"/>
      <c r="F16" s="457">
        <v>3024.481722</v>
      </c>
      <c r="G16" s="441">
        <f t="shared" si="1"/>
        <v>252.0401435</v>
      </c>
      <c r="H16" s="405">
        <f>H15-H29</f>
        <v>62.327914999999997</v>
      </c>
      <c r="I16" s="422">
        <f>I15-I29</f>
        <v>44.406966000000011</v>
      </c>
      <c r="J16" s="384">
        <f>J15-J29</f>
        <v>41.671187000000003</v>
      </c>
      <c r="K16" s="422">
        <f>K15-K29</f>
        <v>46.989829999999998</v>
      </c>
      <c r="L16" s="475">
        <f>L15-L29</f>
        <v>37.849955999999999</v>
      </c>
      <c r="M16" s="439">
        <f t="shared" ref="M16:S16" si="5">SUM(M17:M19)</f>
        <v>47.236311000000242</v>
      </c>
      <c r="N16" s="547">
        <f t="shared" si="5"/>
        <v>53.460585999999999</v>
      </c>
      <c r="O16" s="475">
        <f t="shared" si="5"/>
        <v>40.023903000000004</v>
      </c>
      <c r="P16" s="439">
        <f t="shared" si="5"/>
        <v>41.886724000000001</v>
      </c>
      <c r="Q16" s="547">
        <f t="shared" si="5"/>
        <v>45.534208</v>
      </c>
      <c r="R16" s="547">
        <f t="shared" si="5"/>
        <v>43.421558999999995</v>
      </c>
      <c r="S16" s="606">
        <f t="shared" si="5"/>
        <v>46.617187999999999</v>
      </c>
      <c r="T16" s="439">
        <f t="shared" ref="T16:T33" si="6">SUM(H16:S16)</f>
        <v>551.42633300000023</v>
      </c>
      <c r="U16" s="441">
        <f t="shared" si="3"/>
        <v>45.952194416666686</v>
      </c>
      <c r="V16" s="286"/>
    </row>
    <row r="17" spans="2:22" x14ac:dyDescent="0.3">
      <c r="B17" s="285"/>
      <c r="C17" s="287"/>
      <c r="D17" s="291" t="s">
        <v>70</v>
      </c>
      <c r="E17" s="292"/>
      <c r="F17" s="458">
        <v>2133.8571809999999</v>
      </c>
      <c r="G17" s="447">
        <f t="shared" si="1"/>
        <v>177.82143174999999</v>
      </c>
      <c r="H17" s="390">
        <v>24.857289999999999</v>
      </c>
      <c r="I17" s="419">
        <v>34.289990000000003</v>
      </c>
      <c r="J17" s="392">
        <v>28.590949999999999</v>
      </c>
      <c r="K17" s="419">
        <v>29.251740000000002</v>
      </c>
      <c r="L17" s="519">
        <v>28.118259999999999</v>
      </c>
      <c r="M17" s="445">
        <v>28.118259999999999</v>
      </c>
      <c r="N17" s="545">
        <v>28.093240000000002</v>
      </c>
      <c r="O17" s="519">
        <v>28.124279999999999</v>
      </c>
      <c r="P17" s="445">
        <v>28.133780000000002</v>
      </c>
      <c r="Q17" s="545">
        <v>28.13578</v>
      </c>
      <c r="R17" s="545">
        <v>28.427019999999999</v>
      </c>
      <c r="S17" s="604">
        <v>30.852930000000001</v>
      </c>
      <c r="T17" s="445">
        <f t="shared" si="6"/>
        <v>344.99351999999999</v>
      </c>
      <c r="U17" s="447">
        <f t="shared" si="3"/>
        <v>28.749459999999999</v>
      </c>
      <c r="V17" s="286"/>
    </row>
    <row r="18" spans="2:22" x14ac:dyDescent="0.3">
      <c r="B18" s="285"/>
      <c r="C18" s="287"/>
      <c r="D18" s="287" t="s">
        <v>259</v>
      </c>
      <c r="E18" s="274"/>
      <c r="F18" s="456">
        <v>160.54316600000001</v>
      </c>
      <c r="G18" s="444">
        <f t="shared" si="1"/>
        <v>13.378597166666667</v>
      </c>
      <c r="H18" s="385">
        <v>0</v>
      </c>
      <c r="I18" s="418">
        <v>1.1417999999999999</v>
      </c>
      <c r="J18" s="387">
        <v>0</v>
      </c>
      <c r="K18" s="418">
        <v>0</v>
      </c>
      <c r="L18" s="521">
        <v>0</v>
      </c>
      <c r="M18" s="442">
        <v>0</v>
      </c>
      <c r="N18" s="548">
        <v>0</v>
      </c>
      <c r="O18" s="521">
        <v>0</v>
      </c>
      <c r="P18" s="442">
        <v>0</v>
      </c>
      <c r="Q18" s="548">
        <v>0</v>
      </c>
      <c r="R18" s="548">
        <v>0</v>
      </c>
      <c r="S18" s="607">
        <v>0</v>
      </c>
      <c r="T18" s="442">
        <f t="shared" si="6"/>
        <v>1.1417999999999999</v>
      </c>
      <c r="U18" s="444">
        <f t="shared" si="3"/>
        <v>9.5149999999999998E-2</v>
      </c>
      <c r="V18" s="288"/>
    </row>
    <row r="19" spans="2:22" x14ac:dyDescent="0.3">
      <c r="B19" s="285"/>
      <c r="C19" s="287"/>
      <c r="D19" s="287" t="s">
        <v>67</v>
      </c>
      <c r="E19" s="285"/>
      <c r="F19" s="461">
        <v>730.08137499999998</v>
      </c>
      <c r="G19" s="453">
        <f t="shared" si="1"/>
        <v>60.840114583333332</v>
      </c>
      <c r="H19" s="406">
        <f>H16-SUM(H17:H18)</f>
        <v>37.470624999999998</v>
      </c>
      <c r="I19" s="423">
        <f>I16-SUM(I17:I18)</f>
        <v>8.9751760000000047</v>
      </c>
      <c r="J19" s="407">
        <f>J16-SUM(J17:J18)</f>
        <v>13.080237000000004</v>
      </c>
      <c r="K19" s="423">
        <f>K16-SUM(K17:K18)</f>
        <v>17.738089999999996</v>
      </c>
      <c r="L19" s="522">
        <f>L16-SUM(L17:L18)</f>
        <v>9.7316959999999995</v>
      </c>
      <c r="M19" s="451">
        <f t="shared" ref="M19:S19" si="7">SUM(M20:M28)</f>
        <v>19.118051000000239</v>
      </c>
      <c r="N19" s="549">
        <f t="shared" si="7"/>
        <v>25.367345999999998</v>
      </c>
      <c r="O19" s="522">
        <f t="shared" si="7"/>
        <v>11.899623000000002</v>
      </c>
      <c r="P19" s="451">
        <f t="shared" si="7"/>
        <v>13.752943999999999</v>
      </c>
      <c r="Q19" s="549">
        <f t="shared" si="7"/>
        <v>17.398427999999999</v>
      </c>
      <c r="R19" s="549">
        <f t="shared" si="7"/>
        <v>14.994538999999998</v>
      </c>
      <c r="S19" s="608">
        <f t="shared" si="7"/>
        <v>15.764258</v>
      </c>
      <c r="T19" s="451">
        <f t="shared" si="6"/>
        <v>205.29101300000022</v>
      </c>
      <c r="U19" s="453">
        <f t="shared" si="3"/>
        <v>17.107584416666686</v>
      </c>
      <c r="V19" s="294"/>
    </row>
    <row r="20" spans="2:22" x14ac:dyDescent="0.3">
      <c r="B20" s="285"/>
      <c r="C20" s="287"/>
      <c r="D20" s="333"/>
      <c r="E20" s="291" t="s">
        <v>79</v>
      </c>
      <c r="F20" s="456">
        <v>138.07748000000001</v>
      </c>
      <c r="G20" s="394">
        <f t="shared" si="1"/>
        <v>11.506456666666667</v>
      </c>
      <c r="H20" s="368">
        <v>9.9800599999999999</v>
      </c>
      <c r="I20" s="424">
        <v>0</v>
      </c>
      <c r="J20" s="369">
        <v>0</v>
      </c>
      <c r="K20" s="424">
        <v>0</v>
      </c>
      <c r="L20" s="523">
        <v>1.5739000000000001</v>
      </c>
      <c r="M20" s="538">
        <v>5.0915699999999999</v>
      </c>
      <c r="N20" s="424">
        <v>4.9392199999999997</v>
      </c>
      <c r="O20" s="523">
        <v>5.1892199999999997</v>
      </c>
      <c r="P20" s="538">
        <v>4.9392199999999997</v>
      </c>
      <c r="Q20" s="424">
        <v>4.9392199999999997</v>
      </c>
      <c r="R20" s="424">
        <v>4.9392199999999997</v>
      </c>
      <c r="S20" s="336">
        <v>4.9392199999999997</v>
      </c>
      <c r="T20" s="469">
        <f t="shared" si="6"/>
        <v>46.530849999999994</v>
      </c>
      <c r="U20" s="394">
        <f t="shared" si="3"/>
        <v>3.877570833333333</v>
      </c>
      <c r="V20" s="286" t="s">
        <v>260</v>
      </c>
    </row>
    <row r="21" spans="2:22" x14ac:dyDescent="0.3">
      <c r="B21" s="285"/>
      <c r="C21" s="287"/>
      <c r="D21" s="333"/>
      <c r="E21" s="335" t="s">
        <v>89</v>
      </c>
      <c r="F21" s="462">
        <v>166.54512500000001</v>
      </c>
      <c r="G21" s="389">
        <f t="shared" si="1"/>
        <v>13.878760416666667</v>
      </c>
      <c r="H21" s="368">
        <v>13.106854999999999</v>
      </c>
      <c r="I21" s="424">
        <v>5.4124480000000004</v>
      </c>
      <c r="J21" s="369">
        <v>5.8184290000000001</v>
      </c>
      <c r="K21" s="424">
        <v>3.2356410000000002</v>
      </c>
      <c r="L21" s="523">
        <v>3.6179000000000001</v>
      </c>
      <c r="M21" s="538">
        <v>4.7735609999999999</v>
      </c>
      <c r="N21" s="424">
        <v>1.519217</v>
      </c>
      <c r="O21" s="523">
        <v>1.2652350000000001</v>
      </c>
      <c r="P21" s="538">
        <v>1.472461</v>
      </c>
      <c r="Q21" s="424">
        <v>1.4461660000000001</v>
      </c>
      <c r="R21" s="424">
        <v>1.5026200000000001</v>
      </c>
      <c r="S21" s="336">
        <v>4.0066790000000001</v>
      </c>
      <c r="T21" s="470">
        <f t="shared" si="6"/>
        <v>47.177211999999997</v>
      </c>
      <c r="U21" s="389">
        <f t="shared" si="3"/>
        <v>3.9314343333333333</v>
      </c>
      <c r="V21" s="288"/>
    </row>
    <row r="22" spans="2:22" x14ac:dyDescent="0.3">
      <c r="B22" s="285"/>
      <c r="C22" s="287"/>
      <c r="D22" s="333"/>
      <c r="E22" s="335" t="s">
        <v>92</v>
      </c>
      <c r="F22" s="462">
        <v>104.176384</v>
      </c>
      <c r="G22" s="389">
        <f t="shared" si="1"/>
        <v>8.6813653333333338</v>
      </c>
      <c r="H22" s="368">
        <v>3.5292340000000002</v>
      </c>
      <c r="I22" s="424">
        <v>5.8244999999999998E-2</v>
      </c>
      <c r="J22" s="369">
        <v>5.6718999999999999E-2</v>
      </c>
      <c r="K22" s="424">
        <v>3.5357150000000002</v>
      </c>
      <c r="L22" s="523">
        <v>6.2676999999999997E-2</v>
      </c>
      <c r="M22" s="538">
        <v>6.1947000000000002E-2</v>
      </c>
      <c r="N22" s="424">
        <v>3.485957</v>
      </c>
      <c r="O22" s="523">
        <v>5.8311000000000002E-2</v>
      </c>
      <c r="P22" s="538">
        <v>5.7776000000000001E-2</v>
      </c>
      <c r="Q22" s="424">
        <v>3.5012249999999998</v>
      </c>
      <c r="R22" s="424">
        <v>5.9861999999999999E-2</v>
      </c>
      <c r="S22" s="336">
        <v>6.0568999999999998E-2</v>
      </c>
      <c r="T22" s="470">
        <f t="shared" si="6"/>
        <v>14.528237000000001</v>
      </c>
      <c r="U22" s="389">
        <f t="shared" si="3"/>
        <v>1.2106864166666667</v>
      </c>
      <c r="V22" s="288" t="s">
        <v>261</v>
      </c>
    </row>
    <row r="23" spans="2:22" x14ac:dyDescent="0.3">
      <c r="B23" s="285"/>
      <c r="C23" s="287"/>
      <c r="D23" s="333"/>
      <c r="E23" s="335" t="s">
        <v>94</v>
      </c>
      <c r="F23" s="462">
        <v>51.951745000000003</v>
      </c>
      <c r="G23" s="389">
        <f t="shared" si="1"/>
        <v>4.3293120833333338</v>
      </c>
      <c r="H23" s="368">
        <v>0.92619600000000002</v>
      </c>
      <c r="I23" s="424">
        <v>0.18376300000000001</v>
      </c>
      <c r="J23" s="369">
        <v>1.0995410000000001</v>
      </c>
      <c r="K23" s="424">
        <v>1.635446</v>
      </c>
      <c r="L23" s="523">
        <v>0.28932200000000002</v>
      </c>
      <c r="M23" s="538">
        <v>0.17832200000000001</v>
      </c>
      <c r="N23" s="424">
        <v>2.5242</v>
      </c>
      <c r="O23" s="523">
        <v>0.171571</v>
      </c>
      <c r="P23" s="538">
        <v>0.173516</v>
      </c>
      <c r="Q23" s="424">
        <v>0.66048899999999999</v>
      </c>
      <c r="R23" s="424">
        <v>1.061733</v>
      </c>
      <c r="S23" s="336">
        <v>0.66478300000000001</v>
      </c>
      <c r="T23" s="470">
        <f t="shared" si="6"/>
        <v>9.5688820000000003</v>
      </c>
      <c r="U23" s="389">
        <f t="shared" si="3"/>
        <v>0.7974068333333334</v>
      </c>
      <c r="V23" s="288" t="s">
        <v>262</v>
      </c>
    </row>
    <row r="24" spans="2:22" x14ac:dyDescent="0.3">
      <c r="B24" s="285"/>
      <c r="C24" s="287"/>
      <c r="D24" s="333"/>
      <c r="E24" s="335" t="s">
        <v>263</v>
      </c>
      <c r="F24" s="462">
        <v>32.314100000000003</v>
      </c>
      <c r="G24" s="389">
        <f t="shared" si="1"/>
        <v>2.6928416666666668</v>
      </c>
      <c r="H24" s="368">
        <v>0.35709999999999997</v>
      </c>
      <c r="I24" s="424">
        <v>0.25369999999999998</v>
      </c>
      <c r="J24" s="369">
        <v>0.3952</v>
      </c>
      <c r="K24" s="424">
        <v>0.40100000000000002</v>
      </c>
      <c r="L24" s="523">
        <v>0.39000059999999998</v>
      </c>
      <c r="M24" s="538">
        <v>0.32</v>
      </c>
      <c r="N24" s="424">
        <v>0.32550000000000001</v>
      </c>
      <c r="O24" s="523">
        <v>0.42899999999999999</v>
      </c>
      <c r="P24" s="538">
        <v>0.27189999999999998</v>
      </c>
      <c r="Q24" s="424">
        <v>0.34300000000000003</v>
      </c>
      <c r="R24" s="424">
        <v>0.3</v>
      </c>
      <c r="S24" s="336">
        <v>0.29049999999999998</v>
      </c>
      <c r="T24" s="470">
        <f t="shared" si="6"/>
        <v>4.0769005999999992</v>
      </c>
      <c r="U24" s="389">
        <f t="shared" si="3"/>
        <v>0.33974171666666658</v>
      </c>
      <c r="V24" s="288"/>
    </row>
    <row r="25" spans="2:22" x14ac:dyDescent="0.3">
      <c r="B25" s="285"/>
      <c r="C25" s="287"/>
      <c r="D25" s="333"/>
      <c r="E25" s="287" t="s">
        <v>264</v>
      </c>
      <c r="F25" s="456">
        <v>10.5994034</v>
      </c>
      <c r="G25" s="389">
        <f t="shared" si="1"/>
        <v>0.88328361666666666</v>
      </c>
      <c r="H25" s="368">
        <v>5.8230919999999999</v>
      </c>
      <c r="I25" s="424">
        <v>1.9278580000000001</v>
      </c>
      <c r="J25" s="369">
        <v>3.0739800000000002</v>
      </c>
      <c r="K25" s="424">
        <v>2.4484699999999999</v>
      </c>
      <c r="L25" s="523">
        <v>2.9398610000000001</v>
      </c>
      <c r="M25" s="538">
        <v>5.130312</v>
      </c>
      <c r="N25" s="424">
        <v>4.7461880000000001</v>
      </c>
      <c r="O25" s="523">
        <v>3.2738320000000001</v>
      </c>
      <c r="P25" s="538">
        <v>5.5557829999999999</v>
      </c>
      <c r="Q25" s="424">
        <v>5.34612</v>
      </c>
      <c r="R25" s="424">
        <v>6.0721559999999997</v>
      </c>
      <c r="S25" s="336">
        <v>4.7370390000000002</v>
      </c>
      <c r="T25" s="470">
        <f t="shared" si="6"/>
        <v>51.074691000000001</v>
      </c>
      <c r="U25" s="389">
        <f t="shared" si="3"/>
        <v>4.2562242499999998</v>
      </c>
      <c r="V25" s="288"/>
    </row>
    <row r="26" spans="2:22" x14ac:dyDescent="0.3">
      <c r="B26" s="285"/>
      <c r="C26" s="287"/>
      <c r="D26" s="333"/>
      <c r="E26" s="287" t="s">
        <v>99</v>
      </c>
      <c r="F26" s="456">
        <v>95.569239999999994</v>
      </c>
      <c r="G26" s="389">
        <f t="shared" si="1"/>
        <v>7.9641033333333331</v>
      </c>
      <c r="H26" s="368">
        <v>0.91924799999999995</v>
      </c>
      <c r="I26" s="424">
        <v>0.91924799999999995</v>
      </c>
      <c r="J26" s="369">
        <v>0.91924799999999995</v>
      </c>
      <c r="K26" s="424">
        <v>0.91924799999999995</v>
      </c>
      <c r="L26" s="523">
        <v>0.91924799999999995</v>
      </c>
      <c r="M26" s="538">
        <v>0.91924799999999995</v>
      </c>
      <c r="N26" s="424">
        <v>0.91924799999999995</v>
      </c>
      <c r="O26" s="523">
        <v>0.91924799999999995</v>
      </c>
      <c r="P26" s="538">
        <v>0.91924799999999995</v>
      </c>
      <c r="Q26" s="424">
        <v>0.91924799999999995</v>
      </c>
      <c r="R26" s="424">
        <v>0.91924799999999995</v>
      </c>
      <c r="S26" s="336">
        <v>0.91924799999999995</v>
      </c>
      <c r="T26" s="470">
        <f t="shared" si="6"/>
        <v>11.030975999999997</v>
      </c>
      <c r="U26" s="389">
        <f t="shared" si="3"/>
        <v>0.91924799999999973</v>
      </c>
      <c r="V26" s="288"/>
    </row>
    <row r="27" spans="2:22" x14ac:dyDescent="0.3">
      <c r="B27" s="285"/>
      <c r="C27" s="287"/>
      <c r="D27" s="333"/>
      <c r="E27" s="287" t="s">
        <v>101</v>
      </c>
      <c r="F27" s="456">
        <v>15.357348999999999</v>
      </c>
      <c r="G27" s="389">
        <f t="shared" si="1"/>
        <v>1.2797790833333333</v>
      </c>
      <c r="H27" s="368">
        <v>1E-3</v>
      </c>
      <c r="I27" s="424">
        <v>0</v>
      </c>
      <c r="J27" s="369">
        <v>1.5609599999999999</v>
      </c>
      <c r="K27" s="424">
        <v>4.9542599999999997</v>
      </c>
      <c r="L27" s="523">
        <v>0</v>
      </c>
      <c r="M27" s="538">
        <v>0</v>
      </c>
      <c r="N27" s="424">
        <v>6.6952559999999997</v>
      </c>
      <c r="O27" s="523">
        <v>0.45350600000000002</v>
      </c>
      <c r="P27" s="538">
        <v>0</v>
      </c>
      <c r="Q27" s="424">
        <v>1E-3</v>
      </c>
      <c r="R27" s="424">
        <v>0</v>
      </c>
      <c r="S27" s="336">
        <v>0</v>
      </c>
      <c r="T27" s="470">
        <f t="shared" si="6"/>
        <v>13.665982</v>
      </c>
      <c r="U27" s="389">
        <f t="shared" si="3"/>
        <v>1.1388318333333334</v>
      </c>
      <c r="V27" s="288" t="s">
        <v>265</v>
      </c>
    </row>
    <row r="28" spans="2:22" x14ac:dyDescent="0.3">
      <c r="B28" s="285"/>
      <c r="C28" s="287"/>
      <c r="D28" s="334"/>
      <c r="E28" s="293" t="s">
        <v>102</v>
      </c>
      <c r="F28" s="456">
        <v>70.298817999999997</v>
      </c>
      <c r="G28" s="468">
        <f t="shared" si="1"/>
        <v>5.8582348333333334</v>
      </c>
      <c r="H28" s="368">
        <v>2.8278400000000001</v>
      </c>
      <c r="I28" s="424">
        <v>0.21991400000000019</v>
      </c>
      <c r="J28" s="369">
        <v>0.1561600000000016</v>
      </c>
      <c r="K28" s="424">
        <v>0.23691000000000001</v>
      </c>
      <c r="L28" s="523">
        <v>0.50764699999999952</v>
      </c>
      <c r="M28" s="538">
        <v>2.6430910000002399</v>
      </c>
      <c r="N28" s="424">
        <v>0.21256000000000161</v>
      </c>
      <c r="O28" s="523">
        <v>0.13970000000000041</v>
      </c>
      <c r="P28" s="538">
        <v>0.3630400000000007</v>
      </c>
      <c r="Q28" s="424">
        <v>0.2419599999999997</v>
      </c>
      <c r="R28" s="424">
        <v>0.13969999999999949</v>
      </c>
      <c r="S28" s="336">
        <v>0.14622000000000049</v>
      </c>
      <c r="T28" s="471">
        <f t="shared" si="6"/>
        <v>7.8347420000002437</v>
      </c>
      <c r="U28" s="468">
        <f t="shared" si="3"/>
        <v>0.65289516666668701</v>
      </c>
      <c r="V28" s="363"/>
    </row>
    <row r="29" spans="2:22" ht="17.45" customHeight="1" x14ac:dyDescent="0.3">
      <c r="B29" s="285"/>
      <c r="C29" s="744" t="s">
        <v>257</v>
      </c>
      <c r="D29" s="739"/>
      <c r="E29" s="739"/>
      <c r="F29" s="458">
        <v>0</v>
      </c>
      <c r="G29" s="394">
        <f t="shared" si="1"/>
        <v>0</v>
      </c>
      <c r="H29" s="390">
        <f t="shared" ref="H29:S29" si="8">SUM(H30:H33)</f>
        <v>0</v>
      </c>
      <c r="I29" s="419">
        <f t="shared" si="8"/>
        <v>0</v>
      </c>
      <c r="J29" s="392">
        <f t="shared" si="8"/>
        <v>0</v>
      </c>
      <c r="K29" s="419">
        <f t="shared" si="8"/>
        <v>0</v>
      </c>
      <c r="L29" s="524">
        <f t="shared" si="8"/>
        <v>0</v>
      </c>
      <c r="M29" s="391">
        <f t="shared" si="8"/>
        <v>0</v>
      </c>
      <c r="N29" s="419">
        <f t="shared" si="8"/>
        <v>0</v>
      </c>
      <c r="O29" s="524">
        <f t="shared" si="8"/>
        <v>0</v>
      </c>
      <c r="P29" s="391">
        <f t="shared" si="8"/>
        <v>0</v>
      </c>
      <c r="Q29" s="419">
        <f t="shared" si="8"/>
        <v>0</v>
      </c>
      <c r="R29" s="419">
        <f t="shared" si="8"/>
        <v>0</v>
      </c>
      <c r="S29" s="609">
        <f t="shared" si="8"/>
        <v>0</v>
      </c>
      <c r="T29" s="391">
        <f t="shared" si="6"/>
        <v>0</v>
      </c>
      <c r="U29" s="394">
        <f t="shared" si="3"/>
        <v>0</v>
      </c>
      <c r="V29" s="286"/>
    </row>
    <row r="30" spans="2:22" ht="17.45" customHeight="1" x14ac:dyDescent="0.3">
      <c r="B30" s="285"/>
      <c r="C30" s="287"/>
      <c r="D30" s="291" t="s">
        <v>266</v>
      </c>
      <c r="E30" s="303"/>
      <c r="F30" s="463">
        <v>0</v>
      </c>
      <c r="G30" s="394">
        <f t="shared" si="1"/>
        <v>0</v>
      </c>
      <c r="H30" s="390"/>
      <c r="I30" s="419"/>
      <c r="J30" s="392"/>
      <c r="K30" s="419"/>
      <c r="L30" s="524"/>
      <c r="M30" s="391"/>
      <c r="N30" s="419"/>
      <c r="O30" s="524"/>
      <c r="P30" s="391"/>
      <c r="Q30" s="419"/>
      <c r="R30" s="419"/>
      <c r="S30" s="609"/>
      <c r="T30" s="391">
        <f t="shared" si="6"/>
        <v>0</v>
      </c>
      <c r="U30" s="394">
        <f t="shared" si="3"/>
        <v>0</v>
      </c>
      <c r="V30" s="286"/>
    </row>
    <row r="31" spans="2:22" ht="17.45" customHeight="1" x14ac:dyDescent="0.3">
      <c r="B31" s="285"/>
      <c r="C31" s="287"/>
      <c r="D31" s="287" t="s">
        <v>267</v>
      </c>
      <c r="E31" s="304"/>
      <c r="F31" s="464">
        <v>0</v>
      </c>
      <c r="G31" s="389">
        <f t="shared" si="1"/>
        <v>0</v>
      </c>
      <c r="H31" s="385"/>
      <c r="I31" s="418"/>
      <c r="J31" s="387"/>
      <c r="K31" s="418"/>
      <c r="L31" s="525"/>
      <c r="M31" s="386"/>
      <c r="N31" s="418"/>
      <c r="O31" s="525"/>
      <c r="P31" s="386"/>
      <c r="Q31" s="418"/>
      <c r="R31" s="418"/>
      <c r="S31" s="610"/>
      <c r="T31" s="386">
        <f t="shared" si="6"/>
        <v>0</v>
      </c>
      <c r="U31" s="389">
        <f t="shared" si="3"/>
        <v>0</v>
      </c>
      <c r="V31" s="288"/>
    </row>
    <row r="32" spans="2:22" ht="17.45" customHeight="1" x14ac:dyDescent="0.3">
      <c r="B32" s="285"/>
      <c r="C32" s="287"/>
      <c r="D32" s="287" t="s">
        <v>268</v>
      </c>
      <c r="E32" s="304"/>
      <c r="F32" s="464">
        <v>0</v>
      </c>
      <c r="G32" s="389">
        <f t="shared" si="1"/>
        <v>0</v>
      </c>
      <c r="H32" s="385"/>
      <c r="I32" s="418"/>
      <c r="J32" s="387"/>
      <c r="K32" s="418"/>
      <c r="L32" s="525"/>
      <c r="M32" s="386"/>
      <c r="N32" s="418"/>
      <c r="O32" s="525"/>
      <c r="P32" s="386"/>
      <c r="Q32" s="418"/>
      <c r="R32" s="418"/>
      <c r="S32" s="610"/>
      <c r="T32" s="386">
        <f t="shared" si="6"/>
        <v>0</v>
      </c>
      <c r="U32" s="389">
        <f t="shared" si="3"/>
        <v>0</v>
      </c>
      <c r="V32" s="288"/>
    </row>
    <row r="33" spans="2:25" ht="17.45" customHeight="1" x14ac:dyDescent="0.3">
      <c r="B33" s="285"/>
      <c r="C33" s="287"/>
      <c r="D33" s="287" t="s">
        <v>67</v>
      </c>
      <c r="E33" s="285"/>
      <c r="F33" s="456">
        <v>0</v>
      </c>
      <c r="G33" s="389">
        <f t="shared" si="1"/>
        <v>0</v>
      </c>
      <c r="H33" s="385"/>
      <c r="I33" s="418"/>
      <c r="J33" s="387"/>
      <c r="K33" s="418"/>
      <c r="L33" s="525"/>
      <c r="M33" s="386"/>
      <c r="N33" s="418"/>
      <c r="O33" s="525"/>
      <c r="P33" s="386"/>
      <c r="Q33" s="418"/>
      <c r="R33" s="418"/>
      <c r="S33" s="610"/>
      <c r="T33" s="386">
        <f t="shared" si="6"/>
        <v>0</v>
      </c>
      <c r="U33" s="389">
        <f t="shared" si="3"/>
        <v>0</v>
      </c>
      <c r="V33" s="288"/>
    </row>
    <row r="34" spans="2:25" ht="16.5" x14ac:dyDescent="0.3">
      <c r="B34" s="747" t="s">
        <v>14</v>
      </c>
      <c r="C34" s="729"/>
      <c r="D34" s="729"/>
      <c r="E34" s="729"/>
      <c r="F34" s="489">
        <f>F12-F15</f>
        <v>-2231.6238320000002</v>
      </c>
      <c r="G34" s="477">
        <f t="shared" si="1"/>
        <v>-185.96865266666669</v>
      </c>
      <c r="H34" s="478">
        <f t="shared" ref="H34:T34" si="9">H12-H15</f>
        <v>-61.344572999999997</v>
      </c>
      <c r="I34" s="479">
        <f t="shared" si="9"/>
        <v>-43.282218000000015</v>
      </c>
      <c r="J34" s="480">
        <f t="shared" si="9"/>
        <v>-36.148474</v>
      </c>
      <c r="K34" s="479">
        <f t="shared" si="9"/>
        <v>-24.269417000000569</v>
      </c>
      <c r="L34" s="526">
        <f t="shared" si="9"/>
        <v>-31.100717</v>
      </c>
      <c r="M34" s="481">
        <f t="shared" si="9"/>
        <v>-37.644091000000245</v>
      </c>
      <c r="N34" s="479">
        <f t="shared" si="9"/>
        <v>-53.066977000000001</v>
      </c>
      <c r="O34" s="526">
        <f t="shared" si="9"/>
        <v>-37.371623000000007</v>
      </c>
      <c r="P34" s="481">
        <f t="shared" si="9"/>
        <v>-37.936336000000004</v>
      </c>
      <c r="Q34" s="479">
        <f t="shared" si="9"/>
        <v>-42.951456999999998</v>
      </c>
      <c r="R34" s="479">
        <f t="shared" si="9"/>
        <v>-41.974699999999999</v>
      </c>
      <c r="S34" s="611">
        <f t="shared" si="9"/>
        <v>-46.060198999999997</v>
      </c>
      <c r="T34" s="481">
        <f t="shared" si="9"/>
        <v>-493.15078200000079</v>
      </c>
      <c r="U34" s="477">
        <f t="shared" si="3"/>
        <v>-41.095898500000068</v>
      </c>
      <c r="V34" s="295"/>
    </row>
    <row r="35" spans="2:25" x14ac:dyDescent="0.3">
      <c r="B35" s="296"/>
      <c r="C35" s="297" t="s">
        <v>269</v>
      </c>
      <c r="D35" s="297"/>
      <c r="E35" s="297"/>
      <c r="F35" s="490">
        <f>F13-F16</f>
        <v>-2924.3312510000001</v>
      </c>
      <c r="G35" s="483">
        <f t="shared" si="1"/>
        <v>-243.69427091666668</v>
      </c>
      <c r="H35" s="484">
        <f t="shared" ref="H35:T35" si="10">H13-H16</f>
        <v>-61.344572999999997</v>
      </c>
      <c r="I35" s="485">
        <f t="shared" si="10"/>
        <v>-43.282218000000015</v>
      </c>
      <c r="J35" s="486">
        <f t="shared" si="10"/>
        <v>-36.148474</v>
      </c>
      <c r="K35" s="485">
        <f t="shared" si="10"/>
        <v>-24.269417000000569</v>
      </c>
      <c r="L35" s="527">
        <f t="shared" si="10"/>
        <v>-31.100717</v>
      </c>
      <c r="M35" s="487">
        <f t="shared" si="10"/>
        <v>-37.644091000000245</v>
      </c>
      <c r="N35" s="485">
        <f t="shared" si="10"/>
        <v>-53.066977000000001</v>
      </c>
      <c r="O35" s="527">
        <f t="shared" si="10"/>
        <v>-37.371623000000007</v>
      </c>
      <c r="P35" s="487">
        <f t="shared" si="10"/>
        <v>-37.936336000000004</v>
      </c>
      <c r="Q35" s="485">
        <f t="shared" si="10"/>
        <v>-42.951456999999998</v>
      </c>
      <c r="R35" s="485">
        <f t="shared" si="10"/>
        <v>-41.974699999999999</v>
      </c>
      <c r="S35" s="612">
        <f t="shared" si="10"/>
        <v>-46.060198999999997</v>
      </c>
      <c r="T35" s="487">
        <f t="shared" si="10"/>
        <v>-493.15078200000079</v>
      </c>
      <c r="U35" s="483">
        <f t="shared" si="3"/>
        <v>-41.095898500000068</v>
      </c>
      <c r="V35" s="298"/>
    </row>
    <row r="36" spans="2:25" ht="15.6" customHeight="1" x14ac:dyDescent="0.3">
      <c r="B36" s="747" t="s">
        <v>270</v>
      </c>
      <c r="C36" s="729"/>
      <c r="D36" s="729"/>
      <c r="E36" s="729"/>
      <c r="F36" s="460">
        <v>0</v>
      </c>
      <c r="G36" s="404">
        <f t="shared" si="1"/>
        <v>0</v>
      </c>
      <c r="H36" s="400"/>
      <c r="I36" s="421"/>
      <c r="J36" s="402"/>
      <c r="K36" s="421"/>
      <c r="L36" s="528"/>
      <c r="M36" s="401"/>
      <c r="N36" s="421"/>
      <c r="O36" s="528"/>
      <c r="P36" s="401"/>
      <c r="Q36" s="421"/>
      <c r="R36" s="421"/>
      <c r="S36" s="613"/>
      <c r="T36" s="408">
        <f>SUM(H36:S36)</f>
        <v>0</v>
      </c>
      <c r="U36" s="404">
        <f t="shared" si="3"/>
        <v>0</v>
      </c>
      <c r="V36" s="299"/>
    </row>
    <row r="37" spans="2:25" hidden="1" x14ac:dyDescent="0.3">
      <c r="B37" s="285"/>
      <c r="C37" s="285"/>
      <c r="D37" s="285"/>
      <c r="E37" s="285"/>
      <c r="F37" s="456"/>
      <c r="G37" s="389"/>
      <c r="H37" s="385"/>
      <c r="I37" s="418"/>
      <c r="J37" s="387"/>
      <c r="K37" s="418"/>
      <c r="L37" s="525"/>
      <c r="M37" s="386"/>
      <c r="N37" s="418"/>
      <c r="O37" s="525"/>
      <c r="P37" s="386"/>
      <c r="Q37" s="418"/>
      <c r="R37" s="418"/>
      <c r="S37" s="610"/>
      <c r="T37" s="386"/>
      <c r="U37" s="389"/>
      <c r="V37" s="300"/>
    </row>
    <row r="38" spans="2:25" hidden="1" x14ac:dyDescent="0.3">
      <c r="B38" s="285"/>
      <c r="C38" s="285"/>
      <c r="D38" s="285"/>
      <c r="E38" s="285"/>
      <c r="F38" s="456"/>
      <c r="G38" s="389"/>
      <c r="H38" s="385"/>
      <c r="I38" s="418"/>
      <c r="J38" s="387"/>
      <c r="K38" s="418"/>
      <c r="L38" s="525"/>
      <c r="M38" s="386"/>
      <c r="N38" s="418"/>
      <c r="O38" s="525"/>
      <c r="P38" s="386"/>
      <c r="Q38" s="418"/>
      <c r="R38" s="418"/>
      <c r="S38" s="610"/>
      <c r="T38" s="386"/>
      <c r="U38" s="389"/>
      <c r="V38" s="300"/>
    </row>
    <row r="39" spans="2:25" hidden="1" x14ac:dyDescent="0.3">
      <c r="B39" s="289"/>
      <c r="C39" s="289"/>
      <c r="D39" s="289"/>
      <c r="E39" s="289"/>
      <c r="F39" s="459"/>
      <c r="G39" s="399"/>
      <c r="H39" s="395"/>
      <c r="I39" s="420"/>
      <c r="J39" s="397"/>
      <c r="K39" s="420"/>
      <c r="L39" s="529"/>
      <c r="M39" s="396"/>
      <c r="N39" s="420"/>
      <c r="O39" s="529"/>
      <c r="P39" s="396"/>
      <c r="Q39" s="420"/>
      <c r="R39" s="420"/>
      <c r="S39" s="614"/>
      <c r="T39" s="396"/>
      <c r="U39" s="399"/>
      <c r="V39" s="301"/>
    </row>
    <row r="40" spans="2:25" s="281" customFormat="1" ht="16.5" x14ac:dyDescent="0.3">
      <c r="B40" s="740" t="s">
        <v>271</v>
      </c>
      <c r="C40" s="709"/>
      <c r="D40" s="709"/>
      <c r="E40" s="709"/>
      <c r="F40" s="465">
        <f>F11+F34+F36</f>
        <v>4099.9981339999995</v>
      </c>
      <c r="G40" s="467"/>
      <c r="H40" s="409">
        <f t="shared" ref="H40:T40" si="11">H11+H34+H36</f>
        <v>4038.6535610000005</v>
      </c>
      <c r="I40" s="425">
        <f t="shared" si="11"/>
        <v>3995.3713430000007</v>
      </c>
      <c r="J40" s="411">
        <f t="shared" si="11"/>
        <v>3959.2228690000006</v>
      </c>
      <c r="K40" s="425">
        <f t="shared" si="11"/>
        <v>3934.9534520000002</v>
      </c>
      <c r="L40" s="530">
        <f t="shared" si="11"/>
        <v>3903.8527350000004</v>
      </c>
      <c r="M40" s="410">
        <f t="shared" si="11"/>
        <v>3866.2086440000003</v>
      </c>
      <c r="N40" s="425">
        <f t="shared" si="11"/>
        <v>3813.1416670000003</v>
      </c>
      <c r="O40" s="530">
        <f t="shared" si="11"/>
        <v>3775.7700440000003</v>
      </c>
      <c r="P40" s="410">
        <f t="shared" si="11"/>
        <v>3737.8337080000001</v>
      </c>
      <c r="Q40" s="425">
        <f t="shared" si="11"/>
        <v>3694.882251</v>
      </c>
      <c r="R40" s="425">
        <f t="shared" si="11"/>
        <v>3652.9075509999998</v>
      </c>
      <c r="S40" s="615">
        <f t="shared" si="11"/>
        <v>3606.8473519999998</v>
      </c>
      <c r="T40" s="410">
        <f t="shared" si="11"/>
        <v>3606.8473519999998</v>
      </c>
      <c r="U40" s="413"/>
      <c r="V40" s="302"/>
      <c r="Y40" s="283"/>
    </row>
    <row r="41" spans="2:25" x14ac:dyDescent="0.3">
      <c r="T41" s="633"/>
      <c r="U41" s="633"/>
    </row>
    <row r="42" spans="2:25" x14ac:dyDescent="0.3">
      <c r="T42" s="633"/>
      <c r="U42" s="633"/>
    </row>
    <row r="43" spans="2:25" x14ac:dyDescent="0.3">
      <c r="E43" s="362"/>
      <c r="F43" s="362"/>
      <c r="G43" s="362"/>
      <c r="T43" s="633"/>
      <c r="U43" s="633"/>
    </row>
    <row r="44" spans="2:25" x14ac:dyDescent="0.3">
      <c r="E44" s="362"/>
      <c r="F44" s="362"/>
      <c r="G44" s="362"/>
      <c r="T44" s="633"/>
      <c r="U44" s="633"/>
    </row>
    <row r="45" spans="2:25" x14ac:dyDescent="0.3">
      <c r="E45" s="362"/>
      <c r="F45" s="362"/>
      <c r="G45" s="362"/>
    </row>
  </sheetData>
  <mergeCells count="15">
    <mergeCell ref="V8:V10"/>
    <mergeCell ref="B12:E12"/>
    <mergeCell ref="B15:E15"/>
    <mergeCell ref="B8:E10"/>
    <mergeCell ref="B11:E11"/>
    <mergeCell ref="H8:S8"/>
    <mergeCell ref="H9:S9"/>
    <mergeCell ref="C16:E16"/>
    <mergeCell ref="B40:E40"/>
    <mergeCell ref="F8:G9"/>
    <mergeCell ref="C14:E14"/>
    <mergeCell ref="C13:E13"/>
    <mergeCell ref="C29:E29"/>
    <mergeCell ref="B36:E36"/>
    <mergeCell ref="B34:E34"/>
  </mergeCells>
  <phoneticPr fontId="2" type="noConversion"/>
  <conditionalFormatting sqref="C1:V6">
    <cfRule type="cellIs" dxfId="11" priority="5" operator="equal">
      <formula>0</formula>
    </cfRule>
  </conditionalFormatting>
  <conditionalFormatting sqref="C41:V1048576">
    <cfRule type="cellIs" dxfId="10" priority="6" operator="equal">
      <formula>0</formula>
    </cfRule>
  </conditionalFormatting>
  <conditionalFormatting sqref="G12 G14:U15 G17:U34 G36:G39">
    <cfRule type="cellIs" dxfId="9" priority="1" operator="equal">
      <formula>0</formula>
    </cfRule>
    <cfRule type="cellIs" dxfId="8" priority="2" operator="equal">
      <formula>0</formula>
    </cfRule>
  </conditionalFormatting>
  <conditionalFormatting sqref="H11:U12 H36:U40">
    <cfRule type="cellIs" dxfId="7" priority="3" operator="equal">
      <formula>0</formula>
    </cfRule>
    <cfRule type="cellIs" dxfId="6" priority="4" operator="equal">
      <formula>0</formula>
    </cfRule>
  </conditionalFormatting>
  <printOptions horizontalCentered="1"/>
  <pageMargins left="0.15748031496062989" right="0.31496062992125978" top="0.43307086614173229" bottom="0.23622047244094491" header="0.15748031496062989" footer="0.15748031496062989"/>
  <pageSetup paperSize="9" scale="60" orientation="landscape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>
    <tabColor rgb="FF92D050"/>
    <pageSetUpPr fitToPage="1"/>
  </sheetPr>
  <dimension ref="A1:Y46"/>
  <sheetViews>
    <sheetView showGridLines="0" zoomScale="115" zoomScaleNormal="115" workbookViewId="0">
      <selection activeCell="R30" sqref="R30"/>
    </sheetView>
  </sheetViews>
  <sheetFormatPr defaultColWidth="8.875" defaultRowHeight="13.5" x14ac:dyDescent="0.3"/>
  <cols>
    <col min="1" max="1" width="1.875" style="274" customWidth="1"/>
    <col min="2" max="2" width="2.375" style="274" customWidth="1"/>
    <col min="3" max="3" width="2.125" style="275" customWidth="1"/>
    <col min="4" max="4" width="2.375" style="275" customWidth="1"/>
    <col min="5" max="5" width="24.625" style="275" bestFit="1" customWidth="1"/>
    <col min="6" max="7" width="8.125" style="275" customWidth="1"/>
    <col min="8" max="10" width="7.125" style="366" bestFit="1" customWidth="1"/>
    <col min="11" max="11" width="7.125" style="366" customWidth="1"/>
    <col min="12" max="12" width="7.125" style="366" bestFit="1" customWidth="1"/>
    <col min="13" max="13" width="7.375" style="366" customWidth="1"/>
    <col min="14" max="21" width="7.125" style="366" bestFit="1" customWidth="1"/>
    <col min="22" max="22" width="50.875" style="275" customWidth="1"/>
    <col min="23" max="23" width="7.875" style="274" customWidth="1"/>
    <col min="24" max="24" width="8.875" style="274" customWidth="1"/>
    <col min="25" max="25" width="9.375" style="277" bestFit="1" customWidth="1"/>
    <col min="26" max="26" width="8.875" style="274" customWidth="1"/>
    <col min="27" max="16384" width="8.875" style="274"/>
  </cols>
  <sheetData>
    <row r="1" spans="1:25" ht="19.7" customHeight="1" x14ac:dyDescent="0.25">
      <c r="A1" s="273" t="s">
        <v>272</v>
      </c>
      <c r="V1" s="276"/>
    </row>
    <row r="2" spans="1:25" ht="2.1" customHeight="1" x14ac:dyDescent="0.3">
      <c r="A2" s="278"/>
      <c r="B2" s="279"/>
      <c r="C2" s="280"/>
      <c r="D2" s="280"/>
      <c r="E2" s="280"/>
      <c r="F2" s="280"/>
      <c r="G2" s="280"/>
      <c r="H2" s="370"/>
      <c r="I2" s="370"/>
      <c r="J2" s="370"/>
      <c r="K2" s="370"/>
      <c r="L2" s="370"/>
      <c r="M2" s="370"/>
      <c r="N2" s="370"/>
      <c r="O2" s="370"/>
      <c r="P2" s="370"/>
      <c r="Q2" s="370"/>
      <c r="R2" s="370"/>
      <c r="S2" s="370"/>
      <c r="T2" s="370"/>
      <c r="U2" s="370"/>
      <c r="V2" s="280"/>
    </row>
    <row r="7" spans="1:25" x14ac:dyDescent="0.3">
      <c r="B7" s="102"/>
      <c r="C7" s="86"/>
      <c r="D7" s="86"/>
      <c r="E7" s="86"/>
      <c r="F7" s="86"/>
      <c r="G7" s="86"/>
      <c r="H7" s="371"/>
      <c r="I7" s="371"/>
      <c r="J7" s="371"/>
      <c r="K7" s="371"/>
      <c r="L7" s="371"/>
      <c r="M7" s="371"/>
      <c r="N7" s="371"/>
      <c r="O7" s="371"/>
      <c r="P7" s="371"/>
      <c r="Q7" s="371"/>
      <c r="R7" s="371"/>
      <c r="S7" s="371"/>
      <c r="T7" s="371"/>
      <c r="U7" s="371"/>
      <c r="V7" s="206" t="s">
        <v>1</v>
      </c>
    </row>
    <row r="8" spans="1:25" ht="16.350000000000001" customHeight="1" x14ac:dyDescent="0.3">
      <c r="B8" s="745" t="s">
        <v>2</v>
      </c>
      <c r="C8" s="729"/>
      <c r="D8" s="729"/>
      <c r="E8" s="729"/>
      <c r="F8" s="741" t="s">
        <v>239</v>
      </c>
      <c r="G8" s="742"/>
      <c r="H8" s="750" t="s">
        <v>273</v>
      </c>
      <c r="I8" s="709"/>
      <c r="J8" s="709"/>
      <c r="K8" s="709"/>
      <c r="L8" s="709"/>
      <c r="M8" s="709"/>
      <c r="N8" s="709"/>
      <c r="O8" s="709"/>
      <c r="P8" s="709"/>
      <c r="Q8" s="709"/>
      <c r="R8" s="709"/>
      <c r="S8" s="709"/>
      <c r="T8" s="535"/>
      <c r="U8" s="536"/>
      <c r="V8" s="753" t="s">
        <v>240</v>
      </c>
      <c r="X8" s="274">
        <v>12</v>
      </c>
    </row>
    <row r="9" spans="1:25" ht="16.350000000000001" customHeight="1" x14ac:dyDescent="0.3">
      <c r="B9" s="748"/>
      <c r="C9" s="746"/>
      <c r="D9" s="746"/>
      <c r="E9" s="746"/>
      <c r="F9" s="743"/>
      <c r="G9" s="703"/>
      <c r="H9" s="754" t="s">
        <v>241</v>
      </c>
      <c r="I9" s="709"/>
      <c r="J9" s="709"/>
      <c r="K9" s="709"/>
      <c r="L9" s="709"/>
      <c r="M9" s="755"/>
      <c r="N9" s="752" t="s">
        <v>274</v>
      </c>
      <c r="O9" s="709"/>
      <c r="P9" s="709"/>
      <c r="Q9" s="709"/>
      <c r="R9" s="709"/>
      <c r="S9" s="710"/>
      <c r="T9" s="374"/>
      <c r="U9" s="375"/>
      <c r="V9" s="746"/>
    </row>
    <row r="10" spans="1:25" x14ac:dyDescent="0.3">
      <c r="B10" s="705"/>
      <c r="C10" s="705"/>
      <c r="D10" s="705"/>
      <c r="E10" s="705"/>
      <c r="F10" s="495" t="s">
        <v>126</v>
      </c>
      <c r="G10" s="378" t="s">
        <v>242</v>
      </c>
      <c r="H10" s="376" t="s">
        <v>243</v>
      </c>
      <c r="I10" s="415" t="s">
        <v>244</v>
      </c>
      <c r="J10" s="415" t="s">
        <v>245</v>
      </c>
      <c r="K10" s="415" t="s">
        <v>246</v>
      </c>
      <c r="L10" s="516" t="s">
        <v>247</v>
      </c>
      <c r="M10" s="660" t="s">
        <v>248</v>
      </c>
      <c r="N10" s="372" t="s">
        <v>249</v>
      </c>
      <c r="O10" s="516" t="s">
        <v>121</v>
      </c>
      <c r="P10" s="372" t="s">
        <v>122</v>
      </c>
      <c r="Q10" s="415" t="s">
        <v>123</v>
      </c>
      <c r="R10" s="617" t="s">
        <v>124</v>
      </c>
      <c r="S10" s="373" t="s">
        <v>125</v>
      </c>
      <c r="T10" s="377" t="s">
        <v>126</v>
      </c>
      <c r="U10" s="496" t="s">
        <v>242</v>
      </c>
      <c r="V10" s="705"/>
    </row>
    <row r="11" spans="1:25" s="281" customFormat="1" ht="16.5" x14ac:dyDescent="0.3">
      <c r="B11" s="749" t="s">
        <v>7</v>
      </c>
      <c r="C11" s="705"/>
      <c r="D11" s="705"/>
      <c r="E11" s="705"/>
      <c r="F11" s="455">
        <v>4099.9981340000004</v>
      </c>
      <c r="G11" s="466"/>
      <c r="H11" s="379">
        <f>F41</f>
        <v>3607.0897920000002</v>
      </c>
      <c r="I11" s="416">
        <f t="shared" ref="I11:S11" si="0">H41</f>
        <v>3561.0751520000003</v>
      </c>
      <c r="J11" s="416">
        <f t="shared" si="0"/>
        <v>3497.4780820000005</v>
      </c>
      <c r="K11" s="416">
        <f t="shared" si="0"/>
        <v>2471.3552810000006</v>
      </c>
      <c r="L11" s="517">
        <f t="shared" si="0"/>
        <v>2470.2990430000004</v>
      </c>
      <c r="M11" s="661">
        <f t="shared" si="0"/>
        <v>2488.7483270000002</v>
      </c>
      <c r="N11" s="433">
        <f t="shared" si="0"/>
        <v>2462.4868820000002</v>
      </c>
      <c r="O11" s="517">
        <f t="shared" si="0"/>
        <v>2421.2513128000001</v>
      </c>
      <c r="P11" s="433">
        <f t="shared" si="0"/>
        <v>2389.6521736</v>
      </c>
      <c r="Q11" s="542">
        <f t="shared" si="0"/>
        <v>2353.8009745999998</v>
      </c>
      <c r="R11" s="618">
        <f t="shared" si="0"/>
        <v>2315.1063265999996</v>
      </c>
      <c r="S11" s="434">
        <f t="shared" si="0"/>
        <v>2279.8524035999994</v>
      </c>
      <c r="T11" s="433">
        <f>H11</f>
        <v>3607.0897920000002</v>
      </c>
      <c r="U11" s="435"/>
      <c r="V11" s="282"/>
      <c r="Y11" s="283"/>
    </row>
    <row r="12" spans="1:25" ht="16.5" x14ac:dyDescent="0.3">
      <c r="B12" s="747" t="s">
        <v>8</v>
      </c>
      <c r="C12" s="729"/>
      <c r="D12" s="729"/>
      <c r="E12" s="729"/>
      <c r="F12" s="456">
        <f>'2025년 자금실적'!T12</f>
        <v>58.275550999999425</v>
      </c>
      <c r="G12" s="438">
        <f>'2025년 자금실적'!U12</f>
        <v>4.8562959166666184</v>
      </c>
      <c r="H12" s="381">
        <f t="shared" ref="H12:S12" si="1">SUM(H13:H14)</f>
        <v>16.726368999999998</v>
      </c>
      <c r="I12" s="417">
        <f t="shared" si="1"/>
        <v>1.412739</v>
      </c>
      <c r="J12" s="417">
        <f t="shared" si="1"/>
        <v>0.63271200000000005</v>
      </c>
      <c r="K12" s="417">
        <f t="shared" si="1"/>
        <v>30.488058000000002</v>
      </c>
      <c r="L12" s="518">
        <f t="shared" si="1"/>
        <v>52.683681999999997</v>
      </c>
      <c r="M12" s="662">
        <f t="shared" si="1"/>
        <v>6.535533</v>
      </c>
      <c r="N12" s="436">
        <f t="shared" si="1"/>
        <v>0.134348</v>
      </c>
      <c r="O12" s="518">
        <f t="shared" si="1"/>
        <v>0</v>
      </c>
      <c r="P12" s="436">
        <f t="shared" si="1"/>
        <v>0.38500000000000001</v>
      </c>
      <c r="Q12" s="543">
        <f t="shared" si="1"/>
        <v>0.38500000000000001</v>
      </c>
      <c r="R12" s="619">
        <f t="shared" si="1"/>
        <v>0.38500000000000001</v>
      </c>
      <c r="S12" s="437">
        <f t="shared" si="1"/>
        <v>0.38500000000000001</v>
      </c>
      <c r="T12" s="436">
        <f>SUM(T13,T14)</f>
        <v>110.15344099999999</v>
      </c>
      <c r="U12" s="438">
        <f t="shared" ref="U12:U37" si="2">T12/$X$8</f>
        <v>9.1794534166666661</v>
      </c>
      <c r="V12" s="284"/>
    </row>
    <row r="13" spans="1:25" ht="17.100000000000001" customHeight="1" x14ac:dyDescent="0.3">
      <c r="B13" s="285"/>
      <c r="C13" s="738" t="s">
        <v>255</v>
      </c>
      <c r="D13" s="739"/>
      <c r="E13" s="739"/>
      <c r="F13" s="457">
        <f>'2025년 자금실적'!T13</f>
        <v>58.275550999999425</v>
      </c>
      <c r="G13" s="441">
        <f>'2025년 자금실적'!U13</f>
        <v>4.8562959166666184</v>
      </c>
      <c r="H13" s="383">
        <v>16.726368999999998</v>
      </c>
      <c r="I13" s="544">
        <v>1.412739</v>
      </c>
      <c r="J13" s="422">
        <v>0.63271200000000005</v>
      </c>
      <c r="K13" s="422">
        <v>15.121058</v>
      </c>
      <c r="L13" s="473">
        <v>1.4978899999999999</v>
      </c>
      <c r="M13" s="663">
        <v>6.535533</v>
      </c>
      <c r="N13" s="537">
        <v>0.134348</v>
      </c>
      <c r="O13" s="475">
        <v>0</v>
      </c>
      <c r="P13" s="537">
        <v>0.38500000000000001</v>
      </c>
      <c r="Q13" s="544">
        <v>0.38500000000000001</v>
      </c>
      <c r="R13" s="475">
        <v>0.38500000000000001</v>
      </c>
      <c r="S13" s="476">
        <v>0.38500000000000001</v>
      </c>
      <c r="T13" s="439">
        <f>SUM(H13:S13)</f>
        <v>43.60064899999999</v>
      </c>
      <c r="U13" s="441">
        <f t="shared" si="2"/>
        <v>3.633387416666666</v>
      </c>
      <c r="V13" s="288" t="s">
        <v>256</v>
      </c>
    </row>
    <row r="14" spans="1:25" ht="17.45" customHeight="1" x14ac:dyDescent="0.3">
      <c r="B14" s="285"/>
      <c r="C14" s="744" t="s">
        <v>257</v>
      </c>
      <c r="D14" s="739"/>
      <c r="E14" s="739"/>
      <c r="F14" s="458">
        <f>'2025년 자금실적'!T14</f>
        <v>0</v>
      </c>
      <c r="G14" s="447">
        <f>'2025년 자금실적'!U14</f>
        <v>0</v>
      </c>
      <c r="H14" s="390">
        <v>0</v>
      </c>
      <c r="I14" s="419">
        <v>0</v>
      </c>
      <c r="J14" s="419">
        <v>0</v>
      </c>
      <c r="K14" s="659">
        <v>15.367000000000001</v>
      </c>
      <c r="L14" s="677">
        <v>51.185791999999999</v>
      </c>
      <c r="M14" s="664">
        <v>0</v>
      </c>
      <c r="N14" s="445">
        <v>0</v>
      </c>
      <c r="O14" s="519">
        <v>0</v>
      </c>
      <c r="P14" s="445">
        <v>0</v>
      </c>
      <c r="Q14" s="545">
        <v>0</v>
      </c>
      <c r="R14" s="620">
        <v>0</v>
      </c>
      <c r="S14" s="446">
        <v>0</v>
      </c>
      <c r="T14" s="445">
        <f>SUM(H14:S14)</f>
        <v>66.552791999999997</v>
      </c>
      <c r="U14" s="447">
        <f t="shared" si="2"/>
        <v>5.5460659999999997</v>
      </c>
      <c r="V14" s="286" t="s">
        <v>275</v>
      </c>
    </row>
    <row r="15" spans="1:25" ht="16.5" x14ac:dyDescent="0.3">
      <c r="B15" s="747" t="s">
        <v>11</v>
      </c>
      <c r="C15" s="729"/>
      <c r="D15" s="729"/>
      <c r="E15" s="729"/>
      <c r="F15" s="460">
        <f>'2025년 자금실적'!T15</f>
        <v>551.42633300000023</v>
      </c>
      <c r="G15" s="450">
        <f>'2025년 자금실적'!U15</f>
        <v>45.952194416666686</v>
      </c>
      <c r="H15" s="400">
        <f t="shared" ref="H15:S15" si="3">H16+H29</f>
        <v>62.741008999999998</v>
      </c>
      <c r="I15" s="421">
        <f t="shared" si="3"/>
        <v>65.00980899999999</v>
      </c>
      <c r="J15" s="421">
        <f t="shared" si="3"/>
        <v>1026.7555130000001</v>
      </c>
      <c r="K15" s="421">
        <f t="shared" si="3"/>
        <v>31.544296000000003</v>
      </c>
      <c r="L15" s="520">
        <f t="shared" si="3"/>
        <v>34.234397999999999</v>
      </c>
      <c r="M15" s="665">
        <f t="shared" si="3"/>
        <v>32.796977999999996</v>
      </c>
      <c r="N15" s="448">
        <f t="shared" si="3"/>
        <v>41.369917199999996</v>
      </c>
      <c r="O15" s="520">
        <f t="shared" si="3"/>
        <v>31.5991392</v>
      </c>
      <c r="P15" s="448">
        <f t="shared" si="3"/>
        <v>36.236198999999999</v>
      </c>
      <c r="Q15" s="546">
        <f t="shared" si="3"/>
        <v>39.079647999999992</v>
      </c>
      <c r="R15" s="621">
        <f t="shared" si="3"/>
        <v>35.638922999999998</v>
      </c>
      <c r="S15" s="449">
        <f t="shared" si="3"/>
        <v>35.640369999999997</v>
      </c>
      <c r="T15" s="448">
        <f>SUM(T16,T29)</f>
        <v>1472.6461993999999</v>
      </c>
      <c r="U15" s="450">
        <f t="shared" si="2"/>
        <v>122.72051661666666</v>
      </c>
      <c r="V15" s="290"/>
    </row>
    <row r="16" spans="1:25" ht="17.45" customHeight="1" x14ac:dyDescent="0.3">
      <c r="B16" s="285"/>
      <c r="C16" s="738" t="s">
        <v>255</v>
      </c>
      <c r="D16" s="739"/>
      <c r="E16" s="739"/>
      <c r="F16" s="457">
        <f>'2025년 자금실적'!T16</f>
        <v>551.42633300000023</v>
      </c>
      <c r="G16" s="441">
        <f>'2025년 자금실적'!U16</f>
        <v>45.952194416666686</v>
      </c>
      <c r="H16" s="405">
        <f t="shared" ref="H16:S16" si="4">SUM(H17:H19)</f>
        <v>62.741008999999998</v>
      </c>
      <c r="I16" s="422">
        <f t="shared" si="4"/>
        <v>57.873358999999994</v>
      </c>
      <c r="J16" s="422">
        <f t="shared" si="4"/>
        <v>26.756513000000002</v>
      </c>
      <c r="K16" s="422">
        <f t="shared" si="4"/>
        <v>31.544296000000003</v>
      </c>
      <c r="L16" s="475">
        <f t="shared" si="4"/>
        <v>34.234397999999999</v>
      </c>
      <c r="M16" s="666">
        <f t="shared" si="4"/>
        <v>32.796977999999996</v>
      </c>
      <c r="N16" s="439">
        <f t="shared" si="4"/>
        <v>41.369917199999996</v>
      </c>
      <c r="O16" s="475">
        <f t="shared" si="4"/>
        <v>31.5991392</v>
      </c>
      <c r="P16" s="439">
        <f t="shared" si="4"/>
        <v>36.236198999999999</v>
      </c>
      <c r="Q16" s="547">
        <f t="shared" si="4"/>
        <v>39.079647999999992</v>
      </c>
      <c r="R16" s="622">
        <f t="shared" si="4"/>
        <v>35.638922999999998</v>
      </c>
      <c r="S16" s="440">
        <f t="shared" si="4"/>
        <v>35.640369999999997</v>
      </c>
      <c r="T16" s="439">
        <f t="shared" ref="T16:T34" si="5">SUM(H16:S16)</f>
        <v>465.51074939999995</v>
      </c>
      <c r="U16" s="441">
        <f t="shared" si="2"/>
        <v>38.792562449999998</v>
      </c>
      <c r="V16" s="286"/>
    </row>
    <row r="17" spans="2:22" x14ac:dyDescent="0.3">
      <c r="B17" s="285"/>
      <c r="C17" s="287"/>
      <c r="D17" s="291" t="s">
        <v>70</v>
      </c>
      <c r="E17" s="292"/>
      <c r="F17" s="458">
        <f>'2025년 자금실적'!T17</f>
        <v>344.99351999999999</v>
      </c>
      <c r="G17" s="447">
        <f>'2025년 자금실적'!U17</f>
        <v>28.749459999999999</v>
      </c>
      <c r="H17" s="390">
        <v>43.634929999999997</v>
      </c>
      <c r="I17" s="419">
        <v>38.992429999999999</v>
      </c>
      <c r="J17" s="419">
        <v>20.246437</v>
      </c>
      <c r="K17" s="419">
        <v>20.133707000000001</v>
      </c>
      <c r="L17" s="519">
        <v>18.989177000000002</v>
      </c>
      <c r="M17" s="664">
        <v>19.808036999999999</v>
      </c>
      <c r="N17" s="445">
        <v>19.669626999999998</v>
      </c>
      <c r="O17" s="519">
        <v>19.932970000000001</v>
      </c>
      <c r="P17" s="445">
        <v>21.348949999999999</v>
      </c>
      <c r="Q17" s="545">
        <v>21.348949999999999</v>
      </c>
      <c r="R17" s="620">
        <v>21.348949999999999</v>
      </c>
      <c r="S17" s="446">
        <v>21.348949999999999</v>
      </c>
      <c r="T17" s="445">
        <f t="shared" si="5"/>
        <v>286.80311499999999</v>
      </c>
      <c r="U17" s="447">
        <f t="shared" si="2"/>
        <v>23.900259583333334</v>
      </c>
      <c r="V17" s="286" t="s">
        <v>276</v>
      </c>
    </row>
    <row r="18" spans="2:22" x14ac:dyDescent="0.3">
      <c r="B18" s="285"/>
      <c r="C18" s="287"/>
      <c r="D18" s="287" t="s">
        <v>259</v>
      </c>
      <c r="E18" s="274"/>
      <c r="F18" s="456">
        <f>'2025년 자금실적'!T18</f>
        <v>1.1417999999999999</v>
      </c>
      <c r="G18" s="444">
        <f>'2025년 자금실적'!U18</f>
        <v>9.5149999999999998E-2</v>
      </c>
      <c r="H18" s="385">
        <v>0</v>
      </c>
      <c r="I18" s="418">
        <v>0</v>
      </c>
      <c r="J18" s="418">
        <v>0</v>
      </c>
      <c r="K18" s="418">
        <v>0</v>
      </c>
      <c r="L18" s="521">
        <v>0</v>
      </c>
      <c r="M18" s="667">
        <v>0</v>
      </c>
      <c r="N18" s="442">
        <v>0</v>
      </c>
      <c r="O18" s="521">
        <v>8.25E-4</v>
      </c>
      <c r="P18" s="442">
        <v>0</v>
      </c>
      <c r="Q18" s="548">
        <v>0</v>
      </c>
      <c r="R18" s="623">
        <v>0</v>
      </c>
      <c r="S18" s="443">
        <v>0</v>
      </c>
      <c r="T18" s="442">
        <f t="shared" si="5"/>
        <v>8.25E-4</v>
      </c>
      <c r="U18" s="444">
        <f t="shared" si="2"/>
        <v>6.8750000000000004E-5</v>
      </c>
      <c r="V18" s="654"/>
    </row>
    <row r="19" spans="2:22" x14ac:dyDescent="0.3">
      <c r="B19" s="285"/>
      <c r="C19" s="287"/>
      <c r="D19" s="287" t="s">
        <v>67</v>
      </c>
      <c r="E19" s="285"/>
      <c r="F19" s="461">
        <f>'2025년 자금실적'!T19</f>
        <v>205.29101300000022</v>
      </c>
      <c r="G19" s="453">
        <f>'2025년 자금실적'!U19</f>
        <v>17.107584416666686</v>
      </c>
      <c r="H19" s="406">
        <f t="shared" ref="H19:S19" si="6">SUM(H20:H28)</f>
        <v>19.106079000000001</v>
      </c>
      <c r="I19" s="423">
        <f t="shared" si="6"/>
        <v>18.880928999999998</v>
      </c>
      <c r="J19" s="423">
        <f t="shared" si="6"/>
        <v>6.5100760000000006</v>
      </c>
      <c r="K19" s="423">
        <f t="shared" si="6"/>
        <v>11.410589</v>
      </c>
      <c r="L19" s="522">
        <f t="shared" si="6"/>
        <v>15.245220999999999</v>
      </c>
      <c r="M19" s="668">
        <f t="shared" si="6"/>
        <v>12.988940999999999</v>
      </c>
      <c r="N19" s="451">
        <f t="shared" si="6"/>
        <v>21.700290199999998</v>
      </c>
      <c r="O19" s="522">
        <f t="shared" si="6"/>
        <v>11.6653442</v>
      </c>
      <c r="P19" s="451">
        <f t="shared" si="6"/>
        <v>14.887248999999999</v>
      </c>
      <c r="Q19" s="549">
        <f t="shared" si="6"/>
        <v>17.730697999999997</v>
      </c>
      <c r="R19" s="624">
        <f t="shared" si="6"/>
        <v>14.289973000000002</v>
      </c>
      <c r="S19" s="452">
        <f t="shared" si="6"/>
        <v>14.29142</v>
      </c>
      <c r="T19" s="451">
        <f t="shared" si="5"/>
        <v>178.70680939999997</v>
      </c>
      <c r="U19" s="453">
        <f t="shared" si="2"/>
        <v>14.892234116666664</v>
      </c>
      <c r="V19" s="294"/>
    </row>
    <row r="20" spans="2:22" x14ac:dyDescent="0.3">
      <c r="B20" s="285"/>
      <c r="C20" s="287"/>
      <c r="D20" s="333"/>
      <c r="E20" s="291" t="s">
        <v>79</v>
      </c>
      <c r="F20" s="456">
        <f>'2025년 자금실적'!T20</f>
        <v>46.530849999999994</v>
      </c>
      <c r="G20" s="394">
        <f>'2025년 자금실적'!U20</f>
        <v>3.877570833333333</v>
      </c>
      <c r="H20" s="368">
        <v>4.9392199999999997</v>
      </c>
      <c r="I20" s="424">
        <v>5.2613000000000003</v>
      </c>
      <c r="J20" s="424">
        <v>0</v>
      </c>
      <c r="K20" s="424">
        <v>0</v>
      </c>
      <c r="L20" s="523">
        <v>0</v>
      </c>
      <c r="M20" s="669">
        <v>1.7501599999999999</v>
      </c>
      <c r="N20" s="538">
        <v>7.5795899999999996</v>
      </c>
      <c r="O20" s="523">
        <v>4.25</v>
      </c>
      <c r="P20" s="538">
        <v>5</v>
      </c>
      <c r="Q20" s="424">
        <v>5</v>
      </c>
      <c r="R20" s="625">
        <v>5</v>
      </c>
      <c r="S20" s="472">
        <v>5</v>
      </c>
      <c r="T20" s="469">
        <f t="shared" si="5"/>
        <v>43.780270000000002</v>
      </c>
      <c r="U20" s="394">
        <f t="shared" si="2"/>
        <v>3.6483558333333335</v>
      </c>
      <c r="V20" s="286" t="s">
        <v>260</v>
      </c>
    </row>
    <row r="21" spans="2:22" x14ac:dyDescent="0.3">
      <c r="B21" s="285"/>
      <c r="C21" s="287"/>
      <c r="D21" s="333"/>
      <c r="E21" s="335" t="s">
        <v>89</v>
      </c>
      <c r="F21" s="462">
        <f>'2025년 자금실적'!T21</f>
        <v>47.177211999999997</v>
      </c>
      <c r="G21" s="389">
        <f>'2025년 자금실적'!U21</f>
        <v>3.9314343333333333</v>
      </c>
      <c r="H21" s="368">
        <v>0.78595000000000004</v>
      </c>
      <c r="I21" s="424">
        <v>2.8408090000000001</v>
      </c>
      <c r="J21" s="424">
        <v>0.91030599999999995</v>
      </c>
      <c r="K21" s="424">
        <v>0.70820399999999994</v>
      </c>
      <c r="L21" s="523">
        <v>0.82648299999999997</v>
      </c>
      <c r="M21" s="669">
        <v>1.4114899999999999</v>
      </c>
      <c r="N21" s="538">
        <v>0.68539100000000008</v>
      </c>
      <c r="O21" s="523">
        <v>0.68420000000000003</v>
      </c>
      <c r="P21" s="538">
        <v>1.501225</v>
      </c>
      <c r="Q21" s="424">
        <v>1.501225</v>
      </c>
      <c r="R21" s="625">
        <v>1.501225</v>
      </c>
      <c r="S21" s="472">
        <v>1.501225</v>
      </c>
      <c r="T21" s="470">
        <f t="shared" si="5"/>
        <v>14.857733</v>
      </c>
      <c r="U21" s="389">
        <f t="shared" si="2"/>
        <v>1.2381444166666666</v>
      </c>
      <c r="V21" s="288"/>
    </row>
    <row r="22" spans="2:22" x14ac:dyDescent="0.3">
      <c r="B22" s="285"/>
      <c r="C22" s="287"/>
      <c r="D22" s="333"/>
      <c r="E22" s="335" t="s">
        <v>92</v>
      </c>
      <c r="F22" s="462">
        <f>'2025년 자금실적'!T22</f>
        <v>14.528237000000001</v>
      </c>
      <c r="G22" s="389">
        <f>'2025년 자금실적'!U22</f>
        <v>1.2106864166666667</v>
      </c>
      <c r="H22" s="368">
        <v>3.5573239999999999</v>
      </c>
      <c r="I22" s="424">
        <v>6.1712000000000003E-2</v>
      </c>
      <c r="J22" s="424">
        <v>4.2290000000000001E-2</v>
      </c>
      <c r="K22" s="424">
        <v>3.349059</v>
      </c>
      <c r="L22" s="523">
        <v>4.4596999999999998E-2</v>
      </c>
      <c r="M22" s="669">
        <v>4.4976000000000002E-2</v>
      </c>
      <c r="N22" s="538">
        <v>3.309631</v>
      </c>
      <c r="O22" s="523">
        <v>4.3688999999999999E-2</v>
      </c>
      <c r="P22" s="538">
        <v>5.7776000000000001E-2</v>
      </c>
      <c r="Q22" s="424">
        <v>3.5012249999999998</v>
      </c>
      <c r="R22" s="625">
        <v>6.0499999999999998E-2</v>
      </c>
      <c r="S22" s="472">
        <v>6.1947000000000002E-2</v>
      </c>
      <c r="T22" s="470">
        <f t="shared" si="5"/>
        <v>14.134725999999999</v>
      </c>
      <c r="U22" s="389">
        <f t="shared" si="2"/>
        <v>1.1778938333333333</v>
      </c>
      <c r="V22" s="288" t="s">
        <v>261</v>
      </c>
    </row>
    <row r="23" spans="2:22" x14ac:dyDescent="0.3">
      <c r="B23" s="285"/>
      <c r="C23" s="287"/>
      <c r="D23" s="333"/>
      <c r="E23" s="335" t="s">
        <v>94</v>
      </c>
      <c r="F23" s="462">
        <f>'2025년 자금실적'!T23</f>
        <v>9.5688820000000003</v>
      </c>
      <c r="G23" s="389">
        <f>'2025년 자금실적'!U23</f>
        <v>0.7974068333333334</v>
      </c>
      <c r="H23" s="368">
        <v>1.678515</v>
      </c>
      <c r="I23" s="424">
        <v>0.66008199999999995</v>
      </c>
      <c r="J23" s="424">
        <v>1.2628600000000001</v>
      </c>
      <c r="K23" s="424">
        <v>0</v>
      </c>
      <c r="L23" s="523">
        <v>1.6819310000000001</v>
      </c>
      <c r="M23" s="669">
        <v>1.778205</v>
      </c>
      <c r="N23" s="538">
        <v>0.156247</v>
      </c>
      <c r="O23" s="523">
        <v>9.7000199999999995E-2</v>
      </c>
      <c r="P23" s="538">
        <v>1.4</v>
      </c>
      <c r="Q23" s="424">
        <v>0.8</v>
      </c>
      <c r="R23" s="625">
        <v>0.8</v>
      </c>
      <c r="S23" s="472">
        <v>0.8</v>
      </c>
      <c r="T23" s="470">
        <f t="shared" si="5"/>
        <v>11.114840200000002</v>
      </c>
      <c r="U23" s="389">
        <f t="shared" si="2"/>
        <v>0.92623668333333342</v>
      </c>
      <c r="V23" s="288" t="s">
        <v>277</v>
      </c>
    </row>
    <row r="24" spans="2:22" x14ac:dyDescent="0.3">
      <c r="B24" s="285"/>
      <c r="C24" s="287"/>
      <c r="D24" s="333"/>
      <c r="E24" s="335" t="s">
        <v>263</v>
      </c>
      <c r="F24" s="462">
        <f>'2025년 자금실적'!T24</f>
        <v>4.0769005999999992</v>
      </c>
      <c r="G24" s="389">
        <f>'2025년 자금실적'!U24</f>
        <v>0.33974171666666658</v>
      </c>
      <c r="H24" s="368">
        <v>0.311</v>
      </c>
      <c r="I24" s="424">
        <v>0.16500000000000001</v>
      </c>
      <c r="J24" s="424">
        <v>0.13919999999999999</v>
      </c>
      <c r="K24" s="424">
        <v>0.16500000000000001</v>
      </c>
      <c r="L24" s="523">
        <v>0.14499999999999999</v>
      </c>
      <c r="M24" s="669">
        <v>8.4000000000000005E-2</v>
      </c>
      <c r="N24" s="538">
        <v>9.7000199999999995E-2</v>
      </c>
      <c r="O24" s="523">
        <v>0.309</v>
      </c>
      <c r="P24" s="538">
        <v>0.309</v>
      </c>
      <c r="Q24" s="424">
        <v>0.309</v>
      </c>
      <c r="R24" s="625">
        <v>0.309</v>
      </c>
      <c r="S24" s="472">
        <v>0.309</v>
      </c>
      <c r="T24" s="470">
        <f t="shared" si="5"/>
        <v>2.6512002000000003</v>
      </c>
      <c r="U24" s="389">
        <f t="shared" si="2"/>
        <v>0.22093335000000003</v>
      </c>
      <c r="V24" s="288"/>
    </row>
    <row r="25" spans="2:22" x14ac:dyDescent="0.3">
      <c r="B25" s="285"/>
      <c r="C25" s="287"/>
      <c r="D25" s="333"/>
      <c r="E25" s="287" t="s">
        <v>264</v>
      </c>
      <c r="F25" s="456">
        <f>'2025년 자금실적'!T25</f>
        <v>51.074691000000001</v>
      </c>
      <c r="G25" s="389">
        <f>'2025년 자금실적'!U25</f>
        <v>4.2562242499999998</v>
      </c>
      <c r="H25" s="368">
        <v>5.3258919999999996</v>
      </c>
      <c r="I25" s="424">
        <v>5.2177600000000002</v>
      </c>
      <c r="J25" s="424">
        <v>2.3641570000000001</v>
      </c>
      <c r="K25" s="424">
        <v>5.8691680000000002</v>
      </c>
      <c r="L25" s="523">
        <v>9.4817780000000003</v>
      </c>
      <c r="M25" s="669">
        <v>4.4674469999999999</v>
      </c>
      <c r="N25" s="538">
        <v>8.7171610000000008</v>
      </c>
      <c r="O25" s="523">
        <v>4.6100000000000003</v>
      </c>
      <c r="P25" s="538">
        <v>5</v>
      </c>
      <c r="Q25" s="424">
        <v>5</v>
      </c>
      <c r="R25" s="625">
        <v>5</v>
      </c>
      <c r="S25" s="472">
        <v>5</v>
      </c>
      <c r="T25" s="470">
        <f t="shared" si="5"/>
        <v>66.053363000000004</v>
      </c>
      <c r="U25" s="389">
        <f t="shared" si="2"/>
        <v>5.5044469166666667</v>
      </c>
      <c r="V25" s="288"/>
    </row>
    <row r="26" spans="2:22" x14ac:dyDescent="0.3">
      <c r="B26" s="285"/>
      <c r="C26" s="287"/>
      <c r="D26" s="333"/>
      <c r="E26" s="287" t="s">
        <v>99</v>
      </c>
      <c r="F26" s="456">
        <f>'2025년 자금실적'!T26</f>
        <v>11.030975999999997</v>
      </c>
      <c r="G26" s="389">
        <f>'2025년 자금실적'!U26</f>
        <v>0.91924799999999973</v>
      </c>
      <c r="H26" s="368">
        <v>0.91924799999999995</v>
      </c>
      <c r="I26" s="424">
        <v>0.91924799999999995</v>
      </c>
      <c r="J26" s="424">
        <v>0.91924799999999995</v>
      </c>
      <c r="K26" s="424">
        <v>0.91924799999999995</v>
      </c>
      <c r="L26" s="523">
        <v>0.91924799999999995</v>
      </c>
      <c r="M26" s="669">
        <v>0.91924799999999995</v>
      </c>
      <c r="N26" s="538">
        <v>0.91924799999999995</v>
      </c>
      <c r="O26" s="523">
        <v>0.91924799999999995</v>
      </c>
      <c r="P26" s="538">
        <v>0.91924799999999995</v>
      </c>
      <c r="Q26" s="424">
        <v>0.91924799999999995</v>
      </c>
      <c r="R26" s="625">
        <v>0.91924799999999995</v>
      </c>
      <c r="S26" s="472">
        <v>0.91924799999999995</v>
      </c>
      <c r="T26" s="470">
        <f t="shared" si="5"/>
        <v>11.030975999999997</v>
      </c>
      <c r="U26" s="389">
        <f t="shared" si="2"/>
        <v>0.91924799999999973</v>
      </c>
      <c r="V26" s="288"/>
    </row>
    <row r="27" spans="2:22" x14ac:dyDescent="0.3">
      <c r="B27" s="285"/>
      <c r="C27" s="287"/>
      <c r="D27" s="333"/>
      <c r="E27" s="287" t="s">
        <v>101</v>
      </c>
      <c r="F27" s="456">
        <f>'2025년 자금실적'!T27</f>
        <v>13.665982</v>
      </c>
      <c r="G27" s="389">
        <f>'2025년 자금실적'!U27</f>
        <v>1.1388318333333334</v>
      </c>
      <c r="H27" s="368">
        <v>1E-3</v>
      </c>
      <c r="I27" s="424">
        <v>0</v>
      </c>
      <c r="J27" s="424">
        <v>0.636795</v>
      </c>
      <c r="K27" s="424">
        <v>0</v>
      </c>
      <c r="L27" s="523">
        <v>1.7010730000000001</v>
      </c>
      <c r="M27" s="669">
        <v>2.2983950000000002</v>
      </c>
      <c r="N27" s="538">
        <v>0</v>
      </c>
      <c r="O27" s="523">
        <v>0.3</v>
      </c>
      <c r="P27" s="538">
        <v>0.3</v>
      </c>
      <c r="Q27" s="424">
        <v>0.3</v>
      </c>
      <c r="R27" s="625">
        <v>0.3</v>
      </c>
      <c r="S27" s="472">
        <v>0.3</v>
      </c>
      <c r="T27" s="470">
        <f t="shared" si="5"/>
        <v>6.1372629999999999</v>
      </c>
      <c r="U27" s="389">
        <f t="shared" si="2"/>
        <v>0.51143858333333336</v>
      </c>
      <c r="V27" s="288"/>
    </row>
    <row r="28" spans="2:22" x14ac:dyDescent="0.3">
      <c r="B28" s="285"/>
      <c r="C28" s="287"/>
      <c r="D28" s="334"/>
      <c r="E28" s="293" t="s">
        <v>102</v>
      </c>
      <c r="F28" s="456">
        <f>'2025년 자금실적'!T28</f>
        <v>7.8347420000002437</v>
      </c>
      <c r="G28" s="468">
        <f>'2025년 자금실적'!U28</f>
        <v>0.65289516666668701</v>
      </c>
      <c r="H28" s="368">
        <v>1.5879300000000001</v>
      </c>
      <c r="I28" s="424">
        <v>3.7550180000000002</v>
      </c>
      <c r="J28" s="424">
        <v>0.23522000000000001</v>
      </c>
      <c r="K28" s="424">
        <v>0.39991000000000021</v>
      </c>
      <c r="L28" s="523">
        <v>0.44511099999999892</v>
      </c>
      <c r="M28" s="669">
        <v>0.23502000000000051</v>
      </c>
      <c r="N28" s="538">
        <v>0.23602200000000001</v>
      </c>
      <c r="O28" s="523">
        <v>0.45220700000000003</v>
      </c>
      <c r="P28" s="538">
        <v>0.4</v>
      </c>
      <c r="Q28" s="424">
        <v>0.4</v>
      </c>
      <c r="R28" s="625">
        <v>0.4</v>
      </c>
      <c r="S28" s="472">
        <v>0.4</v>
      </c>
      <c r="T28" s="471">
        <f t="shared" si="5"/>
        <v>8.9464380000000006</v>
      </c>
      <c r="U28" s="468">
        <f t="shared" si="2"/>
        <v>0.74553650000000005</v>
      </c>
      <c r="V28" s="363"/>
    </row>
    <row r="29" spans="2:22" ht="17.45" customHeight="1" x14ac:dyDescent="0.3">
      <c r="B29" s="285"/>
      <c r="C29" s="744" t="s">
        <v>257</v>
      </c>
      <c r="D29" s="739"/>
      <c r="E29" s="739"/>
      <c r="F29" s="458">
        <f>'2025년 자금실적'!T29</f>
        <v>0</v>
      </c>
      <c r="G29" s="394">
        <f>'2025년 자금실적'!U29</f>
        <v>0</v>
      </c>
      <c r="H29" s="636">
        <f t="shared" ref="H29:S29" si="7">SUM(H30:H34)</f>
        <v>0</v>
      </c>
      <c r="I29" s="419">
        <f t="shared" si="7"/>
        <v>7.13645</v>
      </c>
      <c r="J29" s="419">
        <f t="shared" si="7"/>
        <v>999.99900000000002</v>
      </c>
      <c r="K29" s="419">
        <f t="shared" si="7"/>
        <v>0</v>
      </c>
      <c r="L29" s="524">
        <f t="shared" si="7"/>
        <v>0</v>
      </c>
      <c r="M29" s="670">
        <f t="shared" si="7"/>
        <v>0</v>
      </c>
      <c r="N29" s="391">
        <f t="shared" si="7"/>
        <v>0</v>
      </c>
      <c r="O29" s="524">
        <f t="shared" si="7"/>
        <v>0</v>
      </c>
      <c r="P29" s="391">
        <f t="shared" si="7"/>
        <v>0</v>
      </c>
      <c r="Q29" s="419">
        <f t="shared" si="7"/>
        <v>0</v>
      </c>
      <c r="R29" s="626">
        <f t="shared" si="7"/>
        <v>0</v>
      </c>
      <c r="S29" s="393">
        <f t="shared" si="7"/>
        <v>0</v>
      </c>
      <c r="T29" s="391">
        <f t="shared" si="5"/>
        <v>1007.13545</v>
      </c>
      <c r="U29" s="394">
        <f t="shared" si="2"/>
        <v>83.927954166666666</v>
      </c>
      <c r="V29" s="286"/>
    </row>
    <row r="30" spans="2:22" ht="17.45" customHeight="1" x14ac:dyDescent="0.3">
      <c r="B30" s="285"/>
      <c r="C30" s="287"/>
      <c r="D30" s="291" t="s">
        <v>266</v>
      </c>
      <c r="E30" s="303"/>
      <c r="F30" s="463">
        <f>'2025년 자금실적'!T30</f>
        <v>0</v>
      </c>
      <c r="G30" s="394">
        <f>'2025년 자금실적'!U30</f>
        <v>0</v>
      </c>
      <c r="H30" s="390"/>
      <c r="I30" s="419"/>
      <c r="J30" s="419"/>
      <c r="K30" s="419"/>
      <c r="L30" s="524"/>
      <c r="M30" s="670"/>
      <c r="N30" s="391"/>
      <c r="O30" s="524"/>
      <c r="P30" s="391"/>
      <c r="Q30" s="419"/>
      <c r="R30" s="626"/>
      <c r="S30" s="393"/>
      <c r="T30" s="391">
        <f t="shared" si="5"/>
        <v>0</v>
      </c>
      <c r="U30" s="394">
        <f t="shared" si="2"/>
        <v>0</v>
      </c>
      <c r="V30" s="286"/>
    </row>
    <row r="31" spans="2:22" ht="17.45" customHeight="1" x14ac:dyDescent="0.3">
      <c r="B31" s="285"/>
      <c r="C31" s="287"/>
      <c r="D31" s="287" t="s">
        <v>267</v>
      </c>
      <c r="E31" s="304"/>
      <c r="F31" s="464">
        <f>'2025년 자금실적'!T31</f>
        <v>0</v>
      </c>
      <c r="G31" s="389">
        <f>'2025년 자금실적'!U31</f>
        <v>0</v>
      </c>
      <c r="H31" s="385"/>
      <c r="I31" s="418"/>
      <c r="J31" s="418"/>
      <c r="K31" s="418"/>
      <c r="L31" s="525"/>
      <c r="M31" s="671"/>
      <c r="N31" s="386"/>
      <c r="O31" s="525"/>
      <c r="P31" s="386"/>
      <c r="Q31" s="418"/>
      <c r="R31" s="627"/>
      <c r="S31" s="388"/>
      <c r="T31" s="386">
        <f t="shared" si="5"/>
        <v>0</v>
      </c>
      <c r="U31" s="389">
        <f t="shared" si="2"/>
        <v>0</v>
      </c>
      <c r="V31" s="288"/>
    </row>
    <row r="32" spans="2:22" ht="17.45" customHeight="1" x14ac:dyDescent="0.3">
      <c r="B32" s="285"/>
      <c r="C32" s="287"/>
      <c r="D32" s="287" t="s">
        <v>268</v>
      </c>
      <c r="E32" s="304"/>
      <c r="F32" s="464">
        <f>'2025년 자금실적'!T32</f>
        <v>0</v>
      </c>
      <c r="G32" s="389">
        <f>'2025년 자금실적'!U32</f>
        <v>0</v>
      </c>
      <c r="H32" s="385"/>
      <c r="I32" s="418"/>
      <c r="J32" s="418"/>
      <c r="K32" s="418"/>
      <c r="L32" s="525"/>
      <c r="M32" s="671"/>
      <c r="N32" s="386"/>
      <c r="O32" s="525"/>
      <c r="P32" s="386"/>
      <c r="Q32" s="418"/>
      <c r="R32" s="627"/>
      <c r="S32" s="388"/>
      <c r="T32" s="386">
        <f t="shared" si="5"/>
        <v>0</v>
      </c>
      <c r="U32" s="389">
        <f t="shared" si="2"/>
        <v>0</v>
      </c>
      <c r="V32" s="288"/>
    </row>
    <row r="33" spans="2:25" ht="17.45" customHeight="1" x14ac:dyDescent="0.3">
      <c r="B33" s="285"/>
      <c r="C33" s="287"/>
      <c r="D33" s="287" t="s">
        <v>88</v>
      </c>
      <c r="E33" s="304"/>
      <c r="F33" s="464">
        <v>0</v>
      </c>
      <c r="G33" s="389">
        <v>0</v>
      </c>
      <c r="H33" s="385"/>
      <c r="I33" s="656">
        <v>7.13645</v>
      </c>
      <c r="J33" s="656">
        <v>999.99900000000002</v>
      </c>
      <c r="K33" s="418"/>
      <c r="L33" s="525"/>
      <c r="M33" s="671"/>
      <c r="N33" s="386"/>
      <c r="O33" s="525"/>
      <c r="P33" s="386"/>
      <c r="Q33" s="418"/>
      <c r="R33" s="627"/>
      <c r="S33" s="388"/>
      <c r="T33" s="386">
        <f t="shared" si="5"/>
        <v>1007.13545</v>
      </c>
      <c r="U33" s="389">
        <f t="shared" si="2"/>
        <v>83.927954166666666</v>
      </c>
      <c r="V33" s="288" t="s">
        <v>278</v>
      </c>
    </row>
    <row r="34" spans="2:25" ht="17.45" customHeight="1" x14ac:dyDescent="0.3">
      <c r="B34" s="285"/>
      <c r="C34" s="287"/>
      <c r="D34" s="287" t="s">
        <v>67</v>
      </c>
      <c r="E34" s="285"/>
      <c r="F34" s="456">
        <f>'2025년 자금실적'!T33</f>
        <v>0</v>
      </c>
      <c r="G34" s="389">
        <f>'2025년 자금실적'!U33</f>
        <v>0</v>
      </c>
      <c r="H34" s="385"/>
      <c r="I34" s="418"/>
      <c r="J34" s="418"/>
      <c r="K34" s="418"/>
      <c r="L34" s="525"/>
      <c r="M34" s="671"/>
      <c r="N34" s="386"/>
      <c r="O34" s="525"/>
      <c r="P34" s="386"/>
      <c r="Q34" s="418"/>
      <c r="R34" s="627"/>
      <c r="S34" s="388"/>
      <c r="T34" s="386">
        <f t="shared" si="5"/>
        <v>0</v>
      </c>
      <c r="U34" s="389">
        <f t="shared" si="2"/>
        <v>0</v>
      </c>
      <c r="V34" s="288"/>
    </row>
    <row r="35" spans="2:25" ht="16.5" x14ac:dyDescent="0.3">
      <c r="B35" s="747" t="s">
        <v>14</v>
      </c>
      <c r="C35" s="729"/>
      <c r="D35" s="729"/>
      <c r="E35" s="729"/>
      <c r="F35" s="489">
        <f>'2025년 자금실적'!T34</f>
        <v>-493.15078200000079</v>
      </c>
      <c r="G35" s="477">
        <f>'2025년 자금실적'!U34</f>
        <v>-41.095898500000068</v>
      </c>
      <c r="H35" s="478">
        <f t="shared" ref="H35:T35" si="8">H12-H15</f>
        <v>-46.01464</v>
      </c>
      <c r="I35" s="479">
        <f t="shared" si="8"/>
        <v>-63.597069999999988</v>
      </c>
      <c r="J35" s="479">
        <f t="shared" si="8"/>
        <v>-1026.122801</v>
      </c>
      <c r="K35" s="479">
        <f t="shared" si="8"/>
        <v>-1.0562380000000005</v>
      </c>
      <c r="L35" s="526">
        <f t="shared" si="8"/>
        <v>18.449283999999999</v>
      </c>
      <c r="M35" s="672">
        <f t="shared" si="8"/>
        <v>-26.261444999999995</v>
      </c>
      <c r="N35" s="481">
        <f t="shared" si="8"/>
        <v>-41.235569199999993</v>
      </c>
      <c r="O35" s="526">
        <f t="shared" si="8"/>
        <v>-31.5991392</v>
      </c>
      <c r="P35" s="481">
        <f t="shared" si="8"/>
        <v>-35.851199000000001</v>
      </c>
      <c r="Q35" s="479">
        <f t="shared" si="8"/>
        <v>-38.694647999999994</v>
      </c>
      <c r="R35" s="628">
        <f t="shared" si="8"/>
        <v>-35.253923</v>
      </c>
      <c r="S35" s="482">
        <f t="shared" si="8"/>
        <v>-35.255369999999999</v>
      </c>
      <c r="T35" s="481">
        <f t="shared" si="8"/>
        <v>-1362.4927584</v>
      </c>
      <c r="U35" s="477">
        <f t="shared" si="2"/>
        <v>-113.5410632</v>
      </c>
      <c r="V35" s="295"/>
    </row>
    <row r="36" spans="2:25" x14ac:dyDescent="0.3">
      <c r="B36" s="296"/>
      <c r="C36" s="297" t="s">
        <v>269</v>
      </c>
      <c r="D36" s="297"/>
      <c r="E36" s="297"/>
      <c r="F36" s="490">
        <f>'2025년 자금실적'!T35</f>
        <v>-493.15078200000079</v>
      </c>
      <c r="G36" s="483">
        <f>'2025년 자금실적'!U35</f>
        <v>-41.095898500000068</v>
      </c>
      <c r="H36" s="484">
        <f t="shared" ref="H36:T36" si="9">H13-H16</f>
        <v>-46.01464</v>
      </c>
      <c r="I36" s="485">
        <f t="shared" si="9"/>
        <v>-56.460619999999992</v>
      </c>
      <c r="J36" s="485">
        <f t="shared" si="9"/>
        <v>-26.123801</v>
      </c>
      <c r="K36" s="485">
        <f t="shared" si="9"/>
        <v>-16.423238000000005</v>
      </c>
      <c r="L36" s="527">
        <f t="shared" si="9"/>
        <v>-32.736508000000001</v>
      </c>
      <c r="M36" s="673">
        <f t="shared" si="9"/>
        <v>-26.261444999999995</v>
      </c>
      <c r="N36" s="487">
        <f t="shared" si="9"/>
        <v>-41.235569199999993</v>
      </c>
      <c r="O36" s="527">
        <f t="shared" si="9"/>
        <v>-31.5991392</v>
      </c>
      <c r="P36" s="487">
        <f t="shared" si="9"/>
        <v>-35.851199000000001</v>
      </c>
      <c r="Q36" s="485">
        <f t="shared" si="9"/>
        <v>-38.694647999999994</v>
      </c>
      <c r="R36" s="629">
        <f t="shared" si="9"/>
        <v>-35.253923</v>
      </c>
      <c r="S36" s="488">
        <f t="shared" si="9"/>
        <v>-35.255369999999999</v>
      </c>
      <c r="T36" s="487">
        <f t="shared" si="9"/>
        <v>-421.91010039999998</v>
      </c>
      <c r="U36" s="483">
        <f t="shared" si="2"/>
        <v>-35.159175033333334</v>
      </c>
      <c r="V36" s="298"/>
    </row>
    <row r="37" spans="2:25" ht="15.6" customHeight="1" x14ac:dyDescent="0.3">
      <c r="B37" s="747" t="s">
        <v>270</v>
      </c>
      <c r="C37" s="729"/>
      <c r="D37" s="729"/>
      <c r="E37" s="729"/>
      <c r="F37" s="460">
        <f>'2025년 자금실적'!T36</f>
        <v>0</v>
      </c>
      <c r="G37" s="404">
        <f>'2025년 자금실적'!U36</f>
        <v>0</v>
      </c>
      <c r="H37" s="400"/>
      <c r="I37" s="421"/>
      <c r="J37" s="421"/>
      <c r="K37" s="421"/>
      <c r="L37" s="528"/>
      <c r="M37" s="674"/>
      <c r="N37" s="401"/>
      <c r="O37" s="528"/>
      <c r="P37" s="401"/>
      <c r="Q37" s="421"/>
      <c r="R37" s="630"/>
      <c r="S37" s="403"/>
      <c r="T37" s="408">
        <f>SUM(H37:S37)</f>
        <v>0</v>
      </c>
      <c r="U37" s="404">
        <f t="shared" si="2"/>
        <v>0</v>
      </c>
      <c r="V37" s="299"/>
    </row>
    <row r="38" spans="2:25" hidden="1" x14ac:dyDescent="0.3">
      <c r="B38" s="285"/>
      <c r="C38" s="285"/>
      <c r="D38" s="285"/>
      <c r="E38" s="285"/>
      <c r="F38" s="456">
        <f>'2025년 자금실적'!T37</f>
        <v>0</v>
      </c>
      <c r="G38" s="389">
        <f>'2025년 자금실적'!U37</f>
        <v>0</v>
      </c>
      <c r="H38" s="385"/>
      <c r="I38" s="418"/>
      <c r="J38" s="418"/>
      <c r="K38" s="418"/>
      <c r="L38" s="525"/>
      <c r="M38" s="671"/>
      <c r="N38" s="386"/>
      <c r="O38" s="525"/>
      <c r="P38" s="386"/>
      <c r="Q38" s="418"/>
      <c r="R38" s="627"/>
      <c r="S38" s="388"/>
      <c r="T38" s="386"/>
      <c r="U38" s="389"/>
      <c r="V38" s="300"/>
    </row>
    <row r="39" spans="2:25" hidden="1" x14ac:dyDescent="0.3">
      <c r="B39" s="285"/>
      <c r="C39" s="285"/>
      <c r="D39" s="285"/>
      <c r="E39" s="285"/>
      <c r="F39" s="456">
        <f>'2025년 자금실적'!T38</f>
        <v>0</v>
      </c>
      <c r="G39" s="389">
        <f>'2025년 자금실적'!U38</f>
        <v>0</v>
      </c>
      <c r="H39" s="385"/>
      <c r="I39" s="418"/>
      <c r="J39" s="418"/>
      <c r="K39" s="418"/>
      <c r="L39" s="525"/>
      <c r="M39" s="671"/>
      <c r="N39" s="386"/>
      <c r="O39" s="525"/>
      <c r="P39" s="386"/>
      <c r="Q39" s="418"/>
      <c r="R39" s="627"/>
      <c r="S39" s="388"/>
      <c r="T39" s="386"/>
      <c r="U39" s="389"/>
      <c r="V39" s="300"/>
    </row>
    <row r="40" spans="2:25" hidden="1" x14ac:dyDescent="0.3">
      <c r="B40" s="289"/>
      <c r="C40" s="289"/>
      <c r="D40" s="289"/>
      <c r="E40" s="289"/>
      <c r="F40" s="459">
        <f>'2025년 자금실적'!T39</f>
        <v>0</v>
      </c>
      <c r="G40" s="399">
        <f>'2025년 자금실적'!U39</f>
        <v>0</v>
      </c>
      <c r="H40" s="395"/>
      <c r="I40" s="420"/>
      <c r="J40" s="420"/>
      <c r="K40" s="420"/>
      <c r="L40" s="529"/>
      <c r="M40" s="675"/>
      <c r="N40" s="396"/>
      <c r="O40" s="529"/>
      <c r="P40" s="396"/>
      <c r="Q40" s="420"/>
      <c r="R40" s="631"/>
      <c r="S40" s="398"/>
      <c r="T40" s="396"/>
      <c r="U40" s="399"/>
      <c r="V40" s="301"/>
    </row>
    <row r="41" spans="2:25" s="281" customFormat="1" ht="16.5" x14ac:dyDescent="0.3">
      <c r="B41" s="740" t="s">
        <v>271</v>
      </c>
      <c r="C41" s="709"/>
      <c r="D41" s="709"/>
      <c r="E41" s="709"/>
      <c r="F41" s="465">
        <v>3607.0897920000002</v>
      </c>
      <c r="G41" s="467"/>
      <c r="H41" s="409">
        <f t="shared" ref="H41:T41" si="10">H11+H35+H37</f>
        <v>3561.0751520000003</v>
      </c>
      <c r="I41" s="425">
        <f t="shared" si="10"/>
        <v>3497.4780820000005</v>
      </c>
      <c r="J41" s="425">
        <f t="shared" si="10"/>
        <v>2471.3552810000006</v>
      </c>
      <c r="K41" s="425">
        <f t="shared" si="10"/>
        <v>2470.2990430000004</v>
      </c>
      <c r="L41" s="530">
        <f t="shared" si="10"/>
        <v>2488.7483270000002</v>
      </c>
      <c r="M41" s="676">
        <f t="shared" si="10"/>
        <v>2462.4868820000002</v>
      </c>
      <c r="N41" s="410">
        <f t="shared" si="10"/>
        <v>2421.2513128000001</v>
      </c>
      <c r="O41" s="530">
        <f t="shared" si="10"/>
        <v>2389.6521736</v>
      </c>
      <c r="P41" s="410">
        <f t="shared" si="10"/>
        <v>2353.8009745999998</v>
      </c>
      <c r="Q41" s="425">
        <f t="shared" si="10"/>
        <v>2315.1063265999996</v>
      </c>
      <c r="R41" s="632">
        <f t="shared" si="10"/>
        <v>2279.8524035999994</v>
      </c>
      <c r="S41" s="412">
        <f t="shared" si="10"/>
        <v>2244.5970335999996</v>
      </c>
      <c r="T41" s="410">
        <f t="shared" si="10"/>
        <v>2244.5970336</v>
      </c>
      <c r="U41" s="413"/>
      <c r="V41" s="302"/>
      <c r="Y41" s="283"/>
    </row>
    <row r="44" spans="2:25" x14ac:dyDescent="0.3">
      <c r="E44" s="362"/>
      <c r="F44" s="362"/>
      <c r="G44" s="362"/>
      <c r="M44" s="616"/>
    </row>
    <row r="45" spans="2:25" x14ac:dyDescent="0.3">
      <c r="E45" s="362"/>
      <c r="F45" s="362"/>
      <c r="G45" s="362"/>
    </row>
    <row r="46" spans="2:25" x14ac:dyDescent="0.3">
      <c r="E46" s="362"/>
      <c r="F46" s="362"/>
      <c r="G46" s="362"/>
    </row>
  </sheetData>
  <mergeCells count="16">
    <mergeCell ref="V8:V10"/>
    <mergeCell ref="B12:E12"/>
    <mergeCell ref="B37:E37"/>
    <mergeCell ref="B15:E15"/>
    <mergeCell ref="B8:E10"/>
    <mergeCell ref="B11:E11"/>
    <mergeCell ref="H9:M9"/>
    <mergeCell ref="H8:S8"/>
    <mergeCell ref="C29:E29"/>
    <mergeCell ref="C16:E16"/>
    <mergeCell ref="N9:S9"/>
    <mergeCell ref="F8:G9"/>
    <mergeCell ref="B41:E41"/>
    <mergeCell ref="C14:E14"/>
    <mergeCell ref="B35:E35"/>
    <mergeCell ref="C13:E13"/>
  </mergeCells>
  <phoneticPr fontId="2" type="noConversion"/>
  <conditionalFormatting sqref="C1:V6">
    <cfRule type="cellIs" dxfId="5" priority="5" operator="equal">
      <formula>0</formula>
    </cfRule>
  </conditionalFormatting>
  <conditionalFormatting sqref="C42:V1048576">
    <cfRule type="cellIs" dxfId="4" priority="6" operator="equal">
      <formula>0</formula>
    </cfRule>
  </conditionalFormatting>
  <conditionalFormatting sqref="G12 G14:U15 G17:U35 G37:G40">
    <cfRule type="cellIs" dxfId="3" priority="1" operator="equal">
      <formula>0</formula>
    </cfRule>
    <cfRule type="cellIs" dxfId="2" priority="2" operator="equal">
      <formula>0</formula>
    </cfRule>
  </conditionalFormatting>
  <conditionalFormatting sqref="H11:U12 H37:U41">
    <cfRule type="cellIs" dxfId="1" priority="3" operator="equal">
      <formula>0</formula>
    </cfRule>
    <cfRule type="cellIs" dxfId="0" priority="4" operator="equal">
      <formula>0</formula>
    </cfRule>
  </conditionalFormatting>
  <printOptions horizontalCentered="1"/>
  <pageMargins left="0.15748031496062989" right="0.31496062992125978" top="0.43307086614173229" bottom="0.23622047244094491" header="0.15748031496062989" footer="0.15748031496062989"/>
  <pageSetup paperSize="9" scale="60" orientation="landscape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8</vt:i4>
      </vt:variant>
      <vt:variant>
        <vt:lpstr>이름 지정된 범위</vt:lpstr>
      </vt:variant>
      <vt:variant>
        <vt:i4>2</vt:i4>
      </vt:variant>
    </vt:vector>
  </HeadingPairs>
  <TitlesOfParts>
    <vt:vector size="10" baseType="lpstr">
      <vt:lpstr>요약1</vt:lpstr>
      <vt:lpstr>요약2</vt:lpstr>
      <vt:lpstr>유동자금세부</vt:lpstr>
      <vt:lpstr>연간</vt:lpstr>
      <vt:lpstr>실적월</vt:lpstr>
      <vt:lpstr>계획월</vt:lpstr>
      <vt:lpstr>2025년 자금실적</vt:lpstr>
      <vt:lpstr>2026년 자금실적</vt:lpstr>
      <vt:lpstr>연간!Print_Area</vt:lpstr>
      <vt:lpstr>유동자금세부!Print_Area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gekim</dc:creator>
  <cp:lastModifiedBy>com2usholdings14</cp:lastModifiedBy>
  <cp:lastPrinted>2025-05-26T07:26:47Z</cp:lastPrinted>
  <dcterms:created xsi:type="dcterms:W3CDTF">2015-06-05T18:19:34Z</dcterms:created>
  <dcterms:modified xsi:type="dcterms:W3CDTF">2026-08-25T05:10:15Z</dcterms:modified>
</cp:coreProperties>
</file>