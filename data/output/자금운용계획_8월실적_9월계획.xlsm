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omments/comment1.xml" ContentType="application/vnd.openxmlformats-officedocument.spreadsheetml.comments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worksheets/sheet6.xml" ContentType="application/vnd.openxmlformats-officedocument.spreadsheetml.worksheet+xml"/>
  <Override PartName="/xl/comments/comment2.xml" ContentType="application/vnd.openxmlformats-officedocument.spreadsheetml.comments+xml"/>
  <Override PartName="/xl/worksheets/sheet7.xml" ContentType="application/vnd.openxmlformats-officedocument.spreadsheetml.worksheet+xml"/>
  <Override PartName="/xl/comments/comment3.xml" ContentType="application/vnd.openxmlformats-officedocument.spreadsheetml.comments+xml"/>
  <Override PartName="/xl/worksheets/sheet8.xml" ContentType="application/vnd.openxmlformats-officedocument.spreadsheetml.worksheet+xml"/>
  <Override PartName="/xl/comments/comment4.xml" ContentType="application/vnd.openxmlformats-officedocument.spreadsheetml.comment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57840" windowHeight="31920" tabRatio="600" firstSheet="0" activeTab="0" autoFilterDateGrouping="1"/>
  </bookViews>
  <sheets>
    <sheet xmlns:r="http://schemas.openxmlformats.org/officeDocument/2006/relationships" name="요약1" sheetId="1" state="visible" r:id="rId1"/>
    <sheet xmlns:r="http://schemas.openxmlformats.org/officeDocument/2006/relationships" name="요약2" sheetId="2" state="visible" r:id="rId2"/>
    <sheet xmlns:r="http://schemas.openxmlformats.org/officeDocument/2006/relationships" name="유동자금세부" sheetId="3" state="visible" r:id="rId3"/>
    <sheet xmlns:r="http://schemas.openxmlformats.org/officeDocument/2006/relationships" name="연간" sheetId="4" state="visible" r:id="rId4"/>
    <sheet xmlns:r="http://schemas.openxmlformats.org/officeDocument/2006/relationships" name="실적월" sheetId="5" state="visible" r:id="rId5"/>
    <sheet xmlns:r="http://schemas.openxmlformats.org/officeDocument/2006/relationships" name="계획월" sheetId="6" state="visible" r:id="rId6"/>
    <sheet xmlns:r="http://schemas.openxmlformats.org/officeDocument/2006/relationships" name="2025년 자금실적" sheetId="7" state="visible" r:id="rId7"/>
    <sheet xmlns:r="http://schemas.openxmlformats.org/officeDocument/2006/relationships" name="2026년 자금실적" sheetId="8" state="visible" r:id="rId8"/>
  </sheets>
  <externalReferences>
    <externalReference xmlns:r="http://schemas.openxmlformats.org/officeDocument/2006/relationships" r:id="rId9"/>
    <externalReference xmlns:r="http://schemas.openxmlformats.org/officeDocument/2006/relationships" r:id="rId10"/>
    <externalReference xmlns:r="http://schemas.openxmlformats.org/officeDocument/2006/relationships" r:id="rId11"/>
    <externalReference xmlns:r="http://schemas.openxmlformats.org/officeDocument/2006/relationships" r:id="rId12"/>
    <externalReference xmlns:r="http://schemas.openxmlformats.org/officeDocument/2006/relationships" r:id="rId13"/>
    <externalReference xmlns:r="http://schemas.openxmlformats.org/officeDocument/2006/relationships" r:id="rId14"/>
    <externalReference xmlns:r="http://schemas.openxmlformats.org/officeDocument/2006/relationships" r:id="rId15"/>
  </externalReferences>
  <definedNames>
    <definedName name="____o2" hidden="1">'[1]#REF'!$A$206:$Q$214</definedName>
    <definedName name="___o2" hidden="1">'[1]#REF'!$A$206:$Q$214</definedName>
    <definedName name="__123Graph_A" hidden="1">#REF!</definedName>
    <definedName name="__hq1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__o2" hidden="1">'[1]#REF'!$A$206:$Q$214</definedName>
    <definedName name="__wrn3" hidden="1">{#N/A,#N/A,FALSE,"Aging Summary";#N/A,#N/A,FALSE,"Ratio Analysis";#N/A,#N/A,FALSE,"Test 120 Day Accts";#N/A,#N/A,FALSE,"Tickmarks"}</definedName>
    <definedName name="_15" hidden="1">{#N/A,#N/A,TRUE,"Summary";#N/A,#N/A,TRUE,"Financials"}</definedName>
    <definedName name="_16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_17" hidden="1">{#N/A,#N/A,TRUE,"Summary";#N/A,#N/A,TRUE,"Financials";#N/A,#N/A,TRUE,"Assumptions";#N/A,#N/A,TRUE,"Pro Forma";#N/A,#N/A,TRUE,"Debt";#N/A,#N/A,TRUE,"Amortization";#N/A,#N/A,TRUE,"GG Returns"}</definedName>
    <definedName name="_18" hidden="1">{#N/A,#N/A,TRUE,"Summary";#N/A,#N/A,TRUE,"Assumptions";#N/A,#N/A,TRUE,"Comparison";#N/A,#N/A,TRUE,"Financials";#N/A,#N/A,TRUE,"Plan v. Act"}</definedName>
    <definedName name="_21" hidden="1">{#N/A,#N/A,TRUE,"Summary";#N/A,#N/A,TRUE,"Financials"}</definedName>
    <definedName name="_22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_23" hidden="1">{#N/A,#N/A,TRUE,"Summary";#N/A,#N/A,TRUE,"Financials";#N/A,#N/A,TRUE,"Assumptions";#N/A,#N/A,TRUE,"Pro Forma";#N/A,#N/A,TRUE,"Debt";#N/A,#N/A,TRUE,"Amortization";#N/A,#N/A,TRUE,"GG Returns"}</definedName>
    <definedName name="_235" hidden="1">{#N/A,#N/A,TRUE,"Summary";#N/A,#N/A,TRUE,"Financials";#N/A,#N/A,TRUE,"Assumptions";#N/A,#N/A,TRUE,"Pro Forma";#N/A,#N/A,TRUE,"Debt";#N/A,#N/A,TRUE,"Amortization";#N/A,#N/A,TRUE,"GG Returns"}</definedName>
    <definedName name="_24" hidden="1">{#N/A,#N/A,TRUE,"Summary";#N/A,#N/A,TRUE,"Assumptions";#N/A,#N/A,TRUE,"Comparison";#N/A,#N/A,TRUE,"Financials";#N/A,#N/A,TRUE,"Plan v. Act"}</definedName>
    <definedName name="_cp2000" hidden="1">{"CEOReportPart1",#N/A,FALSE,"Quarterly";"CEOReportPart2",#N/A,FALSE,"Quarterly";"CEOReportPart3",#N/A,FALSE,"Allocations"}</definedName>
    <definedName name="_cp20000" hidden="1">{"CEOReportPart1",#N/A,FALSE,"Quarterly";"CEOReportPart2",#N/A,FALSE,"Quarterly";"CEOReportPart3",#N/A,FALSE,"Allocations"}</definedName>
    <definedName name="_Fill" hidden="1">[4]현금흐름표!#REF!</definedName>
    <definedName name="_hq1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_k1" hidden="1">[1]ST!#REF!</definedName>
    <definedName name="_k2" hidden="1">[1]ST!#REF!</definedName>
    <definedName name="_Key1" hidden="1">[4]Sheet3!$F$45</definedName>
    <definedName name="_Key2" hidden="1">[1]Sheet2!#REF!</definedName>
    <definedName name="_Key3" hidden="1">#REF!</definedName>
    <definedName name="_KTM10" hidden="1">{#N/A,#N/A,FALSE,"현장 NCR 분석";#N/A,#N/A,FALSE,"현장품질감사";#N/A,#N/A,FALSE,"현장품질감사"}</definedName>
    <definedName name="_o2" hidden="1">'[1]#REF'!$A$206:$Q$214</definedName>
    <definedName name="_o3" hidden="1">'[1]#REF'!$A$206:$Q$214</definedName>
    <definedName name="_oo" hidden="1">'[1]#REF'!#REF!</definedName>
    <definedName name="_oo1" hidden="1">'[1]#REF'!#REF!</definedName>
    <definedName name="_op" hidden="1">[1]ST!#REF!</definedName>
    <definedName name="_op1" hidden="1">[1]ST!#REF!</definedName>
    <definedName name="_Order1" hidden="1">0</definedName>
    <definedName name="_Order2" hidden="1">255</definedName>
    <definedName name="_s1" hidden="1">'[1]#REF'!$A$206:$Q$214</definedName>
    <definedName name="_s2" hidden="1">'[1]#REF'!$A$206:$Q$214</definedName>
    <definedName name="_Sort" hidden="1">[1]Sheet3!$A$206:$Q$214</definedName>
    <definedName name="_Table1_In1" hidden="1">[4]Sheet3!$F$45</definedName>
    <definedName name="_Table1_Out" hidden="1">[4]Sheet3!$F$45</definedName>
    <definedName name="_ui" hidden="1">'[1]#REF'!$A$206:$Q$214</definedName>
    <definedName name="_ui1" hidden="1">'[1]#REF'!$A$206:$Q$214</definedName>
    <definedName name="_wrn.Aging._.and._.Trend._.Analysis" hidden="1">{#N/A,#N/A,FALSE,"Aging Summary";#N/A,#N/A,FALSE,"Ratio Analysis";#N/A,#N/A,FALSE,"Test 120 Day Accts";#N/A,#N/A,FALSE,"Tickmarks"}</definedName>
    <definedName name="_wrn3" hidden="1">{#N/A,#N/A,FALSE,"Aging Summary";#N/A,#N/A,FALSE,"Ratio Analysis";#N/A,#N/A,FALSE,"Test 120 Day Accts";#N/A,#N/A,FALSE,"Tickmarks"}</definedName>
    <definedName name="_xleta.SUM" hidden="1" xlm="1">#NAME?</definedName>
    <definedName name="_xlpm.a" hidden="1" xlm="1">#NAME?</definedName>
    <definedName name="_xlpm.b" hidden="1" xlm="1">#NAME?</definedName>
    <definedName name="_xlpm.값" hidden="1" xlm="1">#NAME?</definedName>
    <definedName name="_xlpm.결과" hidden="1" xlm="1">#NAME?</definedName>
    <definedName name="_xlpm.고유그룹" hidden="1" xlm="1">#NAME?</definedName>
    <definedName name="_xlpm.그룹" hidden="1" xlm="1">#NAME?</definedName>
    <definedName name="_xlpm.대상값들" hidden="1" xlm="1">#NAME?</definedName>
    <definedName name="_xlpm.대표적요" hidden="1" xlm="1">#NAME?</definedName>
    <definedName name="_xlpm.숫자열" hidden="1" xlm="1">#NAME?</definedName>
    <definedName name="_xlpm.원값범위" hidden="1" xlm="1">#NAME?</definedName>
    <definedName name="_xlpm.적" hidden="1" xlm="1">#NAME?</definedName>
    <definedName name="_xlpm.적요범위" hidden="1" xlm="1">#NAME?</definedName>
    <definedName name="_xlpm.적요열" hidden="1" xlm="1">#NAME?</definedName>
    <definedName name="_xlpm.제외조건" hidden="1" xlm="1">#NAME?</definedName>
    <definedName name="_xlpm.최대값" hidden="1" xlm="1">#NAME?</definedName>
    <definedName name="_xlpm.필터행" hidden="1" xlm="1">#NAME?</definedName>
    <definedName name="_xlpm.합계값" hidden="1" xlm="1">#NAME?</definedName>
    <definedName name="_xlpm.항" hidden="1" xlm="1">#NAME?</definedName>
    <definedName name="_xlpm.항목1" hidden="1" xlm="1">#NAME?</definedName>
    <definedName name="_xlpm.항목범위" hidden="1" xlm="1">#NAME?</definedName>
    <definedName name="_xlpm.항목열" hidden="1" xlm="1">#NAME?</definedName>
    <definedName name="_xlpm.해당값들" hidden="1" xlm="1">#NAME?</definedName>
    <definedName name="_xlpm.해당적요" hidden="1" xlm="1">#NAME?</definedName>
    <definedName name="_xlpm.행" hidden="1" xlm="1">#NAME?</definedName>
    <definedName name="_xlpm.환" hidden="1" xlm="1">#NAME?</definedName>
    <definedName name="_xlpm.환종1" hidden="1" xlm="1">#NAME?</definedName>
    <definedName name="_xlpm.환종범위" hidden="1" xlm="1">#NAME?</definedName>
    <definedName name="_xlpm.환종열" hidden="1" xlm="1">#NAME?</definedName>
    <definedName name="aa" hidden="1">{#N/A,#N/A,FALSE,"JULY WCE";#N/A,#N/A,FALSE,"Central - Doug July";#N/A,#N/A,FALSE,"East - Dave July";#N/A,#N/A,FALSE,"West - Lee - July"}</definedName>
    <definedName name="aaa" hidden="1">{"CSN M Detail",#N/A,FALSE,"Sch M Detail"}</definedName>
    <definedName name="AS2HasNoAutoHeaderFooter" hidden="1">" "</definedName>
    <definedName name="AS2TickmarkLS" hidden="1">#REF!</definedName>
    <definedName name="asdf" hidden="1">#REF!</definedName>
    <definedName name="ASSUMPTIONS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bak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bbb" hidden="1">{"CSN M Detail",#N/A,FALSE,"Sch M Detail"}</definedName>
    <definedName name="bbbb" hidden="1">{#N/A,#N/A,FALSE,"JULY WCE";#N/A,#N/A,FALSE,"Central - Doug July";#N/A,#N/A,FALSE,"East - Dave July";#N/A,#N/A,FALSE,"West - Lee - July"}</definedName>
    <definedName name="CAP1B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cpm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cpq" hidden="1">{"Quarterly",#N/A,FALSE,"Quarterly"}</definedName>
    <definedName name="cps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cpy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ee" hidden="1">[4]ST!#REF!</definedName>
    <definedName name="eee.ooo" hidden="1">{"CSN M Detail",#N/A,FALSE,"Sch M Detail"}</definedName>
    <definedName name="eee.ppp" hidden="1">{"CSN M Detail",#N/A,FALSE,"Sch M Detail"}</definedName>
    <definedName name="EV__CVPARAMS__" hidden="1">"Report!$B$31:$C$40;"</definedName>
    <definedName name="EV__EVCOM_OPTIONS__" hidden="1">8</definedName>
    <definedName name="EV__EXPOPTIONS__" hidden="1">0</definedName>
    <definedName name="EV__LASTREFTIME__" hidden="1">"2009-11-17 오후 1:06:31"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134217783</definedName>
    <definedName name="EV__WBVERSION__" hidden="1">0</definedName>
    <definedName name="FDAS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ff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GGG" hidden="1">[1]ST!#REF!</definedName>
    <definedName name="HQ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HTML1_1" hidden="1">"[수주관리98.xls]회선현황!$A$5:$O$53"</definedName>
    <definedName name="HTML10_1" hidden="1">"'[수주관리98.xls]2월1주차'!$A$1:$P$31"</definedName>
    <definedName name="HTML11_1" hidden="1">"'[수주관리98.xls]2월2주차'!$A$1:$P$21"</definedName>
    <definedName name="HTML12_1" hidden="1">"'[수주관리98.xls]2월2주차'!$A$1:$P$34"</definedName>
    <definedName name="HTML13_1" hidden="1">"'[수주관리98.xls]2월2주차'!$A$1:$P$19"</definedName>
    <definedName name="HTML14_1" hidden="1">"'[수주관리98.xls]2월2주차'!$A$1:$P$17"</definedName>
    <definedName name="HTML15_1" hidden="1">"'[수주관리98.xls]2월3주차'!$A$1:$P$20"</definedName>
    <definedName name="HTML16_1" hidden="1">"'[수주통합관리98_2_21.xls]2월3주차'!$A$1:$I$89"</definedName>
    <definedName name="HTML17_1" hidden="1">"'[수주통합관리98_2_21.xls]2월3주차'!$A$4:$H$30"</definedName>
    <definedName name="HTML18_1" hidden="1">"'[수주통합관리98_2_21.xls]2월3주차'!$A$32:$I$58"</definedName>
    <definedName name="HTML19_1" hidden="1">"'[수주통합관리98_2_21.xls]2월3주차'!$A$63:$F$89"</definedName>
    <definedName name="HTML2_1" hidden="1">"[수주관리98.xls]일일현황!$A$1:$L$10"</definedName>
    <definedName name="HTML20_1" hidden="1">"'[수주통합관리98_2_25.xls]2월4주차'!$A$71:$F$97"</definedName>
    <definedName name="HTML21_1" hidden="1">"'[수주통합관리98_2_25.xls]2월4주차'!$A$4:$H$29"</definedName>
    <definedName name="HTML22_1" hidden="1">"'[수주통합관리98_2_25.xls]2월4주차'!$A$31:$I$66"</definedName>
    <definedName name="HTML23_1" hidden="1">"[수주통합관리98_2_25.xls]보고양식!$A$32:$I$68"</definedName>
    <definedName name="HTML24_1" hidden="1">"[수주통합관리98_2_25.xls]보고양식!$A$73:$F$98"</definedName>
    <definedName name="HTML25_1" hidden="1">"[수주통합관리98_2_25.xls]보고양식!$A$4:$I$29"</definedName>
    <definedName name="HTML26_1" hidden="1">"[수주통합관리98_2_25.xls]보고양식!$A$31:$K$80"</definedName>
    <definedName name="HTML27_1" hidden="1">"[수주통합관리98_2_25.xls]보고양식!$B$84:$G$109"</definedName>
    <definedName name="HTML28_1" hidden="1">"[수주통합관리98_3_2.xls]보고양식!$B$92:$G$117"</definedName>
    <definedName name="HTML29_1" hidden="1">"[수주통합관리98_3_2.xls]보고양식!$A$31:$K$88"</definedName>
    <definedName name="HTML3_1" hidden="1">"[수주관리98.xls]일일현황!$A$1:$N$9"</definedName>
    <definedName name="HTML30_1" hidden="1">"'[사본 - 영업통합관리(수주.매출).xls]보고양식'!$A$114:$K$131"</definedName>
    <definedName name="HTML4_1" hidden="1">"[수주관리98.xls]영업!$A$1:$N$15"</definedName>
    <definedName name="HTML5_1" hidden="1">"[수주관리98.xls]영업!$A$1:$N$29"</definedName>
    <definedName name="HTML6_1" hidden="1">"'[수주관리98.xls]2월'!$A$1:$P$48"</definedName>
    <definedName name="HTML7_1" hidden="1">"'[수주관리98.xls]2월'!$A$3:$P$30"</definedName>
    <definedName name="HTML8_1" hidden="1">"'[수주관리98.xls]2월'!$A$1:$P$30"</definedName>
    <definedName name="HTML9_1" hidden="1">"'[수주관리98.xls]2월'!$A$1:$P$19"</definedName>
    <definedName name="ibv" hidden="1">'[1]#REF'!$A$206:$Q$214</definedName>
    <definedName name="inv" hidden="1">[1]ST!#REF!</definedName>
    <definedName name="j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kcsq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KDCSS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KIECO" hidden="1">[1]ST!#REF!</definedName>
    <definedName name="kkk.pp" hidden="1">{"Ofcr Comp WP",#N/A,FALSE,"Ofcr Comp"}</definedName>
    <definedName name="kkkkk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ll.pp" hidden="1">{"SchMpg1",#N/A,FALSE,"TR Sch M";"SchMpg2",#N/A,FALSE,"TR Sch M"}</definedName>
    <definedName name="lll.ll" hidden="1">{"SchMpg1",#N/A,FALSE,"TR Sch M";"SchMpg2",#N/A,FALSE,"TR Sch M"}</definedName>
    <definedName name="mlr" hidden="1">{#N/A,#N/A,FALSE,"JULY WCE";#N/A,#N/A,FALSE,"Central - Doug July";#N/A,#N/A,FALSE,"East - Dave July";#N/A,#N/A,FALSE,"West - Lee - July"}</definedName>
    <definedName name="mon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monst" hidden="1">{#N/A,#N/A,FALSE,"Cvr";#N/A,#N/A,FALSE,"P&amp;L summ2";#N/A,#N/A,FALSE,"CFO ";#N/A,#N/A,FALSE,"P&amp;L by BU";#N/A,#N/A,FALSE,"BS (Hardcoded)";#N/A,#N/A,FALSE,"CF-Hardcode";#N/A,#N/A,FALSE,"Highlights"}</definedName>
    <definedName name="oo" hidden="1">'[1]#REF'!#REF!</definedName>
    <definedName name="op" hidden="1">[1]ST!#REF!</definedName>
    <definedName name="phil" hidden="1">{#N/A,#N/A,TRUE,"Summary";#N/A,#N/A,TRUE,"Assumptions";#N/A,#N/A,TRUE,"Comparison";#N/A,#N/A,TRUE,"Financials";#N/A,#N/A,TRUE,"Plan v. Act"}</definedName>
    <definedName name="pots" hidden="1">{"Ofcr Comp Stmt 4",#N/A,FALSE,"Ofcr Comp"}</definedName>
    <definedName name="pro" hidden="1">{#N/A,#N/A,FALSE,"PROJSUM";#N/A,#N/A,FALSE,"1450";#N/A,#N/A,FALSE,"2430";#N/A,#N/A,FALSE,"2700"}</definedName>
    <definedName name="qqqqqq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qua" hidden="1">{"Quarterly",#N/A,FALSE,"Quarterly"}</definedName>
    <definedName name="ReportGroup" hidden="1">0</definedName>
    <definedName name="RevModel2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rlghlrwpvnc" hidden="1">{"'경비내역'!$E$11"}</definedName>
    <definedName name="RRR" hidden="1">#REF!</definedName>
    <definedName name="SAPBEXdnldView" hidden="1">"44TIHISKDVAESWFGXCYF719ND"</definedName>
    <definedName name="sha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SSS" hidden="1">#REF!</definedName>
    <definedName name="test2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test3" hidden="1">{#N/A,#N/A,TRUE,"Summary";#N/A,#N/A,TRUE,"Financials";#N/A,#N/A,TRUE,"Assumptions";#N/A,#N/A,TRUE,"Pro Forma";#N/A,#N/A,TRUE,"Debt";#N/A,#N/A,TRUE,"Amortization";#N/A,#N/A,TRUE,"GG Returns"}</definedName>
    <definedName name="test4" hidden="1">{#N/A,#N/A,TRUE,"Summary";#N/A,#N/A,TRUE,"Assumptions";#N/A,#N/A,TRUE,"Comparison";#N/A,#N/A,TRUE,"Financials";#N/A,#N/A,TRUE,"Plan v. Act"}</definedName>
    <definedName name="ui" hidden="1">'[1]#REF'!$A$206:$Q$214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wew" hidden="1">'[4]Adj(Actual_Summary_July)'!$F$45</definedName>
    <definedName name="wrn" hidden="1">{"CEOReportPart1",#N/A,FALSE,"Quarterly";"CEOReportPart2",#N/A,FALSE,"Quarterly";"CEOReportPart3",#N/A,FALSE,"Allocations"}</definedName>
    <definedName name="wrn.1996._.Budget._.Support._.Schedules." hidden="1">{#N/A,#N/A,FALSE,"Revenue";#N/A,#N/A,FALSE,"Scientific Consult and Collabor";#N/A,#N/A,FALSE,"Development costs";#N/A,#N/A,FALSE,"Lab Supl. Alloc";#N/A,#N/A,FALSE,"Facilities Expense";#N/A,#N/A,FALSE,"Equip Exp";#N/A,#N/A,FALSE,"T&amp;E";#N/A,#N/A,FALSE,"Prof fees";#N/A,#N/A,FALSE,"Capex accounts";#N/A,#N/A,FALSE,"Capex list"}</definedName>
    <definedName name="wrn.ACCTRECONS." hidden="1">{#N/A,#N/A,FALSE,"1110";#N/A,#N/A,FALSE,"1120";#N/A,#N/A,FALSE,"1140";#N/A,#N/A,FALSE,"1150";#N/A,#N/A,FALSE,"chalmers";#N/A,#N/A,FALSE,"gentner";#N/A,#N/A,FALSE,"1230";#N/A,#N/A,FALSE,"PPD INS";#N/A,#N/A,FALSE,"1260";#N/A,#N/A,FALSE,"PPD SVC";#N/A,#N/A,FALSE,"1950";#N/A,#N/A,FALSE,"1960";#N/A,#N/A,FALSE,"2040";#N/A,#N/A,FALSE,"2165";#N/A,#N/A,FALSE,"2200";#N/A,#N/A,FALSE,"2300-2590";#N/A,#N/A,FALSE,"2410";#N/A,#N/A,FALSE,"2600";#N/A,#N/A,FALSE,"3030";#N/A,#N/A,FALSE,"3-31 Adj";#N/A,#N/A,FALSE,"3800";#N/A,#N/A,FALSE,"3850 (REG D)";#N/A,#N/A,FALSE,"3850 (IPO)";#N/A,#N/A,FALSE,"3910-1000";#N/A,#N/A,FALSE,"3950";#N/A,#N/A,FALSE,"3-31 Adj";#N/A,#N/A,FALSE,"Consult and Colab";#N/A,#N/A,FALSE,"Seminars and Cont Ed";#N/A,#N/A,FALSE,"LEASES"}</definedName>
    <definedName name="wrn.ACHESON94TAXRETURN." hidden="1">{#N/A,#N/A,FALSE,"일반적사항";#N/A,#N/A,FALSE,"주요재무자료";#N/A,#N/A,FALSE,"표지";#N/A,#N/A,FALSE,"총괄표";#N/A,#N/A,FALSE,"1호 과표세액";#N/A,#N/A,FALSE,"1-2호 농어촌과표";#N/A,#N/A,FALSE,"2호 서식";#N/A,#N/A,FALSE,"3(1)호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접대(을)";#N/A,#N/A,FALSE,"6-6호(부표) 자본적지출";#N/A,#N/A,FALSE,"6-10호 재고자산";#N/A,#N/A,FALSE,"6-11호 세금과공과";#N/A,#N/A,FALSE,"6-12호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PL";#N/A,#N/A,FALSE,"요약원가";#N/A,#N/A,FALSE,"요약RE"}</definedName>
    <definedName name="wrn.Aging._.and._.Trend._.Analysis." hidden="1">{#N/A,#N/A,FALSE,"Aging Summary";#N/A,#N/A,FALSE,"Ratio Analysis";#N/A,#N/A,FALSE,"Test 120 Day Accts";#N/A,#N/A,FALSE,"Tickmarks"}</definedName>
    <definedName name="wrn.ALL." hidden="1">{#N/A,#N/A,FALSE,"מאזן";#N/A,#N/A,FALSE,"רווהפ";#N/A,#N/A,FALSE,"שינויים בהון";#N/A,#N/A,FALSE,"תזרים";#N/A,#N/A,FALSE,"נספח - התאמות";#N/A,#N/A,FALSE,"ני""ע לתזרים";#N/A,#N/A,FALSE,"פירוטים לדוחות"}</definedName>
    <definedName name="wrn.All._.Sheets.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wrn.ASN." hidden="1">{#N/A,#N/A,FALSE,"ASN YTD";#N/A,#N/A,FALSE,"122 DOS MD HP HMO";#N/A,#N/A,FALSE,"122 UR MD HP HMO";#N/A,#N/A,FALSE,"123 DOS MD HP TPA";#N/A,#N/A,FALSE,"123 UR MD HP TPA";#N/A,#N/A,FALSE,"124 DOS MD HP Medicaid";#N/A,#N/A,FALSE,"124 UR MD HP Medicaid";#N/A,#N/A,FALSE,"131 DOS MD HP HMO-OON";#N/A,#N/A,FALSE,"131 UR MD HP HMO-OON";#N/A,#N/A,FALSE,"133 DOS MD HP WC";#N/A,#N/A,FALSE,"133 UR MD HP WC";#N/A,#N/A,FALSE,"135 DOS MD HP TPA-OON";#N/A,#N/A,FALSE,"135 UR MD HP TPA-OON";#N/A,#N/A,FALSE,"136 DOS MD HP Medicaid-OON";#N/A,#N/A,FALSE,"136 UR MD HP Medicaid-OON";#N/A,#N/A,FALSE,"141 DOS MD HP POS OON";#N/A,#N/A,FALSE,"141 UR MD HP POS OON";#N/A,#N/A,FALSE,"142 DOS MD HP Indemnity";#N/A,#N/A,FALSE,"142 UR MD HP Indemnity"}</definedName>
    <definedName name="wrn.ASO." hidden="1">{"ASO 1996",#N/A,FALSE,"DOS YTD";#N/A,#N/A,FALSE,"19-20-21-39-47 DOS MetLife";#N/A,#N/A,FALSE,"19-20-21-39-47 UR MetLife";#N/A,#N/A,FALSE,"24 DOS PacifiCare of CA PPO";#N/A,#N/A,FALSE,"24 UR PacifiCare of CA PPO";#N/A,#N/A,FALSE,"25 DOS Lincoln Hospital";#N/A,#N/A,FALSE,"25 UR Lincoln Hospital";#N/A,#N/A,FALSE,"31 DOS Blue Cross Rural";#N/A,#N/A,FALSE,"31 UR Blue Cross Rural";#N/A,#N/A,FALSE,"40 DOS Intel";#N/A,#N/A,FALSE,"40 UR Intel";#N/A,#N/A,FALSE,"41 DOS Intel";#N/A,#N/A,FALSE,"41 UR Intel";#N/A,#N/A,FALSE,"43 DOS Blue Cross-Metro";#N/A,#N/A,FALSE,"43 UR Blue Cross-Metro";#N/A,#N/A,FALSE,"46 DOS E &amp; E Trust";#N/A,#N/A,FALSE,"46 UR E &amp; E Trust";#N/A,#N/A,FALSE,"64 DOS CIGNA of CA";#N/A,#N/A,FALSE,"64 UR CIGNA of CA";#N/A,#N/A,FALSE,"65 DOS CT General";#N/A,#N/A,FALSE,"65 UR CT General";#N/A,#N/A,FALSE,"72 DOS Misc Teamsters";#N/A,#N/A,FALSE,"72 UR Misc Teamsters";#N/A,#N/A,FALSE,"74 DOS Teamsters &amp; Food";#N/A,#N/A,FALSE,"74 UR Teamsters &amp; Food";#N/A,#N/A,FALSE,"85 DOS Nationwide";#N/A,#N/A,FALSE,"85 UR Nationwide";#N/A,#N/A,FALSE,"102 DOS CIGNA for Seniors";#N/A,#N/A,FALSE,"102 UR CIGNA for Seniors";#N/A,#N/A,FALSE,"111 DOS Prudential PG&amp;E";#N/A,#N/A,FALSE,"111 UR Prudential PG&amp;E";#N/A,#N/A,FALSE,"114 DOS CA Firefighters";#N/A,#N/A,FALSE,"114 UR CA Firefighters";#N/A,#N/A,FALSE,"121 DOS HPR Plus";#N/A,#N/A,FALSE,"121 UR HPR Plus";#N/A,#N/A,FALSE,"163 DOS Sceet-Blue Cross";#N/A,#N/A,FALSE,"163 UR Sceet-Blue Cross";#N/A,#N/A,FALSE,"164 DOS Prudential Healthcare";#N/A,#N/A,FALSE,"164 UR Prudential Healthcare"}</definedName>
    <definedName name="wrn.ASO1." hidden="1">{"ASO",#N/A,FALSE,"1995 YTD";#N/A,#N/A,FALSE,"20-39-47 DOS MetLife";#N/A,#N/A,FALSE,"20-39-47 UR MetLife";#N/A,#N/A,FALSE,"25 DOS Lincoln Hospital";#N/A,#N/A,FALSE,"25 UR Lincoln Hospital";#N/A,#N/A,FALSE,"31 DOS Blue Cross Rural";#N/A,#N/A,FALSE,"31 UR Blue Cross Rural";#N/A,#N/A,FALSE,"33 DOS Pacificare";#N/A,#N/A,FALSE,"33 UR PacifiCare";#N/A,#N/A,FALSE,"40 DOS Intel";#N/A,#N/A,FALSE,"40 UR Intel";#N/A,#N/A,FALSE,"41 DOS Intel";#N/A,#N/A,FALSE,"41 UR Intel";#N/A,#N/A,FALSE,"43 DOS Blue Cross-Metro";#N/A,#N/A,FALSE,"43 UR Blue Cross-Metro";#N/A,#N/A,FALSE,"46 DOS E &amp; E Trust";#N/A,#N/A,FALSE,"46 UR E &amp; E Trust";#N/A,#N/A,FALSE,"50 DOS CIGNA AZ Flex";#N/A,#N/A,FALSE,"50 UR CIGNA AZ Flex";#N/A,#N/A,FALSE,"51 DOS Mid Americare";#N/A,#N/A,FALSE,"51 UR Mid Americare";#N/A,#N/A,FALSE,"60 DOS Prudential";#N/A,#N/A,FALSE,"60 UR Prudential";#N/A,#N/A,FALSE,"62 DOS NWNL";#N/A,#N/A,FALSE,"62 UR NWNL";#N/A,#N/A,FALSE,"63 DOS Samaritan Plus";#N/A,#N/A,FALSE,"63 UR Samaritan Plus";#N/A,#N/A,FALSE,"64 DOS CIGNA of CA";#N/A,#N/A,FALSE,"64 UR CIGNA of CA";#N/A,#N/A,FALSE,"65 DOS CT General";#N/A,#N/A,FALSE,"65 UR CT General";#N/A,#N/A,FALSE,"72 DOS Misc Teamsters";#N/A,#N/A,FALSE,"72 UR Misc Teamsters";#N/A,#N/A,FALSE,"74 DOS Teamsters &amp; Food";#N/A,#N/A,FALSE,"74 UR Teamsters &amp; Food";#N/A,#N/A,FALSE,"85 DOS Nationwide";#N/A,#N/A,FALSE,"85 UR Nationwide";#N/A,#N/A,FALSE,"90 DOS Aetna PPO";#N/A,#N/A,FALSE,"90 UR Aetna PPO";#N/A,#N/A,FALSE,"91 DOS Aetna POS";#N/A,#N/A,FALSE,"91 UR Aetna POS";#N/A,#N/A,FALSE,"94 DOS Aetna Amdahl";#N/A,#N/A,FALSE,"94 UR Aetna Amdahl";#N/A,#N/A,FALSE,"102 DOS CIGNA for Seniors";#N/A,#N/A,FALSE,"102 UR CIGNA for Seniors";#N/A,#N/A,FALSE,"111 DOS Prudential PG&amp;E";#N/A,#N/A,FALSE,"111 UR Prudential PG&amp;E";#N/A,#N/A,FALSE,"114 DOS CA Firefighters";#N/A,#N/A,FALSE,"114 UR CA Firefighters"}</definedName>
    <definedName name="wrn.BT._.Sch._.M._.Detail." hidden="1">{"Sch M Detail",#N/A,FALSE,"Sch M Detail"}</definedName>
    <definedName name="wrn.Capitated." hidden="1">{"HMO",#N/A,FALSE,"1995 YTD";#N/A,#N/A,FALSE,"1995 UR YTD";#N/A,#N/A,FALSE,"23 DOS PacifiCare HMO";#N/A,#N/A,FALSE,"23 UR PacifiCare HMO";#N/A,#N/A,FALSE,"32 DOS HealthNet";#N/A,#N/A,FALSE,"32 UR HealthNet";#N/A,#N/A,FALSE,"68 DOS HN Seniority Plus";#N/A,#N/A,FALSE,"68 UR HN Seniority Plus";#N/A,#N/A,FALSE,"71 DOS CA Care";#N/A,#N/A,FALSE,"71 UR CA Care";#N/A,#N/A,FALSE,"80 DOS Sharp";#N/A,#N/A,FALSE,"80 UR Sharp";#N/A,#N/A,FALSE,"88 DOS CIGNA VEBA";#N/A,#N/A,FALSE,"88 UR CIGNA VEBA";#N/A,#N/A,FALSE,"93 DOS Aetna HMO";#N/A,#N/A,FALSE,"93 UR Aetna HMO";#N/A,#N/A,FALSE,"100 DOS ACN Health Plan";#N/A,#N/A,FALSE,"100 UR ACN Health Plan";#N/A,#N/A,FALSE,"101 DOS Aetna Senior Choice";#N/A,#N/A,FALSE,"101 UR Aetna Senior Choice";#N/A,#N/A,FALSE,"112 DOS Prucare of CA HMO";#N/A,#N/A,FALSE,"112 UR Prucare of CA HMO"}</definedName>
    <definedName name="wrn.CEOReport." hidden="1">{"CEOReportPart1",#N/A,FALSE,"Quarterly";"CEOReportPart2",#N/A,FALSE,"Quarterly";"CEOReportPart3",#N/A,FALSE,"Allocations"}</definedName>
    <definedName name="wrn.CIC94TAX.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첨부(익)";#N/A,#N/A,FALSE,"6호 첨부(손)";#N/A,#N/A,FALSE,"6-1호 수입금액";#N/A,#N/A,FALSE,"6-3호 퇴충";#N/A,#N/A,FALSE,"6-4호 접대(갑)";#N/A,#N/A,FALSE,"6-4호 접대(을)";#N/A,#N/A,FALSE,"감가총괄";#N/A,#N/A,FALSE,"6-6(3)호 감가(정액)";#N/A,#N/A,FALSE,"전기부인액추인";#N/A,#N/A,FALSE,"6-6호(부표) 자본적지출";#N/A,#N/A,FALSE,"6-10호 재고자산";#N/A,#N/A,FALSE,"6-11호 세금과공과";#N/A,#N/A,FALSE,"6-12호 선급비용";#N/A,#N/A,FALSE,"9호 자본금(갑)";#N/A,#N/A,FALSE,"9호 자본금(을)";#N/A,#N/A,FALSE,"10(4)호 조정수입";#N/A,#N/A,FALSE,"59호 해외특수"}</definedName>
    <definedName name="wrn.consbud." hidden="1">{#N/A,#N/A,FALSE,"INC STMT";#N/A,#N/A,FALSE,"SOCF";#N/A,#N/A,FALSE,"OTHER"}</definedName>
    <definedName name="wrn.contributory._.asset._.charges." hidden="1">{"contributory1",#N/A,FALSE,"Contributory Assets Detail";"contributory2",#N/A,FALSE,"Contributory Assets Detail"}</definedName>
    <definedName name="wrn.COSA._.FS._.국문." hidden="1">{#N/A,#N/A,FALSE,"BS";#N/A,#N/A,FALSE,"PL";#N/A,#N/A,FALSE,"처분";#N/A,#N/A,FALSE,"현금";#N/A,#N/A,FALSE,"매출";#N/A,#N/A,FALSE,"원가";#N/A,#N/A,FALSE,"경영"}</definedName>
    <definedName name="wrn.cp1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1quarterly" hidden="1">{"Quarterly",#N/A,FALSE,"Quarterly"}</definedName>
    <definedName name="wrn.cp1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1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p2ceoreport" hidden="1">{"CEOReportPart1",#N/A,FALSE,"Quarterly";"CEOReportPart2",#N/A,FALSE,"Quarterly";"CEOReportPart3",#N/A,FALSE,"Allocations"}</definedName>
    <definedName name="wrn.cp2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2quarterly" hidden="1">{"Quarterly",#N/A,FALSE,"Quarterly"}</definedName>
    <definedName name="wrn.cp2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2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p3.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3ceoreport" hidden="1">{"CEOReportPart1",#N/A,FALSE,"Quarterly";"CEOReportPart2",#N/A,FALSE,"Quarterly";"CEOReportPart3",#N/A,FALSE,"Allocations"}</definedName>
    <definedName name="wrn.cp3quarterly" hidden="1">{"Quarterly",#N/A,FALSE,"Quarterly"}</definedName>
    <definedName name="wrn.cp3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3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pceoreport" hidden="1">{"CEOReportPart1",#N/A,FALSE,"Quarterly";"CEOReportPart2",#N/A,FALSE,"Quarterly";"CEOReportPart3",#N/A,FALSE,"Allocations"}</definedName>
    <definedName name="wrn.cp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quarterly" hidden="1">{"Quarterly",#N/A,FALSE,"Quarterly"}</definedName>
    <definedName name="wrn.cp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riteria.95p." hidden="1">{#N/A,#N/A,FALSE,"1.CRITERIA";#N/A,#N/A,FALSE,"2.IS";#N/A,#N/A,FALSE,"3.BS";#N/A,#N/A,FALSE,"4.PER PL";#N/A,#N/A,FALSE,"5.INVESTMENT";#N/A,#N/A,FALSE,"6.공문";#N/A,#N/A,FALSE,"7.netinvest"}</definedName>
    <definedName name="wrn.CSN._.M._.Detail." hidden="1">{"CSN M Detail",#N/A,FALSE,"Sch M Detail"}</definedName>
    <definedName name="wrn.Customer_base." hidden="1">{"customer base",#N/A,FALSE,"customer_base";"customer base perf estimates",#N/A,FALSE,"customer_base"}</definedName>
    <definedName name="wrn.documentation." hidden="1">{"documentation1",#N/A,FALSE,"Documentation";"documentation2",#N/A,FALSE,"Documentation"}</definedName>
    <definedName name="wrn.DPI._.Summary." hidden="1">{#N/A,#N/A,TRUE,"Summary";#N/A,#N/A,TRUE,"Financials"}</definedName>
    <definedName name="wrn.Fcst._.by._.Mon." hidden="1">{"Fcst by Mon Full",#N/A,FALSE,"Tot PalmPalm";"Fcst by Mon Full",#N/A,FALSE,"Tot Device";"Fcst by Mon Full",#N/A,FALSE,"Platform";"Fcst by Mon Full",#N/A,FALSE,"Palm.Net";"Fcst by Mon Full",#N/A,FALSE,"Elim"}</definedName>
    <definedName name="wrn.Fcst._.by._.Qtr." hidden="1">{"Fcst by Qtr Full",#N/A,FALSE,"Tot PalmPalm";"Fcst by Qtr Full",#N/A,FALSE,"Tot Device";"Fcst by Qtr Full",#N/A,FALSE,"Platform";"Fcst by Qtr Full",#N/A,FALSE,"Palm.Net";"Fcst by Qtr Full",#N/A,FALSE,"Elim"}</definedName>
    <definedName name="wrn.Fed._.4797." hidden="1">{"Fed 4797",#N/A,FALSE,"4797"}</definedName>
    <definedName name="wrn.Full.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wrn.HMO." hidden="1">{#N/A,#N/A,FALSE,"DOS YTD";#N/A,#N/A,FALSE,"UR YTD";#N/A,#N/A,FALSE,"23 DOS PacifiCare HMO";#N/A,#N/A,FALSE,"23 UR PacifiCare HMO";#N/A,#N/A,FALSE,"32 DOS HealthNet";#N/A,#N/A,FALSE,"32 UR HealthNet";#N/A,#N/A,FALSE,"68 DOS HN Seniority Plus";#N/A,#N/A,FALSE,"68 UR HN Seniority Plus";#N/A,#N/A,FALSE,"71 DOS CA Care";#N/A,#N/A,FALSE,"71 UR CA Care";#N/A,#N/A,FALSE,"80 DOS Sharp";#N/A,#N/A,FALSE,"80 UR Sharp";#N/A,#N/A,FALSE,"88 DOS CIGNA VEBA";#N/A,#N/A,FALSE,"88 UR CIGNA VEBA";#N/A,#N/A,FALSE,"93 DOS Aetna HMO";#N/A,#N/A,FALSE,"93 UR Aetna HMO";#N/A,#N/A,FALSE,"100 DOS ACN Health Plan";#N/A,#N/A,FALSE,"100 UR ACN Health Plan";#N/A,#N/A,FALSE,"101 DOS Aetna Senior Choice";#N/A,#N/A,FALSE,"101 UR Aetna Senior Choice";#N/A,#N/A,FALSE,"112 DOS PruCare of CA HMO";#N/A,#N/A,FALSE,"112 UR PruCare of CA HMO";#N/A,#N/A,FALSE,"115 DOS Kaiser No CA";#N/A,#N/A,FALSE,"115 UR Kaiser No CA";#N/A,#N/A,FALSE,"116 DOS Kaiser So CA";#N/A,#N/A,FALSE,"116 UR Kaiser So CA";#N/A,#N/A,FALSE,"117 DOS Blue Shield";#N/A,#N/A,FALSE,"117 UR Blue Shield";#N/A,#N/A,FALSE,"118 DOS HP of the Redwoods";#N/A,#N/A,FALSE,"118 UR HP of the Redwoods";#N/A,#N/A,FALSE,"120 DOS HPR Medi Prime";#N/A,#N/A,FALSE,"120 UR HPR Medi Prime";#N/A,#N/A,FALSE,"126 DOS Pru Sr Plan No CA";#N/A,#N/A,FALSE,"126 UR Pru Sr Plan No CA";#N/A,#N/A,FALSE,"127 DOS Pru Sr Plan So CA";#N/A,#N/A,FALSE,"127 UR Pru Sr Plan So CA";#N/A,#N/A,FALSE,"137 DOS Aetna MC II";#N/A,#N/A,FALSE,"137 UR Aetna MC II"}</definedName>
    <definedName name="wrn.IFF94TAX.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퇴충";#N/A,#N/A,FALSE,"6-4호 접대(갑)";#N/A,#N/A,FALSE,"6-4호 접대(을)";#N/A,#N/A,FALSE,"6-5 갑 외화";#N/A,#N/A,FALSE,"6-5을 외화";#N/A,#N/A,FALSE,"감가총괄";#N/A,#N/A,FALSE,"전기부인액추인";#N/A,#N/A,FALSE,"6-6호(부표) 자본적지출";#N/A,#N/A,FALSE,"6-11호 세금과공과";#N/A,#N/A,FALSE,"6-12호 선급비용";#N/A,#N/A,FALSE,"9호 자본금(갑)";#N/A,#N/A,FALSE,"9호 자본금(을)";#N/A,#N/A,FALSE,"10(3)호 주요계정";#N/A,#N/A,FALSE,"10(4)호 조정수입";#N/A,#N/A,FALSE,"12호 중소검토";#N/A,#N/A,FALSE,"14(1) 주주이동(갑)";#N/A,#N/A,FALSE,"59호 해외특수";#N/A,#N/A,FALSE,"해외명세";#N/A,#N/A,FALSE,"요약 BS";#N/A,#N/A,FALSE,"요약RE";#N/A,#N/A,FALSE,"요약 PL"}</definedName>
    <definedName name="wrn.iIMPRESSION._.DOC.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wrn.IMPRESSION._.RP2.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wrn.Investment._.Summary." hidden="1">{#N/A,#N/A,TRUE,"Summary";#N/A,#N/A,TRUE,"Financials";#N/A,#N/A,TRUE,"Assumptions";#N/A,#N/A,TRUE,"Pro Forma";#N/A,#N/A,TRUE,"Debt";#N/A,#N/A,TRUE,"Amortization";#N/A,#N/A,TRUE,"GG Returns"}</definedName>
    <definedName name="wrn.jck94TAXRETURN.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wrn.July." hidden="1">{#N/A,#N/A,FALSE,"JULY WCE";#N/A,#N/A,FALSE,"Central - Doug July";#N/A,#N/A,FALSE,"East - Dave July";#N/A,#N/A,FALSE,"West - Lee - July"}</definedName>
    <definedName name="wrn.June." hidden="1">{#N/A,#N/A,FALSE,"Central - Doug June";#N/A,#N/A,FALSE,"East - Dave June";#N/A,#N/A,FALSE,"West - Lee - June";#N/A,#N/A,FALSE,"JUNE WCE"}</definedName>
    <definedName name="wrn.Lead._.Schedule.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wrn.Monthly.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Monthly._.ST." hidden="1">{#N/A,#N/A,FALSE,"Cvr";#N/A,#N/A,FALSE,"P&amp;L summ2";#N/A,#N/A,FALSE,"CFO ";#N/A,#N/A,FALSE,"P&amp;L by BU";#N/A,#N/A,FALSE,"BS (Hardcoded)";#N/A,#N/A,FALSE,"CF-Hardcode";#N/A,#N/A,FALSE,"Highlights"}</definedName>
    <definedName name="wrn.Neurocrine._.1995._.Dept.._.Budgets." hidden="1">{#N/A,#N/A,TRUE,"Consolidated";#N/A,#N/A,TRUE,"Consolidating";#N/A,#N/A,TRUE,"Corp. Admin";#N/A,#N/A,TRUE,"R&amp;D Admin.";#N/A,#N/A,TRUE,"Immunology";#N/A,#N/A,TRUE,"Neuroscience";#N/A,#N/A,TRUE,"Molec. Bio.";#N/A,#N/A,TRUE,"Peptide Chem.";#N/A,#N/A,TRUE,"Med. Chem.";#N/A,#N/A,TRUE,"Development"}</definedName>
    <definedName name="wrn.Ofcr._.Comp._.Stmt._.4." hidden="1">{"Ofcr Comp Stmt 4",#N/A,FALSE,"Ofcr Comp"}</definedName>
    <definedName name="wrn.Ofcr._.Comp._.WP." hidden="1">{"Ofcr Comp WP",#N/A,FALSE,"Ofcr Comp"}</definedName>
    <definedName name="wrn.Olk._.by._.Qtr." hidden="1">{"Olk by Qtr Full",#N/A,FALSE,"Tot PalmPalm";"Olk by Qtr Full",#N/A,FALSE,"Tot Device";"Olk by Qtr Full",#N/A,FALSE,"Platform";"Olk by Qtr Full",#N/A,FALSE,"Palm.Net";"Olk by Qtr Full",#N/A,FALSE,"Elim"}</definedName>
    <definedName name="wrn.Opportunity._.Assessment." hidden="1">{#N/A,#N/A,TRUE,"Summary";#N/A,#N/A,TRUE,"Assumptions";#N/A,#N/A,TRUE,"Comparison";#N/A,#N/A,TRUE,"Financials";#N/A,#N/A,TRUE,"Plan v. Act"}</definedName>
    <definedName name="wrn.PAIM._.TAX._.PRO." hidden="1">{#N/A,#N/A,FALSE,"표지";#N/A,#N/A,FALSE,"총괄표";#N/A,#N/A,FALSE,"1호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자본적지출";#N/A,#N/A,FALSE,"6-11호 세금과공과";#N/A,#N/A,FALSE,"6-12호 선급비용";#N/A,#N/A,FALSE,"9호 자본금(갑)";#N/A,#N/A,FALSE,"9호 자본금(을)";#N/A,#N/A,FALSE,"10(3)호 주요계정";#N/A,#N/A,FALSE,"10(3)호 부표";#N/A,#N/A,FALSE,"10(4)호 조정수입";#N/A,#N/A,FALSE,"요약 BS";#N/A,#N/A,FALSE,"요약 PL";#N/A,#N/A,FALSE,"요약RE"}</definedName>
    <definedName name="wrn.Print._.All." hidden="1">{#N/A,#N/A,FALSE,"JUNE WCE";#N/A,#N/A,FALSE,"Central - Doug June";#N/A,#N/A,FALSE,"East - Dave June";#N/A,#N/A,FALSE,"West - Lee - June";#N/A,#N/A,FALSE,"JULY WCE";#N/A,#N/A,FALSE,"Central - Doug July";#N/A,#N/A,FALSE,"East - Dave July";#N/A,#N/A,FALSE,"West - Lee - July";#N/A,#N/A,FALSE,"Utilization"}</definedName>
    <definedName name="wrn.print._.all._.sheets." hidden="1">{"summary1",#N/A,FALSE,"Summary of Values";"developed valuation",#N/A,FALSE,"Valuation Analysis";"inprocess valuation",#N/A,FALSE,"Valuation Analysis";"trademark1",#N/A,FALSE,"Trademark(s) and Trade Name(s)";"developed income statement",#N/A,FALSE,"Abbreviated Income Statement";"inprocess income statement",#N/A,FALSE,"Abbreviated Income Statement";"revenue detail 1",#N/A,FALSE,"Revenue Detail";"revenue detail 2",#N/A,FALSE,"Revenue Detail";"revenue detail 3",#N/A,FALSE,"Revenue Detail";"revenue detail 4",#N/A,FALSE,"Revenue Detail";"contributory1",#N/A,FALSE,"Contributory Assets Detail";"contributory2",#N/A,FALSE,"Contributory Assets Detail";"weighted average returns",#N/A,FALSE,"WACC and WARA";"fixed asset detail",#N/A,FALSE,"Fixed Asset Detail";"customer base",#N/A,FALSE,"customer_base";"customer base perf estimates",#N/A,FALSE,"customer_base"}</definedName>
    <definedName name="wrn.PROJECT._.SUMMARY." hidden="1">{#N/A,#N/A,FALSE,"PROJSUM";#N/A,#N/A,FALSE,"1450";#N/A,#N/A,FALSE,"2430";#N/A,#N/A,FALSE,"2700"}</definedName>
    <definedName name="wrn.Quarterly." hidden="1">{"Payroll Qtr 94",#N/A,FALSE,"Personnel Expenses";"Payroll Qtr 95",#N/A,FALSE,"Personnel Expenses";"Payroll Qtr 96",#N/A,FALSE,"Personnel Expenses";"Relo Qtr 95",#N/A,FALSE,"Personnel Expenses";"Relo Qtr 96",#N/A,FALSE,"Personnel Expenses";"Statistics Qtr 94",#N/A,FALSE,"Personnel Expenses";"Statistics Qtr 95",#N/A,FALSE,"Personnel Expenses";"Statistics Qtr 96",#N/A,FALSE,"Personnel Expenses";"Summary Qtr 94",#N/A,FALSE,"Personnel Expenses";"Summary Qtr 95",#N/A,FALSE,"Personnel Expenses";"Summary Qtr 96",#N/A,FALSE,"Personnel Expenses"}</definedName>
    <definedName name="wrn.revenue._.detail." hidden="1">{"revenue detail 1",#N/A,FALSE,"Revenue Detail";"revenue detail 2",#N/A,FALSE,"Revenue Detail";"revenue detail 3",#N/A,FALSE,"Revenue Detail";"revenue detail 4",#N/A,FALSE,"Revenue Detail"}</definedName>
    <definedName name="wrn.SAA94TAX." hidden="1">{#N/A,#N/A,TRUE,"표지";#N/A,#N/A,TRUE,"총괄표";#N/A,#N/A,TRUE,"1호 과표세액";#N/A,#N/A,TRUE,"2호 서식";#N/A,#N/A,TRUE,"3(1) 부3 세액조정";#N/A,#N/A,TRUE,"임시투자공제";#N/A,#N/A,TRUE,"조8호 기술인력";#N/A,#N/A,TRUE,"3(1)부7 기업합리";#N/A,#N/A,TRUE,"3(3)호(갑) 원천납부";#N/A,#N/A,TRUE,"6호 소득금액";#N/A,#N/A,TRUE,"6호 첨부(익)";#N/A,#N/A,TRUE,"6호 첨부(손)";#N/A,#N/A,TRUE,"6-1호 수입금액";#N/A,#N/A,TRUE,"6-2(4)호 해외시장";#N/A,#N/A,TRUE,"6-2(12)호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자본금(을)";#N/A,#N/A,TRUE,"10(3)호 주요계정";#N/A,#N/A,TRUE,"10(3)호 부표";#N/A,#N/A,TRUE,"10(4)호 조정수입";#N/A,#N/A,TRUE,"14(1)호 갑 주식";#N/A,#N/A,TRUE,"요약 BS";#N/A,#N/A,TRUE,"요약 PL";#N/A,#N/A,TRUE,"요약원가";#N/A,#N/A,TRUE,"요약RE"}</definedName>
    <definedName name="wrn.saasimple." hidden="1">{#N/A,#N/A,FALSE,"1호 과표세액";#N/A,#N/A,FALSE,"2호 서식";#N/A,#N/A,FALSE,"3(1)부7 기업합리";#N/A,#N/A,FALSE,"6호 소득금액";#N/A,#N/A,FALSE,"6호 첨부(익)";#N/A,#N/A,FALSE,"6호 첨부(손)";#N/A,#N/A,FALSE,"6-1호 수입금액";#N/A,#N/A,FALSE,"6-3(4)호 대손";#N/A,#N/A,FALSE,"6-3호 퇴충";#N/A,#N/A,FALSE,"6-3(3)호 단퇴";#N/A,#N/A,FALSE,"6-3(4)호 대손";#N/A,#N/A,FALSE,"6-4호 접대(갑)";#N/A,#N/A,FALSE,"6-4호 접대(을)";#N/A,#N/A,FALSE,"6-5호 외화(갑)";#N/A,#N/A,FALSE,"6-5호 외화(을)";#N/A,#N/A,FALSE,"6-11호 세금과공과";#N/A,#N/A,FALSE,"6-13호 기부금";#N/A,#N/A,FALSE,"8호 기부금조정";#N/A,#N/A,FALSE,"9호 자본금(갑)";#N/A,#N/A,FALSE,"9호 자본금(을)";#N/A,#N/A,FALSE,"10(3)호 주요계정";#N/A,#N/A,FALSE,"10(3)호 부표";#N/A,#N/A,FALSE,"요약 PL";#N/A,#N/A,FALSE,"10(4)호 조정수입";#N/A,#N/A,FALSE,"14(1)호 갑 주식"}</definedName>
    <definedName name="wrn.SchM." hidden="1">{"SchMpg1",#N/A,FALSE,"TR Sch M";"SchMpg2",#N/A,FALSE,"TR Sch M"}</definedName>
    <definedName name="wrn.shareholder.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summary._.schedules." hidden="1">{"summary1",#N/A,FALSE,"Summary of Values";"summary2",#N/A,FALSE,"Summary of Values"}</definedName>
    <definedName name="wrn.SummaryReport." hidden="1">{"Header",#N/A,TRUE,"Summary";"ProjectInfo",#N/A,TRUE,"Total Value"}</definedName>
    <definedName name="wrn.technology." hidden="1">{"developed valuation",#N/A,FALSE,"Valuation Analysis";"developed income statement",#N/A,FALSE,"Abbreviated Income Statement";"inprocess valuation",#N/A,FALSE,"Valuation Analysis";"inprocess income statement",#N/A,FALSE,"Abbreviated Income Statement"}</definedName>
    <definedName name="wrn.trademark._.and._.trade._.name." hidden="1">{"trademark1",#N/A,FALSE,"Trademark(s) and Trade Name(s)"}</definedName>
    <definedName name="wrn.wara." hidden="1">{"weighted average returns",#N/A,FALSE,"WACC and WARA"}</definedName>
    <definedName name="wrn.work._.paper._.shcedules." hidden="1">{"summary1",#N/A,FALSE,"Summary of Values";"summary2",#N/A,FALSE,"Summary of Values";"weighted average returns",#N/A,FALSE,"WACC and WARA";"fixed asset detail",#N/A,FALSE,"Fixed Asset Detail"}</definedName>
    <definedName name="wrn.WP._.4797." hidden="1">{"WP 4797",#N/A,FALSE,"4797"}</definedName>
    <definedName name="wrn.WW._.M._.Detail." hidden="1">{"WW M Detail",#N/A,FALSE,"Sch M Detail"}</definedName>
    <definedName name="wrn.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간단한세무조정계산서.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wrn.급여인상안." hidden="1">{#N/A,#N/A,FALSE,"계약직(여)"}</definedName>
    <definedName name="wrn.부문손익." hidden="1">{#N/A,#N/A,FALSE,"매출이익"}</definedName>
    <definedName name="wrn.세무조정계산서.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wrn.세무조정모든양식.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wrn.조흥94세무.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부2 공제감면";#N/A,#N/A,TRUE,"3(1) 부3 세액조정";#N/A,#N/A,TRUE,"3(1)부7 기업합리";#N/A,#N/A,TRUE,"3(3)호(갑) 원천납부";#N/A,#N/A,TRUE,"4호 특별부가";#N/A,#N/A,TRUE,"5호 농어촌";#N/A,#N/A,TRUE,"5호2 농감면(갑)";#N/A,#N/A,TRUE,"5호2 농감면(을)";#N/A,#N/A,TRUE,"6호 소득금액";#N/A,#N/A,TRUE,"6호 첨부(익)";#N/A,#N/A,TRUE,"6호 첨부(손)";#N/A,#N/A,TRUE,"6-1호 수입금액";#N/A,#N/A,TRUE,"6-2(7)호 해외투자";#N/A,#N/A,TRUE,"6-3호 퇴충";#N/A,#N/A,TRUE,"6-3(3)호 단퇴";#N/A,#N/A,TRUE,"6-3(4)호 대손";#N/A,#N/A,TRUE,"6-4호 접대(갑)";#N/A,#N/A,TRUE,"6-4호 접대(을)";#N/A,#N/A,TRUE,"감가총괄표";#N/A,#N/A,TRUE,"6-6(3)호 감가(정율)";#N/A,#N/A,TRUE,"6-6호(부표) 자본적지출";#N/A,#N/A,TRUE,"6-10호 재고자산";#N/A,#N/A,TRUE,"6-11호 세금과공과";#N/A,#N/A,TRUE,"6-12호 선급비용";#N/A,#N/A,TRUE,"6-13호 기부금";#N/A,#N/A,TRUE,"기부1";#N/A,#N/A,TRUE,"기부2";#N/A,#N/A,TRUE,"8호 기부금조정";#N/A,#N/A,TRUE,"9호 자본금(갑)";#N/A,#N/A,TRUE,"9호 자본금(을)";#N/A,#N/A,TRUE,"10(3)호 주요계정";#N/A,#N/A,TRUE,"10(3)호 부표";#N/A,#N/A,TRUE,"10(4)호 조정수입";#N/A,#N/A,TRUE,"14(1)호 갑 주식";#N/A,#N/A,TRUE,"59호 해외특수";#N/A,#N/A,TRUE,"요약 BS";#N/A,#N/A,TRUE,"요약 PL";#N/A,#N/A,TRUE,"요약RE";#N/A,#N/A,TRUE,"조8호 기술인력";#N/A,#N/A,TRUE,"국공채감면";#N/A,#N/A,TRUE,"전기수정";#N/A,#N/A,TRUE,"퇴충명세";#N/A,#N/A,TRUE,"적금모집권유비";#N/A,#N/A,TRUE,"해외투자현황";#N/A,#N/A,TRUE,"외화감면";#N/A,#N/A,TRUE,"offshore";#N/A,#N/A,TRUE,"대손상각등명세"}</definedName>
    <definedName name="wrn.조흥축약94." hidden="1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wrn.채권채무조회서." hidden="1">{#N/A,#N/A,FALSE,"채권채무";#N/A,#N/A,FALSE,"control sheet"}</definedName>
    <definedName name="wrn.현장._.NCR._.분석." hidden="1">{#N/A,#N/A,FALSE,"현장 NCR 분석";#N/A,#N/A,FALSE,"현장품질감사";#N/A,#N/A,FALSE,"현장품질감사"}</definedName>
    <definedName name="wrn1.all._Sheets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www.wki" hidden="1">{"CSN M Detail",#N/A,FALSE,"Sch M Detail"}</definedName>
    <definedName name="XREF_COLUMN_1" hidden="1">#REF!</definedName>
    <definedName name="XREF_COLUMN_2" hidden="1">#REF!</definedName>
    <definedName name="XREF_COLUMN_3" hidden="1">#REF!</definedName>
    <definedName name="XREF_COLUMN_4" hidden="1">#REF!</definedName>
    <definedName name="XREF_COLUMN_5" hidden="1">#REF!</definedName>
    <definedName name="XREF_COLUMN_6" hidden="1">#REF!</definedName>
    <definedName name="XREF_COLUMN_7" hidden="1">#REF!</definedName>
    <definedName name="XREF_COLUMN_8" hidden="1">#REF!</definedName>
    <definedName name="XRefActiveRow" hidden="1">#REF!</definedName>
    <definedName name="XRefCopy1" hidden="1">#REF!</definedName>
    <definedName name="XRefCopy10" hidden="1">#REF!</definedName>
    <definedName name="XRefCopy10Row" hidden="1">#REF!</definedName>
    <definedName name="XRefCopy11" hidden="1">#REF!</definedName>
    <definedName name="XRefCopy11Row" hidden="1">#REF!</definedName>
    <definedName name="XRefCopy12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#REF!</definedName>
    <definedName name="XRefCopy15Row" hidden="1">#REF!</definedName>
    <definedName name="XRefCopy16" hidden="1">#REF!</definedName>
    <definedName name="XRefCopy16Row" hidden="1">#REF!</definedName>
    <definedName name="XRefCopy17" hidden="1">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1" hidden="1">#REF!</definedName>
    <definedName name="XRefCopy21Row" hidden="1">#REF!</definedName>
    <definedName name="XRefCopy22" hidden="1">#REF!</definedName>
    <definedName name="XRefCopy22Row" hidden="1">#REF!</definedName>
    <definedName name="XRefCopy23" hidden="1">#REF!</definedName>
    <definedName name="XRefCopy23Row" hidden="1">#REF!</definedName>
    <definedName name="XRefCopy24" hidden="1">#REF!</definedName>
    <definedName name="XRefCopy24Row" hidden="1">#REF!</definedName>
    <definedName name="XRefCopy25" hidden="1">#REF!</definedName>
    <definedName name="XRefCopy25Row" hidden="1">#REF!</definedName>
    <definedName name="XRefCopy26" hidden="1">#REF!</definedName>
    <definedName name="XRefCopy26Row" hidden="1">#REF!</definedName>
    <definedName name="XRefCopy27" hidden="1">#REF!</definedName>
    <definedName name="XRefCopy27Row" hidden="1">#REF!</definedName>
    <definedName name="XRefCopy28" hidden="1">#REF!</definedName>
    <definedName name="XRefCopy28Row" hidden="1">#REF!</definedName>
    <definedName name="XRefCopy29Row" hidden="1">#REF!</definedName>
    <definedName name="XRefCopy2Row" hidden="1">#REF!</definedName>
    <definedName name="XRefCopy3" hidden="1">#REF!</definedName>
    <definedName name="XRefCopy30Row" hidden="1">#REF!</definedName>
    <definedName name="XRefCopy31Row" hidden="1">#REF!</definedName>
    <definedName name="XRefCopy32Row" hidden="1">#REF!</definedName>
    <definedName name="XRefCopy33Row" hidden="1">#REF!</definedName>
    <definedName name="XRefCopy34Row" hidden="1">#REF!</definedName>
    <definedName name="XRefCopy35Row" hidden="1">#REF!</definedName>
    <definedName name="XRefCopy3Row" hidden="1">#REF!</definedName>
    <definedName name="XRefCopy4" hidden="1">#REF!</definedName>
    <definedName name="XRefCopy4Row" hidden="1">#REF!</definedName>
    <definedName name="XRefCopy5" hidden="1">#REF!</definedName>
    <definedName name="XRefCopy5Row" hidden="1">#REF!</definedName>
    <definedName name="XRefCopy6" hidden="1">#REF!</definedName>
    <definedName name="XRefCopy6Row" hidden="1">#REF!</definedName>
    <definedName name="XRefCopy7" hidden="1">#REF!</definedName>
    <definedName name="XRefCopy7Row" hidden="1">#REF!</definedName>
    <definedName name="XRefCopy8" hidden="1">#REF!</definedName>
    <definedName name="XRefCopy8Row" hidden="1">#REF!</definedName>
    <definedName name="XRefCopy9" hidden="1">#REF!</definedName>
    <definedName name="XRefCopy9Row" hidden="1">#REF!</definedName>
    <definedName name="XRefPaste1" hidden="1">#REF!</definedName>
    <definedName name="XRefPaste10" hidden="1">#REF!</definedName>
    <definedName name="XRefPaste10Row" hidden="1">#REF!</definedName>
    <definedName name="XRefPaste11" hidden="1">#REF!</definedName>
    <definedName name="XRefPaste11Row" hidden="1">#REF!</definedName>
    <definedName name="XRefPaste12" hidden="1">#REF!</definedName>
    <definedName name="XRefPaste12Row" hidden="1">#REF!</definedName>
    <definedName name="XRefPaste13" hidden="1">#REF!</definedName>
    <definedName name="XRefPaste13Row" hidden="1">#REF!</definedName>
    <definedName name="XRefPaste14" hidden="1">#REF!</definedName>
    <definedName name="XRefPaste14Row" hidden="1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#REF!</definedName>
    <definedName name="XRefPaste24Row" hidden="1">#REF!</definedName>
    <definedName name="XRefPaste25" hidden="1">#REF!</definedName>
    <definedName name="XRefPaste25Row" hidden="1">#REF!</definedName>
    <definedName name="XRefPaste26" hidden="1">#REF!</definedName>
    <definedName name="XRefPaste26Row" hidden="1">#REF!</definedName>
    <definedName name="XRefPaste27Row" hidden="1">#REF!</definedName>
    <definedName name="XRefPaste28Row" hidden="1">#REF!</definedName>
    <definedName name="XRefPaste29Row" hidden="1">#REF!</definedName>
    <definedName name="XRefPaste2Row" hidden="1">#REF!</definedName>
    <definedName name="XRefPaste3" hidden="1">#REF!</definedName>
    <definedName name="XRefPaste30Row" hidden="1">#REF!</definedName>
    <definedName name="XRefPaste31Row" hidden="1">#REF!</definedName>
    <definedName name="XRefPaste32Row" hidden="1">#REF!</definedName>
    <definedName name="XRefPaste33Row" hidden="1">#REF!</definedName>
    <definedName name="XRefPaste34Row" hidden="1">#REF!</definedName>
    <definedName name="XRefPaste35Row" hidden="1">#REF!</definedName>
    <definedName name="XRefPaste36Row" hidden="1">#REF!</definedName>
    <definedName name="XRefPaste37Row" hidden="1">#REF!</definedName>
    <definedName name="XRefPaste38Row" hidden="1">#REF!</definedName>
    <definedName name="XRefPaste39Row" hidden="1">#REF!</definedName>
    <definedName name="XRefPaste3Row" hidden="1">#REF!</definedName>
    <definedName name="XRefPaste4" hidden="1">#REF!</definedName>
    <definedName name="XRefPaste40Row" hidden="1">#REF!</definedName>
    <definedName name="XRefPaste41Row" hidden="1">#REF!</definedName>
    <definedName name="XRefPaste42Row" hidden="1">#REF!</definedName>
    <definedName name="XRefPaste43" hidden="1">#REF!</definedName>
    <definedName name="XRefPaste43Row" hidden="1">#REF!</definedName>
    <definedName name="XRefPaste44Row" hidden="1">#REF!</definedName>
    <definedName name="XRefPaste45Row" hidden="1">#REF!</definedName>
    <definedName name="XRefPaste46Row" hidden="1">#REF!</definedName>
    <definedName name="XRefPaste47Row" hidden="1">#REF!</definedName>
    <definedName name="XRefPaste48Row" hidden="1">#REF!</definedName>
    <definedName name="XRefPaste49Row" hidden="1">#REF!</definedName>
    <definedName name="XRefPaste4Row" hidden="1">#REF!</definedName>
    <definedName name="XRefPaste5" hidden="1">#REF!</definedName>
    <definedName name="XRefPaste50Row" hidden="1">#REF!</definedName>
    <definedName name="XRefPaste5Row" hidden="1">#REF!</definedName>
    <definedName name="XRefPaste6" hidden="1">#REF!</definedName>
    <definedName name="XRefPaste6Row" hidden="1">#REF!</definedName>
    <definedName name="XRefPaste7" hidden="1">#REF!</definedName>
    <definedName name="XRefPaste7Row" hidden="1">#REF!</definedName>
    <definedName name="XRefPaste8" hidden="1">#REF!</definedName>
    <definedName name="XRefPaste8Row" hidden="1">#REF!</definedName>
    <definedName name="XRefPaste9" hidden="1">#REF!</definedName>
    <definedName name="XRefPaste9Row" hidden="1">#REF!</definedName>
    <definedName name="xxx" hidden="1">{"summary1",#N/A,FALSE,"Summary of Values";"developed valuation",#N/A,FALSE,"Valuation Analysis";"inprocess valuation",#N/A,FALSE,"Valuation Analysis";"trademark1",#N/A,FALSE,"Trademark(s) and Trade Name(s)";"developed income statement",#N/A,FALSE,"Abbreviated Income Statement";"inprocess income statement",#N/A,FALSE,"Abbreviated Income Statement";"revenue detail 1",#N/A,FALSE,"Revenue Detail";"revenue detail 2",#N/A,FALSE,"Revenue Detail";"revenue detail 3",#N/A,FALSE,"Revenue Detail";"revenue detail 4",#N/A,FALSE,"Revenue Detail";"contributory1",#N/A,FALSE,"Contributory Assets Detail";"contributory2",#N/A,FALSE,"Contributory Assets Detail";"weighted average returns",#N/A,FALSE,"WACC and WARA";"fixed asset detail",#N/A,FALSE,"Fixed Asset Detail";"customer base",#N/A,FALSE,"customer_base";"customer base perf estimates",#N/A,FALSE,"customer_base"}</definedName>
    <definedName name="ye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ㄱㄱㄱ" hidden="1">{#N/A,#N/A,FALSE,"1.CRITERIA";#N/A,#N/A,FALSE,"2.IS";#N/A,#N/A,FALSE,"3.BS";#N/A,#N/A,FALSE,"4.PER PL";#N/A,#N/A,FALSE,"5.INVESTMENT";#N/A,#N/A,FALSE,"6.공문";#N/A,#N/A,FALSE,"7.netinvest"}</definedName>
    <definedName name="가가" hidden="1">{#N/A,#N/A,FALSE,"1.CRITERIA";#N/A,#N/A,FALSE,"2.IS";#N/A,#N/A,FALSE,"3.BS";#N/A,#N/A,FALSE,"4.PER PL";#N/A,#N/A,FALSE,"5.INVESTMENT";#N/A,#N/A,FALSE,"6.공문";#N/A,#N/A,FALSE,"7.netinvest"}</definedName>
    <definedName name="가나" hidden="1">{#N/A,#N/A,FALSE,"1.CRITERIA";#N/A,#N/A,FALSE,"2.IS";#N/A,#N/A,FALSE,"3.BS";#N/A,#N/A,FALSE,"4.PER PL";#N/A,#N/A,FALSE,"5.INVESTMENT";#N/A,#N/A,FALSE,"6.공문";#N/A,#N/A,FALSE,"7.netinvest"}</definedName>
    <definedName name="가나라" hidden="1">{#N/A,#N/A,FALSE,"1.CRITERIA";#N/A,#N/A,FALSE,"2.IS";#N/A,#N/A,FALSE,"3.BS";#N/A,#N/A,FALSE,"4.PER PL";#N/A,#N/A,FALSE,"5.INVESTMENT";#N/A,#N/A,FALSE,"6.공문";#N/A,#N/A,FALSE,"7.netinvest"}</definedName>
    <definedName name="가다" hidden="1">{#N/A,#N/A,FALSE,"1.CRITERIA";#N/A,#N/A,FALSE,"2.IS";#N/A,#N/A,FALSE,"3.BS";#N/A,#N/A,FALSE,"4.PER PL";#N/A,#N/A,FALSE,"5.INVESTMENT";#N/A,#N/A,FALSE,"6.공문";#N/A,#N/A,FALSE,"7.netinvest"}</definedName>
    <definedName name="가라" hidden="1">{#N/A,#N/A,FALSE,"1.CRITERIA";#N/A,#N/A,FALSE,"2.IS";#N/A,#N/A,FALSE,"3.BS";#N/A,#N/A,FALSE,"4.PER PL";#N/A,#N/A,FALSE,"5.INVESTMENT";#N/A,#N/A,FALSE,"6.공문";#N/A,#N/A,FALSE,"7.netinvest"}</definedName>
    <definedName name="가아" hidden="1">{#N/A,#N/A,FALSE,"1.CRITERIA";#N/A,#N/A,FALSE,"2.IS";#N/A,#N/A,FALSE,"3.BS";#N/A,#N/A,FALSE,"4.PER PL";#N/A,#N/A,FALSE,"5.INVESTMENT";#N/A,#N/A,FALSE,"6.공문";#N/A,#N/A,FALSE,"7.netinvest"}</definedName>
    <definedName name="가아노" hidden="1">{#N/A,#N/A,FALSE,"1.CRITERIA";#N/A,#N/A,FALSE,"2.IS";#N/A,#N/A,FALSE,"3.BS";#N/A,#N/A,FALSE,"4.PER PL";#N/A,#N/A,FALSE,"5.INVESTMENT";#N/A,#N/A,FALSE,"6.공문";#N/A,#N/A,FALSE,"7.netinvest"}</definedName>
    <definedName name="가아다" hidden="1">{#N/A,#N/A,FALSE,"1.CRITERIA";#N/A,#N/A,FALSE,"2.IS";#N/A,#N/A,FALSE,"3.BS";#N/A,#N/A,FALSE,"4.PER PL";#N/A,#N/A,FALSE,"5.INVESTMENT";#N/A,#N/A,FALSE,"6.공문";#N/A,#N/A,FALSE,"7.netinvest"}</definedName>
    <definedName name="가아차" hidden="1">{#N/A,#N/A,FALSE,"1.CRITERIA";#N/A,#N/A,FALSE,"2.IS";#N/A,#N/A,FALSE,"3.BS";#N/A,#N/A,FALSE,"4.PER PL";#N/A,#N/A,FALSE,"5.INVESTMENT";#N/A,#N/A,FALSE,"6.공문";#N/A,#N/A,FALSE,"7.netinvest"}</definedName>
    <definedName name="가오" hidden="1">{#N/A,#N/A,FALSE,"1.CRITERIA";#N/A,#N/A,FALSE,"2.IS";#N/A,#N/A,FALSE,"3.BS";#N/A,#N/A,FALSE,"4.PER PL";#N/A,#N/A,FALSE,"5.INVESTMENT";#N/A,#N/A,FALSE,"6.공문";#N/A,#N/A,FALSE,"7.netinvest"}</definedName>
    <definedName name="가오나" hidden="1">{#N/A,#N/A,FALSE,"1.CRITERIA";#N/A,#N/A,FALSE,"2.IS";#N/A,#N/A,FALSE,"3.BS";#N/A,#N/A,FALSE,"4.PER PL";#N/A,#N/A,FALSE,"5.INVESTMENT";#N/A,#N/A,FALSE,"6.공문";#N/A,#N/A,FALSE,"7.netinvest"}</definedName>
    <definedName name="가오아" hidden="1">{#N/A,#N/A,FALSE,"1.CRITERIA";#N/A,#N/A,FALSE,"2.IS";#N/A,#N/A,FALSE,"3.BS";#N/A,#N/A,FALSE,"4.PER PL";#N/A,#N/A,FALSE,"5.INVESTMENT";#N/A,#N/A,FALSE,"6.공문";#N/A,#N/A,FALSE,"7.netinvest"}</definedName>
    <definedName name="가카" hidden="1">{#N/A,#N/A,FALSE,"1.CRITERIA";#N/A,#N/A,FALSE,"2.IS";#N/A,#N/A,FALSE,"3.BS";#N/A,#N/A,FALSE,"4.PER PL";#N/A,#N/A,FALSE,"5.INVESTMENT";#N/A,#N/A,FALSE,"6.공문";#N/A,#N/A,FALSE,"7.netinvest"}</definedName>
    <definedName name="가타" hidden="1">{#N/A,#N/A,FALSE,"1.CRITERIA";#N/A,#N/A,FALSE,"2.IS";#N/A,#N/A,FALSE,"3.BS";#N/A,#N/A,FALSE,"4.PER PL";#N/A,#N/A,FALSE,"5.INVESTMENT";#N/A,#N/A,FALSE,"6.공문";#N/A,#N/A,FALSE,"7.netinvest"}</definedName>
    <definedName name="갈" hidden="1">{#N/A,#N/A,FALSE,"1.CRITERIA";#N/A,#N/A,FALSE,"2.IS";#N/A,#N/A,FALSE,"3.BS";#N/A,#N/A,FALSE,"4.PER PL";#N/A,#N/A,FALSE,"5.INVESTMENT";#N/A,#N/A,FALSE,"6.공문";#N/A,#N/A,FALSE,"7.netinvest"}</definedName>
    <definedName name="강" hidden="1">{#N/A,#N/A,FALSE,"1.CRITERIA";#N/A,#N/A,FALSE,"2.IS";#N/A,#N/A,FALSE,"3.BS";#N/A,#N/A,FALSE,"4.PER PL";#N/A,#N/A,FALSE,"5.INVESTMENT";#N/A,#N/A,FALSE,"6.공문";#N/A,#N/A,FALSE,"7.netinvest"}</definedName>
    <definedName name="거" hidden="1">{#N/A,#N/A,FALSE,"1.CRITERIA";#N/A,#N/A,FALSE,"2.IS";#N/A,#N/A,FALSE,"3.BS";#N/A,#N/A,FALSE,"4.PER PL";#N/A,#N/A,FALSE,"5.INVESTMENT";#N/A,#N/A,FALSE,"6.공문";#N/A,#N/A,FALSE,"7.netinvest"}</definedName>
    <definedName name="거이" hidden="1">{#N/A,#N/A,FALSE,"1.CRITERIA";#N/A,#N/A,FALSE,"2.IS";#N/A,#N/A,FALSE,"3.BS";#N/A,#N/A,FALSE,"4.PER PL";#N/A,#N/A,FALSE,"5.INVESTMENT";#N/A,#N/A,FALSE,"6.공문";#N/A,#N/A,FALSE,"7.netinvest"}</definedName>
    <definedName name="결손금" hidden="1">{#N/A,#N/A,FALSE,"Aging Summary";#N/A,#N/A,FALSE,"Ratio Analysis";#N/A,#N/A,FALSE,"Test 120 Day Accts";#N/A,#N/A,FALSE,"Tickmarks"}</definedName>
    <definedName name="계산" hidden="1">{#N/A,#N/A,FALSE,"1.CRITERIA";#N/A,#N/A,FALSE,"2.IS";#N/A,#N/A,FALSE,"3.BS";#N/A,#N/A,FALSE,"4.PER PL";#N/A,#N/A,FALSE,"5.INVESTMENT";#N/A,#N/A,FALSE,"6.공문";#N/A,#N/A,FALSE,"7.netinvest"}</definedName>
    <definedName name="계약" hidden="1">{#N/A,#N/A,FALSE,"계약직(여)"}</definedName>
    <definedName name="계정과목별합계" comment="계정과목 범위, 환종범위, 금액 범위를 입력하면 자동 계산">_xlfn.LAMBDA(_xlpm.항목범위,_xlpm.환종범위,_xlpm.원값범위,   _xlfn.LET(     _xlpm.값, IFERROR(VALUE(_xlpm.원값범위), 0),     _xlpm.제외조건, (_xlpm.항목범위="금융상품")+(_xlpm.항목범위="보통예금")+(_xlpm.항목범위="구분"),     _xlpm.필터행, _xlfn._xlws.FILTER(_xlfn.HSTACK(_xlpm.항목범위, _xlpm.환종범위, _xlpm.값), (_xlpm.값&lt;&gt;0)*(NOT(_xlpm.제외조건))),     _xlpm.항목열, INDEX(_xlpm.필터행,,1),     _xlpm.환종열, INDEX(_xlpm.필터행,,2),     _xlpm.숫자열, INDEX(_xlpm.필터행,,3),     _xlpm.그룹, _xlfn.HSTACK(_xlpm.항목열, _xlpm.환종열),     _xlpm.고유그룹, IFERROR(_xlfn.UNIQUE(_xlpm.그룹), {"",""}),     _xlpm.합계값, _xlfn.BYROW(_xlpm.고유그룹, _xlfn.LAMBDA(_xlpm.행,       _xlfn.LET(         _xlpm.항, INDEX(_xlpm.행,,1),         _xlpm.환, INDEX(_xlpm.행,,2),         _xlpm.해당값들, _xlfn._xlws.FILTER(_xlpm.숫자열, (_xlpm.항목열=_xlpm.항)*(_xlpm.환종열=_xlpm.환)),         IFERROR(SUM(_xlpm.해당값들), 0)       )     )),     _xlpm.결과, _xlfn.HSTACK(_xlpm.고유그룹, _xlpm.합계값),     _xlfn._xlws.SORT(_xlpm.결과, 3, -1)   ) )</definedName>
    <definedName name="공모23" hidden="1">{#N/A,#N/A,FALSE,"현장 NCR 분석";#N/A,#N/A,FALSE,"현장품질감사";#N/A,#N/A,FALSE,"현장품질감사"}</definedName>
    <definedName name="공모24" hidden="1">{#N/A,#N/A,FALSE,"현장 NCR 분석";#N/A,#N/A,FALSE,"현장품질감사";#N/A,#N/A,FALSE,"현장품질감사"}</definedName>
    <definedName name="공장지원" hidden="1">[1]ST!#REF!</definedName>
    <definedName name="공장지원팀" hidden="1">#REF!</definedName>
    <definedName name="관_마케팅" hidden="1">{"'경비내역'!$E$11"}</definedName>
    <definedName name="국제거래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급여인상안" hidden="1">{#N/A,#N/A,FALSE,"계약직(여)"}</definedName>
    <definedName name="기" hidden="1">{#N/A,#N/A,FALSE,"1.CRITERIA";#N/A,#N/A,FALSE,"2.IS";#N/A,#N/A,FALSE,"3.BS";#N/A,#N/A,FALSE,"4.PER PL";#N/A,#N/A,FALSE,"5.INVESTMENT";#N/A,#N/A,FALSE,"6.공문";#N/A,#N/A,FALSE,"7.netinvest"}</definedName>
    <definedName name="기아" hidden="1">{#N/A,#N/A,FALSE,"1.CRITERIA";#N/A,#N/A,FALSE,"2.IS";#N/A,#N/A,FALSE,"3.BS";#N/A,#N/A,FALSE,"4.PER PL";#N/A,#N/A,FALSE,"5.INVESTMENT";#N/A,#N/A,FALSE,"6.공문";#N/A,#N/A,FALSE,"7.netinvest"}</definedName>
    <definedName name="기아차" hidden="1">{#N/A,#N/A,FALSE,"1.CRITERIA";#N/A,#N/A,FALSE,"2.IS";#N/A,#N/A,FALSE,"3.BS";#N/A,#N/A,FALSE,"4.PER PL";#N/A,#N/A,FALSE,"5.INVESTMENT";#N/A,#N/A,FALSE,"6.공문";#N/A,#N/A,FALSE,"7.netinvest"}</definedName>
    <definedName name="기타의당좌자산" hidden="1">{"'통신지'!$A$1:$J$41"}</definedName>
    <definedName name="ㄴㅇ라" hidden="1">{#N/A,#N/A,FALSE,"계약직(여)"}</definedName>
    <definedName name="나다라" hidden="1">{#N/A,#N/A,FALSE,"1.CRITERIA";#N/A,#N/A,FALSE,"2.IS";#N/A,#N/A,FALSE,"3.BS";#N/A,#N/A,FALSE,"4.PER PL";#N/A,#N/A,FALSE,"5.INVESTMENT";#N/A,#N/A,FALSE,"6.공문";#N/A,#N/A,FALSE,"7.netinvest"}</definedName>
    <definedName name="내" hidden="1">{#N/A,#N/A,FALSE,"1.CRITERIA";#N/A,#N/A,FALSE,"2.IS";#N/A,#N/A,FALSE,"3.BS";#N/A,#N/A,FALSE,"4.PER PL";#N/A,#N/A,FALSE,"5.INVESTMENT";#N/A,#N/A,FALSE,"6.공문";#N/A,#N/A,FALSE,"7.netinvest"}</definedName>
    <definedName name="너" hidden="1">{#N/A,#N/A,FALSE,"1.CRITERIA";#N/A,#N/A,FALSE,"2.IS";#N/A,#N/A,FALSE,"3.BS";#N/A,#N/A,FALSE,"4.PER PL";#N/A,#N/A,FALSE,"5.INVESTMENT";#N/A,#N/A,FALSE,"6.공문";#N/A,#N/A,FALSE,"7.netinvest"}</definedName>
    <definedName name="녀" hidden="1">{#N/A,#N/A,FALSE,"1.CRITERIA";#N/A,#N/A,FALSE,"2.IS";#N/A,#N/A,FALSE,"3.BS";#N/A,#N/A,FALSE,"4.PER PL";#N/A,#N/A,FALSE,"5.INVESTMENT";#N/A,#N/A,FALSE,"6.공문";#N/A,#N/A,FALSE,"7.netinvest"}</definedName>
    <definedName name="ㄷㅋㄳㅋㄱ" hidden="1">{"'경비내역'!$E$11"}</definedName>
    <definedName name="다바" hidden="1">{#N/A,#N/A,FALSE,"1.CRITERIA";#N/A,#N/A,FALSE,"2.IS";#N/A,#N/A,FALSE,"3.BS";#N/A,#N/A,FALSE,"4.PER PL";#N/A,#N/A,FALSE,"5.INVESTMENT";#N/A,#N/A,FALSE,"6.공문";#N/A,#N/A,FALSE,"7.netinvest"}</definedName>
    <definedName name="닥터수수료" hidden="1">{"'경비내역'!$E$11"}</definedName>
    <definedName name="도" hidden="1">{#N/A,#N/A,FALSE,"1.CRITERIA";#N/A,#N/A,FALSE,"2.IS";#N/A,#N/A,FALSE,"3.BS";#N/A,#N/A,FALSE,"4.PER PL";#N/A,#N/A,FALSE,"5.INVESTMENT";#N/A,#N/A,FALSE,"6.공문";#N/A,#N/A,FALSE,"7.netinvest"}</definedName>
    <definedName name="돠" hidden="1">{#N/A,#N/A,FALSE,"1.CRITERIA";#N/A,#N/A,FALSE,"2.IS";#N/A,#N/A,FALSE,"3.BS";#N/A,#N/A,FALSE,"4.PER PL";#N/A,#N/A,FALSE,"5.INVESTMENT";#N/A,#N/A,FALSE,"6.공문";#N/A,#N/A,FALSE,"7.netinvest"}</definedName>
    <definedName name="디" hidden="1">{#N/A,#N/A,FALSE,"1.CRITERIA";#N/A,#N/A,FALSE,"2.IS";#N/A,#N/A,FALSE,"3.BS";#N/A,#N/A,FALSE,"4.PER PL";#N/A,#N/A,FALSE,"5.INVESTMENT";#N/A,#N/A,FALSE,"6.공문";#N/A,#N/A,FALSE,"7.netinvest"}</definedName>
    <definedName name="라아아" hidden="1">{#N/A,#N/A,FALSE,"1.CRITERIA";#N/A,#N/A,FALSE,"2.IS";#N/A,#N/A,FALSE,"3.BS";#N/A,#N/A,FALSE,"4.PER PL";#N/A,#N/A,FALSE,"5.INVESTMENT";#N/A,#N/A,FALSE,"6.공문";#N/A,#N/A,FALSE,"7.netinvest"}</definedName>
    <definedName name="랴" hidden="1">{#N/A,#N/A,FALSE,"1.CRITERIA";#N/A,#N/A,FALSE,"2.IS";#N/A,#N/A,FALSE,"3.BS";#N/A,#N/A,FALSE,"4.PER PL";#N/A,#N/A,FALSE,"5.INVESTMENT";#N/A,#N/A,FALSE,"6.공문";#N/A,#N/A,FALSE,"7.netinvest"}</definedName>
    <definedName name="로" hidden="1">{#N/A,#N/A,FALSE,"1.CRITERIA";#N/A,#N/A,FALSE,"2.IS";#N/A,#N/A,FALSE,"3.BS";#N/A,#N/A,FALSE,"4.PER PL";#N/A,#N/A,FALSE,"5.INVESTMENT";#N/A,#N/A,FALSE,"6.공문";#N/A,#N/A,FALSE,"7.netinvest"}</definedName>
    <definedName name="류" hidden="1">{#N/A,#N/A,FALSE,"1.CRITERIA";#N/A,#N/A,FALSE,"2.IS";#N/A,#N/A,FALSE,"3.BS";#N/A,#N/A,FALSE,"4.PER PL";#N/A,#N/A,FALSE,"5.INVESTMENT";#N/A,#N/A,FALSE,"6.공문";#N/A,#N/A,FALSE,"7.netinvest"}</definedName>
    <definedName name="ㅁㄷㅅㅅㅈ3" hidden="1">{"'경비내역'!$E$11"}</definedName>
    <definedName name="ㅁㅁ" hidden="1">#REF!</definedName>
    <definedName name="ㅁㅂㅁㅂㅂㅁㅁㅂ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마" hidden="1">{#N/A,#N/A,FALSE,"1.CRITERIA";#N/A,#N/A,FALSE,"2.IS";#N/A,#N/A,FALSE,"3.BS";#N/A,#N/A,FALSE,"4.PER PL";#N/A,#N/A,FALSE,"5.INVESTMENT";#N/A,#N/A,FALSE,"6.공문";#N/A,#N/A,FALSE,"7.netinvest"}</definedName>
    <definedName name="마마" hidden="1">{#N/A,#N/A,FALSE,"1.CRITERIA";#N/A,#N/A,FALSE,"2.IS";#N/A,#N/A,FALSE,"3.BS";#N/A,#N/A,FALSE,"4.PER PL";#N/A,#N/A,FALSE,"5.INVESTMENT";#N/A,#N/A,FALSE,"6.공문";#N/A,#N/A,FALSE,"7.netinvest"}</definedName>
    <definedName name="마마오" hidden="1">{#N/A,#N/A,FALSE,"1.CRITERIA";#N/A,#N/A,FALSE,"2.IS";#N/A,#N/A,FALSE,"3.BS";#N/A,#N/A,FALSE,"4.PER PL";#N/A,#N/A,FALSE,"5.INVESTMENT";#N/A,#N/A,FALSE,"6.공문";#N/A,#N/A,FALSE,"7.netinvest"}</definedName>
    <definedName name="마마이" hidden="1">{#N/A,#N/A,FALSE,"1.CRITERIA";#N/A,#N/A,FALSE,"2.IS";#N/A,#N/A,FALSE,"3.BS";#N/A,#N/A,FALSE,"4.PER PL";#N/A,#N/A,FALSE,"5.INVESTMENT";#N/A,#N/A,FALSE,"6.공문";#N/A,#N/A,FALSE,"7.netinvest"}</definedName>
    <definedName name="마아" hidden="1">{#N/A,#N/A,FALSE,"1.CRITERIA";#N/A,#N/A,FALSE,"2.IS";#N/A,#N/A,FALSE,"3.BS";#N/A,#N/A,FALSE,"4.PER PL";#N/A,#N/A,FALSE,"5.INVESTMENT";#N/A,#N/A,FALSE,"6.공문";#N/A,#N/A,FALSE,"7.netinvest"}</definedName>
    <definedName name="매" hidden="1">{#N/A,#N/A,FALSE,"1.CRITERIA";#N/A,#N/A,FALSE,"2.IS";#N/A,#N/A,FALSE,"3.BS";#N/A,#N/A,FALSE,"4.PER PL";#N/A,#N/A,FALSE,"5.INVESTMENT";#N/A,#N/A,FALSE,"6.공문";#N/A,#N/A,FALSE,"7.netinvest"}</definedName>
    <definedName name="매축액2" hidden="1">{#N/A,#N/A,FALSE,"1.CRITERIA";#N/A,#N/A,FALSE,"2.IS";#N/A,#N/A,FALSE,"3.BS";#N/A,#N/A,FALSE,"4.PER PL";#N/A,#N/A,FALSE,"5.INVESTMENT";#N/A,#N/A,FALSE,"6.공문";#N/A,#N/A,FALSE,"7.netinvest"}</definedName>
    <definedName name="매출액2" hidden="1">{#N/A,#N/A,FALSE,"1.CRITERIA";#N/A,#N/A,FALSE,"2.IS";#N/A,#N/A,FALSE,"3.BS";#N/A,#N/A,FALSE,"4.PER PL";#N/A,#N/A,FALSE,"5.INVESTMENT";#N/A,#N/A,FALSE,"6.공문";#N/A,#N/A,FALSE,"7.netinvest"}</definedName>
    <definedName name="머머" hidden="1">{#N/A,#N/A,FALSE,"1.CRITERIA";#N/A,#N/A,FALSE,"2.IS";#N/A,#N/A,FALSE,"3.BS";#N/A,#N/A,FALSE,"4.PER PL";#N/A,#N/A,FALSE,"5.INVESTMENT";#N/A,#N/A,FALSE,"6.공문";#N/A,#N/A,FALSE,"7.netinvest"}</definedName>
    <definedName name="며며" hidden="1">{#N/A,#N/A,FALSE,"1.CRITERIA";#N/A,#N/A,FALSE,"2.IS";#N/A,#N/A,FALSE,"3.BS";#N/A,#N/A,FALSE,"4.PER PL";#N/A,#N/A,FALSE,"5.INVESTMENT";#N/A,#N/A,FALSE,"6.공문";#N/A,#N/A,FALSE,"7.netinvest"}</definedName>
    <definedName name="모리" hidden="1">{#N/A,#N/A,FALSE,"1.CRITERIA";#N/A,#N/A,FALSE,"2.IS";#N/A,#N/A,FALSE,"3.BS";#N/A,#N/A,FALSE,"4.PER PL";#N/A,#N/A,FALSE,"5.INVESTMENT";#N/A,#N/A,FALSE,"6.공문";#N/A,#N/A,FALSE,"7.netinvest"}</definedName>
    <definedName name="모모" hidden="1">{#N/A,#N/A,FALSE,"1.CRITERIA";#N/A,#N/A,FALSE,"2.IS";#N/A,#N/A,FALSE,"3.BS";#N/A,#N/A,FALSE,"4.PER PL";#N/A,#N/A,FALSE,"5.INVESTMENT";#N/A,#N/A,FALSE,"6.공문";#N/A,#N/A,FALSE,"7.netinvest"}</definedName>
    <definedName name="뫌" hidden="1">{#N/A,#N/A,FALSE,"1.CRITERIA";#N/A,#N/A,FALSE,"2.IS";#N/A,#N/A,FALSE,"3.BS";#N/A,#N/A,FALSE,"4.PER PL";#N/A,#N/A,FALSE,"5.INVESTMENT";#N/A,#N/A,FALSE,"6.공문";#N/A,#N/A,FALSE,"7.netinvest"}</definedName>
    <definedName name="무무" hidden="1">{#N/A,#N/A,FALSE,"1.CRITERIA";#N/A,#N/A,FALSE,"2.IS";#N/A,#N/A,FALSE,"3.BS";#N/A,#N/A,FALSE,"4.PER PL";#N/A,#N/A,FALSE,"5.INVESTMENT";#N/A,#N/A,FALSE,"6.공문";#N/A,#N/A,FALSE,"7.netinvest"}</definedName>
    <definedName name="뮤뮤" hidden="1">{#N/A,#N/A,FALSE,"1.CRITERIA";#N/A,#N/A,FALSE,"2.IS";#N/A,#N/A,FALSE,"3.BS";#N/A,#N/A,FALSE,"4.PER PL";#N/A,#N/A,FALSE,"5.INVESTMENT";#N/A,#N/A,FALSE,"6.공문";#N/A,#N/A,FALSE,"7.netinvest"}</definedName>
    <definedName name="미라" hidden="1">{#N/A,#N/A,FALSE,"1.CRITERIA";#N/A,#N/A,FALSE,"2.IS";#N/A,#N/A,FALSE,"3.BS";#N/A,#N/A,FALSE,"4.PER PL";#N/A,#N/A,FALSE,"5.INVESTMENT";#N/A,#N/A,FALSE,"6.공문";#N/A,#N/A,FALSE,"7.netinvest"}</definedName>
    <definedName name="미래_웰빙판매" hidden="1">{"'경비내역'!$E$11"}</definedName>
    <definedName name="미로" hidden="1">{#N/A,#N/A,FALSE,"1.CRITERIA";#N/A,#N/A,FALSE,"2.IS";#N/A,#N/A,FALSE,"3.BS";#N/A,#N/A,FALSE,"4.PER PL";#N/A,#N/A,FALSE,"5.INVESTMENT";#N/A,#N/A,FALSE,"6.공문";#N/A,#N/A,FALSE,"7.netinvest"}</definedName>
    <definedName name="미로어" hidden="1">{#N/A,#N/A,FALSE,"1.CRITERIA";#N/A,#N/A,FALSE,"2.IS";#N/A,#N/A,FALSE,"3.BS";#N/A,#N/A,FALSE,"4.PER PL";#N/A,#N/A,FALSE,"5.INVESTMENT";#N/A,#N/A,FALSE,"6.공문";#N/A,#N/A,FALSE,"7.netinvest"}</definedName>
    <definedName name="미료" hidden="1">{#N/A,#N/A,FALSE,"1.CRITERIA";#N/A,#N/A,FALSE,"2.IS";#N/A,#N/A,FALSE,"3.BS";#N/A,#N/A,FALSE,"4.PER PL";#N/A,#N/A,FALSE,"5.INVESTMENT";#N/A,#N/A,FALSE,"6.공문";#N/A,#N/A,FALSE,"7.netinvest"}</definedName>
    <definedName name="미미" hidden="1">{#N/A,#N/A,FALSE,"1.CRITERIA";#N/A,#N/A,FALSE,"2.IS";#N/A,#N/A,FALSE,"3.BS";#N/A,#N/A,FALSE,"4.PER PL";#N/A,#N/A,FALSE,"5.INVESTMENT";#N/A,#N/A,FALSE,"6.공문";#N/A,#N/A,FALSE,"7.netinvest"}</definedName>
    <definedName name="미수금" hidden="1">{#N/A,#N/A,FALSE,"1.CRITERIA";#N/A,#N/A,FALSE,"2.IS";#N/A,#N/A,FALSE,"3.BS";#N/A,#N/A,FALSE,"4.PER PL";#N/A,#N/A,FALSE,"5.INVESTMENT";#N/A,#N/A,FALSE,"6.공문";#N/A,#N/A,FALSE,"7.netinvest"}</definedName>
    <definedName name="미수수익" hidden="1">{"'보고양식'!$A$58:$K$111"}</definedName>
    <definedName name="바가" hidden="1">{#N/A,#N/A,FALSE,"1.CRITERIA";#N/A,#N/A,FALSE,"2.IS";#N/A,#N/A,FALSE,"3.BS";#N/A,#N/A,FALSE,"4.PER PL";#N/A,#N/A,FALSE,"5.INVESTMENT";#N/A,#N/A,FALSE,"6.공문";#N/A,#N/A,FALSE,"7.netinvest"}</definedName>
    <definedName name="바나" hidden="1">{#N/A,#N/A,FALSE,"1.CRITERIA";#N/A,#N/A,FALSE,"2.IS";#N/A,#N/A,FALSE,"3.BS";#N/A,#N/A,FALSE,"4.PER PL";#N/A,#N/A,FALSE,"5.INVESTMENT";#N/A,#N/A,FALSE,"6.공문";#N/A,#N/A,FALSE,"7.netinvest"}</definedName>
    <definedName name="바다올" hidden="1">{#N/A,#N/A,FALSE,"1.CRITERIA";#N/A,#N/A,FALSE,"2.IS";#N/A,#N/A,FALSE,"3.BS";#N/A,#N/A,FALSE,"4.PER PL";#N/A,#N/A,FALSE,"5.INVESTMENT";#N/A,#N/A,FALSE,"6.공문";#N/A,#N/A,FALSE,"7.netinvest"}</definedName>
    <definedName name="바라" hidden="1">{#N/A,#N/A,FALSE,"1.CRITERIA";#N/A,#N/A,FALSE,"2.IS";#N/A,#N/A,FALSE,"3.BS";#N/A,#N/A,FALSE,"4.PER PL";#N/A,#N/A,FALSE,"5.INVESTMENT";#N/A,#N/A,FALSE,"6.공문";#N/A,#N/A,FALSE,"7.netinvest"}</definedName>
    <definedName name="바라오" hidden="1">{#N/A,#N/A,FALSE,"1.CRITERIA";#N/A,#N/A,FALSE,"2.IS";#N/A,#N/A,FALSE,"3.BS";#N/A,#N/A,FALSE,"4.PER PL";#N/A,#N/A,FALSE,"5.INVESTMENT";#N/A,#N/A,FALSE,"6.공문";#N/A,#N/A,FALSE,"7.netinvest"}</definedName>
    <definedName name="바로" hidden="1">{#N/A,#N/A,FALSE,"1.CRITERIA";#N/A,#N/A,FALSE,"2.IS";#N/A,#N/A,FALSE,"3.BS";#N/A,#N/A,FALSE,"4.PER PL";#N/A,#N/A,FALSE,"5.INVESTMENT";#N/A,#N/A,FALSE,"6.공문";#N/A,#N/A,FALSE,"7.netinvest"}</definedName>
    <definedName name="바바" hidden="1">{#N/A,#N/A,FALSE,"1.CRITERIA";#N/A,#N/A,FALSE,"2.IS";#N/A,#N/A,FALSE,"3.BS";#N/A,#N/A,FALSE,"4.PER PL";#N/A,#N/A,FALSE,"5.INVESTMENT";#N/A,#N/A,FALSE,"6.공문";#N/A,#N/A,FALSE,"7.netinvest"}</definedName>
    <definedName name="바아" hidden="1">{#N/A,#N/A,FALSE,"1.CRITERIA";#N/A,#N/A,FALSE,"2.IS";#N/A,#N/A,FALSE,"3.BS";#N/A,#N/A,FALSE,"4.PER PL";#N/A,#N/A,FALSE,"5.INVESTMENT";#N/A,#N/A,FALSE,"6.공문";#N/A,#N/A,FALSE,"7.netinvest"}</definedName>
    <definedName name="바아가" hidden="1">{#N/A,#N/A,FALSE,"1.CRITERIA";#N/A,#N/A,FALSE,"2.IS";#N/A,#N/A,FALSE,"3.BS";#N/A,#N/A,FALSE,"4.PER PL";#N/A,#N/A,FALSE,"5.INVESTMENT";#N/A,#N/A,FALSE,"6.공문";#N/A,#N/A,FALSE,"7.netinvest"}</definedName>
    <definedName name="바아가오" hidden="1">{#N/A,#N/A,FALSE,"1.CRITERIA";#N/A,#N/A,FALSE,"2.IS";#N/A,#N/A,FALSE,"3.BS";#N/A,#N/A,FALSE,"4.PER PL";#N/A,#N/A,FALSE,"5.INVESTMENT";#N/A,#N/A,FALSE,"6.공문";#N/A,#N/A,FALSE,"7.netinvest"}</definedName>
    <definedName name="바아고" hidden="1">{#N/A,#N/A,FALSE,"1.CRITERIA";#N/A,#N/A,FALSE,"2.IS";#N/A,#N/A,FALSE,"3.BS";#N/A,#N/A,FALSE,"4.PER PL";#N/A,#N/A,FALSE,"5.INVESTMENT";#N/A,#N/A,FALSE,"6.공문";#N/A,#N/A,FALSE,"7.netinvest"}</definedName>
    <definedName name="바이" hidden="1">{#N/A,#N/A,FALSE,"1.CRITERIA";#N/A,#N/A,FALSE,"2.IS";#N/A,#N/A,FALSE,"3.BS";#N/A,#N/A,FALSE,"4.PER PL";#N/A,#N/A,FALSE,"5.INVESTMENT";#N/A,#N/A,FALSE,"6.공문";#N/A,#N/A,FALSE,"7.netinvest"}</definedName>
    <definedName name="박" hidden="1">{#N/A,#N/A,FALSE,"1.CRITERIA";#N/A,#N/A,FALSE,"2.IS";#N/A,#N/A,FALSE,"3.BS";#N/A,#N/A,FALSE,"4.PER PL";#N/A,#N/A,FALSE,"5.INVESTMENT";#N/A,#N/A,FALSE,"6.공문";#N/A,#N/A,FALSE,"7.netinvest"}</definedName>
    <definedName name="발" hidden="1">{#N/A,#N/A,FALSE,"1.CRITERIA";#N/A,#N/A,FALSE,"2.IS";#N/A,#N/A,FALSE,"3.BS";#N/A,#N/A,FALSE,"4.PER PL";#N/A,#N/A,FALSE,"5.INVESTMENT";#N/A,#N/A,FALSE,"6.공문";#N/A,#N/A,FALSE,"7.netinvest"}</definedName>
    <definedName name="방판일시불" hidden="1">{"'경비내역'!$E$11"}</definedName>
    <definedName name="배" hidden="1">{#N/A,#N/A,FALSE,"1.CRITERIA";#N/A,#N/A,FALSE,"2.IS";#N/A,#N/A,FALSE,"3.BS";#N/A,#N/A,FALSE,"4.PER PL";#N/A,#N/A,FALSE,"5.INVESTMENT";#N/A,#N/A,FALSE,"6.공문";#N/A,#N/A,FALSE,"7.netinvest"}</definedName>
    <definedName name="버버" hidden="1">{#N/A,#N/A,FALSE,"1.CRITERIA";#N/A,#N/A,FALSE,"2.IS";#N/A,#N/A,FALSE,"3.BS";#N/A,#N/A,FALSE,"4.PER PL";#N/A,#N/A,FALSE,"5.INVESTMENT";#N/A,#N/A,FALSE,"6.공문";#N/A,#N/A,FALSE,"7.netinvest"}</definedName>
    <definedName name="베" hidden="1">{#N/A,#N/A,FALSE,"1.CRITERIA";#N/A,#N/A,FALSE,"2.IS";#N/A,#N/A,FALSE,"3.BS";#N/A,#N/A,FALSE,"4.PER PL";#N/A,#N/A,FALSE,"5.INVESTMENT";#N/A,#N/A,FALSE,"6.공문";#N/A,#N/A,FALSE,"7.netinvest"}</definedName>
    <definedName name="보" hidden="1">{#N/A,#N/A,FALSE,"1.CRITERIA";#N/A,#N/A,FALSE,"2.IS";#N/A,#N/A,FALSE,"3.BS";#N/A,#N/A,FALSE,"4.PER PL";#N/A,#N/A,FALSE,"5.INVESTMENT";#N/A,#N/A,FALSE,"6.공문";#N/A,#N/A,FALSE,"7.netinvest"}</definedName>
    <definedName name="보라차" hidden="1">{#N/A,#N/A,FALSE,"1.CRITERIA";#N/A,#N/A,FALSE,"2.IS";#N/A,#N/A,FALSE,"3.BS";#N/A,#N/A,FALSE,"4.PER PL";#N/A,#N/A,FALSE,"5.INVESTMENT";#N/A,#N/A,FALSE,"6.공문";#N/A,#N/A,FALSE,"7.netinvest"}</definedName>
    <definedName name="보아리" hidden="1">{#N/A,#N/A,FALSE,"1.CRITERIA";#N/A,#N/A,FALSE,"2.IS";#N/A,#N/A,FALSE,"3.BS";#N/A,#N/A,FALSE,"4.PER PL";#N/A,#N/A,FALSE,"5.INVESTMENT";#N/A,#N/A,FALSE,"6.공문";#N/A,#N/A,FALSE,"7.netinvest"}</definedName>
    <definedName name="보이" hidden="1">{#N/A,#N/A,FALSE,"1.CRITERIA";#N/A,#N/A,FALSE,"2.IS";#N/A,#N/A,FALSE,"3.BS";#N/A,#N/A,FALSE,"4.PER PL";#N/A,#N/A,FALSE,"5.INVESTMENT";#N/A,#N/A,FALSE,"6.공문";#N/A,#N/A,FALSE,"7.netinvest"}</definedName>
    <definedName name="보이아" hidden="1">{#N/A,#N/A,FALSE,"1.CRITERIA";#N/A,#N/A,FALSE,"2.IS";#N/A,#N/A,FALSE,"3.BS";#N/A,#N/A,FALSE,"4.PER PL";#N/A,#N/A,FALSE,"5.INVESTMENT";#N/A,#N/A,FALSE,"6.공문";#N/A,#N/A,FALSE,"7.netinvest"}</definedName>
    <definedName name="볼" hidden="1">{#N/A,#N/A,FALSE,"1.CRITERIA";#N/A,#N/A,FALSE,"2.IS";#N/A,#N/A,FALSE,"3.BS";#N/A,#N/A,FALSE,"4.PER PL";#N/A,#N/A,FALSE,"5.INVESTMENT";#N/A,#N/A,FALSE,"6.공문";#N/A,#N/A,FALSE,"7.netinvest"}</definedName>
    <definedName name="봐" hidden="1">{#N/A,#N/A,FALSE,"1.CRITERIA";#N/A,#N/A,FALSE,"2.IS";#N/A,#N/A,FALSE,"3.BS";#N/A,#N/A,FALSE,"4.PER PL";#N/A,#N/A,FALSE,"5.INVESTMENT";#N/A,#N/A,FALSE,"6.공문";#N/A,#N/A,FALSE,"7.netinvest"}</definedName>
    <definedName name="비" hidden="1">{#N/A,#N/A,FALSE,"1.CRITERIA";#N/A,#N/A,FALSE,"2.IS";#N/A,#N/A,FALSE,"3.BS";#N/A,#N/A,FALSE,"4.PER PL";#N/A,#N/A,FALSE,"5.INVESTMENT";#N/A,#N/A,FALSE,"6.공문";#N/A,#N/A,FALSE,"7.netinvest"}</definedName>
    <definedName name="빙수" hidden="1">{#N/A,#N/A,FALSE,"1.CRITERIA";#N/A,#N/A,FALSE,"2.IS";#N/A,#N/A,FALSE,"3.BS";#N/A,#N/A,FALSE,"4.PER PL";#N/A,#N/A,FALSE,"5.INVESTMENT";#N/A,#N/A,FALSE,"6.공문";#N/A,#N/A,FALSE,"7.netinvest"}</definedName>
    <definedName name="사업" hidden="1">{"'경비내역'!$E$11"}</definedName>
    <definedName name="사원미지급" hidden="1">{#N/A,#N/A,FALSE,"1.CRITERIA";#N/A,#N/A,FALSE,"2.IS";#N/A,#N/A,FALSE,"3.BS";#N/A,#N/A,FALSE,"4.PER PL";#N/A,#N/A,FALSE,"5.INVESTMENT";#N/A,#N/A,FALSE,"6.공문";#N/A,#N/A,FALSE,"7.netinvest"}</definedName>
    <definedName name="산출내역" hidden="1">[1]ST!#REF!</definedName>
    <definedName name="산출내역1" hidden="1">'[1]#REF'!$A$206:$Q$214</definedName>
    <definedName name="서이" hidden="1">{#N/A,#N/A,FALSE,"1.CRITERIA";#N/A,#N/A,FALSE,"2.IS";#N/A,#N/A,FALSE,"3.BS";#N/A,#N/A,FALSE,"4.PER PL";#N/A,#N/A,FALSE,"5.INVESTMENT";#N/A,#N/A,FALSE,"6.공문";#N/A,#N/A,FALSE,"7.netinvest"}</definedName>
    <definedName name="선급금" hidden="1">{#N/A,#N/A,FALSE,"1.CRITERIA";#N/A,#N/A,FALSE,"2.IS";#N/A,#N/A,FALSE,"3.BS";#N/A,#N/A,FALSE,"4.PER PL";#N/A,#N/A,FALSE,"5.INVESTMENT";#N/A,#N/A,FALSE,"6.공문";#N/A,#N/A,FALSE,"7.netinvest"}</definedName>
    <definedName name="손실" hidden="1">{#N/A,#N/A,FALSE,"1.CRITERIA";#N/A,#N/A,FALSE,"2.IS";#N/A,#N/A,FALSE,"3.BS";#N/A,#N/A,FALSE,"4.PER PL";#N/A,#N/A,FALSE,"5.INVESTMENT";#N/A,#N/A,FALSE,"6.공문";#N/A,#N/A,FALSE,"7.netinvest"}</definedName>
    <definedName name="수정사항집계표" hidden="1">[4]dummy!#REF!</definedName>
    <definedName name="시간외근무_인사" hidden="1">'[1]#REF'!#REF!</definedName>
    <definedName name="아" hidden="1">{#N/A,#N/A,FALSE,"1.CRITERIA";#N/A,#N/A,FALSE,"2.IS";#N/A,#N/A,FALSE,"3.BS";#N/A,#N/A,FALSE,"4.PER PL";#N/A,#N/A,FALSE,"5.INVESTMENT";#N/A,#N/A,FALSE,"6.공문";#N/A,#N/A,FALSE,"7.netinvest"}</definedName>
    <definedName name="아아아" hidden="1">{#N/A,#N/A,FALSE,"1.CRITERIA";#N/A,#N/A,FALSE,"2.IS";#N/A,#N/A,FALSE,"3.BS";#N/A,#N/A,FALSE,"4.PER PL";#N/A,#N/A,FALSE,"5.INVESTMENT";#N/A,#N/A,FALSE,"6.공문";#N/A,#N/A,FALSE,"7.netinvest"}</definedName>
    <definedName name="아이" hidden="1">{#N/A,#N/A,FALSE,"1.CRITERIA";#N/A,#N/A,FALSE,"2.IS";#N/A,#N/A,FALSE,"3.BS";#N/A,#N/A,FALSE,"4.PER PL";#N/A,#N/A,FALSE,"5.INVESTMENT";#N/A,#N/A,FALSE,"6.공문";#N/A,#N/A,FALSE,"7.netinvest"}</definedName>
    <definedName name="안" hidden="1">[4]현금흐름표!$F$45</definedName>
    <definedName name="여이" hidden="1">{#N/A,#N/A,FALSE,"1.CRITERIA";#N/A,#N/A,FALSE,"2.IS";#N/A,#N/A,FALSE,"3.BS";#N/A,#N/A,FALSE,"4.PER PL";#N/A,#N/A,FALSE,"5.INVESTMENT";#N/A,#N/A,FALSE,"6.공문";#N/A,#N/A,FALSE,"7.netinvest"}</definedName>
    <definedName name="영" hidden="1">{#N/A,#N/A,FALSE,"1.CRITERIA";#N/A,#N/A,FALSE,"2.IS";#N/A,#N/A,FALSE,"3.BS";#N/A,#N/A,FALSE,"4.PER PL";#N/A,#N/A,FALSE,"5.INVESTMENT";#N/A,#N/A,FALSE,"6.공문";#N/A,#N/A,FALSE,"7.netinvest"}</definedName>
    <definedName name="영업" hidden="1">{#N/A,#N/A,FALSE,"1.CRITERIA";#N/A,#N/A,FALSE,"2.IS";#N/A,#N/A,FALSE,"3.BS";#N/A,#N/A,FALSE,"4.PER PL";#N/A,#N/A,FALSE,"5.INVESTMENT";#N/A,#N/A,FALSE,"6.공문";#N/A,#N/A,FALSE,"7.netinvest"}</definedName>
    <definedName name="영업5" hidden="1">{"'경비내역'!$E$11"}</definedName>
    <definedName name="영업수" hidden="1">{#N/A,#N/A,FALSE,"1.CRITERIA";#N/A,#N/A,FALSE,"2.IS";#N/A,#N/A,FALSE,"3.BS";#N/A,#N/A,FALSE,"4.PER PL";#N/A,#N/A,FALSE,"5.INVESTMENT";#N/A,#N/A,FALSE,"6.공문";#N/A,#N/A,FALSE,"7.netinvest"}</definedName>
    <definedName name="영업수익" hidden="1">{#N/A,#N/A,FALSE,"1.CRITERIA";#N/A,#N/A,FALSE,"2.IS";#N/A,#N/A,FALSE,"3.BS";#N/A,#N/A,FALSE,"4.PER PL";#N/A,#N/A,FALSE,"5.INVESTMENT";#N/A,#N/A,FALSE,"6.공문";#N/A,#N/A,FALSE,"7.netinvest"}</definedName>
    <definedName name="영업외수익" hidden="1">{#N/A,#N/A,FALSE,"1.CRITERIA";#N/A,#N/A,FALSE,"2.IS";#N/A,#N/A,FALSE,"3.BS";#N/A,#N/A,FALSE,"4.PER PL";#N/A,#N/A,FALSE,"5.INVESTMENT";#N/A,#N/A,FALSE,"6.공문";#N/A,#N/A,FALSE,"7.netinvest"}</definedName>
    <definedName name="예금" hidden="1">{#N/A,#N/A,FALSE,"1.CRITERIA";#N/A,#N/A,FALSE,"2.IS";#N/A,#N/A,FALSE,"3.BS";#N/A,#N/A,FALSE,"4.PER PL";#N/A,#N/A,FALSE,"5.INVESTMENT";#N/A,#N/A,FALSE,"6.공문";#N/A,#N/A,FALSE,"7.netinvest"}</definedName>
    <definedName name="오" hidden="1">{#N/A,#N/A,FALSE,"1.CRITERIA";#N/A,#N/A,FALSE,"2.IS";#N/A,#N/A,FALSE,"3.BS";#N/A,#N/A,FALSE,"4.PER PL";#N/A,#N/A,FALSE,"5.INVESTMENT";#N/A,#N/A,FALSE,"6.공문";#N/A,#N/A,FALSE,"7.netinvest"}</definedName>
    <definedName name="외예금" hidden="1">{#N/A,#N/A,FALSE,"1.CRITERIA";#N/A,#N/A,FALSE,"2.IS";#N/A,#N/A,FALSE,"3.BS";#N/A,#N/A,FALSE,"4.PER PL";#N/A,#N/A,FALSE,"5.INVESTMENT";#N/A,#N/A,FALSE,"6.공문";#N/A,#N/A,FALSE,"7.netinvest"}</definedName>
    <definedName name="요" hidden="1">{#N/A,#N/A,FALSE,"1.CRITERIA";#N/A,#N/A,FALSE,"2.IS";#N/A,#N/A,FALSE,"3.BS";#N/A,#N/A,FALSE,"4.PER PL";#N/A,#N/A,FALSE,"5.INVESTMENT";#N/A,#N/A,FALSE,"6.공문";#N/A,#N/A,FALSE,"7.netinvest"}</definedName>
    <definedName name="요약fs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원가" hidden="1">{#N/A,#N/A,FALSE,"1.CRITERIA";#N/A,#N/A,FALSE,"2.IS";#N/A,#N/A,FALSE,"3.BS";#N/A,#N/A,FALSE,"4.PER PL";#N/A,#N/A,FALSE,"5.INVESTMENT";#N/A,#N/A,FALSE,"6.공문";#N/A,#N/A,FALSE,"7.netinvest"}</definedName>
    <definedName name="원가분석" hidden="1">{#N/A,#N/A,FALSE,"1.CRITERIA";#N/A,#N/A,FALSE,"2.IS";#N/A,#N/A,FALSE,"3.BS";#N/A,#N/A,FALSE,"4.PER PL";#N/A,#N/A,FALSE,"5.INVESTMENT";#N/A,#N/A,FALSE,"6.공문";#N/A,#N/A,FALSE,"7.netinvest"}</definedName>
    <definedName name="월" hidden="1">{#N/A,#N/A,FALSE,"1.CRITERIA";#N/A,#N/A,FALSE,"2.IS";#N/A,#N/A,FALSE,"3.BS";#N/A,#N/A,FALSE,"4.PER PL";#N/A,#N/A,FALSE,"5.INVESTMENT";#N/A,#N/A,FALSE,"6.공문";#N/A,#N/A,FALSE,"7.netinvest"}</definedName>
    <definedName name="월말" hidden="1">{#N/A,#N/A,FALSE,"1.CRITERIA";#N/A,#N/A,FALSE,"2.IS";#N/A,#N/A,FALSE,"3.BS";#N/A,#N/A,FALSE,"4.PER PL";#N/A,#N/A,FALSE,"5.INVESTMENT";#N/A,#N/A,FALSE,"6.공문";#N/A,#N/A,FALSE,"7.netinvest"}</definedName>
    <definedName name="월별" hidden="1">{#N/A,#N/A,FALSE,"1.CRITERIA";#N/A,#N/A,FALSE,"2.IS";#N/A,#N/A,FALSE,"3.BS";#N/A,#N/A,FALSE,"4.PER PL";#N/A,#N/A,FALSE,"5.INVESTMENT";#N/A,#N/A,FALSE,"6.공문";#N/A,#N/A,FALSE,"7.netinvest"}</definedName>
    <definedName name="월별영업비용" hidden="1">{#N/A,#N/A,FALSE,"1.CRITERIA";#N/A,#N/A,FALSE,"2.IS";#N/A,#N/A,FALSE,"3.BS";#N/A,#N/A,FALSE,"4.PER PL";#N/A,#N/A,FALSE,"5.INVESTMENT";#N/A,#N/A,FALSE,"6.공문";#N/A,#N/A,FALSE,"7.netinvest"}</definedName>
    <definedName name="유가증권" hidden="1">{#N/A,#N/A,FALSE,"Aging Summary";#N/A,#N/A,FALSE,"Ratio Analysis";#N/A,#N/A,FALSE,"Test 120 Day Accts";#N/A,#N/A,FALSE,"Tickmarks"}</definedName>
    <definedName name="유동자금실적_EXP_ORDER" comment="실적시트 - 지출/수입 내역의 값이 0이 아닌 것들을 내림차순하여 정리">_xlfn.LET(   _xlpm.항목범위, '6월데이터'!XEV1048576:XEV500,   _xlpm.환종범위, '6월데이터'!XEY1048576:XEY500,   _xlpm.원값범위, '6월데이터'!XFA1048576:XFA500,   _xlpm.값, IFERROR(VALUE(_xlpm.원값범위), 0),   _xlpm.제외조건, (_xlpm.항목범위="금융상품")+(_xlpm.항목범위="보통예금")+(_xlpm.항목범위="구분"),   _xlpm.필터행, _xlfn._xlws.FILTER(_xlfn.HSTACK(_xlpm.항목범위, _xlpm.환종범위, _xlpm.값), (_xlpm.값&lt;&gt;0)*(NOT(_xlpm.제외조건))),   _xlpm.항목열, INDEX(_xlpm.필터행,,1),   _xlpm.환종열, INDEX(_xlpm.필터행,,2),   _xlpm.숫자열, INDEX(_xlpm.필터행,,3),   _xlpm.그룹, _xlfn.HSTACK(_xlpm.항목열, _xlpm.환종열),   _xlpm.고유그룹, IFERROR(_xlfn.UNIQUE(_xlpm.그룹), {"",""}),   _xlpm.합계값, _xlfn.BYROW(_xlpm.고유그룹, _xlfn.LAMBDA(_xlpm.행,     _xlfn.LET(       _xlpm.항, INDEX(_xlpm.행,,1),       _xlpm.환, INDEX(_xlpm.행,,2),       _xlpm.해당값들, _xlfn._xlws.FILTER(_xlpm.숫자열, (_xlpm.항목열=_xlpm.항)*(_xlpm.환종열=_xlpm.환)),       IFERROR(SUM(_xlpm.해당값들), 0)     )   )),   _xlpm.결과, _xlfn.HSTACK(_xlpm.고유그룹, _xlpm.합계값),   _xlfn._xlws.SORT(_xlpm.결과, 3, -1) )</definedName>
    <definedName name="유동자금실적_INC_ORDER">_xlfn.LET(   _xlpm.항목범위, '6월데이터'!XEZ1048576:XEZ496,   _xlpm.환종범위, '6월데이터'!XFC1048576:XFC496,   _xlpm.원값범위, '6월데이터'!XFD1048576:XFD496,    _xlpm.값, IFERROR(VALUE(_xlpm.원값범위), 0),   _xlpm.제외조건, (_xlpm.항목범위="금융상품")+(_xlpm.항목범위="보통예금")+(_xlpm.항목범위="구분"),   _xlpm.필터행, _xlfn._xlws.FILTER(_xlfn.HSTACK(_xlpm.항목범위, _xlpm.환종범위, _xlpm.값), (_xlpm.값&lt;&gt;0)*(NOT(_xlpm.제외조건))),   _xlpm.항목열, INDEX(_xlpm.필터행,,1),   _xlpm.환종열, INDEX(_xlpm.필터행,,2),   _xlpm.숫자열, INDEX(_xlpm.필터행,,3),   _xlpm.그룹, _xlfn.HSTACK(_xlpm.항목열, _xlpm.환종열),   _xlpm.고유그룹, _xlfn.UNIQUE(_xlpm.그룹),   _xlpm.최대값, _xlfn.BYROW(_xlpm.고유그룹, _xlfn.LAMBDA(_xlpm.행,     _xlfn.LET(       _xlpm.항, INDEX(_xlpm.행,,1),       _xlpm.환, INDEX(_xlpm.행,,2),       _xlpm.해당값들, _xlfn._xlws.FILTER(_xlpm.숫자열, (_xlpm.항목열=_xlpm.항)*(_xlpm.환종열=_xlpm.환)),       IFERROR(MAX(_xlpm.해당값들), 0)     )   )),   _xlpm.결과, _xlfn.HSTACK(_xlpm.고유그룹, _xlpm.최대값),   _xlfn._xlws.SORT(_xlpm.결과, 3, -1) )</definedName>
    <definedName name="유동자금실적_지출">_xlfn.LET(   _xlpm.항목범위, '6월데이터'!XEV1048576:XEV500,   _xlpm.환종범위, '6월데이터'!XEY1048576:XEY500,   _xlpm.원값범위, '6월데이터'!XFA1048576:XFA500,   _xlpm.값, IFERROR(VALUE(_xlpm.원값범위), 0),   _xlpm.제외조건, (_xlpm.항목범위="금융상품")+(_xlpm.항목범위="보통예금")+(_xlpm.항목범위="구분"),   _xlpm.필터행, _xlfn._xlws.FILTER(_xlfn.HSTACK(_xlpm.항목범위, _xlpm.환종범위, _xlpm.값), (_xlpm.값&lt;&gt;0)*(NOT(_xlpm.제외조건))),   _xlpm.항목열, INDEX(_xlpm.필터행,,1),   _xlpm.환종열, INDEX(_xlpm.필터행,,2),   _xlpm.숫자열, INDEX(_xlpm.필터행,,3),   _xlpm.그룹, _xlfn.HSTACK(_xlpm.항목열, _xlpm.환종열),   _xlpm.고유그룹, IFERROR(_xlfn.UNIQUE(_xlpm.그룹), {"",""}),   _xlpm.합계값, _xlfn.BYROW(_xlpm.고유그룹, _xlfn.LAMBDA(_xlpm.행,     _xlfn.LET(       _xlpm.항, INDEX(_xlpm.행,,1),       _xlpm.환, INDEX(_xlpm.행,,2),       _xlpm.해당값들, _xlfn._xlws.FILTER(_xlpm.숫자열, (_xlpm.항목열=_xlpm.항)*(_xlpm.환종열=_xlpm.환)),       IFERROR(SUM(_xlpm.해당값들), 0)     )   )),   _xlpm.결과, _xlfn.HSTACK(_xlpm.고유그룹, _xlpm.합계값),   _xlfn._xlws.SORT(_xlpm.결과, 3, -1) )</definedName>
    <definedName name="유이" hidden="1">{#N/A,#N/A,FALSE,"1.CRITERIA";#N/A,#N/A,FALSE,"2.IS";#N/A,#N/A,FALSE,"3.BS";#N/A,#N/A,FALSE,"4.PER PL";#N/A,#N/A,FALSE,"5.INVESTMENT";#N/A,#N/A,FALSE,"6.공문";#N/A,#N/A,FALSE,"7.netinvest"}</definedName>
    <definedName name="윤정문" hidden="1">[1]Sheet2!#REF!</definedName>
    <definedName name="이익잉여금처분계산서" hidden="1">{#N/A,#N/A,FALSE,"현장 NCR 분석";#N/A,#N/A,FALSE,"현장품질감사";#N/A,#N/A,FALSE,"현장품질감사"}</definedName>
    <definedName name="인사" hidden="1">#REF!</definedName>
    <definedName name="인사팀" hidden="1">[1]Sheet2!#REF!</definedName>
    <definedName name="인원충원사유" hidden="1">{#N/A,#N/A,FALSE,"계약직(여)"}</definedName>
    <definedName name="임차총현황" hidden="1">{"'경비내역'!$E$11"}</definedName>
    <definedName name="잡손실" hidden="1">{#N/A,#N/A,FALSE,"1.CRITERIA";#N/A,#N/A,FALSE,"2.IS";#N/A,#N/A,FALSE,"3.BS";#N/A,#N/A,FALSE,"4.PER PL";#N/A,#N/A,FALSE,"5.INVESTMENT";#N/A,#N/A,FALSE,"6.공문";#N/A,#N/A,FALSE,"7.netinvest"}</definedName>
    <definedName name="잡이익" hidden="1">{#N/A,#N/A,FALSE,"1.CRITERIA";#N/A,#N/A,FALSE,"2.IS";#N/A,#N/A,FALSE,"3.BS";#N/A,#N/A,FALSE,"4.PER PL";#N/A,#N/A,FALSE,"5.INVESTMENT";#N/A,#N/A,FALSE,"6.공문";#N/A,#N/A,FALSE,"7.netinvest"}</definedName>
    <definedName name="재무" hidden="1">[4]현금흐름표!#REF!</definedName>
    <definedName name="정비확정" hidden="1">'[1]#REF'!$A$206:$Q$214</definedName>
    <definedName name="제조" hidden="1">{#N/A,#N/A,FALSE,"1.CRITERIA";#N/A,#N/A,FALSE,"2.IS";#N/A,#N/A,FALSE,"3.BS";#N/A,#N/A,FALSE,"4.PER PL";#N/A,#N/A,FALSE,"5.INVESTMENT";#N/A,#N/A,FALSE,"6.공문";#N/A,#N/A,FALSE,"7.netinvest"}</definedName>
    <definedName name="제출용" hidden="1">{"'경비내역'!$E$11"}</definedName>
    <definedName name="조" hidden="1">{#N/A,#N/A,FALSE,"1.CRITERIA";#N/A,#N/A,FALSE,"2.IS";#N/A,#N/A,FALSE,"3.BS";#N/A,#N/A,FALSE,"4.PER PL";#N/A,#N/A,FALSE,"5.INVESTMENT";#N/A,#N/A,FALSE,"6.공문";#N/A,#N/A,FALSE,"7.netinvest"}</definedName>
    <definedName name="조정표지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증감분석" hidden="1">{"'경비내역'!$E$11"}</definedName>
    <definedName name="증감분석_1" hidden="1">{"'경비내역'!$E$11"}</definedName>
    <definedName name="차" hidden="1">{#N/A,#N/A,FALSE,"1.CRITERIA";#N/A,#N/A,FALSE,"2.IS";#N/A,#N/A,FALSE,"3.BS";#N/A,#N/A,FALSE,"4.PER PL";#N/A,#N/A,FALSE,"5.INVESTMENT";#N/A,#N/A,FALSE,"6.공문";#N/A,#N/A,FALSE,"7.netinvest"}</definedName>
    <definedName name="초임금비교" hidden="1">{#N/A,#N/A,FALSE,"계약직(여)"}</definedName>
    <definedName name="초임급" hidden="1">{#N/A,#N/A,FALSE,"계약직(여)"}</definedName>
    <definedName name="총괄" hidden="1">{#N/A,#N/A,TRUE,"1호 과표세액";#N/A,#N/A,TRUE,"6호 첨부(익)";#N/A,#N/A,TRUE,"6-3호 퇴충";#N/A,#N/A,TRUE,"PL";#N/A,#N/A,TRUE,"BS";#N/A,#N/A,TRUE,"RE";#N/A,#N/A,TRUE,"표지"}</definedName>
    <definedName name="총임차현황2월말" hidden="1">{"'경비내역'!$E$11"}</definedName>
    <definedName name="촤" hidden="1">{#N/A,#N/A,FALSE,"1.CRITERIA";#N/A,#N/A,FALSE,"2.IS";#N/A,#N/A,FALSE,"3.BS";#N/A,#N/A,FALSE,"4.PER PL";#N/A,#N/A,FALSE,"5.INVESTMENT";#N/A,#N/A,FALSE,"6.공문";#N/A,#N/A,FALSE,"7.netinvest"}</definedName>
    <definedName name="카러" hidden="1">{#N/A,#N/A,FALSE,"1.CRITERIA";#N/A,#N/A,FALSE,"2.IS";#N/A,#N/A,FALSE,"3.BS";#N/A,#N/A,FALSE,"4.PER PL";#N/A,#N/A,FALSE,"5.INVESTMENT";#N/A,#N/A,FALSE,"6.공문";#N/A,#N/A,FALSE,"7.netinvest"}</definedName>
    <definedName name="커머" hidden="1">{#N/A,#N/A,FALSE,"1.CRITERIA";#N/A,#N/A,FALSE,"2.IS";#N/A,#N/A,FALSE,"3.BS";#N/A,#N/A,FALSE,"4.PER PL";#N/A,#N/A,FALSE,"5.INVESTMENT";#N/A,#N/A,FALSE,"6.공문";#N/A,#N/A,FALSE,"7.netinvest"}</definedName>
    <definedName name="컼커" hidden="1">{#N/A,#N/A,FALSE,"1.CRITERIA";#N/A,#N/A,FALSE,"2.IS";#N/A,#N/A,FALSE,"3.BS";#N/A,#N/A,FALSE,"4.PER PL";#N/A,#N/A,FALSE,"5.INVESTMENT";#N/A,#N/A,FALSE,"6.공문";#N/A,#N/A,FALSE,"7.netinvest"}</definedName>
    <definedName name="코" hidden="1">{#N/A,#N/A,FALSE,"1.CRITERIA";#N/A,#N/A,FALSE,"2.IS";#N/A,#N/A,FALSE,"3.BS";#N/A,#N/A,FALSE,"4.PER PL";#N/A,#N/A,FALSE,"5.INVESTMENT";#N/A,#N/A,FALSE,"6.공문";#N/A,#N/A,FALSE,"7.netinvest"}</definedName>
    <definedName name="키" hidden="1">{#N/A,#N/A,FALSE,"1.CRITERIA";#N/A,#N/A,FALSE,"2.IS";#N/A,#N/A,FALSE,"3.BS";#N/A,#N/A,FALSE,"4.PER PL";#N/A,#N/A,FALSE,"5.INVESTMENT";#N/A,#N/A,FALSE,"6.공문";#N/A,#N/A,FALSE,"7.netinvest"}</definedName>
    <definedName name="퇴충명세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특정" hidden="1">{#N/A,#N/A,FALSE,"1.CRITERIA";#N/A,#N/A,FALSE,"2.IS";#N/A,#N/A,FALSE,"3.BS";#N/A,#N/A,FALSE,"4.PER PL";#N/A,#N/A,FALSE,"5.INVESTMENT";#N/A,#N/A,FALSE,"6.공문";#N/A,#N/A,FALSE,"7.netinvest"}</definedName>
    <definedName name="파" hidden="1">{#N/A,#N/A,FALSE,"1.CRITERIA";#N/A,#N/A,FALSE,"2.IS";#N/A,#N/A,FALSE,"3.BS";#N/A,#N/A,FALSE,"4.PER PL";#N/A,#N/A,FALSE,"5.INVESTMENT";#N/A,#N/A,FALSE,"6.공문";#N/A,#N/A,FALSE,"7.netinvest"}</definedName>
    <definedName name="파아라" hidden="1">{#N/A,#N/A,FALSE,"1.CRITERIA";#N/A,#N/A,FALSE,"2.IS";#N/A,#N/A,FALSE,"3.BS";#N/A,#N/A,FALSE,"4.PER PL";#N/A,#N/A,FALSE,"5.INVESTMENT";#N/A,#N/A,FALSE,"6.공문";#N/A,#N/A,FALSE,"7.netinvest"}</definedName>
    <definedName name="파하" hidden="1">{#N/A,#N/A,FALSE,"1.CRITERIA";#N/A,#N/A,FALSE,"2.IS";#N/A,#N/A,FALSE,"3.BS";#N/A,#N/A,FALSE,"4.PER PL";#N/A,#N/A,FALSE,"5.INVESTMENT";#N/A,#N/A,FALSE,"6.공문";#N/A,#N/A,FALSE,"7.netinvest"}</definedName>
    <definedName name="퍄" hidden="1">{#N/A,#N/A,FALSE,"1.CRITERIA";#N/A,#N/A,FALSE,"2.IS";#N/A,#N/A,FALSE,"3.BS";#N/A,#N/A,FALSE,"4.PER PL";#N/A,#N/A,FALSE,"5.INVESTMENT";#N/A,#N/A,FALSE,"6.공문";#N/A,#N/A,FALSE,"7.netinvest"}</definedName>
    <definedName name="페" hidden="1">{#N/A,#N/A,FALSE,"1.CRITERIA";#N/A,#N/A,FALSE,"2.IS";#N/A,#N/A,FALSE,"3.BS";#N/A,#N/A,FALSE,"4.PER PL";#N/A,#N/A,FALSE,"5.INVESTMENT";#N/A,#N/A,FALSE,"6.공문";#N/A,#N/A,FALSE,"7.netinvest"}</definedName>
    <definedName name="펴" hidden="1">{#N/A,#N/A,FALSE,"1.CRITERIA";#N/A,#N/A,FALSE,"2.IS";#N/A,#N/A,FALSE,"3.BS";#N/A,#N/A,FALSE,"4.PER PL";#N/A,#N/A,FALSE,"5.INVESTMENT";#N/A,#N/A,FALSE,"6.공문";#N/A,#N/A,FALSE,"7.netinvest"}</definedName>
    <definedName name="포" hidden="1">{#N/A,#N/A,FALSE,"1.CRITERIA";#N/A,#N/A,FALSE,"2.IS";#N/A,#N/A,FALSE,"3.BS";#N/A,#N/A,FALSE,"4.PER PL";#N/A,#N/A,FALSE,"5.INVESTMENT";#N/A,#N/A,FALSE,"6.공문";#N/A,#N/A,FALSE,"7.netinvest"}</definedName>
    <definedName name="표지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표지조정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하" hidden="1">{#N/A,#N/A,FALSE,"1.CRITERIA";#N/A,#N/A,FALSE,"2.IS";#N/A,#N/A,FALSE,"3.BS";#N/A,#N/A,FALSE,"4.PER PL";#N/A,#N/A,FALSE,"5.INVESTMENT";#N/A,#N/A,FALSE,"6.공문";#N/A,#N/A,FALSE,"7.netinvest"}</definedName>
    <definedName name="햐" hidden="1">{#N/A,#N/A,FALSE,"1.CRITERIA";#N/A,#N/A,FALSE,"2.IS";#N/A,#N/A,FALSE,"3.BS";#N/A,#N/A,FALSE,"4.PER PL";#N/A,#N/A,FALSE,"5.INVESTMENT";#N/A,#N/A,FALSE,"6.공문";#N/A,#N/A,FALSE,"7.netinvest"}</definedName>
    <definedName name="혀" hidden="1">{#N/A,#N/A,FALSE,"1.CRITERIA";#N/A,#N/A,FALSE,"2.IS";#N/A,#N/A,FALSE,"3.BS";#N/A,#N/A,FALSE,"4.PER PL";#N/A,#N/A,FALSE,"5.INVESTMENT";#N/A,#N/A,FALSE,"6.공문";#N/A,#N/A,FALSE,"7.netinvest"}</definedName>
    <definedName name="현금등가물" hidden="1">{#N/A,#N/A,FALSE,"Aging Summary";#N/A,#N/A,FALSE,"Ratio Analysis";#N/A,#N/A,FALSE,"Test 120 Day Accts";#N/A,#N/A,FALSE,"Tickmarks"}</definedName>
    <definedName name="현금정산" hidden="1">{#N/A,#N/A,FALSE,"Aging Summary";#N/A,#N/A,FALSE,"Ratio Analysis";#N/A,#N/A,FALSE,"Test 120 Day Accts";#N/A,#N/A,FALSE,"Tickmarks"}</definedName>
    <definedName name="현금흐름" hidden="1">{#N/A,#N/A,FALSE,"Aging Summary";#N/A,#N/A,FALSE,"Ratio Analysis";#N/A,#N/A,FALSE,"Test 120 Day Accts";#N/A,#N/A,FALSE,"Tickmarks"}</definedName>
    <definedName name="호" hidden="1">{#N/A,#N/A,FALSE,"1.CRITERIA";#N/A,#N/A,FALSE,"2.IS";#N/A,#N/A,FALSE,"3.BS";#N/A,#N/A,FALSE,"4.PER PL";#N/A,#N/A,FALSE,"5.INVESTMENT";#N/A,#N/A,FALSE,"6.공문";#N/A,#N/A,FALSE,"7.netinvest"}</definedName>
    <definedName name="회계팀_수정분" hidden="1">[1]Sheet2!#REF!</definedName>
    <definedName name="효" hidden="1">{#N/A,#N/A,FALSE,"1.CRITERIA";#N/A,#N/A,FALSE,"2.IS";#N/A,#N/A,FALSE,"3.BS";#N/A,#N/A,FALSE,"4.PER PL";#N/A,#N/A,FALSE,"5.INVESTMENT";#N/A,#N/A,FALSE,"6.공문";#N/A,#N/A,FALSE,"7.netinvest"}</definedName>
    <definedName name="후" hidden="1">{#N/A,#N/A,FALSE,"1.CRITERIA";#N/A,#N/A,FALSE,"2.IS";#N/A,#N/A,FALSE,"3.BS";#N/A,#N/A,FALSE,"4.PER PL";#N/A,#N/A,FALSE,"5.INVESTMENT";#N/A,#N/A,FALSE,"6.공문";#N/A,#N/A,FALSE,"7.netinvest"}</definedName>
    <definedName name="휴" hidden="1">{#N/A,#N/A,FALSE,"1.CRITERIA";#N/A,#N/A,FALSE,"2.IS";#N/A,#N/A,FALSE,"3.BS";#N/A,#N/A,FALSE,"4.PER PL";#N/A,#N/A,FALSE,"5.INVESTMENT";#N/A,#N/A,FALSE,"6.공문";#N/A,#N/A,FALSE,"7.netinvest"}</definedName>
    <definedName name="흐" hidden="1">{#N/A,#N/A,FALSE,"1.CRITERIA";#N/A,#N/A,FALSE,"2.IS";#N/A,#N/A,FALSE,"3.BS";#N/A,#N/A,FALSE,"4.PER PL";#N/A,#N/A,FALSE,"5.INVESTMENT";#N/A,#N/A,FALSE,"6.공문";#N/A,#N/A,FALSE,"7.netinvest"}</definedName>
    <definedName name="ㅏㅏㅏ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ㅐㅏ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ㅓㅗㅓㅗㅓㅗ" hidden="1">'[4]CF_Current_Detail(July)'!$F$45</definedName>
    <definedName name="_xlnm.Print_Area" localSheetId="2">'유동자금세부'!$A$1:$N$49</definedName>
    <definedName name="_xlnm.Print_Area" localSheetId="3">'연간'!$A$1:$AW$44</definedName>
    <definedName name="_xlnm._FilterDatabase" localSheetId="4" hidden="1">'실적월'!$A$3:$G$90</definedName>
    <definedName name="_xlnm._FilterDatabase" localSheetId="5" hidden="1">'계획월'!$A$3:$G$278</definedName>
    <definedName name="_Fill" localSheetId="6" hidden="1">[4]현금흐름표!#REF!</definedName>
    <definedName name="_k1" localSheetId="6" hidden="1">[1]ST!#REF!</definedName>
    <definedName name="_k2" localSheetId="6" hidden="1">[1]ST!#REF!</definedName>
    <definedName name="_Key2" localSheetId="6" hidden="1">[1]Sheet2!#REF!</definedName>
    <definedName name="_oo" localSheetId="6" hidden="1">'[1]#REF'!#REF!</definedName>
    <definedName name="_oo1" localSheetId="6" hidden="1">'[1]#REF'!#REF!</definedName>
    <definedName name="_op" localSheetId="6" hidden="1">[1]ST!#REF!</definedName>
    <definedName name="_op1" localSheetId="6" hidden="1">[1]ST!#REF!</definedName>
    <definedName name="ee" localSheetId="6" hidden="1">[4]ST!#REF!</definedName>
    <definedName name="GGG" localSheetId="6" hidden="1">[1]ST!#REF!</definedName>
    <definedName name="inv" localSheetId="6" hidden="1">[1]ST!#REF!</definedName>
    <definedName name="oo" localSheetId="6" hidden="1">'[1]#REF'!#REF!</definedName>
    <definedName name="op" localSheetId="6" hidden="1">[1]ST!#REF!</definedName>
    <definedName name="SSS" localSheetId="6" hidden="1">#REF!</definedName>
    <definedName name="공장지원" localSheetId="6" hidden="1">[1]ST!#REF!</definedName>
    <definedName name="공장지원팀" localSheetId="6" hidden="1">#REF!</definedName>
    <definedName name="ㅁㅁ" localSheetId="6" hidden="1">#REF!</definedName>
    <definedName name="산출내역" localSheetId="6" hidden="1">[1]ST!#REF!</definedName>
    <definedName name="수정사항집계표" localSheetId="6" hidden="1">[4]dummy!#REF!</definedName>
    <definedName name="윤정문" localSheetId="6" hidden="1">[1]Sheet2!#REF!</definedName>
    <definedName name="인사" localSheetId="6" hidden="1">#REF!</definedName>
    <definedName name="인사팀" localSheetId="6" hidden="1">[1]Sheet2!#REF!</definedName>
    <definedName name="_Fill" localSheetId="7" hidden="1">[4]현금흐름표!#REF!</definedName>
    <definedName name="_k1" localSheetId="7" hidden="1">[1]ST!#REF!</definedName>
    <definedName name="_k2" localSheetId="7" hidden="1">[1]ST!#REF!</definedName>
    <definedName name="_Key2" localSheetId="7" hidden="1">[1]Sheet2!#REF!</definedName>
    <definedName name="_oo" localSheetId="7" hidden="1">'[1]#REF'!#REF!</definedName>
    <definedName name="_oo1" localSheetId="7" hidden="1">'[1]#REF'!#REF!</definedName>
    <definedName name="_op" localSheetId="7" hidden="1">[1]ST!#REF!</definedName>
    <definedName name="_op1" localSheetId="7" hidden="1">[1]ST!#REF!</definedName>
    <definedName name="ee" localSheetId="7" hidden="1">[4]ST!#REF!</definedName>
    <definedName name="GGG" localSheetId="7" hidden="1">[1]ST!#REF!</definedName>
    <definedName name="inv" localSheetId="7" hidden="1">[1]ST!#REF!</definedName>
    <definedName name="oo" localSheetId="7" hidden="1">'[1]#REF'!#REF!</definedName>
    <definedName name="op" localSheetId="7" hidden="1">[1]ST!#REF!</definedName>
    <definedName name="SSS" localSheetId="7" hidden="1">#REF!</definedName>
    <definedName name="공장지원" localSheetId="7" hidden="1">[1]ST!#REF!</definedName>
    <definedName name="공장지원팀" localSheetId="7" hidden="1">#REF!</definedName>
    <definedName name="ㅁㅁ" localSheetId="7" hidden="1">#REF!</definedName>
    <definedName name="산출내역" localSheetId="7" hidden="1">[1]ST!#REF!</definedName>
    <definedName name="수정사항집계표" localSheetId="7" hidden="1">[4]dummy!#REF!</definedName>
    <definedName name="윤정문" localSheetId="7" hidden="1">[1]Sheet2!#REF!</definedName>
    <definedName name="인사" localSheetId="7" hidden="1">#REF!</definedName>
    <definedName name="인사팀" localSheetId="7" hidden="1">[1]Sheet2!#REF!</definedName>
  </definedNames>
  <calcPr calcId="191029" fullCalcOnLoad="1"/>
</workbook>
</file>

<file path=xl/styles.xml><?xml version="1.0" encoding="utf-8"?>
<styleSheet xmlns="http://schemas.openxmlformats.org/spreadsheetml/2006/main">
  <numFmts count="53">
    <numFmt numFmtId="164" formatCode="#,##0_ "/>
    <numFmt numFmtId="165" formatCode="_-* #,##0_-;\-* #,##0_-;_-* &quot;-&quot;_-;_-@_-"/>
    <numFmt numFmtId="166" formatCode="_-[$€-2]\ * #,##0.00_-;\-[$€-2]\ * #,##0.00_-;_-[$€-2]\ * &quot;-&quot;??_-;_-@_-"/>
    <numFmt numFmtId="167" formatCode="_-* #,##0.0_-;\-* #,##0.0_-;_-* &quot;-&quot;_-;_-@_-"/>
    <numFmt numFmtId="168" formatCode="#,##0.0_ "/>
    <numFmt numFmtId="169" formatCode="_-* #,##0.00_-;\-* #,##0.00_-;_-* &quot;-&quot;??_-;_-@_-"/>
    <numFmt numFmtId="170" formatCode="_-* #,##0.00_-;\-* #,##0.00_-;_-* &quot;-&quot;_-;_-@_-"/>
    <numFmt numFmtId="171" formatCode="_-* #,##0.0000_-;\-* #,##0.0000_-;_-* &quot;-&quot;??_-;_-@_-"/>
    <numFmt numFmtId="172" formatCode="_-[$¥-411]* #,##0.00_-;\-[$¥-411]* #,##0.00_-;_-[$¥-411]* &quot;-&quot;??_-;_-@_-"/>
    <numFmt numFmtId="173" formatCode="[Red]\+#,##0.0_ ;[Blue]\-#,##0.0\ "/>
    <numFmt numFmtId="174" formatCode="#,##0.0"/>
    <numFmt numFmtId="175" formatCode="0.0"/>
    <numFmt numFmtId="176" formatCode="0.0%"/>
    <numFmt numFmtId="177" formatCode="_-* #,##0_-;\-* #,##0_-;_-* &quot;-&quot;??_-;_-@_-"/>
    <numFmt numFmtId="178" formatCode="_-* #,##0.0000000_-;\-* #,##0.0000000_-;_-* &quot;-&quot;??_-;_-@_-"/>
    <numFmt numFmtId="179" formatCode="_-* #,##0.000000_-;\-* #,##0.000000_-;_-* &quot;-&quot;??_-;_-@_-"/>
    <numFmt numFmtId="180" formatCode="_-* #,##0.0_-;\-* #,##0.0_-;_-* &quot;-&quot;?_-;_-@_-"/>
    <numFmt numFmtId="181" formatCode="#,##0_ ;[Red]\-#,##0\ "/>
    <numFmt numFmtId="182" formatCode="yyyy/mm/dd\ \(aaa\)"/>
    <numFmt numFmtId="183" formatCode="#,##0.0;[Blue]\(#,##0.0\)"/>
    <numFmt numFmtId="184" formatCode="[Red]\+#,##0.0;[Blue]\-#,##0.0"/>
    <numFmt numFmtId="185" formatCode="#,##0.00000000_ ;[Red]\-#,##0.00000000\ "/>
    <numFmt numFmtId="186" formatCode="#,##0.0000000000;[Blue]\(#,##0.0000000000\)"/>
    <numFmt numFmtId="187" formatCode="0.000000000000E+00"/>
    <numFmt numFmtId="188" formatCode="_-* #,##0.00000000_-;\-* #,##0.00000000_-;_-* &quot;-&quot;_-;_-@_-"/>
    <numFmt numFmtId="189" formatCode="#,##0.000_ ;[Red]\-#,##0.000\ "/>
    <numFmt numFmtId="190" formatCode="_-* #,##0.00000_-;\-* #,##0.00000_-;_-* &quot;-&quot;_-;_-@_-"/>
    <numFmt numFmtId="191" formatCode="#,##0_);\(#,##0\)"/>
    <numFmt numFmtId="192" formatCode="#,##0.0_);\(#,##0.0\)"/>
    <numFmt numFmtId="193" formatCode="#,##0.0_);\(#,##0.0\);&quot;-&quot;"/>
    <numFmt numFmtId="194" formatCode="#,##0_);\-#,##0;&quot;-&quot;"/>
    <numFmt numFmtId="195" formatCode="#,##0_);\(#,##0\);&quot;-&quot;"/>
    <numFmt numFmtId="196" formatCode="#,##0.000"/>
    <numFmt numFmtId="197" formatCode="0.0000"/>
    <numFmt numFmtId="198" formatCode="#,##0\ ;[Blue]\(#,##0\)\ ;&quot;-&quot;"/>
    <numFmt numFmtId="199" formatCode="#,##0.000_ "/>
    <numFmt numFmtId="200" formatCode="0.000000000_ "/>
    <numFmt numFmtId="201" formatCode="[Red]\+#,##0.0\ ;[Blue]\-#,##0.0\ ;&quot;-&quot;"/>
    <numFmt numFmtId="202" formatCode="[Red]\+#,##0\ ;[Blue]\-#,##0\ ;&quot;-&quot;"/>
    <numFmt numFmtId="203" formatCode="_-* #,##0.0000000_-;\-* #,##0.0000000_-;_-* &quot;-&quot;_-;_-@_-"/>
    <numFmt numFmtId="204" formatCode="m&quot;월&quot;\ d&quot;일&quot;"/>
    <numFmt numFmtId="205" formatCode="[Red]\+#,##0.0\ ;[Blue]\-#,##0.0\ "/>
    <numFmt numFmtId="206" formatCode="#,##0.0\ ;\-#,##0.0\ ;&quot;-&quot;\ "/>
    <numFmt numFmtId="207" formatCode="#,##0\ ;\-#,##0\ ;&quot;-&quot;\ "/>
    <numFmt numFmtId="208" formatCode="#,##0.\ ;\-#,##0\ ;&quot;-&quot;\ "/>
    <numFmt numFmtId="209" formatCode="_-* #,##0.000_-;\-* #,##0.000_-;_-* &quot;-&quot;_-;_-@_-"/>
    <numFmt numFmtId="210" formatCode="#,##0;[Red]\-#,##0;\-"/>
    <numFmt numFmtId="211" formatCode="yyyy\/mm"/>
    <numFmt numFmtId="212" formatCode="yy\/mm"/>
    <numFmt numFmtId="213" formatCode="#,##0.000000000000000_ "/>
    <numFmt numFmtId="214" formatCode="\+#,##0.0\ ;\-#,##0.0\ ;&quot;-&quot;"/>
    <numFmt numFmtId="215" formatCode="#,##0.0_ &quot;억&quot;"/>
    <numFmt numFmtId="216" formatCode="#,##0;[Blue]\(#,##0\)"/>
  </numFmts>
  <fonts count="155">
    <font>
      <name val="맑은 고딕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color theme="1"/>
      <sz val="7"/>
      <scheme val="minor"/>
    </font>
    <font>
      <name val="맑은 고딕"/>
      <charset val="129"/>
      <family val="3"/>
      <sz val="8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color rgb="FF000000"/>
      <sz val="7"/>
      <scheme val="minor"/>
    </font>
    <font>
      <name val="맑은 고딕"/>
      <charset val="129"/>
      <family val="3"/>
      <sz val="7"/>
      <scheme val="minor"/>
    </font>
    <font>
      <name val="맑은 고딕"/>
      <charset val="129"/>
      <family val="3"/>
      <b val="1"/>
      <color rgb="FFFF0000"/>
      <sz val="7"/>
      <scheme val="minor"/>
    </font>
    <font>
      <name val="맑은 고딕"/>
      <charset val="129"/>
      <family val="3"/>
      <b val="1"/>
      <sz val="7"/>
      <scheme val="minor"/>
    </font>
    <font>
      <name val="맑은 고딕"/>
      <charset val="129"/>
      <family val="3"/>
      <sz val="10"/>
      <scheme val="minor"/>
    </font>
    <font>
      <name val="맑은 고딕"/>
      <charset val="129"/>
      <family val="2"/>
      <color theme="10"/>
      <sz val="11"/>
      <u val="single"/>
      <scheme val="minor"/>
    </font>
    <font>
      <name val="맑은 고딕"/>
      <charset val="129"/>
      <family val="3"/>
      <sz val="9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sz val="12"/>
      <scheme val="minor"/>
    </font>
    <font>
      <name val="맑은 고딕"/>
      <charset val="129"/>
      <family val="3"/>
      <b val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color theme="1"/>
      <sz val="10"/>
      <scheme val="major"/>
    </font>
    <font>
      <name val="맑은 고딕"/>
      <charset val="129"/>
      <family val="3"/>
      <color rgb="FF000000"/>
      <sz val="10"/>
      <scheme val="major"/>
    </font>
    <font>
      <name val="맑은 고딕"/>
      <charset val="129"/>
      <family val="3"/>
      <b val="1"/>
      <color rgb="FF0101BF"/>
      <sz val="10"/>
      <scheme val="major"/>
    </font>
    <font>
      <name val="맑은 고딕"/>
      <charset val="129"/>
      <family val="3"/>
      <b val="1"/>
      <color rgb="FFFF0000"/>
      <sz val="10"/>
      <scheme val="major"/>
    </font>
    <font>
      <name val="맑은 고딕"/>
      <charset val="129"/>
      <family val="3"/>
      <b val="1"/>
      <color rgb="FF000000"/>
      <sz val="10"/>
      <scheme val="major"/>
    </font>
    <font>
      <name val="맑은 고딕"/>
      <charset val="129"/>
      <family val="3"/>
      <sz val="10"/>
      <scheme val="major"/>
    </font>
    <font>
      <name val="맑은 고딕"/>
      <charset val="129"/>
      <family val="3"/>
      <b val="1"/>
      <color theme="1"/>
      <sz val="10"/>
      <scheme val="major"/>
    </font>
    <font>
      <name val="Arial"/>
      <family val="2"/>
      <sz val="10"/>
    </font>
    <font>
      <name val="맑은 고딕"/>
      <charset val="129"/>
      <family val="3"/>
      <b val="1"/>
      <color rgb="FF000000"/>
      <sz val="10"/>
    </font>
    <font>
      <name val="맑은 고딕"/>
      <charset val="129"/>
      <family val="3"/>
      <color theme="1"/>
      <sz val="10"/>
    </font>
    <font>
      <name val="맑은 고딕"/>
      <charset val="129"/>
      <family val="3"/>
      <color rgb="FF000000"/>
      <sz val="10"/>
    </font>
    <font>
      <name val="맑은 고딕"/>
      <charset val="129"/>
      <family val="3"/>
      <b val="1"/>
      <color rgb="FF0000FF"/>
      <sz val="10"/>
    </font>
    <font>
      <name val="맑은 고딕"/>
      <charset val="129"/>
      <family val="3"/>
      <b val="1"/>
      <color theme="1"/>
      <sz val="10"/>
    </font>
    <font>
      <name val="맑은 고딕"/>
      <charset val="129"/>
      <family val="3"/>
      <sz val="10"/>
    </font>
    <font>
      <name val="맑은 고딕"/>
      <charset val="129"/>
      <family val="3"/>
      <b val="1"/>
      <color rgb="FF1D02BE"/>
      <sz val="10"/>
    </font>
    <font>
      <name val="맑은 고딕"/>
      <charset val="129"/>
      <family val="3"/>
      <b val="1"/>
      <color theme="1"/>
      <sz val="7"/>
      <scheme val="minor"/>
    </font>
    <font>
      <name val="맑은 고딕"/>
      <charset val="129"/>
      <family val="3"/>
      <b val="1"/>
      <color theme="1"/>
      <sz val="7"/>
    </font>
    <font>
      <name val="맑은 고딕"/>
      <charset val="129"/>
      <family val="3"/>
      <b val="1"/>
      <color theme="1"/>
      <sz val="9.1"/>
    </font>
    <font>
      <name val="맑은 고딕"/>
      <charset val="129"/>
      <family val="3"/>
      <b val="1"/>
      <color theme="0"/>
      <sz val="7"/>
      <scheme val="minor"/>
    </font>
    <font>
      <name val="맑은 고딕"/>
      <family val="2"/>
      <color theme="1"/>
      <sz val="11"/>
      <scheme val="minor"/>
    </font>
    <font>
      <name val="맑은 고딕"/>
      <charset val="129"/>
      <family val="2"/>
      <b val="1"/>
      <color theme="3"/>
      <sz val="15"/>
      <scheme val="minor"/>
    </font>
    <font>
      <name val="맑은 고딕"/>
      <charset val="129"/>
      <family val="2"/>
      <b val="1"/>
      <color theme="3"/>
      <sz val="13"/>
      <scheme val="minor"/>
    </font>
    <font>
      <name val="맑은 고딕"/>
      <charset val="129"/>
      <family val="2"/>
      <b val="1"/>
      <color theme="3"/>
      <sz val="11"/>
      <scheme val="minor"/>
    </font>
    <font>
      <name val="맑은 고딕"/>
      <charset val="129"/>
      <family val="2"/>
      <color rgb="FF006100"/>
      <sz val="11"/>
      <scheme val="minor"/>
    </font>
    <font>
      <name val="맑은 고딕"/>
      <charset val="129"/>
      <family val="2"/>
      <color rgb="FF9C0006"/>
      <sz val="11"/>
      <scheme val="minor"/>
    </font>
    <font>
      <name val="맑은 고딕"/>
      <charset val="129"/>
      <family val="2"/>
      <color rgb="FF3F3F76"/>
      <sz val="11"/>
      <scheme val="minor"/>
    </font>
    <font>
      <name val="맑은 고딕"/>
      <charset val="129"/>
      <family val="2"/>
      <b val="1"/>
      <color rgb="FF3F3F3F"/>
      <sz val="11"/>
      <scheme val="minor"/>
    </font>
    <font>
      <name val="맑은 고딕"/>
      <charset val="129"/>
      <family val="2"/>
      <b val="1"/>
      <color rgb="FFFA7D00"/>
      <sz val="11"/>
      <scheme val="minor"/>
    </font>
    <font>
      <name val="맑은 고딕"/>
      <charset val="129"/>
      <family val="2"/>
      <color rgb="FFFA7D00"/>
      <sz val="11"/>
      <scheme val="minor"/>
    </font>
    <font>
      <name val="맑은 고딕"/>
      <charset val="129"/>
      <family val="2"/>
      <b val="1"/>
      <color theme="0"/>
      <sz val="11"/>
      <scheme val="minor"/>
    </font>
    <font>
      <name val="맑은 고딕"/>
      <charset val="129"/>
      <family val="2"/>
      <color rgb="FFFF0000"/>
      <sz val="11"/>
      <scheme val="minor"/>
    </font>
    <font>
      <name val="맑은 고딕"/>
      <charset val="129"/>
      <family val="2"/>
      <i val="1"/>
      <color rgb="FF7F7F7F"/>
      <sz val="11"/>
      <scheme val="minor"/>
    </font>
    <font>
      <name val="맑은 고딕"/>
      <charset val="129"/>
      <family val="2"/>
      <b val="1"/>
      <color theme="1"/>
      <sz val="11"/>
      <scheme val="minor"/>
    </font>
    <font>
      <name val="맑은 고딕"/>
      <charset val="129"/>
      <family val="2"/>
      <color theme="0"/>
      <sz val="11"/>
      <scheme val="minor"/>
    </font>
    <font>
      <name val="돋움"/>
      <charset val="129"/>
      <family val="3"/>
      <sz val="11"/>
    </font>
    <font>
      <name val="Arial"/>
      <family val="2"/>
      <color rgb="FF000000"/>
      <sz val="10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0"/>
      <sz val="8.800000000000001"/>
      <u val="single"/>
    </font>
    <font>
      <name val="맑은 고딕"/>
      <charset val="128"/>
      <family val="3"/>
      <color theme="1"/>
      <sz val="11"/>
      <scheme val="minor"/>
    </font>
    <font>
      <name val="맑은 고딕"/>
      <charset val="129"/>
      <family val="2"/>
      <color rgb="FF9C6500"/>
      <sz val="11"/>
      <scheme val="minor"/>
    </font>
    <font>
      <name val="Calibri"/>
      <family val="2"/>
      <color rgb="FF000000"/>
      <sz val="11"/>
    </font>
    <font>
      <name val="맑은 고딕"/>
      <charset val="136"/>
      <family val="2"/>
      <color rgb="FFFF0000"/>
      <sz val="12"/>
      <scheme val="minor"/>
    </font>
    <font>
      <name val="맑은 고딕"/>
      <charset val="129"/>
      <family val="2"/>
      <b val="1"/>
      <color theme="3"/>
      <sz val="18"/>
      <scheme val="major"/>
    </font>
    <font>
      <name val="Arial"/>
      <family val="2"/>
      <color theme="10"/>
      <sz val="10"/>
      <u val="single"/>
    </font>
    <font>
      <name val="맑은 고딕"/>
      <family val="2"/>
      <color theme="1"/>
      <sz val="12"/>
      <scheme val="minor"/>
    </font>
    <font>
      <name val="ＭＳ Ｐゴシック"/>
      <charset val="128"/>
      <family val="2"/>
      <sz val="11"/>
    </font>
    <font>
      <name val="맑은 고딕"/>
      <charset val="129"/>
      <family val="2"/>
      <color rgb="FF333333"/>
      <sz val="11"/>
      <scheme val="minor"/>
    </font>
    <font>
      <name val="Arial"/>
      <family val="2"/>
      <color indexed="8"/>
      <sz val="10"/>
    </font>
    <font>
      <name val="맑은 고딕"/>
      <charset val="128"/>
      <family val="2"/>
      <color theme="1"/>
      <sz val="11"/>
      <scheme val="minor"/>
    </font>
    <font>
      <name val="ＭＳ Ｐゴシック"/>
      <charset val="128"/>
      <family val="3"/>
      <sz val="11"/>
    </font>
    <font>
      <name val="맑은 고딕"/>
      <charset val="128"/>
      <family val="3"/>
      <color theme="0"/>
      <sz val="11"/>
      <scheme val="minor"/>
    </font>
    <font>
      <name val="맑은 고딕"/>
      <charset val="128"/>
      <family val="3"/>
      <b val="1"/>
      <color theme="3"/>
      <sz val="18"/>
      <scheme val="major"/>
    </font>
    <font>
      <name val="맑은 고딕"/>
      <charset val="128"/>
      <family val="3"/>
      <b val="1"/>
      <color theme="0"/>
      <sz val="11"/>
      <scheme val="minor"/>
    </font>
    <font>
      <name val="맑은 고딕"/>
      <charset val="128"/>
      <family val="3"/>
      <color rgb="FF9C6500"/>
      <sz val="11"/>
      <scheme val="minor"/>
    </font>
    <font>
      <name val="맑은 고딕"/>
      <charset val="128"/>
      <family val="3"/>
      <color rgb="FFFA7D00"/>
      <sz val="11"/>
      <scheme val="minor"/>
    </font>
    <font>
      <name val="맑은 고딕"/>
      <charset val="128"/>
      <family val="3"/>
      <color rgb="FF9C0006"/>
      <sz val="11"/>
      <scheme val="minor"/>
    </font>
    <font>
      <name val="맑은 고딕"/>
      <charset val="128"/>
      <family val="3"/>
      <b val="1"/>
      <color rgb="FFFA7D00"/>
      <sz val="11"/>
      <scheme val="minor"/>
    </font>
    <font>
      <name val="맑은 고딕"/>
      <charset val="128"/>
      <family val="3"/>
      <color rgb="FFFF0000"/>
      <sz val="11"/>
      <scheme val="minor"/>
    </font>
    <font>
      <name val="맑은 고딕"/>
      <charset val="128"/>
      <family val="3"/>
      <b val="1"/>
      <color theme="3"/>
      <sz val="15"/>
      <scheme val="minor"/>
    </font>
    <font>
      <name val="맑은 고딕"/>
      <charset val="128"/>
      <family val="3"/>
      <b val="1"/>
      <color theme="3"/>
      <sz val="13"/>
      <scheme val="minor"/>
    </font>
    <font>
      <name val="맑은 고딕"/>
      <charset val="128"/>
      <family val="3"/>
      <b val="1"/>
      <color theme="3"/>
      <sz val="11"/>
      <scheme val="minor"/>
    </font>
    <font>
      <name val="맑은 고딕"/>
      <charset val="128"/>
      <family val="3"/>
      <b val="1"/>
      <color theme="1"/>
      <sz val="11"/>
      <scheme val="minor"/>
    </font>
    <font>
      <name val="맑은 고딕"/>
      <charset val="128"/>
      <family val="3"/>
      <b val="1"/>
      <color rgb="FF3F3F3F"/>
      <sz val="11"/>
      <scheme val="minor"/>
    </font>
    <font>
      <name val="맑은 고딕"/>
      <charset val="128"/>
      <family val="3"/>
      <i val="1"/>
      <color rgb="FF7F7F7F"/>
      <sz val="11"/>
      <scheme val="minor"/>
    </font>
    <font>
      <name val="맑은 고딕"/>
      <charset val="128"/>
      <family val="3"/>
      <color rgb="FF3F3F76"/>
      <sz val="11"/>
      <scheme val="minor"/>
    </font>
    <font>
      <name val="맑은 고딕"/>
      <charset val="128"/>
      <family val="3"/>
      <color rgb="FF006100"/>
      <sz val="11"/>
      <scheme val="minor"/>
    </font>
    <font>
      <name val="맑은 고딕"/>
      <charset val="136"/>
      <family val="2"/>
      <color theme="1"/>
      <sz val="12"/>
      <scheme val="minor"/>
    </font>
    <font>
      <name val="맑은 고딕"/>
      <charset val="129"/>
      <family val="3"/>
      <color rgb="FF000000"/>
      <sz val="10"/>
      <scheme val="minor"/>
    </font>
    <font>
      <name val="Arial"/>
      <family val="2"/>
      <sz val="18"/>
    </font>
    <font>
      <name val="맑은 고딕"/>
      <charset val="129"/>
      <family val="3"/>
      <b val="1"/>
      <color rgb="FF0101BF"/>
      <sz val="10"/>
    </font>
    <font>
      <name val="맑은 고딕"/>
      <charset val="129"/>
      <family val="3"/>
      <b val="1"/>
      <color theme="1"/>
      <sz val="13"/>
      <scheme val="minor"/>
    </font>
    <font>
      <name val="맑은 고딕"/>
      <charset val="129"/>
      <family val="3"/>
      <b val="1"/>
      <color rgb="FF000000"/>
      <sz val="9"/>
      <scheme val="major"/>
    </font>
    <font>
      <name val="맑은 고딕"/>
      <charset val="129"/>
      <family val="3"/>
      <b val="1"/>
      <sz val="10"/>
      <scheme val="major"/>
    </font>
    <font>
      <name val="맑은 고딕"/>
      <charset val="129"/>
      <family val="3"/>
      <b val="1"/>
      <color rgb="FFFF0000"/>
      <sz val="10"/>
    </font>
    <font>
      <name val="맑은 고딕"/>
      <charset val="129"/>
      <family val="3"/>
      <color rgb="FF0000FF"/>
      <sz val="10"/>
      <scheme val="major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rgb="FF000000"/>
      <sz val="8.5"/>
    </font>
    <font>
      <name val="맑은 고딕"/>
      <charset val="129"/>
      <family val="3"/>
      <b val="1"/>
      <color rgb="FF000000"/>
      <sz val="8.5"/>
    </font>
    <font>
      <name val="맑은 고딕"/>
      <charset val="129"/>
      <family val="3"/>
      <b val="1"/>
      <color rgb="FF000000"/>
      <sz val="8"/>
    </font>
    <font>
      <name val="맑은 고딕"/>
      <charset val="129"/>
      <family val="3"/>
      <color rgb="FF000000"/>
      <sz val="8"/>
    </font>
    <font>
      <name val="맑은 고딕"/>
      <charset val="129"/>
      <family val="3"/>
      <sz val="9"/>
      <u val="single"/>
    </font>
    <font>
      <name val="Arial"/>
      <family val="2"/>
      <sz val="9"/>
    </font>
    <font>
      <name val="맑은 고딕"/>
      <charset val="129"/>
      <family val="3"/>
      <color theme="2"/>
      <sz val="9"/>
    </font>
    <font>
      <name val="Arial"/>
      <charset val="129"/>
      <family val="2"/>
      <sz val="9"/>
    </font>
    <font>
      <name val="맑은 고딕"/>
      <charset val="129"/>
      <family val="3"/>
      <b val="1"/>
      <color theme="1"/>
      <sz val="14"/>
      <scheme val="minor"/>
    </font>
    <font>
      <name val="맑은 고딕"/>
      <charset val="129"/>
      <family val="3"/>
      <color theme="1"/>
      <sz val="14"/>
      <scheme val="minor"/>
    </font>
    <font>
      <name val="맑은 고딕"/>
      <charset val="129"/>
      <family val="3"/>
      <color theme="1"/>
      <sz val="11"/>
      <scheme val="minor"/>
    </font>
    <font>
      <name val="나눔바른고딕"/>
      <charset val="128"/>
      <family val="2"/>
      <sz val="6"/>
    </font>
    <font>
      <name val="맑은 고딕"/>
      <charset val="129"/>
      <family val="3"/>
      <color theme="0" tint="-0.499984740745262"/>
      <sz val="10"/>
    </font>
    <font>
      <name val="돋움"/>
      <charset val="129"/>
      <family val="3"/>
      <sz val="8"/>
    </font>
    <font>
      <name val="맑은 고딕"/>
      <charset val="129"/>
      <family val="3"/>
      <b val="1"/>
      <sz val="10"/>
    </font>
    <font>
      <name val="맑은 고딕"/>
      <charset val="129"/>
      <family val="3"/>
      <b val="1"/>
      <color rgb="FF0000FF"/>
      <sz val="8"/>
    </font>
    <font>
      <name val="Arial"/>
      <family val="2"/>
      <color rgb="FF000000"/>
      <sz val="8"/>
    </font>
    <font>
      <name val="맑은 고딕"/>
      <charset val="129"/>
      <family val="3"/>
      <b val="1"/>
      <color rgb="FFFF0000"/>
      <sz val="8"/>
    </font>
    <font>
      <name val="맑은 고딕"/>
      <charset val="129"/>
      <family val="3"/>
      <color rgb="FF0000FF"/>
      <sz val="8"/>
    </font>
    <font>
      <name val="맑은 고딕"/>
      <charset val="129"/>
      <family val="3"/>
      <color rgb="FF000000"/>
      <sz val="7.5"/>
    </font>
    <font>
      <name val="맑은 고딕"/>
      <charset val="129"/>
      <family val="3"/>
      <b val="1"/>
      <color rgb="FF000000"/>
      <sz val="7.5"/>
    </font>
    <font>
      <name val="맑은 고딕"/>
      <charset val="129"/>
      <family val="3"/>
      <b val="1"/>
      <color rgb="FF000000"/>
      <sz val="6"/>
    </font>
    <font>
      <name val="맑은 고딕"/>
      <charset val="129"/>
      <family val="3"/>
      <color rgb="FF000000"/>
      <sz val="6"/>
    </font>
    <font>
      <name val="맑은 고딕"/>
      <charset val="129"/>
      <family val="3"/>
      <color rgb="FF0000FF"/>
      <sz val="7.5"/>
    </font>
    <font>
      <name val="맑은 고딕"/>
      <charset val="129"/>
      <family val="3"/>
      <color rgb="FF0000FF"/>
      <sz val="6"/>
    </font>
    <font>
      <name val="맑은 고딕"/>
      <charset val="129"/>
      <family val="3"/>
      <b val="1"/>
      <color rgb="FF0101BF"/>
      <sz val="8"/>
      <scheme val="major"/>
    </font>
    <font>
      <name val="맑은 고딕"/>
      <charset val="129"/>
      <family val="3"/>
      <b val="1"/>
      <color rgb="FFFF0000"/>
      <sz val="8"/>
      <scheme val="major"/>
    </font>
    <font>
      <name val="맑은 고딕"/>
      <charset val="129"/>
      <family val="3"/>
      <b val="1"/>
      <color rgb="FF000000"/>
      <sz val="8"/>
      <scheme val="major"/>
    </font>
    <font>
      <name val="Arial"/>
      <family val="2"/>
      <sz val="8"/>
    </font>
    <font>
      <name val="맑은 고딕"/>
      <charset val="129"/>
      <family val="3"/>
      <color rgb="FF000000"/>
      <sz val="8"/>
      <scheme val="major"/>
    </font>
    <font>
      <name val="맑은 고딕"/>
      <charset val="129"/>
      <family val="3"/>
      <color theme="1"/>
      <sz val="8"/>
      <scheme val="major"/>
    </font>
    <font>
      <name val="맑은 고딕"/>
      <charset val="129"/>
      <family val="2"/>
      <color theme="1"/>
      <sz val="10"/>
    </font>
    <font>
      <name val="맑은 고딕"/>
      <charset val="129"/>
      <family val="2"/>
      <color theme="1" tint="0.499984740745262"/>
      <sz val="8"/>
    </font>
    <font>
      <name val="맑은 고딕"/>
      <charset val="129"/>
      <family val="2"/>
      <b val="1"/>
      <color theme="0"/>
      <sz val="8"/>
    </font>
    <font>
      <name val="맑은 고딕"/>
      <charset val="129"/>
      <family val="3"/>
      <b val="1"/>
      <color theme="0"/>
      <sz val="10"/>
    </font>
    <font>
      <name val="맑은 고딕"/>
      <charset val="129"/>
      <family val="3"/>
      <b val="1"/>
      <color rgb="FFFFC000"/>
      <sz val="10"/>
    </font>
    <font>
      <name val="맑은 고딕"/>
      <charset val="129"/>
      <family val="2"/>
      <sz val="8"/>
    </font>
    <font>
      <name val="맑은 고딕"/>
      <charset val="129"/>
      <family val="3"/>
      <b val="1"/>
      <sz val="8"/>
      <scheme val="major"/>
    </font>
    <font>
      <name val="맑은 고딕"/>
      <charset val="129"/>
      <family val="3"/>
      <b val="1"/>
      <color theme="1"/>
      <sz val="8"/>
    </font>
    <font>
      <name val="맑은 고딕"/>
      <charset val="129"/>
      <family val="3"/>
      <color indexed="8"/>
      <sz val="8"/>
      <scheme val="major"/>
    </font>
    <font>
      <name val="맑은 고딕"/>
      <charset val="129"/>
      <family val="3"/>
      <color theme="1"/>
      <sz val="8"/>
    </font>
    <font>
      <name val="맑은 고딕"/>
      <charset val="129"/>
      <family val="2"/>
      <color theme="1"/>
      <sz val="8"/>
    </font>
    <font>
      <name val="맑은 고딕"/>
      <charset val="129"/>
      <family val="3"/>
      <color rgb="FFFF0000"/>
      <sz val="8"/>
    </font>
    <font>
      <name val="맑은 고딕"/>
      <charset val="129"/>
      <family val="3"/>
      <color rgb="FFFF0000"/>
      <sz val="9"/>
    </font>
    <font>
      <name val="맑은 고딕"/>
      <charset val="129"/>
      <family val="3"/>
      <color rgb="FFFF0000"/>
      <sz val="10"/>
    </font>
    <font>
      <name val="맑은 고딕"/>
      <charset val="129"/>
      <family val="2"/>
      <color theme="1"/>
      <sz val="9"/>
    </font>
    <font>
      <name val="맑은 고딕"/>
      <charset val="129"/>
      <family val="3"/>
      <color theme="1"/>
      <sz val="9"/>
    </font>
    <font>
      <name val="맑은 고딕"/>
      <charset val="129"/>
      <family val="3"/>
      <b val="1"/>
      <color theme="1"/>
      <sz val="9"/>
    </font>
    <font>
      <name val="맑은 고딕"/>
      <charset val="129"/>
      <family val="2"/>
      <color theme="1"/>
      <sz val="7.5"/>
      <scheme val="minor"/>
    </font>
    <font>
      <name val="맑은 고딕"/>
      <charset val="129"/>
      <family val="3"/>
      <color rgb="FF000000"/>
      <sz val="9"/>
      <scheme val="major"/>
    </font>
    <font>
      <name val="맑은 고딕"/>
      <family val="2"/>
      <color theme="10"/>
      <sz val="11"/>
      <u val="single"/>
      <scheme val="minor"/>
    </font>
    <font>
      <name val="맑은 고딕"/>
      <family val="2"/>
      <color theme="10"/>
      <sz val="10"/>
      <u val="single"/>
      <scheme val="minor"/>
    </font>
    <font>
      <name val="맑은 고딕"/>
      <charset val="129"/>
      <family val="3"/>
      <b val="1"/>
      <color rgb="FF000000"/>
      <sz val="7"/>
      <scheme val="minor"/>
    </font>
  </fonts>
  <fills count="66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rgb="FFFDEADA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88DE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EC8EE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5" tint="0.5999938962981048"/>
        <bgColor indexed="64"/>
      </patternFill>
    </fill>
  </fills>
  <borders count="52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 style="thin">
        <color rgb="FF000000"/>
      </top>
      <bottom style="medium">
        <color rgb="FFFF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medium">
        <color rgb="FFFF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dotted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medium">
        <color rgb="FFFF0000"/>
      </right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FF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dotted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medium">
        <color rgb="FFFF0000"/>
      </right>
      <top/>
      <bottom/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FF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 style="medium">
        <color rgb="FFFF0000"/>
      </right>
      <top/>
      <bottom style="dotted">
        <color rgb="FF000000"/>
      </bottom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/>
      <diagonal/>
    </border>
    <border>
      <left style="medium">
        <color rgb="FFFF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FF0000"/>
      </right>
      <top style="medium">
        <color rgb="FFFF0000"/>
      </top>
      <bottom style="thin">
        <color rgb="FF000000"/>
      </bottom>
      <diagonal/>
    </border>
    <border>
      <left/>
      <right/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/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/>
      <top/>
      <bottom style="dotted">
        <color rgb="FF000000"/>
      </bottom>
      <diagonal/>
    </border>
    <border>
      <left style="medium">
        <color rgb="FFFF0000"/>
      </left>
      <right style="medium">
        <color rgb="FFFF0000"/>
      </right>
      <top/>
      <bottom style="dotted">
        <color rgb="FF00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/>
      <diagonal/>
    </border>
    <border>
      <left style="thin">
        <color rgb="FF000000"/>
      </left>
      <right style="medium">
        <color rgb="FFFF0000"/>
      </right>
      <top style="thin">
        <color rgb="FF000000"/>
      </top>
      <bottom/>
      <diagonal/>
    </border>
    <border>
      <left style="medium">
        <color rgb="FFFF0000"/>
      </left>
      <right/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thin">
        <color rgb="FF000000"/>
      </right>
      <top/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rgb="FF000000"/>
      </right>
      <top style="thin">
        <color rgb="FF000000"/>
      </top>
      <bottom/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dotted">
        <color rgb="FF000000"/>
      </right>
      <top style="thin">
        <color rgb="FF000000"/>
      </top>
      <bottom/>
      <diagonal/>
    </border>
    <border>
      <left style="medium">
        <color rgb="FFFF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rgb="FF000000"/>
      </left>
      <right/>
      <top style="dotted">
        <color rgb="FF000000"/>
      </top>
      <bottom style="thin">
        <color indexed="64"/>
      </bottom>
      <diagonal/>
    </border>
    <border>
      <left style="medium">
        <color rgb="FFFF0000"/>
      </left>
      <right style="thin">
        <color rgb="FF000000"/>
      </right>
      <top style="dotted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rgb="FFFF0000"/>
      </left>
      <right style="thin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/>
      <bottom style="dotted">
        <color rgb="FF000000"/>
      </bottom>
      <diagonal/>
    </border>
    <border>
      <left style="medium">
        <color rgb="FFFF0000"/>
      </left>
      <right style="medium">
        <color rgb="FFFF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 style="dotted">
        <color rgb="FF000000"/>
      </top>
      <bottom style="thin">
        <color indexed="64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 style="thin">
        <color indexed="64"/>
      </left>
      <right/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medium">
        <color rgb="FFFF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/>
      <top style="dotted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FF0000"/>
      </left>
      <right/>
      <top style="thin">
        <color rgb="FF000000"/>
      </top>
      <bottom style="dotted">
        <color rgb="FF000000"/>
      </bottom>
      <diagonal/>
    </border>
    <border>
      <left style="medium">
        <color rgb="FFFF0000"/>
      </left>
      <right/>
      <top style="dotted">
        <color rgb="FF000000"/>
      </top>
      <bottom style="dotted">
        <color rgb="FF000000"/>
      </bottom>
      <diagonal/>
    </border>
    <border>
      <left style="medium">
        <color rgb="FFFF0000"/>
      </left>
      <right/>
      <top style="dotted">
        <color rgb="FF000000"/>
      </top>
      <bottom/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thin">
        <color rgb="FF000000"/>
      </bottom>
      <diagonal/>
    </border>
    <border>
      <left style="medium">
        <color rgb="FFFF0000"/>
      </left>
      <right/>
      <top style="thin">
        <color rgb="FF000000"/>
      </top>
      <bottom style="medium">
        <color rgb="FFFF0000"/>
      </bottom>
      <diagonal/>
    </border>
    <border>
      <left/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auto="1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auto="1"/>
      </right>
      <top style="dotted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auto="1"/>
      </right>
      <top/>
      <bottom/>
      <diagonal/>
    </border>
    <border>
      <left style="thin">
        <color auto="1"/>
      </left>
      <right/>
      <top/>
      <bottom style="dotted">
        <color rgb="FF000000"/>
      </bottom>
      <diagonal/>
    </border>
    <border>
      <left style="thin">
        <color rgb="FF000000"/>
      </left>
      <right style="thin">
        <color auto="1"/>
      </right>
      <top/>
      <bottom style="dotted">
        <color rgb="FF000000"/>
      </bottom>
      <diagonal/>
    </border>
    <border>
      <left style="thin">
        <color indexed="64"/>
      </left>
      <right style="thin">
        <color auto="1"/>
      </right>
      <top style="dotted">
        <color rgb="FF000000"/>
      </top>
      <bottom style="dotted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auto="1"/>
      </bottom>
      <diagonal/>
    </border>
    <border>
      <left style="dotted">
        <color rgb="FF000000"/>
      </left>
      <right style="thin">
        <color rgb="FF000000"/>
      </right>
      <top/>
      <bottom style="dotted">
        <color rgb="FF7F7F7F"/>
      </bottom>
      <diagonal/>
    </border>
    <border>
      <left style="thin">
        <color rgb="FF000000"/>
      </left>
      <right style="dotted">
        <color rgb="FF000000"/>
      </right>
      <top/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/>
      <bottom style="dotted">
        <color rgb="FF7F7F7F"/>
      </bottom>
      <diagonal/>
    </border>
    <border>
      <left style="dotted">
        <color rgb="FF000000"/>
      </left>
      <right style="thin">
        <color rgb="FF000000"/>
      </right>
      <top style="dotted">
        <color rgb="FF7F7F7F"/>
      </top>
      <bottom/>
      <diagonal/>
    </border>
    <border>
      <left style="thin">
        <color rgb="FF000000"/>
      </left>
      <right style="dotted">
        <color rgb="FF000000"/>
      </right>
      <top style="dotted">
        <color rgb="FF7F7F7F"/>
      </top>
      <bottom/>
      <diagonal/>
    </border>
    <border>
      <left style="thin">
        <color rgb="FF000000"/>
      </left>
      <right style="thin">
        <color rgb="FF000000"/>
      </right>
      <top style="dotted">
        <color rgb="FF7F7F7F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/>
      <top/>
      <bottom style="thin">
        <color rgb="FF595959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rgb="FF595959"/>
      </top>
      <bottom style="thin">
        <color rgb="FF7F7F7F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dotted">
        <color rgb="FF000000"/>
      </right>
      <top style="medium">
        <color rgb="FFFF0000"/>
      </top>
      <bottom style="medium">
        <color rgb="FFFF0000"/>
      </bottom>
      <diagonal/>
    </border>
    <border>
      <left style="thick">
        <color rgb="FFC00000"/>
      </left>
      <right/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dotted">
        <color rgb="FF000000"/>
      </right>
      <top style="medium">
        <color rgb="FFFF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medium">
        <color rgb="FFFF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FF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7F7F7F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7F7F7F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/>
      <bottom style="dotted">
        <color rgb="FF7F7F7F"/>
      </bottom>
      <diagonal/>
    </border>
    <border>
      <left style="thin">
        <color rgb="FF000000"/>
      </left>
      <right/>
      <top style="dotted">
        <color rgb="FF7F7F7F"/>
      </top>
      <bottom/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dotted">
        <color rgb="FF000000"/>
      </bottom>
      <diagonal/>
    </border>
    <border>
      <left style="thin">
        <color rgb="FF000000"/>
      </left>
      <right/>
      <top style="thin">
        <color auto="1"/>
      </top>
      <bottom style="dotted">
        <color rgb="FF000000"/>
      </bottom>
      <diagonal/>
    </border>
    <border>
      <left style="thin">
        <color rgb="FF000000"/>
      </left>
      <right/>
      <top style="dotted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thin">
        <color rgb="FF000000"/>
      </left>
      <right style="dotted">
        <color rgb="FF000000"/>
      </right>
      <top style="medium">
        <color rgb="FFFF0000"/>
      </top>
      <bottom/>
      <diagonal/>
    </border>
    <border>
      <left style="dotted">
        <color rgb="FF000000"/>
      </left>
      <right style="thin">
        <color rgb="FF000000"/>
      </right>
      <top style="medium">
        <color rgb="FFFF0000"/>
      </top>
      <bottom/>
      <diagonal/>
    </border>
    <border>
      <left style="thin">
        <color rgb="FF00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/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/>
      <top style="thin">
        <color rgb="FF000000"/>
      </top>
      <bottom/>
      <diagonal/>
    </border>
    <border>
      <left style="medium">
        <color rgb="FFFF0000"/>
      </left>
      <right style="dotted">
        <color rgb="FF000000"/>
      </right>
      <top style="dotted">
        <color rgb="FF000000"/>
      </top>
      <bottom/>
      <diagonal/>
    </border>
    <border>
      <left/>
      <right style="dotted">
        <color rgb="FF000000"/>
      </right>
      <top/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 style="thin">
        <color rgb="FF000000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/>
      <bottom style="thin">
        <color rgb="FF000000"/>
      </bottom>
      <diagonal/>
    </border>
    <border>
      <left style="thin">
        <color indexed="64"/>
      </left>
      <right style="medium">
        <color rgb="FFFF0000"/>
      </right>
      <top style="thin">
        <color rgb="FF000000"/>
      </top>
      <bottom style="dotted">
        <color rgb="FF000000"/>
      </bottom>
      <diagonal/>
    </border>
    <border>
      <left style="dotted">
        <color auto="1"/>
      </left>
      <right style="thin">
        <color indexed="64"/>
      </right>
      <top style="thin">
        <color rgb="FF000000"/>
      </top>
      <bottom style="dotted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dotted">
        <color rgb="FF000000"/>
      </right>
      <top/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/>
      <bottom style="thin">
        <color rgb="FF000000"/>
      </bottom>
      <diagonal/>
    </border>
    <border>
      <left/>
      <right style="dotted">
        <color rgb="FF000000"/>
      </right>
      <top style="thin">
        <color rgb="FF00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dotted">
        <color rgb="FF000000"/>
      </top>
      <bottom style="medium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/>
      <right style="medium">
        <color rgb="FFFF0000"/>
      </right>
      <top style="thin">
        <color rgb="FF000000"/>
      </top>
      <bottom/>
      <diagonal/>
    </border>
    <border>
      <left/>
      <right style="medium">
        <color rgb="FFFF0000"/>
      </right>
      <top/>
      <bottom/>
      <diagonal/>
    </border>
    <border>
      <left/>
      <right/>
      <top/>
      <bottom style="medium">
        <color theme="0" tint="-0.499984740745262"/>
      </bottom>
      <diagonal/>
    </border>
    <border>
      <left/>
      <right style="thin">
        <color rgb="FF000000"/>
      </right>
      <top/>
      <bottom style="medium">
        <color theme="0" tint="-0.499984740745262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medium">
        <color theme="0" tint="-0.499984740745262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theme="0" tint="-0.499984740745262"/>
      </bottom>
      <diagonal/>
    </border>
    <border>
      <left style="hair">
        <color rgb="FF000000"/>
      </left>
      <right/>
      <top style="thin">
        <color rgb="FF000000"/>
      </top>
      <bottom style="medium">
        <color theme="0" tint="-0.499984740745262"/>
      </bottom>
      <diagonal/>
    </border>
    <border>
      <left style="thin">
        <color indexed="64"/>
      </left>
      <right/>
      <top style="hair">
        <color indexed="64"/>
      </top>
      <bottom style="medium">
        <color theme="0" tint="-0.499984740745262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medium">
        <color theme="0" tint="-0.499984740745262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dotted">
        <color rgb="FF000000"/>
      </top>
      <bottom/>
      <diagonal/>
    </border>
    <border>
      <left style="hair">
        <color rgb="FF000000"/>
      </left>
      <right style="hair">
        <color rgb="FF000000"/>
      </right>
      <top style="dotted">
        <color rgb="FF000000"/>
      </top>
      <bottom/>
      <diagonal/>
    </border>
    <border>
      <left style="hair">
        <color rgb="FF000000"/>
      </left>
      <right/>
      <top style="dotted">
        <color rgb="FF000000"/>
      </top>
      <bottom/>
      <diagonal/>
    </border>
    <border>
      <left style="hair">
        <color indexed="64"/>
      </left>
      <right style="thin">
        <color rgb="FF000000"/>
      </right>
      <top style="dotted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auto="1"/>
      </left>
      <right/>
      <top style="hair">
        <color rgb="FF000000"/>
      </top>
      <bottom/>
      <diagonal/>
    </border>
    <border>
      <left style="hair">
        <color indexed="64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 style="thin">
        <color rgb="FF000000"/>
      </top>
      <bottom/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auto="1"/>
      </left>
      <right/>
      <top/>
      <bottom style="hair">
        <color rgb="FF000000"/>
      </bottom>
      <diagonal/>
    </border>
    <border>
      <left style="hair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dotted">
        <color indexed="64"/>
      </right>
      <top style="dotted">
        <color rgb="FF000000"/>
      </top>
      <bottom/>
      <diagonal/>
    </border>
    <border>
      <left style="dotted">
        <color indexed="64"/>
      </left>
      <right style="thin">
        <color rgb="FF000000"/>
      </right>
      <top style="dotted">
        <color rgb="FF000000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tted">
        <color indexed="64"/>
      </right>
      <top/>
      <bottom style="dotted">
        <color rgb="FF000000"/>
      </bottom>
      <diagonal/>
    </border>
    <border>
      <left style="dotted">
        <color indexed="64"/>
      </left>
      <right style="thin">
        <color rgb="FF000000"/>
      </right>
      <top/>
      <bottom style="dotted">
        <color rgb="FF000000"/>
      </bottom>
      <diagonal/>
    </border>
    <border>
      <left style="thin">
        <color indexed="64"/>
      </left>
      <right style="dotted">
        <color rgb="FF000000"/>
      </right>
      <top style="dotted">
        <color rgb="FF000000"/>
      </top>
      <bottom/>
      <diagonal/>
    </border>
    <border>
      <left style="thin">
        <color indexed="64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dotted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hair">
        <color indexed="64"/>
      </left>
      <right/>
      <top style="thin">
        <color rgb="FF000000"/>
      </top>
      <bottom style="thin">
        <color rgb="FF000000"/>
      </bottom>
      <diagonal/>
    </border>
    <border>
      <left style="hair">
        <color indexed="64"/>
      </left>
      <right/>
      <top/>
      <bottom style="thin">
        <color rgb="FF000000"/>
      </bottom>
      <diagonal/>
    </border>
    <border>
      <left style="hair">
        <color indexed="64"/>
      </left>
      <right/>
      <top style="dotted">
        <color rgb="FF000000"/>
      </top>
      <bottom/>
      <diagonal/>
    </border>
    <border>
      <left style="hair">
        <color indexed="64"/>
      </left>
      <right/>
      <top style="hair">
        <color rgb="FF000000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rgb="FF000000"/>
      </top>
      <bottom/>
      <diagonal/>
    </border>
    <border>
      <left style="hair">
        <color indexed="64"/>
      </left>
      <right/>
      <top/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dotted">
        <color rgb="FF000000"/>
      </top>
      <bottom/>
      <diagonal/>
    </border>
    <border>
      <left style="hair">
        <color indexed="64"/>
      </left>
      <right style="hair">
        <color indexed="64"/>
      </right>
      <top style="hair">
        <color rgb="FF000000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medium">
        <color rgb="FFFFFFF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medium">
        <color rgb="FFFFFFF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medium">
        <color rgb="FFFFFFF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thin">
        <color rgb="FF7F7F7F"/>
      </top>
      <bottom/>
      <diagonal/>
    </border>
    <border>
      <left style="thin">
        <color rgb="FF7F7F7F"/>
      </left>
      <right style="medium">
        <color rgb="FFFFFFFF"/>
      </right>
      <top/>
      <bottom/>
      <diagonal/>
    </border>
    <border>
      <left style="thin">
        <color rgb="FF7F7F7F"/>
      </left>
      <right style="medium">
        <color rgb="FFFFFFFF"/>
      </right>
      <top/>
      <bottom style="thin">
        <color rgb="FF7F7F7F"/>
      </bottom>
      <diagonal/>
    </border>
    <border>
      <left style="thin">
        <color rgb="FF7F7F7F"/>
      </left>
      <right style="thin">
        <color rgb="FF000000"/>
      </right>
      <top style="thin">
        <color rgb="FF7F7F7F"/>
      </top>
      <bottom style="thin">
        <color rgb="FF7F7F7F"/>
      </bottom>
      <diagonal/>
    </border>
    <border>
      <left/>
      <right style="thin">
        <color rgb="FF000000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 style="dotted">
        <color rgb="FF7F7F7F"/>
      </bottom>
      <diagonal/>
    </border>
    <border>
      <left/>
      <right style="thin">
        <color rgb="FF7F7F7F"/>
      </right>
      <top/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000000"/>
      </right>
      <top style="dotted">
        <color rgb="FF7F7F7F"/>
      </top>
      <bottom style="thin">
        <color rgb="FF7F7F7F"/>
      </bottom>
      <diagonal/>
    </border>
    <border>
      <left style="dotted">
        <color rgb="FF000000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medium">
        <color rgb="FFFFFFF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000000"/>
      </right>
      <top style="thin">
        <color rgb="FF7F7F7F"/>
      </top>
      <bottom style="thin">
        <color rgb="FF7F7F7F"/>
      </bottom>
      <diagonal/>
    </border>
    <border>
      <left style="medium">
        <color rgb="FFFFFFFF"/>
      </left>
      <right/>
      <top style="thin">
        <color rgb="FF7F7F7F"/>
      </top>
      <bottom style="medium">
        <color rgb="FFFFFFFF"/>
      </bottom>
      <diagonal/>
    </border>
    <border>
      <left/>
      <right/>
      <top style="thin">
        <color rgb="FF7F7F7F"/>
      </top>
      <bottom style="medium">
        <color rgb="FFFFFFFF"/>
      </bottom>
      <diagonal/>
    </border>
    <border>
      <left/>
      <right style="thin">
        <color rgb="FF7F7F7F"/>
      </right>
      <top style="thin">
        <color rgb="FF7F7F7F"/>
      </top>
      <bottom style="medium">
        <color rgb="FFFFFFFF"/>
      </bottom>
      <diagonal/>
    </border>
    <border>
      <left style="thin">
        <color rgb="FF7F7F7F"/>
      </left>
      <right style="thin">
        <color rgb="FF000000"/>
      </right>
      <top style="thin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000000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medium">
        <color rgb="FFFFFFFF"/>
      </right>
      <top style="thin">
        <color rgb="FF7F7F7F"/>
      </top>
      <bottom style="dotted">
        <color rgb="FF7F7F7F"/>
      </bottom>
      <diagonal/>
    </border>
    <border>
      <left style="medium">
        <color rgb="FFFFFFFF"/>
      </left>
      <right style="dotted">
        <color rgb="FF7F7F7F"/>
      </right>
      <top style="medium">
        <color rgb="FFFFFFFF"/>
      </top>
      <bottom style="thin">
        <color rgb="FF7F7F7F"/>
      </bottom>
      <diagonal/>
    </border>
    <border>
      <left style="medium">
        <color rgb="FFFFFFFF"/>
      </left>
      <right style="dotted">
        <color rgb="FF7F7F7F"/>
      </right>
      <top style="medium">
        <color rgb="FFFFFFFF"/>
      </top>
      <bottom/>
      <diagonal/>
    </border>
    <border>
      <left style="medium">
        <color rgb="FFFFFFFF"/>
      </left>
      <right style="dotted">
        <color rgb="FF7F7F7F"/>
      </right>
      <top/>
      <bottom style="thin">
        <color rgb="FF7F7F7F"/>
      </bottom>
      <diagonal/>
    </border>
    <border>
      <left style="dotted">
        <color rgb="FF7F7F7F"/>
      </left>
      <right/>
      <top style="dotted">
        <color rgb="FF7F7F7F"/>
      </top>
      <bottom style="medium">
        <color rgb="FFFFFFFF"/>
      </bottom>
      <diagonal/>
    </border>
    <border>
      <left/>
      <right/>
      <top style="dotted">
        <color rgb="FF7F7F7F"/>
      </top>
      <bottom style="medium">
        <color rgb="FFFFFFFF"/>
      </bottom>
      <diagonal/>
    </border>
    <border>
      <left/>
      <right style="thin">
        <color rgb="FF7F7F7F"/>
      </right>
      <top style="dotted">
        <color rgb="FF7F7F7F"/>
      </top>
      <bottom style="medium">
        <color rgb="FFFFFFFF"/>
      </bottom>
      <diagonal/>
    </border>
    <border>
      <left style="thin">
        <color rgb="FF7F7F7F"/>
      </left>
      <right style="thin">
        <color rgb="FF000000"/>
      </right>
      <top style="dotted">
        <color rgb="FF7F7F7F"/>
      </top>
      <bottom/>
      <diagonal/>
    </border>
    <border>
      <left style="thin">
        <color rgb="FF000000"/>
      </left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 style="dotted">
        <color rgb="FF000000"/>
      </right>
      <top style="dotted">
        <color rgb="FF7F7F7F"/>
      </top>
      <bottom/>
      <diagonal/>
    </border>
    <border>
      <left style="thin">
        <color rgb="FF7F7F7F"/>
      </left>
      <right style="medium">
        <color rgb="FFFFFFFF"/>
      </right>
      <top style="dotted">
        <color rgb="FF7F7F7F"/>
      </top>
      <bottom style="medium">
        <color rgb="FFFFFFFF"/>
      </bottom>
      <diagonal/>
    </border>
    <border>
      <left style="dotted">
        <color rgb="FF7F7F7F"/>
      </left>
      <right/>
      <top style="medium">
        <color rgb="FFFFFFFF"/>
      </top>
      <bottom style="thin">
        <color rgb="FF7F7F7F"/>
      </bottom>
      <diagonal/>
    </border>
    <border>
      <left/>
      <right/>
      <top style="medium">
        <color rgb="FFFFFFFF"/>
      </top>
      <bottom style="thin">
        <color rgb="FF7F7F7F"/>
      </bottom>
      <diagonal/>
    </border>
    <border>
      <left/>
      <right style="thin">
        <color rgb="FF7F7F7F"/>
      </right>
      <top style="medium">
        <color rgb="FFFFFFFF"/>
      </top>
      <bottom style="thin">
        <color rgb="FF7F7F7F"/>
      </bottom>
      <diagonal/>
    </border>
    <border>
      <left style="thin">
        <color rgb="FF7F7F7F"/>
      </left>
      <right style="thin">
        <color rgb="FF000000"/>
      </right>
      <top/>
      <bottom style="thin">
        <color rgb="FF7F7F7F"/>
      </bottom>
      <diagonal/>
    </border>
    <border>
      <left style="thin">
        <color rgb="FF000000"/>
      </left>
      <right style="thin">
        <color rgb="FF000000"/>
      </right>
      <top/>
      <bottom style="thin">
        <color rgb="FF7F7F7F"/>
      </bottom>
      <diagonal/>
    </border>
    <border>
      <left style="thin">
        <color rgb="FF000000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dotted">
        <color rgb="FF000000"/>
      </right>
      <top/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medium">
        <color rgb="FFFFFFFF"/>
      </top>
      <bottom style="thin">
        <color rgb="FF7F7F7F"/>
      </bottom>
      <diagonal/>
    </border>
    <border>
      <left style="medium">
        <color rgb="FFFFFFFF"/>
      </left>
      <right style="dotted">
        <color rgb="FF7F7F7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dotted">
        <color rgb="FF7F7F7F"/>
      </right>
      <top/>
      <bottom/>
      <diagonal/>
    </border>
    <border>
      <left style="medium">
        <color rgb="FFFFFFFF"/>
      </left>
      <right style="dotted">
        <color rgb="FF7F7F7F"/>
      </right>
      <top/>
      <bottom style="medium">
        <color rgb="FFFFFFFF"/>
      </bottom>
      <diagonal/>
    </border>
    <border>
      <left style="thin">
        <color rgb="FF7F7F7F"/>
      </left>
      <right style="thin">
        <color rgb="FF000000"/>
      </right>
      <top style="dotted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 style="dotted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000000"/>
      </right>
      <top style="dotted">
        <color rgb="FF7F7F7F"/>
      </top>
      <bottom style="dotted">
        <color rgb="FF7F7F7F"/>
      </bottom>
      <diagonal/>
    </border>
    <border>
      <left style="thin">
        <color rgb="FF7F7F7F"/>
      </left>
      <right style="medium">
        <color rgb="FFFFFFFF"/>
      </right>
      <top style="dotted">
        <color rgb="FF7F7F7F"/>
      </top>
      <bottom style="dotted">
        <color rgb="FF7F7F7F"/>
      </bottom>
      <diagonal/>
    </border>
    <border>
      <left style="dotted">
        <color rgb="FF7F7F7F"/>
      </left>
      <right style="dotted">
        <color rgb="FF7F7F7F"/>
      </right>
      <top style="medium">
        <color rgb="FFFFFFFF"/>
      </top>
      <bottom style="medium">
        <color rgb="FFFFFFFF"/>
      </bottom>
      <diagonal/>
    </border>
    <border>
      <left style="dotted">
        <color rgb="FF7F7F7F"/>
      </left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/>
      <top style="dotted">
        <color rgb="FF7F7F7F"/>
      </top>
      <bottom/>
      <diagonal/>
    </border>
    <border>
      <left style="dotted">
        <color rgb="FF7F7F7F"/>
      </left>
      <right style="thin">
        <color rgb="FF7F7F7F"/>
      </right>
      <top/>
      <bottom/>
      <diagonal/>
    </border>
    <border>
      <left style="dotted">
        <color rgb="FF7F7F7F"/>
      </left>
      <right/>
      <top/>
      <bottom/>
      <diagonal/>
    </border>
    <border>
      <left style="thin">
        <color rgb="FF7F7F7F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7F7F7F"/>
      </right>
      <top/>
      <bottom/>
      <diagonal/>
    </border>
    <border>
      <left style="thin">
        <color rgb="FF7F7F7F"/>
      </left>
      <right style="dotted">
        <color rgb="FF000000"/>
      </right>
      <top/>
      <bottom/>
      <diagonal/>
    </border>
    <border>
      <left style="thin">
        <color rgb="FF7F7F7F"/>
      </left>
      <right/>
      <top/>
      <bottom/>
      <diagonal/>
    </border>
    <border>
      <left style="dotted">
        <color rgb="FF7F7F7F"/>
      </left>
      <right style="dotted">
        <color rgb="FF7F7F7F"/>
      </right>
      <top style="medium">
        <color rgb="FFFFFFFF"/>
      </top>
      <bottom/>
      <diagonal/>
    </border>
    <border>
      <left style="thin">
        <color rgb="FF7F7F7F"/>
      </left>
      <right style="thin">
        <color rgb="FF000000"/>
      </right>
      <top/>
      <bottom style="dotted">
        <color rgb="FF7F7F7F"/>
      </bottom>
      <diagonal/>
    </border>
    <border>
      <left style="thin">
        <color rgb="FF000000"/>
      </left>
      <right style="thin">
        <color rgb="FF7F7F7F"/>
      </right>
      <top/>
      <bottom style="dotted">
        <color rgb="FF7F7F7F"/>
      </bottom>
      <diagonal/>
    </border>
    <border>
      <left style="thin">
        <color rgb="FF7F7F7F"/>
      </left>
      <right style="dotted">
        <color rgb="FF000000"/>
      </right>
      <top/>
      <bottom style="dotted">
        <color rgb="FF7F7F7F"/>
      </bottom>
      <diagonal/>
    </border>
    <border>
      <left style="dotted">
        <color rgb="FF7F7F7F"/>
      </left>
      <right style="dotted">
        <color rgb="FF7F7F7F"/>
      </right>
      <top/>
      <bottom/>
      <diagonal/>
    </border>
    <border>
      <left/>
      <right style="dotted">
        <color rgb="FF7F7F7F"/>
      </right>
      <top/>
      <bottom/>
      <diagonal/>
    </border>
    <border>
      <left style="dotted">
        <color rgb="FF7F7F7F"/>
      </left>
      <right style="dotted">
        <color rgb="FF7F7F7F"/>
      </right>
      <top/>
      <bottom style="dotted">
        <color rgb="FF7F7F7F"/>
      </bottom>
      <diagonal/>
    </border>
    <border>
      <left style="dotted">
        <color rgb="FF7F7F7F"/>
      </left>
      <right/>
      <top/>
      <bottom style="dotted">
        <color rgb="FF7F7F7F"/>
      </bottom>
      <diagonal/>
    </border>
    <border>
      <left/>
      <right style="dotted">
        <color rgb="FF7F7F7F"/>
      </right>
      <top/>
      <bottom style="dotted">
        <color rgb="FF7F7F7F"/>
      </bottom>
      <diagonal/>
    </border>
    <border>
      <left style="dotted">
        <color rgb="FF7F7F7F"/>
      </left>
      <right style="thin">
        <color rgb="FF7F7F7F"/>
      </right>
      <top/>
      <bottom style="dotted">
        <color rgb="FF7F7F7F"/>
      </bottom>
      <diagonal/>
    </border>
    <border>
      <left style="dotted">
        <color rgb="FF7F7F7F"/>
      </left>
      <right/>
      <top style="medium">
        <color rgb="FFFFFFFF"/>
      </top>
      <bottom style="medium">
        <color rgb="FFFFFFFF"/>
      </bottom>
      <diagonal/>
    </border>
    <border>
      <left/>
      <right style="dotted">
        <color rgb="FF7F7F7F"/>
      </right>
      <top style="medium">
        <color rgb="FFFFFFFF"/>
      </top>
      <bottom style="medium">
        <color rgb="FFFFFFFF"/>
      </bottom>
      <diagonal/>
    </border>
    <border>
      <left/>
      <right style="dotted">
        <color rgb="FF7F7F7F"/>
      </right>
      <top style="medium">
        <color rgb="FFFFFFFF"/>
      </top>
      <bottom style="thin">
        <color rgb="FF7F7F7F"/>
      </bottom>
      <diagonal/>
    </border>
    <border>
      <left style="dotted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 style="thin">
        <color rgb="FF000000"/>
      </right>
      <top style="dotted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dotted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000000"/>
      </right>
      <top style="thin">
        <color rgb="FF7F7F7F"/>
      </top>
      <bottom/>
      <diagonal/>
    </border>
    <border>
      <left style="thin">
        <color rgb="FF000000"/>
      </left>
      <right style="thin">
        <color rgb="FF000000"/>
      </right>
      <top style="thin">
        <color rgb="FF7F7F7F"/>
      </top>
      <bottom/>
      <diagonal/>
    </border>
    <border>
      <left style="thin">
        <color rgb="FF000000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dotted">
        <color rgb="FF000000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thin">
        <color rgb="FF7F7F7F"/>
      </right>
      <top style="medium">
        <color rgb="FFFFFFFF"/>
      </top>
      <bottom style="medium">
        <color rgb="FFFFFFFF"/>
      </bottom>
      <diagonal/>
    </border>
    <border>
      <left style="dotted">
        <color rgb="FF7F7F7F"/>
      </left>
      <right/>
      <top style="medium">
        <color rgb="FFFFFFFF"/>
      </top>
      <bottom/>
      <diagonal/>
    </border>
    <border>
      <left/>
      <right/>
      <top style="medium">
        <color rgb="FFFFFFFF"/>
      </top>
      <bottom/>
      <diagonal/>
    </border>
    <border>
      <left/>
      <right style="thin">
        <color rgb="FF7F7F7F"/>
      </right>
      <top style="medium">
        <color rgb="FFFFFFFF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/>
      <diagonal/>
    </border>
    <border>
      <left style="medium">
        <color rgb="FFFF0000"/>
      </left>
      <right style="medium">
        <color rgb="FFFF0000"/>
      </right>
      <top style="thin">
        <color rgb="FF7F7F7F"/>
      </top>
      <bottom/>
      <diagonal/>
    </border>
    <border>
      <left style="medium">
        <color rgb="FFFF0000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rgb="FFFF0000"/>
      </right>
      <top/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thin">
        <color rgb="FF000000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/>
      <bottom style="thin">
        <color rgb="FF000000"/>
      </bottom>
      <diagonal/>
    </border>
    <border>
      <left/>
      <right style="thin">
        <color rgb="FF7F7F7F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000000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thin">
        <color rgb="FF000000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000000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dotted">
        <color rgb="FF7F7F7F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/>
      <top style="thin">
        <color rgb="FF7F7F7F"/>
      </top>
      <bottom style="dotted">
        <color rgb="FF7F7F7F"/>
      </bottom>
      <diagonal/>
    </border>
    <border>
      <left/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dotted">
        <color rgb="FF7F7F7F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/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medium">
        <color rgb="FFFF0000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medium">
        <color rgb="FFFF0000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rgb="FFFF0000"/>
      </bottom>
      <diagonal/>
    </border>
    <border>
      <left style="medium">
        <color rgb="FFFF0000"/>
      </left>
      <right style="thin">
        <color rgb="FF7F7F7F"/>
      </right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dotted">
        <color rgb="FF7F7F7F"/>
      </right>
      <top style="medium">
        <color rgb="FFFF0000"/>
      </top>
      <bottom style="medium">
        <color rgb="FFFF0000"/>
      </bottom>
      <diagonal/>
    </border>
    <border>
      <left style="dotted">
        <color rgb="FF7F7F7F"/>
      </left>
      <right style="thin">
        <color rgb="FF7F7F7F"/>
      </right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rgb="FFFF0000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medium">
        <color rgb="FFFF0000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medium">
        <color rgb="FFFF0000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FF0000"/>
      </top>
      <bottom style="thin">
        <color rgb="FF7F7F7F"/>
      </bottom>
      <diagonal/>
    </border>
    <border>
      <left/>
      <right style="medium">
        <color rgb="FFFF0000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/>
      <top style="medium">
        <color rgb="FFFF0000"/>
      </top>
      <bottom style="thin">
        <color rgb="FF7F7F7F"/>
      </bottom>
      <diagonal/>
    </border>
    <border>
      <left/>
      <right/>
      <top style="medium">
        <color rgb="FFFF0000"/>
      </top>
      <bottom style="thin">
        <color rgb="FF7F7F7F"/>
      </bottom>
      <diagonal/>
    </border>
    <border>
      <left/>
      <right style="medium">
        <color rgb="FFFF0000"/>
      </right>
      <top style="medium">
        <color rgb="FFFF0000"/>
      </top>
      <bottom style="thin">
        <color rgb="FF7F7F7F"/>
      </bottom>
      <diagonal/>
    </border>
    <border>
      <left style="medium">
        <color rgb="FFFF0000"/>
      </left>
      <right/>
      <top style="thin">
        <color rgb="FF7F7F7F"/>
      </top>
      <bottom/>
      <diagonal/>
    </border>
    <border>
      <left style="medium">
        <color rgb="FFFF0000"/>
      </left>
      <right/>
      <top/>
      <bottom style="thin">
        <color rgb="FF7F7F7F"/>
      </bottom>
      <diagonal/>
    </border>
    <border>
      <left style="medium">
        <color rgb="FFFF0000"/>
      </left>
      <right style="dotted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 style="dotted">
        <color rgb="FF7F7F7F"/>
      </bottom>
      <diagonal/>
    </border>
    <border>
      <left style="medium">
        <color rgb="FFFF0000"/>
      </left>
      <right style="dotted">
        <color rgb="FF7F7F7F"/>
      </right>
      <top style="thin">
        <color rgb="FF7F7F7F"/>
      </top>
      <bottom style="dotted">
        <color rgb="FF7F7F7F"/>
      </bottom>
      <diagonal/>
    </border>
    <border>
      <left style="medium">
        <color rgb="FFFF0000"/>
      </left>
      <right/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7F7F7F"/>
      </right>
      <top style="dotted">
        <color rgb="FF7F7F7F"/>
      </top>
      <bottom/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/>
      <diagonal/>
    </border>
    <border>
      <left style="medium">
        <color rgb="FFFF0000"/>
      </left>
      <right style="dotted">
        <color rgb="FF7F7F7F"/>
      </right>
      <top style="dotted">
        <color rgb="FF7F7F7F"/>
      </top>
      <bottom/>
      <diagonal/>
    </border>
    <border>
      <left style="medium">
        <color rgb="FFFF0000"/>
      </left>
      <right/>
      <top style="dotted">
        <color rgb="FF7F7F7F"/>
      </top>
      <bottom/>
      <diagonal/>
    </border>
    <border>
      <left/>
      <right style="dotted">
        <color rgb="FF7F7F7F"/>
      </right>
      <top/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/>
      <bottom style="thin">
        <color rgb="FF7F7F7F"/>
      </bottom>
      <diagonal/>
    </border>
    <border>
      <left style="medium">
        <color rgb="FFFF0000"/>
      </left>
      <right style="dotted">
        <color rgb="FF7F7F7F"/>
      </right>
      <top/>
      <bottom style="thin">
        <color rgb="FF7F7F7F"/>
      </bottom>
      <diagonal/>
    </border>
    <border>
      <left style="medium">
        <color rgb="FFFF0000"/>
      </left>
      <right style="dotted">
        <color rgb="FF7F7F7F"/>
      </right>
      <top style="thin">
        <color rgb="FF7F7F7F"/>
      </top>
      <bottom style="medium">
        <color rgb="FFFF0000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 style="medium">
        <color rgb="FFFF0000"/>
      </bottom>
      <diagonal/>
    </border>
    <border>
      <left/>
      <right style="dotted">
        <color rgb="FF7F7F7F"/>
      </right>
      <top style="thin">
        <color rgb="FF7F7F7F"/>
      </top>
      <bottom/>
      <diagonal/>
    </border>
    <border>
      <left style="dotted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rgb="FFFF0000"/>
      </right>
      <top/>
      <bottom style="dotted">
        <color rgb="FF7F7F7F"/>
      </bottom>
      <diagonal/>
    </border>
    <border>
      <left style="medium">
        <color rgb="FFFF0000"/>
      </left>
      <right style="medium">
        <color rgb="FFFF0000"/>
      </right>
      <top/>
      <bottom style="dotted">
        <color rgb="FF7F7F7F"/>
      </bottom>
      <diagonal/>
    </border>
    <border>
      <left style="medium">
        <color rgb="FFFF0000"/>
      </left>
      <right style="thin">
        <color rgb="FF7F7F7F"/>
      </right>
      <top/>
      <bottom style="dotted">
        <color rgb="FF7F7F7F"/>
      </bottom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dotted">
        <color rgb="FF7F7F7F"/>
      </top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 style="thin">
        <color rgb="FF595959"/>
      </bottom>
      <diagonal/>
    </border>
    <border>
      <left style="medium">
        <color rgb="FFFF0000"/>
      </left>
      <right style="medium">
        <color rgb="FFFF0000"/>
      </right>
      <top style="dotted">
        <color rgb="FF7F7F7F"/>
      </top>
      <bottom style="medium">
        <color rgb="FFFF0000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 style="thin">
        <color rgb="FF595959"/>
      </bottom>
      <diagonal/>
    </border>
    <border>
      <left style="thin">
        <color rgb="FF7F7F7F"/>
      </left>
      <right/>
      <top style="dotted">
        <color rgb="FF7F7F7F"/>
      </top>
      <bottom style="thin">
        <color rgb="FF595959"/>
      </bottom>
      <diagonal/>
    </border>
    <border>
      <left style="thin">
        <color rgb="FF7F7F7F"/>
      </left>
      <right style="dotted">
        <color rgb="FF7F7F7F"/>
      </right>
      <top style="dotted">
        <color rgb="FF7F7F7F"/>
      </top>
      <bottom style="dotted">
        <color rgb="FF7F7F7F"/>
      </bottom>
      <diagonal/>
    </border>
    <border>
      <left style="dotted">
        <color rgb="FF7F7F7F"/>
      </left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dotted">
        <color rgb="FF7F7F7F"/>
      </left>
      <right/>
      <top style="dotted">
        <color rgb="FF7F7F7F"/>
      </top>
      <bottom/>
      <diagonal/>
    </border>
    <border>
      <left/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 style="dotted">
        <color rgb="FF7F7F7F"/>
      </right>
      <top/>
      <bottom/>
      <diagonal/>
    </border>
    <border>
      <left style="thin">
        <color rgb="FF7F7F7F"/>
      </left>
      <right style="dotted">
        <color rgb="FF7F7F7F"/>
      </right>
      <top/>
      <bottom style="dotted">
        <color rgb="FF7F7F7F"/>
      </bottom>
      <diagonal/>
    </border>
    <border>
      <left style="dotted">
        <color rgb="FF7F7F7F"/>
      </left>
      <right/>
      <top style="dotted">
        <color rgb="FF7F7F7F"/>
      </top>
      <bottom style="thin">
        <color rgb="FF7F7F7F"/>
      </bottom>
      <diagonal/>
    </border>
    <border>
      <left/>
      <right/>
      <top style="dotted">
        <color rgb="FF7F7F7F"/>
      </top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/>
      <right/>
      <top style="dotted">
        <color rgb="FF7F7F7F"/>
      </top>
      <bottom/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 style="dotted">
        <color rgb="FF7F7F7F"/>
      </bottom>
      <diagonal/>
    </border>
    <border>
      <left style="medium">
        <color rgb="FFFF0000"/>
      </left>
      <right style="dotted">
        <color rgb="FF7F7F7F"/>
      </right>
      <top style="dotted">
        <color rgb="FF7F7F7F"/>
      </top>
      <bottom style="dotted">
        <color rgb="FF7F7F7F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thin">
        <color rgb="FF7F7F7F"/>
      </left>
      <right/>
      <top style="dotted">
        <color rgb="FF7F7F7F"/>
      </top>
      <bottom style="dotted">
        <color rgb="FF7F7F7F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 style="medium">
        <color rgb="FFFF0000"/>
      </right>
      <top/>
      <bottom/>
      <diagonal/>
    </border>
    <border>
      <left style="medium">
        <color rgb="FFFF0000"/>
      </left>
      <right style="dotted">
        <color rgb="FF7F7F7F"/>
      </right>
      <top/>
      <bottom/>
      <diagonal/>
    </border>
    <border>
      <left style="medium">
        <color rgb="FFFF0000"/>
      </left>
      <right style="thin">
        <color rgb="FF7F7F7F"/>
      </right>
      <top/>
      <bottom/>
      <diagonal/>
    </border>
    <border>
      <left/>
      <right/>
      <top/>
      <bottom style="dotted">
        <color rgb="FF7F7F7F"/>
      </bottom>
      <diagonal/>
    </border>
    <border>
      <left/>
      <right style="thin">
        <color rgb="FF000000"/>
      </right>
      <top/>
      <bottom style="dotted">
        <color rgb="FF7F7F7F"/>
      </bottom>
      <diagonal/>
    </border>
    <border>
      <left style="thin">
        <color rgb="FF000000"/>
      </left>
      <right style="dotted">
        <color rgb="FF7F7F7F"/>
      </right>
      <top/>
      <bottom style="dotted">
        <color rgb="FF7F7F7F"/>
      </bottom>
      <diagonal/>
    </border>
    <border>
      <left style="medium">
        <color rgb="FFFF0000"/>
      </left>
      <right style="dotted">
        <color rgb="FF7F7F7F"/>
      </right>
      <top/>
      <bottom style="dotted">
        <color rgb="FF7F7F7F"/>
      </bottom>
      <diagonal/>
    </border>
    <border>
      <left/>
      <right style="thin">
        <color rgb="FF000000"/>
      </right>
      <top style="dotted">
        <color rgb="FF7F7F7F"/>
      </top>
      <bottom/>
      <diagonal/>
    </border>
    <border>
      <left style="thin">
        <color rgb="FF000000"/>
      </left>
      <right style="dotted">
        <color rgb="FF7F7F7F"/>
      </right>
      <top style="dotted">
        <color rgb="FF7F7F7F"/>
      </top>
      <bottom/>
      <diagonal/>
    </border>
    <border>
      <left style="dotted">
        <color rgb="FF7F7F7F"/>
      </left>
      <right/>
      <top style="dotted">
        <color rgb="FF7F7F7F"/>
      </top>
      <bottom style="dotted">
        <color rgb="FF7F7F7F"/>
      </bottom>
      <diagonal/>
    </border>
    <border>
      <left/>
      <right/>
      <top style="dotted">
        <color rgb="FF7F7F7F"/>
      </top>
      <bottom style="dotted">
        <color rgb="FF7F7F7F"/>
      </bottom>
      <diagonal/>
    </border>
    <border>
      <left/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dotted">
        <color rgb="FF000000"/>
      </top>
      <bottom/>
      <diagonal/>
    </border>
    <border>
      <left style="hair">
        <color rgb="FF000000"/>
      </left>
      <right style="hair">
        <color indexed="64"/>
      </right>
      <top style="hair">
        <color rgb="FF000000"/>
      </top>
      <bottom/>
      <diagonal/>
    </border>
    <border>
      <left style="hair">
        <color rgb="FF000000"/>
      </left>
      <right style="hair">
        <color indexed="64"/>
      </right>
      <top style="thin">
        <color rgb="FF000000"/>
      </top>
      <bottom/>
      <diagonal/>
    </border>
    <border>
      <left style="hair">
        <color rgb="FF000000"/>
      </left>
      <right style="hair">
        <color indexed="64"/>
      </right>
      <top/>
      <bottom/>
      <diagonal/>
    </border>
    <border>
      <left style="hair">
        <color rgb="FF000000"/>
      </left>
      <right style="hair">
        <color indexed="64"/>
      </right>
      <top/>
      <bottom style="hair">
        <color rgb="FF000000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 style="dotted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theme="0" tint="-0.499984740745262"/>
      </bottom>
      <diagonal/>
    </border>
    <border>
      <left/>
      <right/>
      <top style="thin">
        <color rgb="FF000000"/>
      </top>
      <bottom style="medium">
        <color theme="0" tint="-0.499984740745262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tted">
        <color rgb="FF7F7F7F"/>
      </left>
      <right style="dotted">
        <color rgb="FF7F7F7F"/>
      </right>
      <top/>
      <bottom style="thin">
        <color rgb="FF7F7F7F"/>
      </bottom>
      <diagonal/>
    </border>
    <border>
      <left style="dotted">
        <color rgb="FF7F7F7F"/>
      </left>
      <right style="thin">
        <color rgb="FF000000"/>
      </right>
      <top/>
      <bottom style="dotted">
        <color rgb="FF7F7F7F"/>
      </bottom>
      <diagonal/>
    </border>
    <border>
      <left style="dotted">
        <color rgb="FF7F7F7F"/>
      </left>
      <right style="thin">
        <color rgb="FF000000"/>
      </right>
      <top style="dotted">
        <color rgb="FF7F7F7F"/>
      </top>
      <bottom/>
      <diagonal/>
    </border>
    <border>
      <left/>
      <right style="medium">
        <color rgb="FFFF0000"/>
      </right>
      <top style="thin">
        <color rgb="FF7F7F7F"/>
      </top>
      <bottom/>
      <diagonal/>
    </border>
    <border>
      <left style="medium">
        <color rgb="FFFFFFFF"/>
      </left>
      <right style="thin">
        <color rgb="FF7F7F7F"/>
      </right>
      <top style="thin">
        <color rgb="FF7F7F7F"/>
      </top>
      <bottom style="medium">
        <color rgb="FFFFFFFF"/>
      </bottom>
      <diagonal/>
    </border>
    <border>
      <left style="dotted">
        <color rgb="FF7F7F7F"/>
      </left>
      <right style="thin">
        <color rgb="FF7F7F7F"/>
      </right>
      <top style="medium">
        <color rgb="FFFFFFFF"/>
      </top>
      <bottom style="thin">
        <color rgb="FF7F7F7F"/>
      </bottom>
      <diagonal/>
    </border>
    <border>
      <left style="medium">
        <color rgb="FFFFFFF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medium">
        <color rgb="FFFFFFFF"/>
      </top>
      <bottom style="medium">
        <color rgb="FFFFFFFF"/>
      </bottom>
      <diagonal/>
    </border>
    <border>
      <left style="dotted">
        <color rgb="FF7F7F7F"/>
      </left>
      <right style="thin">
        <color rgb="FF7F7F7F"/>
      </right>
      <top style="medium">
        <color rgb="FFFFFFFF"/>
      </top>
      <bottom/>
      <diagonal/>
    </border>
    <border>
      <left style="thin">
        <color rgb="FF7F7F7F"/>
      </left>
      <right style="thin">
        <color rgb="FF7F7F7F"/>
      </right>
      <top/>
      <bottom style="dotted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rgb="FF000000"/>
      </right>
      <top style="thin">
        <color rgb="FF7F7F7F"/>
      </top>
      <bottom/>
      <diagonal/>
    </border>
    <border>
      <left style="dotted">
        <color rgb="FF7F7F7F"/>
      </left>
      <right style="thin">
        <color rgb="FF7F7F7F"/>
      </right>
      <top style="dotted">
        <color rgb="FF7F7F7F"/>
      </top>
      <bottom style="medium">
        <color rgb="FFFFFFFF"/>
      </bottom>
      <diagonal/>
    </border>
    <border>
      <left/>
      <right style="dotted">
        <color rgb="FF7F7F7F"/>
      </right>
      <top style="medium">
        <color rgb="FFFFFFFF"/>
      </top>
      <bottom/>
      <diagonal/>
    </border>
    <border>
      <left style="medium">
        <color rgb="FFFFFFFF"/>
      </left>
      <right style="thin">
        <color rgb="FF7F7F7F"/>
      </right>
      <top/>
      <bottom style="thin">
        <color rgb="FF7F7F7F"/>
      </bottom>
      <diagonal/>
    </border>
    <border>
      <left style="dotted">
        <color rgb="FF7F7F7F"/>
      </left>
      <right style="dotted">
        <color rgb="FF7F7F7F"/>
      </right>
      <top style="medium">
        <color rgb="FFFFFFFF"/>
      </top>
      <bottom style="thin">
        <color rgb="FF7F7F7F"/>
      </bottom>
      <diagonal/>
    </border>
  </borders>
  <cellStyleXfs count="1">
    <xf numFmtId="0" fontId="43" fillId="0" borderId="0"/>
  </cellStyleXfs>
  <cellXfs count="3240">
    <xf numFmtId="0" fontId="0" fillId="0" borderId="0" pivotButton="0" quotePrefix="0" xfId="0"/>
    <xf numFmtId="0" fontId="6" fillId="0" borderId="0" applyAlignment="1" pivotButton="0" quotePrefix="0" xfId="1">
      <alignment vertical="center"/>
    </xf>
    <xf numFmtId="164" fontId="6" fillId="0" borderId="0" applyAlignment="1" pivotButton="0" quotePrefix="0" xfId="1">
      <alignment vertical="center"/>
    </xf>
    <xf numFmtId="165" fontId="6" fillId="0" borderId="0" applyAlignment="1" pivotButton="0" quotePrefix="0" xfId="1">
      <alignment vertical="center"/>
    </xf>
    <xf numFmtId="166" fontId="6" fillId="0" borderId="0" applyAlignment="1" pivotButton="0" quotePrefix="0" xfId="1">
      <alignment vertical="center"/>
    </xf>
    <xf numFmtId="167" fontId="6" fillId="0" borderId="0" applyAlignment="1" pivotButton="0" quotePrefix="0" xfId="2">
      <alignment vertical="center"/>
    </xf>
    <xf numFmtId="3" fontId="6" fillId="0" borderId="0" applyAlignment="1" pivotButton="0" quotePrefix="0" xfId="1">
      <alignment vertical="center"/>
    </xf>
    <xf numFmtId="0" fontId="6" fillId="0" borderId="1" applyAlignment="1" pivotButton="0" quotePrefix="0" xfId="1">
      <alignment vertical="center" wrapText="1"/>
    </xf>
    <xf numFmtId="164" fontId="9" fillId="0" borderId="1" applyAlignment="1" pivotButton="0" quotePrefix="0" xfId="2">
      <alignment horizontal="right" vertical="center" readingOrder="1"/>
    </xf>
    <xf numFmtId="164" fontId="9" fillId="0" borderId="5" applyAlignment="1" pivotButton="0" quotePrefix="0" xfId="2">
      <alignment horizontal="right" vertical="center" readingOrder="1"/>
    </xf>
    <xf numFmtId="0" fontId="9" fillId="0" borderId="2" applyAlignment="1" pivotButton="0" quotePrefix="0" xfId="1">
      <alignment vertical="center" readingOrder="1"/>
    </xf>
    <xf numFmtId="0" fontId="9" fillId="0" borderId="7" applyAlignment="1" pivotButton="0" quotePrefix="0" xfId="1">
      <alignment vertical="center" readingOrder="1"/>
    </xf>
    <xf numFmtId="0" fontId="10" fillId="0" borderId="1" applyAlignment="1" pivotButton="0" quotePrefix="0" xfId="1">
      <alignment vertical="center" wrapText="1"/>
    </xf>
    <xf numFmtId="0" fontId="10" fillId="0" borderId="10" applyAlignment="1" pivotButton="0" quotePrefix="0" xfId="1">
      <alignment vertical="center" wrapText="1"/>
    </xf>
    <xf numFmtId="164" fontId="9" fillId="0" borderId="10" applyAlignment="1" pivotButton="0" quotePrefix="0" xfId="2">
      <alignment horizontal="right" vertical="center" readingOrder="1"/>
    </xf>
    <xf numFmtId="0" fontId="9" fillId="0" borderId="13" applyAlignment="1" pivotButton="0" quotePrefix="0" xfId="1">
      <alignment vertical="center" readingOrder="1"/>
    </xf>
    <xf numFmtId="0" fontId="9" fillId="0" borderId="14" applyAlignment="1" pivotButton="0" quotePrefix="0" xfId="1">
      <alignment vertical="center" readingOrder="1"/>
    </xf>
    <xf numFmtId="164" fontId="9" fillId="0" borderId="15" applyAlignment="1" pivotButton="0" quotePrefix="0" xfId="2">
      <alignment horizontal="right" vertical="center" readingOrder="1"/>
    </xf>
    <xf numFmtId="0" fontId="9" fillId="0" borderId="18" applyAlignment="1" pivotButton="0" quotePrefix="0" xfId="1">
      <alignment vertical="center" readingOrder="1"/>
    </xf>
    <xf numFmtId="0" fontId="9" fillId="0" borderId="0" applyAlignment="1" pivotButton="0" quotePrefix="0" xfId="1">
      <alignment vertical="center" readingOrder="1"/>
    </xf>
    <xf numFmtId="0" fontId="11" fillId="0" borderId="20" applyAlignment="1" pivotButton="0" quotePrefix="0" xfId="1">
      <alignment vertical="center" wrapText="1"/>
    </xf>
    <xf numFmtId="164" fontId="9" fillId="0" borderId="23" applyAlignment="1" pivotButton="0" quotePrefix="0" xfId="2">
      <alignment horizontal="right" vertical="center" readingOrder="1"/>
    </xf>
    <xf numFmtId="0" fontId="11" fillId="0" borderId="24" applyAlignment="1" pivotButton="0" quotePrefix="0" xfId="1">
      <alignment vertical="center" readingOrder="1"/>
    </xf>
    <xf numFmtId="0" fontId="11" fillId="0" borderId="25" applyAlignment="1" pivotButton="0" quotePrefix="0" xfId="1">
      <alignment vertical="center" readingOrder="1"/>
    </xf>
    <xf numFmtId="0" fontId="12" fillId="0" borderId="25" applyAlignment="1" pivotButton="0" quotePrefix="0" xfId="1">
      <alignment vertical="center" readingOrder="1"/>
    </xf>
    <xf numFmtId="0" fontId="10" fillId="0" borderId="26" applyAlignment="1" pivotButton="0" quotePrefix="0" xfId="1">
      <alignment horizontal="left" vertical="center" wrapText="1" readingOrder="1"/>
    </xf>
    <xf numFmtId="0" fontId="9" fillId="0" borderId="19" applyAlignment="1" pivotButton="0" quotePrefix="0" xfId="1">
      <alignment vertical="center" readingOrder="1"/>
    </xf>
    <xf numFmtId="0" fontId="6" fillId="0" borderId="10" applyAlignment="1" pivotButton="0" quotePrefix="0" xfId="1">
      <alignment vertical="center"/>
    </xf>
    <xf numFmtId="0" fontId="10" fillId="0" borderId="20" applyAlignment="1" pivotButton="0" quotePrefix="0" xfId="1">
      <alignment vertical="center" wrapText="1"/>
    </xf>
    <xf numFmtId="0" fontId="9" fillId="0" borderId="24" applyAlignment="1" pivotButton="0" quotePrefix="0" xfId="1">
      <alignment vertical="center" readingOrder="1"/>
    </xf>
    <xf numFmtId="0" fontId="9" fillId="0" borderId="25" applyAlignment="1" pivotButton="0" quotePrefix="0" xfId="1">
      <alignment vertical="center" readingOrder="1"/>
    </xf>
    <xf numFmtId="164" fontId="9" fillId="0" borderId="10" applyAlignment="1" pivotButton="0" quotePrefix="0" xfId="2">
      <alignment vertical="center" readingOrder="1"/>
    </xf>
    <xf numFmtId="0" fontId="10" fillId="0" borderId="14" applyAlignment="1" pivotButton="0" quotePrefix="0" xfId="1">
      <alignment vertical="center"/>
    </xf>
    <xf numFmtId="0" fontId="10" fillId="0" borderId="27" applyAlignment="1" pivotButton="0" quotePrefix="0" xfId="1">
      <alignment vertical="center"/>
    </xf>
    <xf numFmtId="0" fontId="10" fillId="0" borderId="28" applyAlignment="1" pivotButton="0" quotePrefix="0" xfId="1">
      <alignment vertical="center"/>
    </xf>
    <xf numFmtId="0" fontId="10" fillId="0" borderId="26" applyAlignment="1" pivotButton="0" quotePrefix="0" xfId="1">
      <alignment vertical="center" wrapText="1"/>
    </xf>
    <xf numFmtId="164" fontId="9" fillId="0" borderId="26" applyAlignment="1" pivotButton="0" quotePrefix="0" xfId="2">
      <alignment vertical="center" readingOrder="1"/>
    </xf>
    <xf numFmtId="0" fontId="9" fillId="0" borderId="27" applyAlignment="1" pivotButton="0" quotePrefix="0" xfId="1">
      <alignment vertical="center" readingOrder="1"/>
    </xf>
    <xf numFmtId="164" fontId="9" fillId="0" borderId="15" applyAlignment="1" pivotButton="0" quotePrefix="0" xfId="2">
      <alignment vertical="center" readingOrder="1"/>
    </xf>
    <xf numFmtId="164" fontId="9" fillId="0" borderId="31" applyAlignment="1" pivotButton="0" quotePrefix="0" xfId="2">
      <alignment horizontal="right" vertical="center" readingOrder="1"/>
    </xf>
    <xf numFmtId="0" fontId="9" fillId="0" borderId="16" applyAlignment="1" pivotButton="0" quotePrefix="0" xfId="1">
      <alignment vertical="center" readingOrder="1"/>
    </xf>
    <xf numFmtId="164" fontId="9" fillId="0" borderId="34" applyAlignment="1" pivotButton="0" quotePrefix="0" xfId="2">
      <alignment vertical="center" readingOrder="1"/>
    </xf>
    <xf numFmtId="0" fontId="9" fillId="0" borderId="37" applyAlignment="1" pivotButton="0" quotePrefix="0" xfId="1">
      <alignment vertical="center" readingOrder="1"/>
    </xf>
    <xf numFmtId="164" fontId="9" fillId="0" borderId="26" applyAlignment="1" pivotButton="0" quotePrefix="0" xfId="2">
      <alignment horizontal="right" vertical="center" readingOrder="1"/>
    </xf>
    <xf numFmtId="0" fontId="9" fillId="0" borderId="29" applyAlignment="1" pivotButton="0" quotePrefix="0" xfId="1">
      <alignment vertical="center" readingOrder="1"/>
    </xf>
    <xf numFmtId="0" fontId="10" fillId="0" borderId="26" applyAlignment="1" pivotButton="0" quotePrefix="0" xfId="1">
      <alignment horizontal="left" vertical="center" readingOrder="1"/>
    </xf>
    <xf numFmtId="164" fontId="9" fillId="0" borderId="34" applyAlignment="1" pivotButton="0" quotePrefix="0" xfId="2">
      <alignment horizontal="right" vertical="center" readingOrder="1"/>
    </xf>
    <xf numFmtId="0" fontId="9" fillId="0" borderId="35" applyAlignment="1" pivotButton="0" quotePrefix="0" xfId="1">
      <alignment vertical="center" readingOrder="1"/>
    </xf>
    <xf numFmtId="0" fontId="10" fillId="0" borderId="26" applyAlignment="1" pivotButton="0" quotePrefix="1" xfId="1">
      <alignment horizontal="left" vertical="center" wrapText="1"/>
    </xf>
    <xf numFmtId="165" fontId="10" fillId="0" borderId="26" applyAlignment="1" pivotButton="0" quotePrefix="1" xfId="2">
      <alignment horizontal="left" vertical="center" readingOrder="1"/>
    </xf>
    <xf numFmtId="0" fontId="6" fillId="0" borderId="26" applyAlignment="1" pivotButton="0" quotePrefix="0" xfId="1">
      <alignment horizontal="left" vertical="center" wrapText="1" readingOrder="1"/>
    </xf>
    <xf numFmtId="0" fontId="9" fillId="0" borderId="38" applyAlignment="1" pivotButton="0" quotePrefix="0" xfId="1">
      <alignment horizontal="left" vertical="center" readingOrder="1"/>
    </xf>
    <xf numFmtId="0" fontId="9" fillId="0" borderId="28" applyAlignment="1" pivotButton="0" quotePrefix="0" xfId="1">
      <alignment horizontal="left" vertical="center" readingOrder="1"/>
    </xf>
    <xf numFmtId="0" fontId="9" fillId="3" borderId="12" applyAlignment="1" pivotButton="0" quotePrefix="0" xfId="1">
      <alignment horizontal="center" vertical="center" wrapText="1" readingOrder="1"/>
    </xf>
    <xf numFmtId="0" fontId="9" fillId="3" borderId="2" applyAlignment="1" pivotButton="0" quotePrefix="0" xfId="1">
      <alignment horizontal="center" vertical="center" wrapText="1" readingOrder="1"/>
    </xf>
    <xf numFmtId="0" fontId="9" fillId="3" borderId="9" applyAlignment="1" pivotButton="0" quotePrefix="0" xfId="1">
      <alignment horizontal="center" vertical="center" wrapText="1" readingOrder="1"/>
    </xf>
    <xf numFmtId="0" fontId="9" fillId="3" borderId="10" applyAlignment="1" pivotButton="0" quotePrefix="0" xfId="1">
      <alignment horizontal="center" vertical="center" wrapText="1" readingOrder="1"/>
    </xf>
    <xf numFmtId="0" fontId="9" fillId="3" borderId="6" applyAlignment="1" pivotButton="0" quotePrefix="0" xfId="1">
      <alignment horizontal="center" vertical="center" wrapText="1" readingOrder="1"/>
    </xf>
    <xf numFmtId="168" fontId="6" fillId="0" borderId="0" applyAlignment="1" pivotButton="0" quotePrefix="0" xfId="1">
      <alignment vertical="center"/>
    </xf>
    <xf numFmtId="0" fontId="6" fillId="0" borderId="0" applyAlignment="1" pivotButton="0" quotePrefix="0" xfId="1">
      <alignment horizontal="right" vertical="center"/>
    </xf>
    <xf numFmtId="0" fontId="13" fillId="0" borderId="0" applyAlignment="1" pivotButton="0" quotePrefix="0" xfId="1">
      <alignment vertical="center"/>
    </xf>
    <xf numFmtId="0" fontId="13" fillId="0" borderId="0" applyAlignment="1" pivotButton="0" quotePrefix="0" xfId="1">
      <alignment horizontal="right" vertical="center"/>
    </xf>
    <xf numFmtId="0" fontId="13" fillId="0" borderId="0" applyAlignment="1" pivotButton="0" quotePrefix="0" xfId="1">
      <alignment horizontal="center" vertical="center"/>
    </xf>
    <xf numFmtId="0" fontId="13" fillId="0" borderId="0" applyAlignment="1" pivotButton="0" quotePrefix="0" xfId="1">
      <alignment horizontal="left" vertical="center"/>
    </xf>
    <xf numFmtId="165" fontId="13" fillId="0" borderId="0" applyAlignment="1" pivotButton="0" quotePrefix="0" xfId="2">
      <alignment vertical="center"/>
    </xf>
    <xf numFmtId="169" fontId="13" fillId="0" borderId="0" applyAlignment="1" pivotButton="0" quotePrefix="0" xfId="1">
      <alignment vertical="center"/>
    </xf>
    <xf numFmtId="165" fontId="13" fillId="0" borderId="0" applyAlignment="1" pivotButton="0" quotePrefix="0" xfId="2">
      <alignment horizontal="center" vertical="center"/>
    </xf>
    <xf numFmtId="170" fontId="13" fillId="0" borderId="0" applyAlignment="1" pivotButton="0" quotePrefix="0" xfId="2">
      <alignment horizontal="center" vertical="center"/>
    </xf>
    <xf numFmtId="170" fontId="13" fillId="0" borderId="0" applyAlignment="1" pivotButton="0" quotePrefix="0" xfId="2">
      <alignment vertical="center"/>
    </xf>
    <xf numFmtId="171" fontId="13" fillId="0" borderId="0" applyAlignment="1" pivotButton="0" quotePrefix="0" xfId="1">
      <alignment vertical="center"/>
    </xf>
    <xf numFmtId="165" fontId="13" fillId="0" borderId="0" applyAlignment="1" pivotButton="0" quotePrefix="0" xfId="1">
      <alignment vertical="center"/>
    </xf>
    <xf numFmtId="172" fontId="13" fillId="0" borderId="0" applyAlignment="1" pivotButton="0" quotePrefix="0" xfId="2">
      <alignment vertical="center"/>
    </xf>
    <xf numFmtId="172" fontId="13" fillId="0" borderId="0" applyAlignment="1" pivotButton="0" quotePrefix="0" xfId="2">
      <alignment horizontal="center" vertical="center"/>
    </xf>
    <xf numFmtId="0" fontId="13" fillId="0" borderId="0" applyAlignment="1" pivotButton="0" quotePrefix="0" xfId="3">
      <alignment horizontal="left" vertical="center"/>
    </xf>
    <xf numFmtId="165" fontId="13" fillId="0" borderId="0" applyAlignment="1" pivotButton="0" quotePrefix="0" xfId="1">
      <alignment horizontal="right" vertical="center"/>
    </xf>
    <xf numFmtId="0" fontId="15" fillId="0" borderId="0" applyAlignment="1" pivotButton="0" quotePrefix="0" xfId="1">
      <alignment horizontal="center" vertical="center"/>
    </xf>
    <xf numFmtId="169" fontId="13" fillId="0" borderId="0" applyAlignment="1" pivotButton="0" quotePrefix="0" xfId="1">
      <alignment horizontal="right" vertical="center"/>
    </xf>
    <xf numFmtId="0" fontId="16" fillId="0" borderId="0" applyAlignment="1" pivotButton="0" quotePrefix="0" xfId="1">
      <alignment horizontal="center" vertical="center"/>
    </xf>
    <xf numFmtId="0" fontId="13" fillId="4" borderId="0" applyAlignment="1" pivotButton="0" quotePrefix="0" xfId="1">
      <alignment horizontal="center" vertical="center"/>
    </xf>
    <xf numFmtId="165" fontId="13" fillId="4" borderId="0" applyAlignment="1" pivotButton="0" quotePrefix="0" xfId="2">
      <alignment horizontal="center" vertical="center"/>
    </xf>
    <xf numFmtId="165" fontId="13" fillId="0" borderId="0" applyAlignment="1" pivotButton="0" quotePrefix="0" xfId="1">
      <alignment horizontal="left" vertical="center"/>
    </xf>
    <xf numFmtId="165" fontId="13" fillId="0" borderId="0" applyAlignment="1" pivotButton="0" quotePrefix="0" xfId="1">
      <alignment horizontal="center" vertical="center"/>
    </xf>
    <xf numFmtId="0" fontId="17" fillId="0" borderId="0" applyAlignment="1" pivotButton="0" quotePrefix="0" xfId="1">
      <alignment vertical="center"/>
    </xf>
    <xf numFmtId="4" fontId="17" fillId="0" borderId="0" applyAlignment="1" pivotButton="0" quotePrefix="0" xfId="1">
      <alignment vertical="center"/>
    </xf>
    <xf numFmtId="0" fontId="17" fillId="0" borderId="0" applyAlignment="1" pivotButton="0" quotePrefix="0" xfId="1">
      <alignment horizontal="right" vertical="center"/>
    </xf>
    <xf numFmtId="0" fontId="17" fillId="0" borderId="0" applyAlignment="1" pivotButton="0" quotePrefix="0" xfId="1">
      <alignment horizontal="center" vertical="center"/>
    </xf>
    <xf numFmtId="165" fontId="17" fillId="0" borderId="0" applyAlignment="1" pivotButton="0" quotePrefix="0" xfId="2">
      <alignment horizontal="left" vertical="center"/>
    </xf>
    <xf numFmtId="165" fontId="17" fillId="0" borderId="0" applyAlignment="1" pivotButton="0" quotePrefix="0" xfId="2">
      <alignment horizontal="center" vertical="center"/>
    </xf>
    <xf numFmtId="0" fontId="17" fillId="0" borderId="0" applyAlignment="1" pivotButton="0" quotePrefix="0" xfId="1">
      <alignment horizontal="left" vertical="center"/>
    </xf>
    <xf numFmtId="0" fontId="16" fillId="0" borderId="0" applyAlignment="1" pivotButton="0" quotePrefix="0" xfId="1">
      <alignment vertical="center"/>
    </xf>
    <xf numFmtId="165" fontId="16" fillId="0" borderId="0" applyAlignment="1" pivotButton="0" quotePrefix="0" xfId="2">
      <alignment vertical="center"/>
    </xf>
    <xf numFmtId="165" fontId="13" fillId="0" borderId="0" applyAlignment="1" pivotButton="0" quotePrefix="0" xfId="2">
      <alignment vertical="center"/>
    </xf>
    <xf numFmtId="165" fontId="16" fillId="0" borderId="0" applyAlignment="1" pivotButton="0" quotePrefix="0" xfId="2">
      <alignment vertical="center"/>
    </xf>
    <xf numFmtId="165" fontId="18" fillId="0" borderId="0" applyAlignment="1" pivotButton="0" quotePrefix="0" xfId="2">
      <alignment vertical="center"/>
    </xf>
    <xf numFmtId="0" fontId="19" fillId="0" borderId="0" applyAlignment="1" pivotButton="0" quotePrefix="0" xfId="1">
      <alignment horizontal="center" vertical="center"/>
    </xf>
    <xf numFmtId="0" fontId="16" fillId="0" borderId="0" applyAlignment="1" pivotButton="0" quotePrefix="0" xfId="1">
      <alignment horizontal="right" vertical="center"/>
    </xf>
    <xf numFmtId="0" fontId="19" fillId="4" borderId="0" applyAlignment="1" pivotButton="0" quotePrefix="0" xfId="1">
      <alignment horizontal="center" vertical="center"/>
    </xf>
    <xf numFmtId="0" fontId="21" fillId="0" borderId="0" applyAlignment="1" pivotButton="0" quotePrefix="0" xfId="1">
      <alignment horizontal="right" vertical="center"/>
    </xf>
    <xf numFmtId="170" fontId="16" fillId="0" borderId="0" applyAlignment="1" pivotButton="0" quotePrefix="0" xfId="2">
      <alignment vertical="center"/>
    </xf>
    <xf numFmtId="4" fontId="22" fillId="0" borderId="0" applyAlignment="1" pivotButton="0" quotePrefix="0" xfId="1">
      <alignment vertical="center"/>
    </xf>
    <xf numFmtId="165" fontId="21" fillId="4" borderId="0" applyAlignment="1" pivotButton="0" quotePrefix="0" xfId="2">
      <alignment horizontal="right" vertical="center"/>
    </xf>
    <xf numFmtId="0" fontId="23" fillId="0" borderId="0" applyAlignment="1" pivotButton="0" quotePrefix="0" xfId="1">
      <alignment horizontal="left" vertical="center"/>
    </xf>
    <xf numFmtId="0" fontId="24" fillId="0" borderId="0" applyAlignment="1" pivotButton="0" quotePrefix="0" xfId="1">
      <alignment vertical="center"/>
    </xf>
    <xf numFmtId="0" fontId="25" fillId="6" borderId="1" applyAlignment="1" pivotButton="0" quotePrefix="0" xfId="1">
      <alignment horizontal="left" vertical="center" readingOrder="1"/>
    </xf>
    <xf numFmtId="173" fontId="26" fillId="5" borderId="42" applyAlignment="1" pivotButton="0" quotePrefix="0" xfId="1">
      <alignment horizontal="right" vertical="center" readingOrder="1"/>
    </xf>
    <xf numFmtId="0" fontId="29" fillId="0" borderId="20" applyAlignment="1" pivotButton="0" quotePrefix="0" xfId="1">
      <alignment vertical="center" wrapText="1"/>
    </xf>
    <xf numFmtId="173" fontId="26" fillId="0" borderId="42" applyAlignment="1" pivotButton="0" quotePrefix="0" xfId="1">
      <alignment horizontal="right" vertical="center" readingOrder="1"/>
    </xf>
    <xf numFmtId="0" fontId="29" fillId="0" borderId="20" applyAlignment="1" pivotButton="0" quotePrefix="0" xfId="1">
      <alignment vertical="center"/>
    </xf>
    <xf numFmtId="168" fontId="24" fillId="0" borderId="8" applyAlignment="1" pivotButton="0" quotePrefix="0" xfId="1">
      <alignment horizontal="right" vertical="center" readingOrder="1"/>
    </xf>
    <xf numFmtId="173" fontId="28" fillId="0" borderId="54" applyAlignment="1" pivotButton="0" quotePrefix="0" xfId="1">
      <alignment horizontal="right" vertical="center" readingOrder="1"/>
    </xf>
    <xf numFmtId="168" fontId="25" fillId="0" borderId="55" applyAlignment="1" pivotButton="0" quotePrefix="0" xfId="1">
      <alignment horizontal="right" vertical="center" readingOrder="1"/>
    </xf>
    <xf numFmtId="173" fontId="27" fillId="0" borderId="56" applyAlignment="1" pivotButton="0" quotePrefix="0" xfId="1">
      <alignment horizontal="right" vertical="center" readingOrder="1"/>
    </xf>
    <xf numFmtId="168" fontId="25" fillId="0" borderId="48" applyAlignment="1" pivotButton="0" quotePrefix="0" xfId="1">
      <alignment horizontal="right" vertical="center" readingOrder="1"/>
    </xf>
    <xf numFmtId="173" fontId="27" fillId="0" borderId="54" applyAlignment="1" pivotButton="0" quotePrefix="0" xfId="1">
      <alignment horizontal="right" vertical="center" readingOrder="1"/>
    </xf>
    <xf numFmtId="174" fontId="24" fillId="0" borderId="0" applyAlignment="1" pivotButton="0" quotePrefix="0" xfId="1">
      <alignment vertical="center"/>
    </xf>
    <xf numFmtId="0" fontId="25" fillId="3" borderId="1" applyAlignment="1" pivotButton="0" quotePrefix="0" xfId="1">
      <alignment horizontal="center" vertical="center" readingOrder="1"/>
    </xf>
    <xf numFmtId="0" fontId="25" fillId="3" borderId="42" applyAlignment="1" pivotButton="0" quotePrefix="0" xfId="1">
      <alignment horizontal="center" vertical="center" readingOrder="1"/>
    </xf>
    <xf numFmtId="0" fontId="28" fillId="3" borderId="51" applyAlignment="1" pivotButton="0" quotePrefix="0" xfId="1">
      <alignment horizontal="center" vertical="center" readingOrder="1"/>
    </xf>
    <xf numFmtId="0" fontId="30" fillId="0" borderId="0" applyAlignment="1" pivotButton="0" quotePrefix="0" xfId="1">
      <alignment vertical="center"/>
    </xf>
    <xf numFmtId="0" fontId="20" fillId="0" borderId="0" applyAlignment="1" pivotButton="0" quotePrefix="0" xfId="1">
      <alignment vertical="center"/>
    </xf>
    <xf numFmtId="0" fontId="31" fillId="3" borderId="10" applyAlignment="1" pivotButton="0" quotePrefix="0" xfId="1">
      <alignment vertical="center"/>
    </xf>
    <xf numFmtId="175" fontId="32" fillId="3" borderId="59" applyAlignment="1" pivotButton="0" quotePrefix="0" xfId="1">
      <alignment horizontal="right" vertical="center" readingOrder="1"/>
    </xf>
    <xf numFmtId="176" fontId="33" fillId="3" borderId="60" applyAlignment="1" pivotButton="0" quotePrefix="0" xfId="1">
      <alignment horizontal="right" vertical="center" readingOrder="1"/>
    </xf>
    <xf numFmtId="176" fontId="34" fillId="3" borderId="12" applyAlignment="1" pivotButton="0" quotePrefix="0" xfId="1">
      <alignment horizontal="right" vertical="center" readingOrder="1"/>
    </xf>
    <xf numFmtId="168" fontId="33" fillId="0" borderId="47" applyAlignment="1" pivotButton="0" quotePrefix="0" xfId="1">
      <alignment horizontal="right" vertical="center" readingOrder="1"/>
    </xf>
    <xf numFmtId="168" fontId="34" fillId="0" borderId="36" applyAlignment="1" pivotButton="0" quotePrefix="0" xfId="1">
      <alignment horizontal="right" vertical="center" readingOrder="1"/>
    </xf>
    <xf numFmtId="0" fontId="34" fillId="0" borderId="66" applyAlignment="1" pivotButton="0" quotePrefix="0" xfId="1">
      <alignment horizontal="left" vertical="center" readingOrder="1"/>
    </xf>
    <xf numFmtId="0" fontId="32" fillId="0" borderId="28" applyAlignment="1" pivotButton="0" quotePrefix="0" xfId="1">
      <alignment horizontal="left" vertical="center" readingOrder="1"/>
    </xf>
    <xf numFmtId="168" fontId="33" fillId="0" borderId="48" applyAlignment="1" pivotButton="0" quotePrefix="0" xfId="1">
      <alignment horizontal="right" vertical="center" readingOrder="1"/>
    </xf>
    <xf numFmtId="168" fontId="34" fillId="0" borderId="49" applyAlignment="1" pivotButton="0" quotePrefix="0" xfId="1">
      <alignment horizontal="right" vertical="center" readingOrder="1"/>
    </xf>
    <xf numFmtId="0" fontId="34" fillId="0" borderId="57" applyAlignment="1" pivotButton="0" quotePrefix="0" xfId="1">
      <alignment horizontal="left" vertical="center" readingOrder="1"/>
    </xf>
    <xf numFmtId="0" fontId="32" fillId="0" borderId="58" applyAlignment="1" pivotButton="0" quotePrefix="0" xfId="1">
      <alignment horizontal="left" vertical="center" readingOrder="1"/>
    </xf>
    <xf numFmtId="168" fontId="36" fillId="0" borderId="67" applyAlignment="1" pivotButton="0" quotePrefix="0" xfId="1">
      <alignment horizontal="right" vertical="center" readingOrder="1"/>
    </xf>
    <xf numFmtId="168" fontId="32" fillId="0" borderId="12" applyAlignment="1" pivotButton="0" quotePrefix="0" xfId="1">
      <alignment horizontal="right" vertical="center" readingOrder="1"/>
    </xf>
    <xf numFmtId="0" fontId="32" fillId="0" borderId="0" applyAlignment="1" pivotButton="0" quotePrefix="0" xfId="1">
      <alignment vertical="center" readingOrder="1"/>
    </xf>
    <xf numFmtId="0" fontId="32" fillId="0" borderId="25" applyAlignment="1" pivotButton="0" quotePrefix="0" xfId="1">
      <alignment vertical="center" readingOrder="1"/>
    </xf>
    <xf numFmtId="168" fontId="34" fillId="0" borderId="47" applyAlignment="1" pivotButton="0" quotePrefix="0" xfId="1">
      <alignment vertical="center" readingOrder="1"/>
    </xf>
    <xf numFmtId="168" fontId="34" fillId="0" borderId="36" applyAlignment="1" pivotButton="0" quotePrefix="0" xfId="1">
      <alignment vertical="center" readingOrder="1"/>
    </xf>
    <xf numFmtId="0" fontId="34" fillId="0" borderId="66" applyAlignment="1" pivotButton="0" quotePrefix="0" xfId="1">
      <alignment vertical="center" readingOrder="1"/>
    </xf>
    <xf numFmtId="168" fontId="34" fillId="0" borderId="55" applyAlignment="1" pivotButton="0" quotePrefix="0" xfId="1">
      <alignment vertical="center" readingOrder="1"/>
    </xf>
    <xf numFmtId="168" fontId="34" fillId="0" borderId="30" applyAlignment="1" pivotButton="0" quotePrefix="0" xfId="1">
      <alignment vertical="center" readingOrder="1"/>
    </xf>
    <xf numFmtId="0" fontId="34" fillId="0" borderId="40" applyAlignment="1" pivotButton="0" quotePrefix="0" xfId="1">
      <alignment vertical="center" readingOrder="1"/>
    </xf>
    <xf numFmtId="168" fontId="34" fillId="0" borderId="48" applyAlignment="1" pivotButton="0" quotePrefix="0" xfId="1">
      <alignment vertical="center" readingOrder="1"/>
    </xf>
    <xf numFmtId="168" fontId="34" fillId="0" borderId="49" applyAlignment="1" pivotButton="0" quotePrefix="0" xfId="1">
      <alignment vertical="center" readingOrder="1"/>
    </xf>
    <xf numFmtId="0" fontId="34" fillId="0" borderId="57" applyAlignment="1" pivotButton="0" quotePrefix="0" xfId="1">
      <alignment vertical="center" readingOrder="1"/>
    </xf>
    <xf numFmtId="0" fontId="34" fillId="3" borderId="1" applyAlignment="1" pivotButton="0" quotePrefix="0" xfId="1">
      <alignment horizontal="center" vertical="center" readingOrder="1"/>
    </xf>
    <xf numFmtId="0" fontId="34" fillId="3" borderId="42" applyAlignment="1" pivotButton="0" quotePrefix="0" xfId="1">
      <alignment horizontal="center" vertical="center" readingOrder="1"/>
    </xf>
    <xf numFmtId="0" fontId="34" fillId="3" borderId="51" applyAlignment="1" pivotButton="0" quotePrefix="0" xfId="1">
      <alignment horizontal="center" vertical="center" readingOrder="1"/>
    </xf>
    <xf numFmtId="0" fontId="34" fillId="3" borderId="8" applyAlignment="1" pivotButton="0" quotePrefix="0" xfId="1">
      <alignment horizontal="center" vertical="center" readingOrder="1"/>
    </xf>
    <xf numFmtId="0" fontId="20" fillId="0" borderId="0" applyAlignment="1" pivotButton="0" quotePrefix="0" xfId="1">
      <alignment horizontal="right" vertical="center"/>
    </xf>
    <xf numFmtId="0" fontId="20" fillId="6" borderId="0" applyAlignment="1" pivotButton="0" quotePrefix="0" xfId="1">
      <alignment vertical="center"/>
    </xf>
    <xf numFmtId="168" fontId="32" fillId="0" borderId="68" applyAlignment="1" pivotButton="0" quotePrefix="0" xfId="1">
      <alignment horizontal="right" vertical="center" readingOrder="1"/>
    </xf>
    <xf numFmtId="0" fontId="19" fillId="0" borderId="0" applyAlignment="1" pivotButton="0" quotePrefix="0" xfId="1">
      <alignment vertical="center"/>
    </xf>
    <xf numFmtId="0" fontId="39" fillId="0" borderId="0" applyAlignment="1" pivotButton="0" quotePrefix="0" xfId="1">
      <alignment vertical="center"/>
    </xf>
    <xf numFmtId="164" fontId="42" fillId="0" borderId="0" applyAlignment="1" pivotButton="0" quotePrefix="0" xfId="1">
      <alignment vertical="center"/>
    </xf>
    <xf numFmtId="164" fontId="39" fillId="0" borderId="0" applyAlignment="1" pivotButton="0" quotePrefix="0" xfId="1">
      <alignment vertical="center"/>
    </xf>
    <xf numFmtId="164" fontId="9" fillId="0" borderId="69" applyAlignment="1" pivotButton="0" quotePrefix="0" xfId="2">
      <alignment horizontal="right" vertical="center" readingOrder="1"/>
    </xf>
    <xf numFmtId="164" fontId="9" fillId="0" borderId="70" applyAlignment="1" pivotButton="0" quotePrefix="0" xfId="2">
      <alignment horizontal="right" vertical="center" readingOrder="1"/>
    </xf>
    <xf numFmtId="164" fontId="9" fillId="0" borderId="18" applyAlignment="1" pivotButton="0" quotePrefix="0" xfId="2">
      <alignment horizontal="right" vertical="center" readingOrder="1"/>
    </xf>
    <xf numFmtId="164" fontId="9" fillId="0" borderId="71" applyAlignment="1" pivotButton="0" quotePrefix="0" xfId="2">
      <alignment horizontal="right" vertical="center" readingOrder="1"/>
    </xf>
    <xf numFmtId="0" fontId="9" fillId="0" borderId="26" applyAlignment="1" pivotButton="0" quotePrefix="0" xfId="1">
      <alignment horizontal="left" vertical="center" wrapText="1" readingOrder="1"/>
    </xf>
    <xf numFmtId="0" fontId="6" fillId="0" borderId="26" applyAlignment="1" pivotButton="0" quotePrefix="0" xfId="1">
      <alignment vertical="center"/>
    </xf>
    <xf numFmtId="0" fontId="10" fillId="0" borderId="20" applyAlignment="1" pivotButton="0" quotePrefix="0" xfId="1">
      <alignment horizontal="left" vertical="center" wrapText="1" readingOrder="1"/>
    </xf>
    <xf numFmtId="0" fontId="10" fillId="0" borderId="10" applyAlignment="1" pivotButton="0" quotePrefix="0" xfId="1">
      <alignment horizontal="left" vertical="center" wrapText="1" readingOrder="1"/>
    </xf>
    <xf numFmtId="177" fontId="9" fillId="0" borderId="26" applyAlignment="1" pivotButton="0" quotePrefix="0" xfId="2">
      <alignment horizontal="right" vertical="center" readingOrder="1"/>
    </xf>
    <xf numFmtId="164" fontId="9" fillId="0" borderId="31" applyAlignment="1" pivotButton="0" quotePrefix="0" xfId="2">
      <alignment vertical="center" readingOrder="1"/>
    </xf>
    <xf numFmtId="177" fontId="9" fillId="0" borderId="15" applyAlignment="1" pivotButton="0" quotePrefix="0" xfId="2">
      <alignment horizontal="right" vertical="center" readingOrder="1"/>
    </xf>
    <xf numFmtId="177" fontId="9" fillId="0" borderId="10" applyAlignment="1" pivotButton="0" quotePrefix="0" xfId="2">
      <alignment horizontal="right" vertical="center" readingOrder="1"/>
    </xf>
    <xf numFmtId="164" fontId="9" fillId="0" borderId="73" applyAlignment="1" pivotButton="0" quotePrefix="0" xfId="2">
      <alignment horizontal="right" vertical="center" readingOrder="1"/>
    </xf>
    <xf numFmtId="164" fontId="9" fillId="0" borderId="74" applyAlignment="1" pivotButton="0" quotePrefix="0" xfId="2">
      <alignment horizontal="right" vertical="center" readingOrder="1"/>
    </xf>
    <xf numFmtId="164" fontId="9" fillId="0" borderId="75" applyAlignment="1" pivotButton="0" quotePrefix="0" xfId="2">
      <alignment horizontal="right" vertical="center" readingOrder="1"/>
    </xf>
    <xf numFmtId="164" fontId="9" fillId="0" borderId="76" applyAlignment="1" pivotButton="0" quotePrefix="0" xfId="2">
      <alignment horizontal="right" vertical="center" readingOrder="1"/>
    </xf>
    <xf numFmtId="168" fontId="9" fillId="0" borderId="41" applyAlignment="1" pivotButton="0" quotePrefix="0" xfId="2">
      <alignment horizontal="right" vertical="center" readingOrder="1"/>
    </xf>
    <xf numFmtId="164" fontId="9" fillId="0" borderId="40" applyAlignment="1" pivotButton="0" quotePrefix="0" xfId="2">
      <alignment vertical="center" readingOrder="1"/>
    </xf>
    <xf numFmtId="168" fontId="9" fillId="0" borderId="40" applyAlignment="1" pivotButton="0" quotePrefix="0" xfId="2">
      <alignment horizontal="right" vertical="center" readingOrder="1"/>
    </xf>
    <xf numFmtId="177" fontId="9" fillId="0" borderId="77" applyAlignment="1" pivotButton="0" quotePrefix="0" xfId="2">
      <alignment horizontal="right" vertical="center" readingOrder="1"/>
    </xf>
    <xf numFmtId="164" fontId="9" fillId="0" borderId="76" applyAlignment="1" pivotButton="0" quotePrefix="0" xfId="2">
      <alignment vertical="center" readingOrder="1"/>
    </xf>
    <xf numFmtId="164" fontId="9" fillId="0" borderId="19" applyAlignment="1" pivotButton="0" quotePrefix="0" xfId="2">
      <alignment horizontal="right" vertical="center" readingOrder="1"/>
    </xf>
    <xf numFmtId="164" fontId="9" fillId="0" borderId="27" applyAlignment="1" pivotButton="0" quotePrefix="0" xfId="2">
      <alignment horizontal="right" vertical="center" readingOrder="1"/>
    </xf>
    <xf numFmtId="164" fontId="9" fillId="0" borderId="37" applyAlignment="1" pivotButton="0" quotePrefix="0" xfId="2">
      <alignment horizontal="right" vertical="center" readingOrder="1"/>
    </xf>
    <xf numFmtId="177" fontId="9" fillId="0" borderId="78" applyAlignment="1" pivotButton="0" quotePrefix="0" xfId="2">
      <alignment horizontal="right" vertical="center" readingOrder="1"/>
    </xf>
    <xf numFmtId="164" fontId="9" fillId="0" borderId="77" applyAlignment="1" pivotButton="0" quotePrefix="0" xfId="2">
      <alignment vertical="center" readingOrder="1"/>
    </xf>
    <xf numFmtId="164" fontId="9" fillId="0" borderId="40" applyAlignment="1" pivotButton="0" quotePrefix="0" xfId="2">
      <alignment horizontal="right" vertical="center" readingOrder="1"/>
    </xf>
    <xf numFmtId="164" fontId="9" fillId="0" borderId="66" applyAlignment="1" pivotButton="0" quotePrefix="0" xfId="2">
      <alignment horizontal="right" vertical="center" readingOrder="1"/>
    </xf>
    <xf numFmtId="177" fontId="9" fillId="0" borderId="39" applyAlignment="1" pivotButton="0" quotePrefix="0" xfId="2">
      <alignment horizontal="right" vertical="center" readingOrder="1"/>
    </xf>
    <xf numFmtId="177" fontId="9" fillId="0" borderId="79" applyAlignment="1" pivotButton="0" quotePrefix="0" xfId="2">
      <alignment horizontal="right" vertical="center" readingOrder="1"/>
    </xf>
    <xf numFmtId="164" fontId="9" fillId="0" borderId="41" applyAlignment="1" pivotButton="0" quotePrefix="0" xfId="2">
      <alignment horizontal="right" vertical="center" readingOrder="1"/>
    </xf>
    <xf numFmtId="164" fontId="9" fillId="0" borderId="80" applyAlignment="1" pivotButton="0" quotePrefix="0" xfId="2">
      <alignment horizontal="right" vertical="center" readingOrder="1"/>
    </xf>
    <xf numFmtId="164" fontId="9" fillId="2" borderId="80" applyAlignment="1" pivotButton="0" quotePrefix="0" xfId="2">
      <alignment horizontal="right" vertical="center" readingOrder="1"/>
    </xf>
    <xf numFmtId="0" fontId="9" fillId="3" borderId="87" applyAlignment="1" pivotButton="0" quotePrefix="0" xfId="1">
      <alignment horizontal="center" vertical="center" wrapText="1" readingOrder="1"/>
    </xf>
    <xf numFmtId="164" fontId="9" fillId="0" borderId="7" applyAlignment="1" pivotButton="0" quotePrefix="0" xfId="2">
      <alignment horizontal="right" vertical="center" readingOrder="1"/>
    </xf>
    <xf numFmtId="164" fontId="9" fillId="0" borderId="88" applyAlignment="1" pivotButton="0" quotePrefix="0" xfId="2">
      <alignment horizontal="right" vertical="center" readingOrder="1"/>
    </xf>
    <xf numFmtId="177" fontId="9" fillId="0" borderId="0" applyAlignment="1" pivotButton="0" quotePrefix="0" xfId="2">
      <alignment horizontal="right" vertical="center" readingOrder="1"/>
    </xf>
    <xf numFmtId="164" fontId="9" fillId="0" borderId="69" applyAlignment="1" pivotButton="0" quotePrefix="0" xfId="2">
      <alignment vertical="center" readingOrder="1"/>
    </xf>
    <xf numFmtId="164" fontId="9" fillId="0" borderId="70" applyAlignment="1" pivotButton="0" quotePrefix="0" xfId="2">
      <alignment vertical="center" readingOrder="1"/>
    </xf>
    <xf numFmtId="177" fontId="9" fillId="0" borderId="18" applyAlignment="1" pivotButton="0" quotePrefix="0" xfId="2">
      <alignment horizontal="right" vertical="center" readingOrder="1"/>
    </xf>
    <xf numFmtId="177" fontId="9" fillId="0" borderId="13" applyAlignment="1" pivotButton="0" quotePrefix="0" xfId="2">
      <alignment horizontal="right" vertical="center" readingOrder="1"/>
    </xf>
    <xf numFmtId="164" fontId="9" fillId="0" borderId="13" applyAlignment="1" pivotButton="0" quotePrefix="0" xfId="2">
      <alignment horizontal="right" vertical="center" readingOrder="1"/>
    </xf>
    <xf numFmtId="0" fontId="9" fillId="3" borderId="92" applyAlignment="1" pivotButton="0" quotePrefix="0" xfId="1">
      <alignment horizontal="center" vertical="center" wrapText="1" readingOrder="1"/>
    </xf>
    <xf numFmtId="0" fontId="9" fillId="3" borderId="93" applyAlignment="1" pivotButton="0" quotePrefix="0" xfId="1">
      <alignment horizontal="center" vertical="center" wrapText="1" readingOrder="1"/>
    </xf>
    <xf numFmtId="164" fontId="9" fillId="0" borderId="94" applyAlignment="1" pivotButton="0" quotePrefix="0" xfId="2">
      <alignment horizontal="right" vertical="center" readingOrder="1"/>
    </xf>
    <xf numFmtId="164" fontId="9" fillId="0" borderId="95" applyAlignment="1" pivotButton="0" quotePrefix="0" xfId="2">
      <alignment horizontal="right" vertical="center" readingOrder="1"/>
    </xf>
    <xf numFmtId="164" fontId="9" fillId="0" borderId="96" applyAlignment="1" pivotButton="0" quotePrefix="0" xfId="2">
      <alignment horizontal="right" vertical="center" readingOrder="1"/>
    </xf>
    <xf numFmtId="164" fontId="9" fillId="0" borderId="97" applyAlignment="1" pivotButton="0" quotePrefix="0" xfId="2">
      <alignment horizontal="right" vertical="center" readingOrder="1"/>
    </xf>
    <xf numFmtId="164" fontId="9" fillId="0" borderId="98" applyAlignment="1" pivotButton="0" quotePrefix="0" xfId="2">
      <alignment horizontal="right" vertical="center" readingOrder="1"/>
    </xf>
    <xf numFmtId="165" fontId="9" fillId="0" borderId="73" applyAlignment="1" pivotButton="0" quotePrefix="0" xfId="2">
      <alignment horizontal="right" vertical="center" readingOrder="1"/>
    </xf>
    <xf numFmtId="164" fontId="9" fillId="0" borderId="99" applyAlignment="1" pivotButton="0" quotePrefix="0" xfId="2">
      <alignment horizontal="right" vertical="center" readingOrder="1"/>
    </xf>
    <xf numFmtId="177" fontId="9" fillId="0" borderId="100" applyAlignment="1" pivotButton="0" quotePrefix="0" xfId="2">
      <alignment horizontal="right" vertical="center" readingOrder="1"/>
    </xf>
    <xf numFmtId="164" fontId="9" fillId="0" borderId="101" applyAlignment="1" pivotButton="0" quotePrefix="0" xfId="2">
      <alignment horizontal="right" vertical="center" readingOrder="1"/>
    </xf>
    <xf numFmtId="164" fontId="6" fillId="0" borderId="101" applyAlignment="1" pivotButton="0" quotePrefix="0" xfId="2">
      <alignment horizontal="right" vertical="center" readingOrder="1"/>
    </xf>
    <xf numFmtId="177" fontId="9" fillId="0" borderId="102" applyAlignment="1" pivotButton="0" quotePrefix="0" xfId="2">
      <alignment horizontal="right" vertical="center" readingOrder="1"/>
    </xf>
    <xf numFmtId="164" fontId="9" fillId="0" borderId="103" applyAlignment="1" pivotButton="0" quotePrefix="0" xfId="2">
      <alignment horizontal="right" vertical="center" readingOrder="1"/>
    </xf>
    <xf numFmtId="164" fontId="9" fillId="0" borderId="104" applyAlignment="1" pivotButton="0" quotePrefix="0" xfId="2">
      <alignment horizontal="right" vertical="center" readingOrder="1"/>
    </xf>
    <xf numFmtId="164" fontId="9" fillId="0" borderId="71" applyAlignment="1" pivotButton="0" quotePrefix="0" xfId="2">
      <alignment vertical="center" readingOrder="1"/>
    </xf>
    <xf numFmtId="164" fontId="9" fillId="0" borderId="73" applyAlignment="1" pivotButton="0" quotePrefix="0" xfId="2">
      <alignment vertical="center" readingOrder="1"/>
    </xf>
    <xf numFmtId="164" fontId="9" fillId="0" borderId="100" applyAlignment="1" pivotButton="0" quotePrefix="0" xfId="2">
      <alignment vertical="center" readingOrder="1"/>
    </xf>
    <xf numFmtId="164" fontId="9" fillId="0" borderId="102" applyAlignment="1" pivotButton="0" quotePrefix="0" xfId="2">
      <alignment vertical="center" readingOrder="1"/>
    </xf>
    <xf numFmtId="177" fontId="9" fillId="0" borderId="73" applyAlignment="1" pivotButton="0" quotePrefix="0" xfId="2">
      <alignment horizontal="right" vertical="center" readingOrder="1"/>
    </xf>
    <xf numFmtId="164" fontId="9" fillId="0" borderId="102" applyAlignment="1" pivotButton="0" quotePrefix="0" xfId="2">
      <alignment horizontal="right" vertical="center" readingOrder="1"/>
    </xf>
    <xf numFmtId="164" fontId="9" fillId="0" borderId="99" applyAlignment="1" pivotButton="0" quotePrefix="0" xfId="2">
      <alignment vertical="center" readingOrder="1"/>
    </xf>
    <xf numFmtId="164" fontId="9" fillId="0" borderId="93" applyAlignment="1" pivotButton="0" quotePrefix="0" xfId="2">
      <alignment horizontal="right" vertical="center" readingOrder="1"/>
    </xf>
    <xf numFmtId="177" fontId="9" fillId="2" borderId="74" applyAlignment="1" pivotButton="0" quotePrefix="0" xfId="2">
      <alignment horizontal="right" vertical="center" readingOrder="1"/>
    </xf>
    <xf numFmtId="164" fontId="9" fillId="0" borderId="105" applyAlignment="1" pivotButton="0" quotePrefix="0" xfId="2">
      <alignment horizontal="right" vertical="center" readingOrder="1"/>
    </xf>
    <xf numFmtId="164" fontId="10" fillId="0" borderId="106" applyAlignment="1" pivotButton="0" quotePrefix="0" xfId="2">
      <alignment horizontal="right" vertical="center" readingOrder="1"/>
    </xf>
    <xf numFmtId="164" fontId="9" fillId="0" borderId="107" applyAlignment="1" pivotButton="0" quotePrefix="0" xfId="2">
      <alignment horizontal="right" vertical="center" readingOrder="1"/>
    </xf>
    <xf numFmtId="178" fontId="13" fillId="0" borderId="0" applyAlignment="1" pivotButton="0" quotePrefix="0" xfId="1">
      <alignment vertical="center"/>
    </xf>
    <xf numFmtId="179" fontId="13" fillId="0" borderId="0" applyAlignment="1" pivotButton="0" quotePrefix="0" xfId="1">
      <alignment vertical="center"/>
    </xf>
    <xf numFmtId="4" fontId="13" fillId="0" borderId="0" applyAlignment="1" pivotButton="0" quotePrefix="0" xfId="1">
      <alignment horizontal="right" vertical="center"/>
    </xf>
    <xf numFmtId="180" fontId="13" fillId="0" borderId="0" applyAlignment="1" pivotButton="0" quotePrefix="0" xfId="1">
      <alignment vertical="center"/>
    </xf>
    <xf numFmtId="0" fontId="24" fillId="0" borderId="0" applyAlignment="1" pivotButton="0" quotePrefix="0" xfId="1">
      <alignment horizontal="right" vertical="center"/>
    </xf>
    <xf numFmtId="0" fontId="25" fillId="0" borderId="26" applyAlignment="1" pivotButton="0" quotePrefix="0" xfId="36">
      <alignment horizontal="left" vertical="center" wrapText="1" readingOrder="1"/>
    </xf>
    <xf numFmtId="0" fontId="29" fillId="0" borderId="15" applyAlignment="1" pivotButton="0" quotePrefix="0" xfId="36">
      <alignment horizontal="left" vertical="center" readingOrder="1"/>
    </xf>
    <xf numFmtId="0" fontId="16" fillId="0" borderId="0" applyAlignment="1" pivotButton="0" quotePrefix="0" xfId="60305">
      <alignment vertical="center"/>
    </xf>
    <xf numFmtId="0" fontId="16" fillId="0" borderId="0" applyAlignment="1" pivotButton="0" quotePrefix="0" xfId="60305">
      <alignment horizontal="right" vertical="center"/>
    </xf>
    <xf numFmtId="0" fontId="91" fillId="3" borderId="6" applyAlignment="1" pivotButton="0" quotePrefix="0" xfId="60305">
      <alignment horizontal="center" vertical="center" readingOrder="1"/>
    </xf>
    <xf numFmtId="0" fontId="91" fillId="3" borderId="5" applyAlignment="1" pivotButton="0" quotePrefix="0" xfId="60305">
      <alignment horizontal="center" vertical="center" readingOrder="1"/>
    </xf>
    <xf numFmtId="0" fontId="91" fillId="3" borderId="117" applyAlignment="1" pivotButton="0" quotePrefix="0" xfId="60305">
      <alignment horizontal="center" vertical="center" readingOrder="1"/>
    </xf>
    <xf numFmtId="0" fontId="91" fillId="38" borderId="7" applyAlignment="1" pivotButton="0" quotePrefix="0" xfId="60305">
      <alignment vertical="center" readingOrder="1"/>
    </xf>
    <xf numFmtId="168" fontId="91" fillId="38" borderId="5" applyAlignment="1" pivotButton="0" quotePrefix="0" xfId="60305">
      <alignment horizontal="right" vertical="center" readingOrder="1"/>
    </xf>
    <xf numFmtId="0" fontId="13" fillId="0" borderId="20" applyAlignment="1" pivotButton="0" quotePrefix="0" xfId="60305">
      <alignment vertical="center"/>
    </xf>
    <xf numFmtId="0" fontId="91" fillId="0" borderId="25" applyAlignment="1" pivotButton="0" quotePrefix="0" xfId="60305">
      <alignment horizontal="left" vertical="center" readingOrder="1"/>
    </xf>
    <xf numFmtId="0" fontId="34" fillId="0" borderId="26" applyAlignment="1" pivotButton="0" quotePrefix="0" xfId="60305">
      <alignment horizontal="left" vertical="center" readingOrder="1"/>
    </xf>
    <xf numFmtId="0" fontId="91" fillId="0" borderId="0" applyAlignment="1" pivotButton="0" quotePrefix="0" xfId="60305">
      <alignment horizontal="left" vertical="center" readingOrder="1"/>
    </xf>
    <xf numFmtId="0" fontId="13" fillId="0" borderId="26" applyAlignment="1" pivotButton="0" quotePrefix="0" xfId="60305">
      <alignment vertical="center"/>
    </xf>
    <xf numFmtId="0" fontId="91" fillId="39" borderId="64" applyAlignment="1" pivotButton="0" quotePrefix="0" xfId="60305">
      <alignment vertical="center" readingOrder="1"/>
    </xf>
    <xf numFmtId="0" fontId="91" fillId="5" borderId="133" applyAlignment="1" pivotButton="0" quotePrefix="0" xfId="60305">
      <alignment vertical="center" readingOrder="1"/>
    </xf>
    <xf numFmtId="0" fontId="91" fillId="0" borderId="135" applyAlignment="1" pivotButton="0" quotePrefix="0" xfId="60305">
      <alignment vertical="center" readingOrder="1"/>
    </xf>
    <xf numFmtId="164" fontId="91" fillId="0" borderId="121" applyAlignment="1" pivotButton="0" quotePrefix="0" xfId="60305">
      <alignment horizontal="right" vertical="center" readingOrder="1"/>
    </xf>
    <xf numFmtId="164" fontId="91" fillId="0" borderId="122" applyAlignment="1" pivotButton="0" quotePrefix="0" xfId="60305">
      <alignment horizontal="right" vertical="center" readingOrder="1"/>
    </xf>
    <xf numFmtId="0" fontId="91" fillId="0" borderId="64" applyAlignment="1" pivotButton="0" quotePrefix="0" xfId="60305">
      <alignment vertical="center" readingOrder="1"/>
    </xf>
    <xf numFmtId="0" fontId="34" fillId="0" borderId="136" applyAlignment="1" pivotButton="0" quotePrefix="0" xfId="60305">
      <alignment horizontal="left" vertical="center" readingOrder="1"/>
    </xf>
    <xf numFmtId="0" fontId="91" fillId="5" borderId="135" applyAlignment="1" pivotButton="0" quotePrefix="0" xfId="60305">
      <alignment vertical="center" readingOrder="1"/>
    </xf>
    <xf numFmtId="0" fontId="34" fillId="0" borderId="138" applyAlignment="1" pivotButton="0" quotePrefix="0" xfId="60305">
      <alignment horizontal="left" vertical="center" readingOrder="1"/>
    </xf>
    <xf numFmtId="0" fontId="34" fillId="0" borderId="141" applyAlignment="1" pivotButton="0" quotePrefix="0" xfId="60305">
      <alignment horizontal="left" vertical="center" readingOrder="1"/>
    </xf>
    <xf numFmtId="0" fontId="91" fillId="40" borderId="44" applyAlignment="1" pivotButton="0" quotePrefix="0" xfId="60305">
      <alignment vertical="center" readingOrder="1"/>
    </xf>
    <xf numFmtId="168" fontId="91" fillId="40" borderId="143" applyAlignment="1" pivotButton="0" quotePrefix="0" xfId="60305">
      <alignment horizontal="right" vertical="center" readingOrder="1"/>
    </xf>
    <xf numFmtId="0" fontId="91" fillId="0" borderId="1" applyAlignment="1" pivotButton="0" quotePrefix="0" xfId="60305">
      <alignment horizontal="left" vertical="center" readingOrder="1"/>
    </xf>
    <xf numFmtId="164" fontId="91" fillId="0" borderId="0" applyAlignment="1" pivotButton="0" quotePrefix="0" xfId="60305">
      <alignment horizontal="right" vertical="center" readingOrder="1"/>
    </xf>
    <xf numFmtId="0" fontId="91" fillId="3" borderId="25" applyAlignment="1" pivotButton="0" quotePrefix="0" xfId="60305">
      <alignment vertical="center" readingOrder="1"/>
    </xf>
    <xf numFmtId="0" fontId="91" fillId="3" borderId="13" applyAlignment="1" pivotButton="0" quotePrefix="0" xfId="60305">
      <alignment vertical="center" readingOrder="1"/>
    </xf>
    <xf numFmtId="168" fontId="91" fillId="38" borderId="6" applyAlignment="1" pivotButton="0" quotePrefix="0" xfId="60305">
      <alignment horizontal="right" vertical="center" readingOrder="1"/>
    </xf>
    <xf numFmtId="168" fontId="91" fillId="38" borderId="118" applyAlignment="1" pivotButton="0" quotePrefix="0" xfId="60305">
      <alignment horizontal="right" vertical="center" readingOrder="1"/>
    </xf>
    <xf numFmtId="0" fontId="13" fillId="0" borderId="145" applyAlignment="1" pivotButton="0" quotePrefix="0" xfId="60305">
      <alignment vertical="center"/>
    </xf>
    <xf numFmtId="0" fontId="13" fillId="0" borderId="58" applyAlignment="1" pivotButton="0" quotePrefix="0" xfId="60305">
      <alignment vertical="center"/>
    </xf>
    <xf numFmtId="168" fontId="91" fillId="0" borderId="146" applyAlignment="1" pivotButton="0" quotePrefix="0" xfId="60305">
      <alignment horizontal="right" vertical="center" readingOrder="1"/>
    </xf>
    <xf numFmtId="168" fontId="91" fillId="0" borderId="75" applyAlignment="1" pivotButton="0" quotePrefix="0" xfId="60305">
      <alignment horizontal="right" vertical="center" readingOrder="1"/>
    </xf>
    <xf numFmtId="168" fontId="91" fillId="0" borderId="147" applyAlignment="1" pivotButton="0" quotePrefix="0" xfId="60305">
      <alignment horizontal="right" vertical="center" readingOrder="1"/>
    </xf>
    <xf numFmtId="0" fontId="13" fillId="0" borderId="148" applyAlignment="1" pivotButton="0" quotePrefix="0" xfId="60305">
      <alignment vertical="center"/>
    </xf>
    <xf numFmtId="0" fontId="13" fillId="0" borderId="28" applyAlignment="1" pivotButton="0" quotePrefix="0" xfId="60305">
      <alignment vertical="center"/>
    </xf>
    <xf numFmtId="167" fontId="91" fillId="0" borderId="119" applyAlignment="1" pivotButton="0" quotePrefix="0" xfId="60306">
      <alignment horizontal="right" vertical="center" readingOrder="1"/>
    </xf>
    <xf numFmtId="167" fontId="91" fillId="0" borderId="41" applyAlignment="1" pivotButton="0" quotePrefix="0" xfId="60306">
      <alignment horizontal="right" vertical="center" readingOrder="1"/>
    </xf>
    <xf numFmtId="167" fontId="91" fillId="0" borderId="120" applyAlignment="1" pivotButton="0" quotePrefix="0" xfId="60306">
      <alignment horizontal="right" vertical="center" readingOrder="1"/>
    </xf>
    <xf numFmtId="0" fontId="91" fillId="0" borderId="15" applyAlignment="1" pivotButton="0" quotePrefix="0" xfId="60305">
      <alignment horizontal="left" vertical="center" readingOrder="1"/>
    </xf>
    <xf numFmtId="167" fontId="91" fillId="0" borderId="123" applyAlignment="1" pivotButton="0" quotePrefix="0" xfId="60306">
      <alignment horizontal="right" vertical="center" readingOrder="1"/>
    </xf>
    <xf numFmtId="167" fontId="91" fillId="0" borderId="66" applyAlignment="1" pivotButton="0" quotePrefix="0" xfId="60306">
      <alignment horizontal="right" vertical="center" readingOrder="1"/>
    </xf>
    <xf numFmtId="167" fontId="91" fillId="0" borderId="124" applyAlignment="1" pivotButton="0" quotePrefix="0" xfId="60306">
      <alignment horizontal="right" vertical="center" readingOrder="1"/>
    </xf>
    <xf numFmtId="0" fontId="13" fillId="0" borderId="34" applyAlignment="1" pivotButton="0" quotePrefix="0" xfId="60305">
      <alignment vertical="center"/>
    </xf>
    <xf numFmtId="167" fontId="91" fillId="0" borderId="149" applyAlignment="1" pivotButton="0" quotePrefix="0" xfId="60306">
      <alignment horizontal="right" vertical="center" readingOrder="1"/>
    </xf>
    <xf numFmtId="167" fontId="91" fillId="0" borderId="150" applyAlignment="1" pivotButton="0" quotePrefix="0" xfId="60306">
      <alignment horizontal="right" vertical="center" readingOrder="1"/>
    </xf>
    <xf numFmtId="167" fontId="91" fillId="0" borderId="151" applyAlignment="1" pivotButton="0" quotePrefix="0" xfId="60306">
      <alignment horizontal="right" vertical="center" readingOrder="1"/>
    </xf>
    <xf numFmtId="0" fontId="13" fillId="0" borderId="31" applyAlignment="1" pivotButton="0" quotePrefix="0" xfId="60305">
      <alignment vertical="center"/>
    </xf>
    <xf numFmtId="167" fontId="91" fillId="0" borderId="128" applyAlignment="1" pivotButton="0" quotePrefix="0" xfId="60306">
      <alignment horizontal="right" vertical="center" readingOrder="1"/>
    </xf>
    <xf numFmtId="167" fontId="91" fillId="0" borderId="127" applyAlignment="1" pivotButton="0" quotePrefix="0" xfId="60306">
      <alignment horizontal="right" vertical="center" readingOrder="1"/>
    </xf>
    <xf numFmtId="167" fontId="91" fillId="0" borderId="129" applyAlignment="1" pivotButton="0" quotePrefix="0" xfId="60306">
      <alignment horizontal="right" vertical="center" readingOrder="1"/>
    </xf>
    <xf numFmtId="0" fontId="91" fillId="0" borderId="152" applyAlignment="1" pivotButton="0" quotePrefix="0" xfId="60305">
      <alignment horizontal="left" vertical="center" readingOrder="1"/>
    </xf>
    <xf numFmtId="167" fontId="91" fillId="0" borderId="131" applyAlignment="1" pivotButton="0" quotePrefix="0" xfId="60306">
      <alignment horizontal="right" vertical="center" readingOrder="1"/>
    </xf>
    <xf numFmtId="167" fontId="91" fillId="0" borderId="130" applyAlignment="1" pivotButton="0" quotePrefix="0" xfId="60306">
      <alignment horizontal="right" vertical="center" readingOrder="1"/>
    </xf>
    <xf numFmtId="167" fontId="91" fillId="0" borderId="132" applyAlignment="1" pivotButton="0" quotePrefix="0" xfId="60306">
      <alignment horizontal="right" vertical="center" readingOrder="1"/>
    </xf>
    <xf numFmtId="0" fontId="91" fillId="0" borderId="153" applyAlignment="1" pivotButton="0" quotePrefix="0" xfId="60305">
      <alignment horizontal="left" vertical="center" readingOrder="1"/>
    </xf>
    <xf numFmtId="0" fontId="13" fillId="0" borderId="154" applyAlignment="1" pivotButton="0" quotePrefix="0" xfId="60305">
      <alignment vertical="center"/>
    </xf>
    <xf numFmtId="0" fontId="91" fillId="0" borderId="34" applyAlignment="1" pivotButton="0" quotePrefix="0" xfId="60305">
      <alignment horizontal="left" vertical="center" readingOrder="1"/>
    </xf>
    <xf numFmtId="0" fontId="91" fillId="41" borderId="69" applyAlignment="1" pivotButton="0" quotePrefix="0" xfId="60305">
      <alignment vertical="center" readingOrder="1"/>
    </xf>
    <xf numFmtId="168" fontId="91" fillId="41" borderId="149" applyAlignment="1" pivotButton="0" quotePrefix="0" xfId="60305">
      <alignment horizontal="right" vertical="center" readingOrder="1"/>
    </xf>
    <xf numFmtId="168" fontId="91" fillId="41" borderId="150" applyAlignment="1" pivotButton="0" quotePrefix="0" xfId="60305">
      <alignment horizontal="right" vertical="center" readingOrder="1"/>
    </xf>
    <xf numFmtId="168" fontId="91" fillId="41" borderId="151" applyAlignment="1" pivotButton="0" quotePrefix="0" xfId="60305">
      <alignment horizontal="right" vertical="center" readingOrder="1"/>
    </xf>
    <xf numFmtId="168" fontId="91" fillId="0" borderId="155" applyAlignment="1" pivotButton="0" quotePrefix="0" xfId="60305">
      <alignment horizontal="right" vertical="center" readingOrder="1"/>
    </xf>
    <xf numFmtId="168" fontId="91" fillId="0" borderId="156" applyAlignment="1" pivotButton="0" quotePrefix="0" xfId="60305">
      <alignment horizontal="right" vertical="center" readingOrder="1"/>
    </xf>
    <xf numFmtId="168" fontId="91" fillId="0" borderId="157" applyAlignment="1" pivotButton="0" quotePrefix="0" xfId="60305">
      <alignment horizontal="right" vertical="center" readingOrder="1"/>
    </xf>
    <xf numFmtId="0" fontId="13" fillId="0" borderId="158" applyAlignment="1" pivotButton="0" quotePrefix="0" xfId="60305">
      <alignment vertical="center"/>
    </xf>
    <xf numFmtId="0" fontId="13" fillId="0" borderId="159" applyAlignment="1" pivotButton="0" quotePrefix="0" xfId="60305">
      <alignment vertical="center"/>
    </xf>
    <xf numFmtId="165" fontId="91" fillId="0" borderId="40" applyAlignment="1" pivotButton="0" quotePrefix="0" xfId="60306">
      <alignment horizontal="right" vertical="center" readingOrder="1"/>
    </xf>
    <xf numFmtId="168" fontId="91" fillId="0" borderId="137" applyAlignment="1" pivotButton="0" quotePrefix="0" xfId="60305">
      <alignment horizontal="right" vertical="center" readingOrder="1"/>
    </xf>
    <xf numFmtId="168" fontId="91" fillId="0" borderId="160" applyAlignment="1" pivotButton="0" quotePrefix="0" xfId="60305">
      <alignment horizontal="right" vertical="center" readingOrder="1"/>
    </xf>
    <xf numFmtId="168" fontId="91" fillId="0" borderId="161" applyAlignment="1" pivotButton="0" quotePrefix="0" xfId="60305">
      <alignment horizontal="right" vertical="center" readingOrder="1"/>
    </xf>
    <xf numFmtId="0" fontId="13" fillId="0" borderId="162" applyAlignment="1" pivotButton="0" quotePrefix="0" xfId="60305">
      <alignment vertical="center"/>
    </xf>
    <xf numFmtId="0" fontId="91" fillId="2" borderId="163" applyAlignment="1" pivotButton="0" quotePrefix="0" xfId="60305">
      <alignment vertical="center" readingOrder="1"/>
    </xf>
    <xf numFmtId="165" fontId="91" fillId="2" borderId="164" applyAlignment="1" pivotButton="0" quotePrefix="0" xfId="60306">
      <alignment horizontal="right" vertical="center" readingOrder="1"/>
    </xf>
    <xf numFmtId="168" fontId="91" fillId="2" borderId="165" applyAlignment="1" pivotButton="0" quotePrefix="0" xfId="60305">
      <alignment horizontal="right" vertical="center" readingOrder="1"/>
    </xf>
    <xf numFmtId="168" fontId="91" fillId="2" borderId="166" applyAlignment="1" pivotButton="0" quotePrefix="0" xfId="60305">
      <alignment horizontal="right" vertical="center" readingOrder="1"/>
    </xf>
    <xf numFmtId="0" fontId="91" fillId="0" borderId="167" applyAlignment="1" pivotButton="0" quotePrefix="0" xfId="60305">
      <alignment horizontal="left" vertical="center" readingOrder="1"/>
    </xf>
    <xf numFmtId="168" fontId="91" fillId="40" borderId="142" applyAlignment="1" pivotButton="0" quotePrefix="0" xfId="60305">
      <alignment horizontal="right" vertical="center" readingOrder="1"/>
    </xf>
    <xf numFmtId="168" fontId="91" fillId="40" borderId="144" applyAlignment="1" pivotButton="0" quotePrefix="0" xfId="60305">
      <alignment horizontal="right" vertical="center" readingOrder="1"/>
    </xf>
    <xf numFmtId="165" fontId="16" fillId="0" borderId="0" applyAlignment="1" pivotButton="0" quotePrefix="0" xfId="60306">
      <alignment vertical="center"/>
    </xf>
    <xf numFmtId="167" fontId="16" fillId="0" borderId="0" applyAlignment="1" pivotButton="0" quotePrefix="0" xfId="60306">
      <alignment vertical="center"/>
    </xf>
    <xf numFmtId="0" fontId="91" fillId="3" borderId="1" applyAlignment="1" pivotButton="0" quotePrefix="0" xfId="60305">
      <alignment horizontal="center" vertical="center" readingOrder="1"/>
    </xf>
    <xf numFmtId="165" fontId="17" fillId="0" borderId="0" applyAlignment="1" pivotButton="0" quotePrefix="0" xfId="60307">
      <alignment vertical="center"/>
    </xf>
    <xf numFmtId="165" fontId="13" fillId="0" borderId="0" applyAlignment="1" pivotButton="0" quotePrefix="0" xfId="60307">
      <alignment vertical="center"/>
    </xf>
    <xf numFmtId="165" fontId="13" fillId="4" borderId="0" applyAlignment="1" pivotButton="0" quotePrefix="0" xfId="60307">
      <alignment horizontal="center" vertical="center"/>
    </xf>
    <xf numFmtId="165" fontId="13" fillId="0" borderId="0" applyAlignment="1" pivotButton="0" quotePrefix="0" xfId="60307">
      <alignment vertical="center"/>
    </xf>
    <xf numFmtId="165" fontId="13" fillId="0" borderId="0" applyAlignment="1" pivotButton="0" quotePrefix="0" xfId="60307">
      <alignment horizontal="center" vertical="center"/>
    </xf>
    <xf numFmtId="0" fontId="91" fillId="0" borderId="0" applyAlignment="1" pivotButton="0" quotePrefix="0" xfId="60305">
      <alignment horizontal="center" vertical="center" readingOrder="1"/>
    </xf>
    <xf numFmtId="0" fontId="91" fillId="0" borderId="0" applyAlignment="1" pivotButton="0" quotePrefix="0" xfId="60305">
      <alignment vertical="center" readingOrder="1"/>
    </xf>
    <xf numFmtId="168" fontId="91" fillId="0" borderId="0" applyAlignment="1" pivotButton="0" quotePrefix="0" xfId="60305">
      <alignment horizontal="right" vertical="center" readingOrder="1"/>
    </xf>
    <xf numFmtId="0" fontId="13" fillId="0" borderId="0" applyAlignment="1" pivotButton="0" quotePrefix="0" xfId="60305">
      <alignment vertical="center"/>
    </xf>
    <xf numFmtId="167" fontId="91" fillId="0" borderId="0" applyAlignment="1" pivotButton="0" quotePrefix="0" xfId="60306">
      <alignment horizontal="right" vertical="center" readingOrder="1"/>
    </xf>
    <xf numFmtId="165" fontId="91" fillId="0" borderId="0" applyAlignment="1" pivotButton="0" quotePrefix="0" xfId="60306">
      <alignment horizontal="right" vertical="center" readingOrder="1"/>
    </xf>
    <xf numFmtId="165" fontId="16" fillId="0" borderId="0" applyAlignment="1" pivotButton="0" quotePrefix="0" xfId="60306">
      <alignment vertical="center"/>
    </xf>
    <xf numFmtId="167" fontId="16" fillId="0" borderId="0" applyAlignment="1" pivotButton="0" quotePrefix="0" xfId="60306">
      <alignment vertical="center"/>
    </xf>
    <xf numFmtId="0" fontId="34" fillId="3" borderId="6" applyAlignment="1" pivotButton="0" quotePrefix="0" xfId="0">
      <alignment horizontal="center" vertical="center" wrapText="1" readingOrder="1"/>
    </xf>
    <xf numFmtId="0" fontId="34" fillId="3" borderId="5" applyAlignment="1" pivotButton="0" quotePrefix="0" xfId="0">
      <alignment horizontal="center" vertical="center" wrapText="1" readingOrder="1"/>
    </xf>
    <xf numFmtId="0" fontId="34" fillId="3" borderId="12" applyAlignment="1" pivotButton="0" quotePrefix="0" xfId="0">
      <alignment horizontal="center" vertical="center" wrapText="1" readingOrder="1"/>
    </xf>
    <xf numFmtId="0" fontId="34" fillId="3" borderId="9" applyAlignment="1" pivotButton="0" quotePrefix="0" xfId="0">
      <alignment horizontal="center" vertical="center" wrapText="1" readingOrder="1"/>
    </xf>
    <xf numFmtId="0" fontId="34" fillId="0" borderId="50" applyAlignment="1" pivotButton="0" quotePrefix="0" xfId="0">
      <alignment horizontal="right" vertical="center" wrapText="1" readingOrder="1"/>
    </xf>
    <xf numFmtId="0" fontId="34" fillId="0" borderId="50" applyAlignment="1" pivotButton="0" quotePrefix="0" xfId="0">
      <alignment horizontal="left" vertical="center" wrapText="1" readingOrder="1"/>
    </xf>
    <xf numFmtId="0" fontId="34" fillId="0" borderId="81" applyAlignment="1" pivotButton="0" quotePrefix="0" xfId="0">
      <alignment horizontal="right" vertical="center" wrapText="1" readingOrder="1"/>
    </xf>
    <xf numFmtId="0" fontId="92" fillId="0" borderId="28" applyAlignment="1" pivotButton="0" quotePrefix="0" xfId="0">
      <alignment vertical="center" wrapText="1"/>
    </xf>
    <xf numFmtId="0" fontId="32" fillId="42" borderId="41" applyAlignment="1" pivotButton="0" quotePrefix="0" xfId="0">
      <alignment horizontal="left" vertical="center" wrapText="1" readingOrder="1"/>
    </xf>
    <xf numFmtId="0" fontId="34" fillId="42" borderId="83" applyAlignment="1" pivotButton="0" quotePrefix="0" xfId="0">
      <alignment horizontal="left" vertical="center" wrapText="1" readingOrder="1"/>
    </xf>
    <xf numFmtId="0" fontId="92" fillId="0" borderId="175" applyAlignment="1" pivotButton="0" quotePrefix="0" xfId="0">
      <alignment vertical="center" wrapText="1"/>
    </xf>
    <xf numFmtId="0" fontId="34" fillId="42" borderId="85" applyAlignment="1" pivotButton="0" quotePrefix="0" xfId="0">
      <alignment horizontal="left" vertical="center" wrapText="1" readingOrder="1"/>
    </xf>
    <xf numFmtId="0" fontId="92" fillId="0" borderId="50" applyAlignment="1" pivotButton="0" quotePrefix="0" xfId="0">
      <alignment horizontal="right" vertical="center" wrapText="1"/>
    </xf>
    <xf numFmtId="0" fontId="32" fillId="42" borderId="14" applyAlignment="1" pivotButton="0" quotePrefix="0" xfId="0">
      <alignment horizontal="left" vertical="center" wrapText="1" readingOrder="1"/>
    </xf>
    <xf numFmtId="0" fontId="34" fillId="3" borderId="10" applyAlignment="1" pivotButton="0" quotePrefix="0" xfId="0">
      <alignment horizontal="center" vertical="center" wrapText="1" readingOrder="1"/>
    </xf>
    <xf numFmtId="0" fontId="29" fillId="0" borderId="0" applyAlignment="1" pivotButton="0" quotePrefix="0" xfId="60308">
      <alignment horizontal="center" vertical="center"/>
    </xf>
    <xf numFmtId="14" fontId="24" fillId="0" borderId="0" applyAlignment="1" pivotButton="0" quotePrefix="0" xfId="60308">
      <alignment horizontal="center" vertical="center"/>
    </xf>
    <xf numFmtId="165" fontId="24" fillId="0" borderId="0" applyAlignment="1" pivotButton="0" quotePrefix="0" xfId="60307">
      <alignment horizontal="center" vertical="center"/>
    </xf>
    <xf numFmtId="165" fontId="29" fillId="0" borderId="0" applyAlignment="1" pivotButton="0" quotePrefix="0" xfId="60307">
      <alignment horizontal="center" vertical="center"/>
    </xf>
    <xf numFmtId="0" fontId="91" fillId="0" borderId="139" applyAlignment="1" pivotButton="0" quotePrefix="0" xfId="60305">
      <alignment vertical="center" readingOrder="1"/>
    </xf>
    <xf numFmtId="168" fontId="91" fillId="38" borderId="1" applyAlignment="1" pivotButton="0" quotePrefix="0" xfId="60305">
      <alignment horizontal="right" vertical="center" readingOrder="1"/>
    </xf>
    <xf numFmtId="168" fontId="91" fillId="0" borderId="20" applyAlignment="1" pivotButton="0" quotePrefix="0" xfId="60305">
      <alignment horizontal="right" vertical="center" readingOrder="1"/>
    </xf>
    <xf numFmtId="168" fontId="91" fillId="0" borderId="168" applyAlignment="1" pivotButton="0" quotePrefix="0" xfId="60305">
      <alignment horizontal="right" vertical="center" readingOrder="1"/>
    </xf>
    <xf numFmtId="168" fontId="91" fillId="0" borderId="169" applyAlignment="1" pivotButton="0" quotePrefix="0" xfId="60306">
      <alignment horizontal="right" vertical="center" readingOrder="1"/>
    </xf>
    <xf numFmtId="168" fontId="91" fillId="0" borderId="126" applyAlignment="1" pivotButton="0" quotePrefix="0" xfId="60306">
      <alignment horizontal="right" vertical="center" readingOrder="1"/>
    </xf>
    <xf numFmtId="168" fontId="91" fillId="0" borderId="169" applyAlignment="1" pivotButton="0" quotePrefix="0" xfId="60305">
      <alignment horizontal="right" vertical="center" readingOrder="1"/>
    </xf>
    <xf numFmtId="168" fontId="91" fillId="0" borderId="125" applyAlignment="1" pivotButton="0" quotePrefix="0" xfId="60305">
      <alignment horizontal="right" vertical="center" readingOrder="1"/>
    </xf>
    <xf numFmtId="168" fontId="91" fillId="5" borderId="162" applyAlignment="1" pivotButton="0" quotePrefix="0" xfId="60305">
      <alignment horizontal="right" vertical="center" readingOrder="1"/>
    </xf>
    <xf numFmtId="168" fontId="91" fillId="0" borderId="171" applyAlignment="1" pivotButton="0" quotePrefix="0" xfId="60305">
      <alignment horizontal="right" vertical="center" readingOrder="1"/>
    </xf>
    <xf numFmtId="168" fontId="91" fillId="0" borderId="140" applyAlignment="1" pivotButton="0" quotePrefix="0" xfId="60305">
      <alignment horizontal="right" vertical="center" readingOrder="1"/>
    </xf>
    <xf numFmtId="168" fontId="91" fillId="40" borderId="172" applyAlignment="1" pivotButton="0" quotePrefix="0" xfId="60305">
      <alignment horizontal="right" vertical="center" readingOrder="1"/>
    </xf>
    <xf numFmtId="168" fontId="36" fillId="0" borderId="184" applyAlignment="1" pivotButton="0" quotePrefix="0" xfId="1">
      <alignment horizontal="right" vertical="center" readingOrder="1"/>
    </xf>
    <xf numFmtId="165" fontId="13" fillId="2" borderId="0" applyAlignment="1" pivotButton="0" quotePrefix="0" xfId="2">
      <alignment vertical="center"/>
    </xf>
    <xf numFmtId="0" fontId="18" fillId="2" borderId="185" applyAlignment="1" pivotButton="0" quotePrefix="0" xfId="0">
      <alignment horizontal="center" vertical="center"/>
    </xf>
    <xf numFmtId="0" fontId="18" fillId="2" borderId="185" applyAlignment="1" pivotButton="0" quotePrefix="0" xfId="0">
      <alignment horizontal="left" vertical="center"/>
    </xf>
    <xf numFmtId="0" fontId="13" fillId="2" borderId="0" applyAlignment="1" pivotButton="0" quotePrefix="0" xfId="1">
      <alignment horizontal="center" vertical="center"/>
    </xf>
    <xf numFmtId="10" fontId="13" fillId="2" borderId="0" applyAlignment="1" pivotButton="0" quotePrefix="0" xfId="1">
      <alignment horizontal="left" vertical="center"/>
    </xf>
    <xf numFmtId="0" fontId="16" fillId="2" borderId="0" applyAlignment="1" pivotButton="0" quotePrefix="0" xfId="0">
      <alignment horizontal="center" vertical="center"/>
    </xf>
    <xf numFmtId="0" fontId="13" fillId="2" borderId="0" applyAlignment="1" pivotButton="0" quotePrefix="0" xfId="1">
      <alignment vertical="center"/>
    </xf>
    <xf numFmtId="0" fontId="13" fillId="2" borderId="185" applyAlignment="1" pivotButton="0" quotePrefix="0" xfId="1">
      <alignment horizontal="center" vertical="center"/>
    </xf>
    <xf numFmtId="165" fontId="13" fillId="2" borderId="185" applyAlignment="1" pivotButton="0" quotePrefix="0" xfId="2">
      <alignment vertical="center"/>
    </xf>
    <xf numFmtId="0" fontId="13" fillId="2" borderId="185" applyAlignment="1" pivotButton="0" quotePrefix="0" xfId="1">
      <alignment vertical="center"/>
    </xf>
    <xf numFmtId="0" fontId="18" fillId="2" borderId="0" applyAlignment="1" pivotButton="0" quotePrefix="0" xfId="0">
      <alignment horizontal="center" vertical="center"/>
    </xf>
    <xf numFmtId="168" fontId="24" fillId="0" borderId="186" applyAlignment="1" pivotButton="0" quotePrefix="0" xfId="1">
      <alignment horizontal="right" vertical="center" readingOrder="1"/>
    </xf>
    <xf numFmtId="0" fontId="25" fillId="3" borderId="186" applyAlignment="1" pivotButton="0" quotePrefix="0" xfId="1">
      <alignment horizontal="center" vertical="center" readingOrder="1"/>
    </xf>
    <xf numFmtId="168" fontId="25" fillId="0" borderId="186" applyAlignment="1" pivotButton="0" quotePrefix="0" xfId="1">
      <alignment horizontal="right" vertical="center" readingOrder="1"/>
    </xf>
    <xf numFmtId="168" fontId="25" fillId="0" borderId="187" applyAlignment="1" pivotButton="0" quotePrefix="0" xfId="1">
      <alignment horizontal="right" vertical="center" readingOrder="1"/>
    </xf>
    <xf numFmtId="168" fontId="25" fillId="0" borderId="188" applyAlignment="1" pivotButton="0" quotePrefix="0" xfId="1">
      <alignment horizontal="right" vertical="center" readingOrder="1"/>
    </xf>
    <xf numFmtId="0" fontId="25" fillId="3" borderId="2" applyAlignment="1" pivotButton="0" quotePrefix="0" xfId="1">
      <alignment vertical="center" readingOrder="1"/>
    </xf>
    <xf numFmtId="0" fontId="25" fillId="0" borderId="2" applyAlignment="1" pivotButton="0" quotePrefix="0" xfId="1">
      <alignment horizontal="left" vertical="center" readingOrder="1"/>
    </xf>
    <xf numFmtId="0" fontId="28" fillId="0" borderId="2" applyAlignment="1" pivotButton="0" quotePrefix="0" xfId="1">
      <alignment vertical="center" readingOrder="1"/>
    </xf>
    <xf numFmtId="0" fontId="25" fillId="5" borderId="2" applyAlignment="1" pivotButton="0" quotePrefix="0" xfId="1">
      <alignment vertical="center" readingOrder="1"/>
    </xf>
    <xf numFmtId="0" fontId="25" fillId="0" borderId="2" applyAlignment="1" pivotButton="0" quotePrefix="0" xfId="1">
      <alignment vertical="center" readingOrder="1"/>
    </xf>
    <xf numFmtId="168" fontId="25" fillId="0" borderId="53" applyAlignment="1" pivotButton="0" quotePrefix="0" xfId="1">
      <alignment horizontal="right" vertical="center" readingOrder="1"/>
    </xf>
    <xf numFmtId="0" fontId="94" fillId="0" borderId="0" applyAlignment="1" pivotButton="0" quotePrefix="0" xfId="60310">
      <alignment vertical="center"/>
    </xf>
    <xf numFmtId="0" fontId="33" fillId="0" borderId="0" applyAlignment="1" pivotButton="0" quotePrefix="0" xfId="60310">
      <alignment vertical="center"/>
    </xf>
    <xf numFmtId="181" fontId="37" fillId="0" borderId="0" applyAlignment="1" pivotButton="0" quotePrefix="0" xfId="60310">
      <alignment vertical="center"/>
    </xf>
    <xf numFmtId="182" fontId="37" fillId="0" borderId="0" applyAlignment="1" pivotButton="0" quotePrefix="0" xfId="60310">
      <alignment horizontal="right"/>
    </xf>
    <xf numFmtId="3" fontId="33" fillId="0" borderId="0" applyAlignment="1" pivotButton="0" quotePrefix="0" xfId="60310">
      <alignment vertical="center"/>
    </xf>
    <xf numFmtId="0" fontId="19" fillId="45" borderId="0" applyAlignment="1" pivotButton="0" quotePrefix="0" xfId="60310">
      <alignment vertical="center"/>
    </xf>
    <xf numFmtId="0" fontId="33" fillId="45" borderId="0" applyAlignment="1" pivotButton="0" quotePrefix="0" xfId="60310">
      <alignment vertical="center"/>
    </xf>
    <xf numFmtId="181" fontId="37" fillId="45" borderId="0" applyAlignment="1" pivotButton="0" quotePrefix="0" xfId="60310">
      <alignment vertical="center"/>
    </xf>
    <xf numFmtId="0" fontId="30" fillId="0" borderId="0" applyAlignment="1" pivotButton="0" quotePrefix="0" xfId="60310">
      <alignment vertical="center"/>
    </xf>
    <xf numFmtId="0" fontId="24" fillId="0" borderId="0" applyAlignment="1" pivotButton="0" quotePrefix="0" xfId="60310">
      <alignment vertical="center"/>
    </xf>
    <xf numFmtId="0" fontId="24" fillId="0" borderId="0" applyAlignment="1" pivotButton="0" quotePrefix="0" xfId="60310">
      <alignment horizontal="right" vertical="center"/>
    </xf>
    <xf numFmtId="0" fontId="28" fillId="44" borderId="191" applyAlignment="1" pivotButton="0" quotePrefix="0" xfId="60310">
      <alignment horizontal="center" vertical="center" wrapText="1" readingOrder="1"/>
    </xf>
    <xf numFmtId="0" fontId="28" fillId="44" borderId="192" applyAlignment="1" pivotButton="0" quotePrefix="0" xfId="60310">
      <alignment horizontal="center" vertical="center" wrapText="1" readingOrder="1"/>
    </xf>
    <xf numFmtId="0" fontId="28" fillId="3" borderId="192" applyAlignment="1" pivotButton="0" quotePrefix="0" xfId="60310">
      <alignment horizontal="center" vertical="center" wrapText="1" readingOrder="1"/>
    </xf>
    <xf numFmtId="0" fontId="28" fillId="3" borderId="193" applyAlignment="1" pivotButton="0" quotePrefix="0" xfId="60310">
      <alignment horizontal="center" vertical="center" wrapText="1" readingOrder="1"/>
    </xf>
    <xf numFmtId="0" fontId="28" fillId="3" borderId="194" applyAlignment="1" pivotButton="0" quotePrefix="0" xfId="60310">
      <alignment horizontal="center" vertical="center" wrapText="1" readingOrder="1"/>
    </xf>
    <xf numFmtId="0" fontId="95" fillId="3" borderId="195" applyAlignment="1" pivotButton="0" quotePrefix="0" xfId="60310">
      <alignment horizontal="center" vertical="center" wrapText="1" readingOrder="1"/>
    </xf>
    <xf numFmtId="0" fontId="36" fillId="0" borderId="0" applyAlignment="1" pivotButton="0" quotePrefix="0" xfId="60310">
      <alignment vertical="center"/>
    </xf>
    <xf numFmtId="183" fontId="30" fillId="44" borderId="196" applyAlignment="1" pivotButton="0" quotePrefix="0" xfId="60310">
      <alignment horizontal="right" vertical="center" readingOrder="1"/>
    </xf>
    <xf numFmtId="183" fontId="30" fillId="44" borderId="197" applyAlignment="1" pivotButton="0" quotePrefix="0" xfId="60310">
      <alignment horizontal="right" vertical="center" readingOrder="1"/>
    </xf>
    <xf numFmtId="183" fontId="30" fillId="46" borderId="197" applyAlignment="1" pivotButton="0" quotePrefix="0" xfId="60310">
      <alignment horizontal="right" vertical="center" readingOrder="1"/>
    </xf>
    <xf numFmtId="183" fontId="30" fillId="46" borderId="198" applyAlignment="1" pivotButton="0" quotePrefix="0" xfId="60310">
      <alignment horizontal="right" vertical="center" readingOrder="1"/>
    </xf>
    <xf numFmtId="183" fontId="30" fillId="46" borderId="74" applyAlignment="1" pivotButton="0" quotePrefix="0" xfId="60310">
      <alignment horizontal="right" vertical="center" readingOrder="1"/>
    </xf>
    <xf numFmtId="183" fontId="30" fillId="46" borderId="199" applyAlignment="1" pivotButton="0" quotePrefix="0" xfId="60310">
      <alignment horizontal="right" vertical="center" readingOrder="1"/>
    </xf>
    <xf numFmtId="0" fontId="96" fillId="0" borderId="13" applyAlignment="1" pivotButton="0" quotePrefix="0" xfId="60310">
      <alignment horizontal="left" vertical="center" readingOrder="1"/>
    </xf>
    <xf numFmtId="3" fontId="36" fillId="0" borderId="0" applyAlignment="1" pivotButton="0" quotePrefix="0" xfId="60310">
      <alignment vertical="center"/>
    </xf>
    <xf numFmtId="183" fontId="24" fillId="44" borderId="200" applyAlignment="1" pivotButton="0" quotePrefix="0" xfId="60310">
      <alignment horizontal="right" vertical="center" readingOrder="1"/>
    </xf>
    <xf numFmtId="183" fontId="24" fillId="44" borderId="201" applyAlignment="1" pivotButton="0" quotePrefix="0" xfId="60310">
      <alignment horizontal="right" vertical="center" readingOrder="1"/>
    </xf>
    <xf numFmtId="183" fontId="24" fillId="0" borderId="201" applyAlignment="1" pivotButton="0" quotePrefix="0" xfId="60310">
      <alignment horizontal="right" vertical="center" readingOrder="1"/>
    </xf>
    <xf numFmtId="183" fontId="24" fillId="0" borderId="202" applyAlignment="1" pivotButton="0" quotePrefix="0" xfId="60310">
      <alignment horizontal="right" vertical="center" readingOrder="1"/>
    </xf>
    <xf numFmtId="183" fontId="24" fillId="0" borderId="73" applyAlignment="1" pivotButton="0" quotePrefix="0" xfId="60310">
      <alignment horizontal="right" vertical="center" readingOrder="1"/>
    </xf>
    <xf numFmtId="183" fontId="24" fillId="0" borderId="203" applyAlignment="1" pivotButton="0" quotePrefix="0" xfId="60310">
      <alignment horizontal="right" vertical="center" readingOrder="1"/>
    </xf>
    <xf numFmtId="0" fontId="29" fillId="0" borderId="18" applyAlignment="1" pivotButton="0" quotePrefix="0" xfId="60310">
      <alignment vertical="center"/>
    </xf>
    <xf numFmtId="0" fontId="25" fillId="0" borderId="0" applyAlignment="1" pivotButton="0" quotePrefix="0" xfId="60310">
      <alignment horizontal="left" vertical="center" readingOrder="1"/>
    </xf>
    <xf numFmtId="183" fontId="24" fillId="44" borderId="207" applyAlignment="1" pivotButton="0" quotePrefix="0" xfId="60310">
      <alignment horizontal="right" vertical="center" readingOrder="1"/>
    </xf>
    <xf numFmtId="183" fontId="24" fillId="44" borderId="208" applyAlignment="1" pivotButton="0" quotePrefix="0" xfId="60310">
      <alignment horizontal="right" vertical="center" readingOrder="1"/>
    </xf>
    <xf numFmtId="183" fontId="24" fillId="5" borderId="208" applyAlignment="1" pivotButton="0" quotePrefix="0" xfId="60310">
      <alignment horizontal="right" vertical="center" readingOrder="1"/>
    </xf>
    <xf numFmtId="183" fontId="24" fillId="5" borderId="204" applyAlignment="1" pivotButton="0" quotePrefix="0" xfId="60310">
      <alignment horizontal="right" vertical="center" readingOrder="1"/>
    </xf>
    <xf numFmtId="183" fontId="24" fillId="5" borderId="209" applyAlignment="1" pivotButton="0" quotePrefix="0" xfId="60310">
      <alignment horizontal="right" vertical="center" readingOrder="1"/>
    </xf>
    <xf numFmtId="183" fontId="24" fillId="5" borderId="210" applyAlignment="1" pivotButton="0" quotePrefix="0" xfId="60310">
      <alignment horizontal="right" vertical="center" readingOrder="1"/>
    </xf>
    <xf numFmtId="0" fontId="29" fillId="0" borderId="205" applyAlignment="1" pivotButton="0" quotePrefix="0" xfId="60310">
      <alignment horizontal="left" vertical="center" readingOrder="1"/>
    </xf>
    <xf numFmtId="0" fontId="25" fillId="0" borderId="211" applyAlignment="1" pivotButton="0" quotePrefix="0" xfId="60310">
      <alignment horizontal="left" vertical="center" readingOrder="1"/>
    </xf>
    <xf numFmtId="183" fontId="24" fillId="44" borderId="212" applyAlignment="1" pivotButton="0" quotePrefix="0" xfId="60310">
      <alignment horizontal="right" vertical="center" readingOrder="1"/>
    </xf>
    <xf numFmtId="183" fontId="24" fillId="44" borderId="213" applyAlignment="1" pivotButton="0" quotePrefix="0" xfId="60310">
      <alignment horizontal="right" vertical="center" readingOrder="1"/>
    </xf>
    <xf numFmtId="183" fontId="24" fillId="0" borderId="213" applyAlignment="1" pivotButton="0" quotePrefix="0" xfId="60310">
      <alignment horizontal="right" vertical="center" readingOrder="1"/>
    </xf>
    <xf numFmtId="183" fontId="24" fillId="0" borderId="211" applyAlignment="1" pivotButton="0" quotePrefix="0" xfId="60310">
      <alignment horizontal="right" vertical="center" readingOrder="1"/>
    </xf>
    <xf numFmtId="183" fontId="24" fillId="0" borderId="100" applyAlignment="1" pivotButton="0" quotePrefix="0" xfId="60310">
      <alignment horizontal="right" vertical="center" readingOrder="1"/>
    </xf>
    <xf numFmtId="183" fontId="24" fillId="0" borderId="214" applyAlignment="1" pivotButton="0" quotePrefix="0" xfId="60310">
      <alignment horizontal="right" vertical="center" readingOrder="1"/>
    </xf>
    <xf numFmtId="0" fontId="29" fillId="0" borderId="0" applyAlignment="1" pivotButton="0" quotePrefix="0" xfId="60310">
      <alignment horizontal="left" vertical="center" readingOrder="1"/>
    </xf>
    <xf numFmtId="183" fontId="24" fillId="0" borderId="208" applyAlignment="1" pivotButton="0" quotePrefix="0" xfId="60310">
      <alignment horizontal="right" vertical="center" readingOrder="1"/>
    </xf>
    <xf numFmtId="183" fontId="24" fillId="0" borderId="204" applyAlignment="1" pivotButton="0" quotePrefix="0" xfId="60310">
      <alignment horizontal="right" vertical="center" readingOrder="1"/>
    </xf>
    <xf numFmtId="183" fontId="24" fillId="0" borderId="209" applyAlignment="1" pivotButton="0" quotePrefix="0" xfId="60310">
      <alignment horizontal="right" vertical="center" readingOrder="1"/>
    </xf>
    <xf numFmtId="183" fontId="24" fillId="0" borderId="210" applyAlignment="1" pivotButton="0" quotePrefix="0" xfId="60310">
      <alignment horizontal="right" vertical="center" readingOrder="1"/>
    </xf>
    <xf numFmtId="0" fontId="25" fillId="0" borderId="198" applyAlignment="1" pivotButton="0" quotePrefix="0" xfId="60310">
      <alignment horizontal="left" vertical="center" readingOrder="1"/>
    </xf>
    <xf numFmtId="0" fontId="25" fillId="0" borderId="13" applyAlignment="1" pivotButton="0" quotePrefix="0" xfId="60310">
      <alignment horizontal="left" vertical="center" readingOrder="1"/>
    </xf>
    <xf numFmtId="183" fontId="24" fillId="44" borderId="196" applyAlignment="1" pivotButton="0" quotePrefix="0" xfId="60310">
      <alignment horizontal="right" vertical="center" readingOrder="1"/>
    </xf>
    <xf numFmtId="183" fontId="24" fillId="44" borderId="197" applyAlignment="1" pivotButton="0" quotePrefix="0" xfId="60310">
      <alignment horizontal="right" vertical="center" readingOrder="1"/>
    </xf>
    <xf numFmtId="183" fontId="24" fillId="0" borderId="197" applyAlignment="1" pivotButton="0" quotePrefix="0" xfId="60310">
      <alignment horizontal="right" vertical="center" readingOrder="1"/>
    </xf>
    <xf numFmtId="183" fontId="24" fillId="0" borderId="198" applyAlignment="1" pivotButton="0" quotePrefix="0" xfId="60310">
      <alignment horizontal="right" vertical="center" readingOrder="1"/>
    </xf>
    <xf numFmtId="183" fontId="24" fillId="0" borderId="74" applyAlignment="1" pivotButton="0" quotePrefix="0" xfId="60310">
      <alignment horizontal="right" vertical="center" readingOrder="1"/>
    </xf>
    <xf numFmtId="183" fontId="24" fillId="0" borderId="199" applyAlignment="1" pivotButton="0" quotePrefix="0" xfId="60310">
      <alignment horizontal="right" vertical="center" readingOrder="1"/>
    </xf>
    <xf numFmtId="0" fontId="29" fillId="0" borderId="13" applyAlignment="1" pivotButton="0" quotePrefix="0" xfId="60310">
      <alignment horizontal="left" vertical="center" wrapText="1" readingOrder="1"/>
    </xf>
    <xf numFmtId="9" fontId="33" fillId="0" borderId="0" applyAlignment="1" pivotButton="0" quotePrefix="0" xfId="60311">
      <alignment vertical="center"/>
    </xf>
    <xf numFmtId="183" fontId="24" fillId="44" borderId="215" applyAlignment="1" pivotButton="0" quotePrefix="0" xfId="60310">
      <alignment horizontal="right" vertical="center" readingOrder="1"/>
    </xf>
    <xf numFmtId="183" fontId="24" fillId="44" borderId="216" applyAlignment="1" pivotButton="0" quotePrefix="0" xfId="60310">
      <alignment horizontal="right" vertical="center" readingOrder="1"/>
    </xf>
    <xf numFmtId="183" fontId="24" fillId="0" borderId="216" applyAlignment="1" pivotButton="0" quotePrefix="0" xfId="60310">
      <alignment horizontal="right" vertical="center" readingOrder="1"/>
    </xf>
    <xf numFmtId="183" fontId="24" fillId="0" borderId="217" applyAlignment="1" pivotButton="0" quotePrefix="0" xfId="60310">
      <alignment horizontal="right" vertical="center" readingOrder="1"/>
    </xf>
    <xf numFmtId="183" fontId="24" fillId="0" borderId="218" applyAlignment="1" pivotButton="0" quotePrefix="0" xfId="60310">
      <alignment horizontal="right" vertical="center" readingOrder="1"/>
    </xf>
    <xf numFmtId="183" fontId="24" fillId="0" borderId="219" applyAlignment="1" pivotButton="0" quotePrefix="0" xfId="60310">
      <alignment horizontal="right" vertical="center" readingOrder="1"/>
    </xf>
    <xf numFmtId="0" fontId="29" fillId="0" borderId="25" applyAlignment="1" pivotButton="0" quotePrefix="0" xfId="60310">
      <alignment horizontal="left" vertical="center" readingOrder="1"/>
    </xf>
    <xf numFmtId="176" fontId="33" fillId="0" borderId="0" applyAlignment="1" pivotButton="0" quotePrefix="0" xfId="60311">
      <alignment vertical="center"/>
    </xf>
    <xf numFmtId="0" fontId="25" fillId="0" borderId="204" applyAlignment="1" pivotButton="0" quotePrefix="0" xfId="60310">
      <alignment horizontal="left" vertical="center" readingOrder="1"/>
    </xf>
    <xf numFmtId="0" fontId="25" fillId="0" borderId="205" applyAlignment="1" pivotButton="0" quotePrefix="0" xfId="60310">
      <alignment horizontal="left" vertical="center" readingOrder="1"/>
    </xf>
    <xf numFmtId="0" fontId="25" fillId="0" borderId="220" applyAlignment="1" pivotButton="0" quotePrefix="0" xfId="60310">
      <alignment horizontal="left" vertical="center" readingOrder="1"/>
    </xf>
    <xf numFmtId="0" fontId="25" fillId="0" borderId="221" applyAlignment="1" pivotButton="0" quotePrefix="0" xfId="60310">
      <alignment horizontal="left" vertical="center" readingOrder="1"/>
    </xf>
    <xf numFmtId="183" fontId="24" fillId="44" borderId="222" applyAlignment="1" pivotButton="0" quotePrefix="0" xfId="60310">
      <alignment horizontal="right" vertical="center" readingOrder="1"/>
    </xf>
    <xf numFmtId="183" fontId="24" fillId="44" borderId="223" applyAlignment="1" pivotButton="0" quotePrefix="0" xfId="60310">
      <alignment horizontal="right" vertical="center" readingOrder="1"/>
    </xf>
    <xf numFmtId="183" fontId="24" fillId="0" borderId="223" applyAlignment="1" pivotButton="0" quotePrefix="0" xfId="60310">
      <alignment horizontal="right" vertical="center" readingOrder="1"/>
    </xf>
    <xf numFmtId="183" fontId="24" fillId="0" borderId="224" applyAlignment="1" pivotButton="0" quotePrefix="0" xfId="60310">
      <alignment horizontal="right" vertical="center" readingOrder="1"/>
    </xf>
    <xf numFmtId="183" fontId="24" fillId="0" borderId="225" applyAlignment="1" pivotButton="0" quotePrefix="0" xfId="60310">
      <alignment horizontal="right" vertical="center" readingOrder="1"/>
    </xf>
    <xf numFmtId="0" fontId="29" fillId="0" borderId="221" applyAlignment="1" pivotButton="0" quotePrefix="0" xfId="60310">
      <alignment horizontal="left" vertical="center" readingOrder="1"/>
    </xf>
    <xf numFmtId="0" fontId="28" fillId="0" borderId="206" applyAlignment="1" pivotButton="0" quotePrefix="0" xfId="60310">
      <alignment horizontal="left" vertical="center" readingOrder="1"/>
    </xf>
    <xf numFmtId="0" fontId="28" fillId="0" borderId="29" applyAlignment="1" pivotButton="0" quotePrefix="0" xfId="60310">
      <alignment horizontal="left" vertical="center" readingOrder="1"/>
    </xf>
    <xf numFmtId="0" fontId="25" fillId="0" borderId="29" applyAlignment="1" pivotButton="0" quotePrefix="0" xfId="60310">
      <alignment horizontal="left" vertical="center" readingOrder="1"/>
    </xf>
    <xf numFmtId="0" fontId="29" fillId="0" borderId="25" applyAlignment="1" pivotButton="0" quotePrefix="0" xfId="60310">
      <alignment vertical="center"/>
    </xf>
    <xf numFmtId="0" fontId="25" fillId="0" borderId="13" applyAlignment="1" pivotButton="0" quotePrefix="0" xfId="60310">
      <alignment vertical="center" readingOrder="1"/>
    </xf>
    <xf numFmtId="0" fontId="25" fillId="5" borderId="13" applyAlignment="1" pivotButton="0" quotePrefix="0" xfId="60310">
      <alignment vertical="center" readingOrder="1"/>
    </xf>
    <xf numFmtId="0" fontId="25" fillId="5" borderId="180" applyAlignment="1" pivotButton="0" quotePrefix="0" xfId="60310">
      <alignment vertical="center" readingOrder="1"/>
    </xf>
    <xf numFmtId="183" fontId="24" fillId="44" borderId="226" applyAlignment="1" pivotButton="0" quotePrefix="0" xfId="60310">
      <alignment horizontal="right" vertical="center" readingOrder="1"/>
    </xf>
    <xf numFmtId="183" fontId="24" fillId="5" borderId="197" applyAlignment="1" pivotButton="0" quotePrefix="0" xfId="60310">
      <alignment horizontal="right" vertical="center" readingOrder="1"/>
    </xf>
    <xf numFmtId="183" fontId="24" fillId="5" borderId="198" applyAlignment="1" pivotButton="0" quotePrefix="0" xfId="60310">
      <alignment horizontal="right" vertical="center" readingOrder="1"/>
    </xf>
    <xf numFmtId="183" fontId="24" fillId="5" borderId="74" applyAlignment="1" pivotButton="0" quotePrefix="0" xfId="60310">
      <alignment horizontal="right" vertical="center" readingOrder="1"/>
    </xf>
    <xf numFmtId="183" fontId="24" fillId="5" borderId="199" applyAlignment="1" pivotButton="0" quotePrefix="0" xfId="60310">
      <alignment horizontal="right" vertical="center" readingOrder="1"/>
    </xf>
    <xf numFmtId="0" fontId="29" fillId="0" borderId="13" applyAlignment="1" pivotButton="0" quotePrefix="0" xfId="60310">
      <alignment vertical="center"/>
    </xf>
    <xf numFmtId="183" fontId="24" fillId="44" borderId="228" applyAlignment="1" pivotButton="0" quotePrefix="0" xfId="60310">
      <alignment horizontal="right" vertical="center" readingOrder="1"/>
    </xf>
    <xf numFmtId="183" fontId="30" fillId="2" borderId="218" applyAlignment="1" pivotButton="0" quotePrefix="0" xfId="60310">
      <alignment horizontal="right" vertical="center" readingOrder="1"/>
    </xf>
    <xf numFmtId="0" fontId="29" fillId="0" borderId="25" applyAlignment="1" pivotButton="0" quotePrefix="0" xfId="60310">
      <alignment vertical="center" wrapText="1"/>
    </xf>
    <xf numFmtId="0" fontId="25" fillId="0" borderId="229" applyAlignment="1" pivotButton="0" quotePrefix="0" xfId="60310">
      <alignment horizontal="left" vertical="center" readingOrder="1"/>
    </xf>
    <xf numFmtId="183" fontId="24" fillId="44" borderId="230" applyAlignment="1" pivotButton="0" quotePrefix="0" xfId="60310">
      <alignment horizontal="right" vertical="center" readingOrder="1"/>
    </xf>
    <xf numFmtId="0" fontId="29" fillId="0" borderId="0" applyAlignment="1" pivotButton="0" quotePrefix="0" xfId="60310">
      <alignment vertical="center" wrapText="1"/>
    </xf>
    <xf numFmtId="0" fontId="25" fillId="0" borderId="180" applyAlignment="1" pivotButton="0" quotePrefix="0" xfId="60310">
      <alignment horizontal="left" vertical="center" readingOrder="1"/>
    </xf>
    <xf numFmtId="0" fontId="29" fillId="0" borderId="10" applyAlignment="1" pivotButton="0" quotePrefix="0" xfId="60310">
      <alignment vertical="center" wrapText="1"/>
    </xf>
    <xf numFmtId="183" fontId="30" fillId="44" borderId="232" applyAlignment="1" pivotButton="0" quotePrefix="0" xfId="60310">
      <alignment horizontal="right" vertical="center" readingOrder="1"/>
    </xf>
    <xf numFmtId="183" fontId="30" fillId="44" borderId="233" applyAlignment="1" pivotButton="0" quotePrefix="0" xfId="60310">
      <alignment horizontal="right" vertical="center" readingOrder="1"/>
    </xf>
    <xf numFmtId="183" fontId="30" fillId="39" borderId="233" applyAlignment="1" pivotButton="0" quotePrefix="0" xfId="60310">
      <alignment horizontal="right" vertical="center" readingOrder="1"/>
    </xf>
    <xf numFmtId="183" fontId="30" fillId="39" borderId="234" applyAlignment="1" pivotButton="0" quotePrefix="0" xfId="60310">
      <alignment horizontal="right" vertical="center" readingOrder="1"/>
    </xf>
    <xf numFmtId="183" fontId="30" fillId="39" borderId="94" applyAlignment="1" pivotButton="0" quotePrefix="0" xfId="60310">
      <alignment horizontal="right" vertical="center" readingOrder="1"/>
    </xf>
    <xf numFmtId="183" fontId="30" fillId="39" borderId="235" applyAlignment="1" pivotButton="0" quotePrefix="0" xfId="60310">
      <alignment horizontal="right" vertical="center" readingOrder="1"/>
    </xf>
    <xf numFmtId="0" fontId="96" fillId="0" borderId="7" applyAlignment="1" pivotButton="0" quotePrefix="0" xfId="60310">
      <alignment horizontal="left" vertical="center" readingOrder="1"/>
    </xf>
    <xf numFmtId="184" fontId="37" fillId="0" borderId="0" applyAlignment="1" pivotButton="0" quotePrefix="0" xfId="60310">
      <alignment vertical="center"/>
    </xf>
    <xf numFmtId="183" fontId="30" fillId="46" borderId="196" applyAlignment="1" pivotButton="0" quotePrefix="0" xfId="60310">
      <alignment horizontal="right" vertical="center" readingOrder="1"/>
    </xf>
    <xf numFmtId="183" fontId="24" fillId="0" borderId="200" applyAlignment="1" pivotButton="0" quotePrefix="0" xfId="60310">
      <alignment horizontal="right" vertical="center" readingOrder="1"/>
    </xf>
    <xf numFmtId="183" fontId="24" fillId="5" borderId="207" applyAlignment="1" pivotButton="0" quotePrefix="0" xfId="60310">
      <alignment horizontal="right" vertical="center" readingOrder="1"/>
    </xf>
    <xf numFmtId="183" fontId="24" fillId="0" borderId="212" applyAlignment="1" pivotButton="0" quotePrefix="0" xfId="60310">
      <alignment horizontal="right" vertical="center" readingOrder="1"/>
    </xf>
    <xf numFmtId="183" fontId="24" fillId="0" borderId="207" applyAlignment="1" pivotButton="0" quotePrefix="0" xfId="60310">
      <alignment horizontal="right" vertical="center" readingOrder="1"/>
    </xf>
    <xf numFmtId="183" fontId="24" fillId="0" borderId="196" applyAlignment="1" pivotButton="0" quotePrefix="0" xfId="60310">
      <alignment horizontal="right" vertical="center" readingOrder="1"/>
    </xf>
    <xf numFmtId="183" fontId="24" fillId="0" borderId="215" applyAlignment="1" pivotButton="0" quotePrefix="0" xfId="60310">
      <alignment horizontal="right" vertical="center" readingOrder="1"/>
    </xf>
    <xf numFmtId="183" fontId="24" fillId="0" borderId="222" applyAlignment="1" pivotButton="0" quotePrefix="0" xfId="60310">
      <alignment horizontal="right" vertical="center" readingOrder="1"/>
    </xf>
    <xf numFmtId="0" fontId="28" fillId="0" borderId="205" applyAlignment="1" pivotButton="0" quotePrefix="0" xfId="60310">
      <alignment horizontal="left" vertical="center" readingOrder="1"/>
    </xf>
    <xf numFmtId="0" fontId="28" fillId="0" borderId="0" applyAlignment="1" pivotButton="0" quotePrefix="0" xfId="60310">
      <alignment horizontal="left" vertical="center" readingOrder="1"/>
    </xf>
    <xf numFmtId="183" fontId="24" fillId="5" borderId="196" applyAlignment="1" pivotButton="0" quotePrefix="0" xfId="60310">
      <alignment horizontal="right" vertical="center" readingOrder="1"/>
    </xf>
    <xf numFmtId="183" fontId="30" fillId="39" borderId="236" applyAlignment="1" pivotButton="0" quotePrefix="0" xfId="60310">
      <alignment horizontal="right" vertical="center" readingOrder="1"/>
    </xf>
    <xf numFmtId="165" fontId="9" fillId="0" borderId="237" applyAlignment="1" pivotButton="0" quotePrefix="0" xfId="2">
      <alignment horizontal="right" vertical="center" readingOrder="1"/>
    </xf>
    <xf numFmtId="165" fontId="9" fillId="0" borderId="238" applyAlignment="1" pivotButton="0" quotePrefix="0" xfId="2">
      <alignment horizontal="right" vertical="center" readingOrder="1"/>
    </xf>
    <xf numFmtId="165" fontId="9" fillId="0" borderId="239" applyAlignment="1" pivotButton="0" quotePrefix="0" xfId="2">
      <alignment horizontal="right" vertical="center" readingOrder="1"/>
    </xf>
    <xf numFmtId="165" fontId="9" fillId="0" borderId="240" applyAlignment="1" pivotButton="0" quotePrefix="0" xfId="2">
      <alignment horizontal="right" vertical="center" readingOrder="1"/>
    </xf>
    <xf numFmtId="165" fontId="9" fillId="0" borderId="241" applyAlignment="1" pivotButton="0" quotePrefix="0" xfId="2">
      <alignment horizontal="right" vertical="center" readingOrder="1"/>
    </xf>
    <xf numFmtId="165" fontId="9" fillId="0" borderId="242" applyAlignment="1" pivotButton="0" quotePrefix="0" xfId="2">
      <alignment horizontal="right" vertical="center" readingOrder="1"/>
    </xf>
    <xf numFmtId="164" fontId="9" fillId="0" borderId="237" applyAlignment="1" pivotButton="0" quotePrefix="0" xfId="2">
      <alignment vertical="center" readingOrder="1"/>
    </xf>
    <xf numFmtId="164" fontId="9" fillId="0" borderId="238" applyAlignment="1" pivotButton="0" quotePrefix="0" xfId="2">
      <alignment vertical="center" readingOrder="1"/>
    </xf>
    <xf numFmtId="164" fontId="9" fillId="0" borderId="239" applyAlignment="1" pivotButton="0" quotePrefix="0" xfId="2">
      <alignment vertical="center" readingOrder="1"/>
    </xf>
    <xf numFmtId="164" fontId="9" fillId="0" borderId="240" applyAlignment="1" pivotButton="0" quotePrefix="0" xfId="2">
      <alignment vertical="center" readingOrder="1"/>
    </xf>
    <xf numFmtId="164" fontId="9" fillId="0" borderId="241" applyAlignment="1" pivotButton="0" quotePrefix="0" xfId="2">
      <alignment vertical="center" readingOrder="1"/>
    </xf>
    <xf numFmtId="164" fontId="9" fillId="0" borderId="242" applyAlignment="1" pivotButton="0" quotePrefix="0" xfId="2">
      <alignment vertical="center" readingOrder="1"/>
    </xf>
    <xf numFmtId="14" fontId="16" fillId="0" borderId="0" applyAlignment="1" pivotButton="0" quotePrefix="0" xfId="1">
      <alignment horizontal="center" vertical="center"/>
    </xf>
    <xf numFmtId="164" fontId="9" fillId="0" borderId="243" applyAlignment="1" pivotButton="0" quotePrefix="0" xfId="2">
      <alignment vertical="center" readingOrder="1"/>
    </xf>
    <xf numFmtId="164" fontId="9" fillId="0" borderId="244" applyAlignment="1" pivotButton="0" quotePrefix="0" xfId="2">
      <alignment vertical="center" readingOrder="1"/>
    </xf>
    <xf numFmtId="164" fontId="9" fillId="0" borderId="245" applyAlignment="1" pivotButton="0" quotePrefix="0" xfId="2">
      <alignment vertical="center" readingOrder="1"/>
    </xf>
    <xf numFmtId="164" fontId="9" fillId="0" borderId="181" applyAlignment="1" pivotButton="0" quotePrefix="0" xfId="2">
      <alignment vertical="center" readingOrder="1"/>
    </xf>
    <xf numFmtId="177" fontId="9" fillId="0" borderId="181" applyAlignment="1" pivotButton="0" quotePrefix="0" xfId="2">
      <alignment horizontal="right" vertical="center" readingOrder="1"/>
    </xf>
    <xf numFmtId="177" fontId="9" fillId="2" borderId="13" applyAlignment="1" pivotButton="0" quotePrefix="0" xfId="2">
      <alignment horizontal="right" vertical="center" readingOrder="1"/>
    </xf>
    <xf numFmtId="164" fontId="9" fillId="0" borderId="120" applyAlignment="1" pivotButton="0" quotePrefix="0" xfId="2">
      <alignment horizontal="right" vertical="center" readingOrder="1"/>
    </xf>
    <xf numFmtId="164" fontId="9" fillId="0" borderId="117" applyAlignment="1" pivotButton="0" quotePrefix="0" xfId="2">
      <alignment horizontal="right" vertical="center" readingOrder="1"/>
    </xf>
    <xf numFmtId="164" fontId="9" fillId="0" borderId="147" applyAlignment="1" pivotButton="0" quotePrefix="0" xfId="2">
      <alignment horizontal="right" vertical="center" readingOrder="1"/>
    </xf>
    <xf numFmtId="177" fontId="9" fillId="0" borderId="243" applyAlignment="1" pivotButton="0" quotePrefix="0" xfId="2">
      <alignment horizontal="right" vertical="center" readingOrder="1"/>
    </xf>
    <xf numFmtId="177" fontId="9" fillId="0" borderId="74" applyAlignment="1" pivotButton="0" quotePrefix="0" xfId="2">
      <alignment horizontal="right" vertical="center" readingOrder="1"/>
    </xf>
    <xf numFmtId="0" fontId="28" fillId="3" borderId="236" applyAlignment="1" pivotButton="0" quotePrefix="0" xfId="60310">
      <alignment horizontal="center" vertical="center" wrapText="1" readingOrder="1"/>
    </xf>
    <xf numFmtId="0" fontId="28" fillId="3" borderId="233" applyAlignment="1" pivotButton="0" quotePrefix="0" xfId="60310">
      <alignment horizontal="center" vertical="center" wrapText="1" readingOrder="1"/>
    </xf>
    <xf numFmtId="0" fontId="95" fillId="3" borderId="246" applyAlignment="1" pivotButton="0" quotePrefix="0" xfId="60310">
      <alignment horizontal="center" vertical="center" wrapText="1" readingOrder="1"/>
    </xf>
    <xf numFmtId="183" fontId="29" fillId="5" borderId="207" applyAlignment="1" pivotButton="0" quotePrefix="0" xfId="60310">
      <alignment horizontal="right" vertical="center" readingOrder="1"/>
    </xf>
    <xf numFmtId="183" fontId="29" fillId="5" borderId="208" applyAlignment="1" pivotButton="0" quotePrefix="0" xfId="60310">
      <alignment horizontal="right" vertical="center" readingOrder="1"/>
    </xf>
    <xf numFmtId="14" fontId="20" fillId="0" borderId="0" applyAlignment="1" pivotButton="0" quotePrefix="0" xfId="1">
      <alignment vertical="center"/>
    </xf>
    <xf numFmtId="165" fontId="9" fillId="0" borderId="105" applyAlignment="1" pivotButton="0" quotePrefix="0" xfId="60307">
      <alignment horizontal="right" vertical="center" readingOrder="1"/>
    </xf>
    <xf numFmtId="165" fontId="9" fillId="0" borderId="102" applyAlignment="1" pivotButton="0" quotePrefix="0" xfId="60307">
      <alignment vertical="center" readingOrder="1"/>
    </xf>
    <xf numFmtId="165" fontId="16" fillId="0" borderId="0" applyAlignment="1" pivotButton="0" quotePrefix="0" xfId="60307">
      <alignment vertical="center"/>
    </xf>
    <xf numFmtId="165" fontId="21" fillId="0" borderId="0" applyAlignment="1" pivotButton="0" quotePrefix="0" xfId="60307">
      <alignment horizontal="right" vertical="center"/>
    </xf>
    <xf numFmtId="165" fontId="16" fillId="0" borderId="0" applyAlignment="1" pivotButton="0" quotePrefix="0" xfId="60307">
      <alignment horizontal="center" vertical="center"/>
    </xf>
    <xf numFmtId="0" fontId="25" fillId="0" borderId="213" applyAlignment="1" pivotButton="0" quotePrefix="0" xfId="60310">
      <alignment horizontal="left" vertical="center" readingOrder="1"/>
    </xf>
    <xf numFmtId="0" fontId="25" fillId="0" borderId="223" applyAlignment="1" pivotButton="0" quotePrefix="0" xfId="60310">
      <alignment horizontal="left" vertical="center" readingOrder="1"/>
    </xf>
    <xf numFmtId="0" fontId="91" fillId="0" borderId="211" applyAlignment="1" pivotButton="0" quotePrefix="0" xfId="1">
      <alignment vertical="center" readingOrder="1"/>
    </xf>
    <xf numFmtId="0" fontId="29" fillId="0" borderId="26" applyAlignment="1" pivotButton="0" quotePrefix="0" xfId="60310">
      <alignment horizontal="left" vertical="center" readingOrder="1"/>
    </xf>
    <xf numFmtId="0" fontId="28" fillId="3" borderId="0" applyAlignment="1" pivotButton="0" quotePrefix="0" xfId="60310">
      <alignment horizontal="center" vertical="center" wrapText="1" readingOrder="1"/>
    </xf>
    <xf numFmtId="0" fontId="28" fillId="3" borderId="29" applyAlignment="1" pivotButton="0" quotePrefix="0" xfId="60310">
      <alignment horizontal="center" vertical="center" wrapText="1" readingOrder="1"/>
    </xf>
    <xf numFmtId="0" fontId="28" fillId="3" borderId="247" applyAlignment="1" pivotButton="0" quotePrefix="0" xfId="60310">
      <alignment horizontal="center" vertical="center" wrapText="1" readingOrder="1"/>
    </xf>
    <xf numFmtId="183" fontId="30" fillId="46" borderId="248" applyAlignment="1" pivotButton="0" quotePrefix="0" xfId="60310">
      <alignment horizontal="right" vertical="center" readingOrder="1"/>
    </xf>
    <xf numFmtId="183" fontId="24" fillId="0" borderId="249" applyAlignment="1" pivotButton="0" quotePrefix="0" xfId="60310">
      <alignment horizontal="right" vertical="center" readingOrder="1"/>
    </xf>
    <xf numFmtId="183" fontId="24" fillId="5" borderId="250" applyAlignment="1" pivotButton="0" quotePrefix="0" xfId="60310">
      <alignment horizontal="right" vertical="center" readingOrder="1"/>
    </xf>
    <xf numFmtId="183" fontId="24" fillId="0" borderId="251" applyAlignment="1" pivotButton="0" quotePrefix="0" xfId="60310">
      <alignment horizontal="right" vertical="center" readingOrder="1"/>
    </xf>
    <xf numFmtId="183" fontId="24" fillId="0" borderId="250" applyAlignment="1" pivotButton="0" quotePrefix="0" xfId="60310">
      <alignment horizontal="right" vertical="center" readingOrder="1"/>
    </xf>
    <xf numFmtId="183" fontId="24" fillId="0" borderId="248" applyAlignment="1" pivotButton="0" quotePrefix="0" xfId="60310">
      <alignment horizontal="right" vertical="center" readingOrder="1"/>
    </xf>
    <xf numFmtId="183" fontId="24" fillId="0" borderId="252" applyAlignment="1" pivotButton="0" quotePrefix="0" xfId="60310">
      <alignment horizontal="right" vertical="center" readingOrder="1"/>
    </xf>
    <xf numFmtId="183" fontId="24" fillId="5" borderId="248" applyAlignment="1" pivotButton="0" quotePrefix="0" xfId="60310">
      <alignment horizontal="right" vertical="center" readingOrder="1"/>
    </xf>
    <xf numFmtId="183" fontId="30" fillId="39" borderId="247" applyAlignment="1" pivotButton="0" quotePrefix="0" xfId="60310">
      <alignment horizontal="right" vertical="center" readingOrder="1"/>
    </xf>
    <xf numFmtId="0" fontId="28" fillId="3" borderId="253" applyAlignment="1" pivotButton="0" quotePrefix="0" xfId="60310">
      <alignment horizontal="center" vertical="center" wrapText="1" readingOrder="1"/>
    </xf>
    <xf numFmtId="183" fontId="30" fillId="46" borderId="13" applyAlignment="1" pivotButton="0" quotePrefix="0" xfId="60310">
      <alignment horizontal="right" vertical="center" readingOrder="1"/>
    </xf>
    <xf numFmtId="183" fontId="24" fillId="0" borderId="18" applyAlignment="1" pivotButton="0" quotePrefix="0" xfId="60310">
      <alignment horizontal="right" vertical="center" readingOrder="1"/>
    </xf>
    <xf numFmtId="183" fontId="24" fillId="5" borderId="205" applyAlignment="1" pivotButton="0" quotePrefix="0" xfId="60310">
      <alignment horizontal="right" vertical="center" readingOrder="1"/>
    </xf>
    <xf numFmtId="183" fontId="24" fillId="0" borderId="0" applyAlignment="1" pivotButton="0" quotePrefix="0" xfId="60310">
      <alignment horizontal="right" vertical="center" readingOrder="1"/>
    </xf>
    <xf numFmtId="183" fontId="24" fillId="0" borderId="205" applyAlignment="1" pivotButton="0" quotePrefix="0" xfId="60310">
      <alignment horizontal="right" vertical="center" readingOrder="1"/>
    </xf>
    <xf numFmtId="183" fontId="24" fillId="0" borderId="13" applyAlignment="1" pivotButton="0" quotePrefix="0" xfId="60310">
      <alignment horizontal="right" vertical="center" readingOrder="1"/>
    </xf>
    <xf numFmtId="183" fontId="24" fillId="0" borderId="25" applyAlignment="1" pivotButton="0" quotePrefix="0" xfId="60310">
      <alignment horizontal="right" vertical="center" readingOrder="1"/>
    </xf>
    <xf numFmtId="183" fontId="24" fillId="0" borderId="221" applyAlignment="1" pivotButton="0" quotePrefix="0" xfId="60310">
      <alignment horizontal="right" vertical="center" readingOrder="1"/>
    </xf>
    <xf numFmtId="183" fontId="24" fillId="5" borderId="13" applyAlignment="1" pivotButton="0" quotePrefix="0" xfId="60310">
      <alignment horizontal="right" vertical="center" readingOrder="1"/>
    </xf>
    <xf numFmtId="183" fontId="30" fillId="0" borderId="25" applyAlignment="1" pivotButton="0" quotePrefix="0" xfId="60310">
      <alignment horizontal="right" vertical="center" readingOrder="1"/>
    </xf>
    <xf numFmtId="183" fontId="30" fillId="39" borderId="7" applyAlignment="1" pivotButton="0" quotePrefix="0" xfId="60310">
      <alignment horizontal="right" vertical="center" readingOrder="1"/>
    </xf>
    <xf numFmtId="0" fontId="28" fillId="3" borderId="118" applyAlignment="1" pivotButton="0" quotePrefix="0" xfId="60310">
      <alignment horizontal="center" vertical="center" wrapText="1" readingOrder="1"/>
    </xf>
    <xf numFmtId="183" fontId="30" fillId="46" borderId="117" applyAlignment="1" pivotButton="0" quotePrefix="0" xfId="60310">
      <alignment horizontal="right" vertical="center" readingOrder="1"/>
    </xf>
    <xf numFmtId="183" fontId="24" fillId="0" borderId="120" applyAlignment="1" pivotButton="0" quotePrefix="0" xfId="60310">
      <alignment horizontal="right" vertical="center" readingOrder="1"/>
    </xf>
    <xf numFmtId="183" fontId="24" fillId="5" borderId="254" applyAlignment="1" pivotButton="0" quotePrefix="0" xfId="60310">
      <alignment horizontal="right" vertical="center" readingOrder="1"/>
    </xf>
    <xf numFmtId="183" fontId="24" fillId="0" borderId="122" applyAlignment="1" pivotButton="0" quotePrefix="0" xfId="60310">
      <alignment horizontal="right" vertical="center" readingOrder="1"/>
    </xf>
    <xf numFmtId="183" fontId="24" fillId="0" borderId="254" applyAlignment="1" pivotButton="0" quotePrefix="0" xfId="60310">
      <alignment horizontal="right" vertical="center" readingOrder="1"/>
    </xf>
    <xf numFmtId="183" fontId="24" fillId="0" borderId="117" applyAlignment="1" pivotButton="0" quotePrefix="0" xfId="60310">
      <alignment horizontal="right" vertical="center" readingOrder="1"/>
    </xf>
    <xf numFmtId="183" fontId="24" fillId="0" borderId="168" applyAlignment="1" pivotButton="0" quotePrefix="0" xfId="60310">
      <alignment horizontal="right" vertical="center" readingOrder="1"/>
    </xf>
    <xf numFmtId="183" fontId="24" fillId="0" borderId="255" applyAlignment="1" pivotButton="0" quotePrefix="0" xfId="60310">
      <alignment horizontal="right" vertical="center" readingOrder="1"/>
    </xf>
    <xf numFmtId="183" fontId="24" fillId="5" borderId="117" applyAlignment="1" pivotButton="0" quotePrefix="0" xfId="60310">
      <alignment horizontal="right" vertical="center" readingOrder="1"/>
    </xf>
    <xf numFmtId="183" fontId="30" fillId="39" borderId="118" applyAlignment="1" pivotButton="0" quotePrefix="0" xfId="60310">
      <alignment horizontal="right" vertical="center" readingOrder="1"/>
    </xf>
    <xf numFmtId="183" fontId="24" fillId="0" borderId="256" applyAlignment="1" pivotButton="0" quotePrefix="0" xfId="60310">
      <alignment horizontal="right" vertical="center" readingOrder="1"/>
    </xf>
    <xf numFmtId="183" fontId="24" fillId="0" borderId="26" applyAlignment="1" pivotButton="0" quotePrefix="0" xfId="60310">
      <alignment horizontal="right" vertical="center" readingOrder="1"/>
    </xf>
    <xf numFmtId="183" fontId="24" fillId="0" borderId="257" applyAlignment="1" pivotButton="0" quotePrefix="0" xfId="60310">
      <alignment horizontal="right" vertical="center" readingOrder="1"/>
    </xf>
    <xf numFmtId="170" fontId="13" fillId="0" borderId="0" applyAlignment="1" pivotButton="0" quotePrefix="0" xfId="60307">
      <alignment horizontal="center" vertical="center"/>
    </xf>
    <xf numFmtId="167" fontId="24" fillId="0" borderId="251" applyAlignment="1" pivotButton="0" quotePrefix="0" xfId="60307">
      <alignment horizontal="right" vertical="center" readingOrder="1"/>
    </xf>
    <xf numFmtId="165" fontId="34" fillId="0" borderId="6" applyAlignment="1" pivotButton="0" quotePrefix="0" xfId="60307">
      <alignment horizontal="right" vertical="center" wrapText="1" readingOrder="1"/>
    </xf>
    <xf numFmtId="165" fontId="34" fillId="0" borderId="5" applyAlignment="1" pivotButton="0" quotePrefix="0" xfId="60307">
      <alignment horizontal="right" vertical="center" wrapText="1" readingOrder="1"/>
    </xf>
    <xf numFmtId="165" fontId="34" fillId="0" borderId="1" applyAlignment="1" pivotButton="0" quotePrefix="0" xfId="60307">
      <alignment horizontal="right" vertical="center" wrapText="1" readingOrder="1"/>
    </xf>
    <xf numFmtId="165" fontId="34" fillId="0" borderId="9" applyAlignment="1" pivotButton="0" quotePrefix="0" xfId="60307">
      <alignment horizontal="right" vertical="center" wrapText="1" readingOrder="1"/>
    </xf>
    <xf numFmtId="165" fontId="34" fillId="0" borderId="8" applyAlignment="1" pivotButton="0" quotePrefix="0" xfId="60307">
      <alignment horizontal="right" vertical="center" wrapText="1" readingOrder="1"/>
    </xf>
    <xf numFmtId="165" fontId="34" fillId="0" borderId="96" applyAlignment="1" pivotButton="0" quotePrefix="0" xfId="60307">
      <alignment horizontal="right" vertical="center" wrapText="1" readingOrder="1"/>
    </xf>
    <xf numFmtId="165" fontId="34" fillId="0" borderId="179" applyAlignment="1" pivotButton="0" quotePrefix="0" xfId="60307">
      <alignment horizontal="right" vertical="center" wrapText="1" readingOrder="1"/>
    </xf>
    <xf numFmtId="165" fontId="34" fillId="0" borderId="81" applyAlignment="1" pivotButton="0" quotePrefix="0" xfId="60307">
      <alignment horizontal="right" vertical="center" wrapText="1" readingOrder="1"/>
    </xf>
    <xf numFmtId="165" fontId="34" fillId="0" borderId="178" applyAlignment="1" pivotButton="0" quotePrefix="0" xfId="60307">
      <alignment horizontal="right" vertical="center" wrapText="1" readingOrder="1"/>
    </xf>
    <xf numFmtId="165" fontId="34" fillId="42" borderId="119" applyAlignment="1" pivotButton="0" quotePrefix="0" xfId="60307">
      <alignment horizontal="right" vertical="center" wrapText="1" readingOrder="1"/>
    </xf>
    <xf numFmtId="165" fontId="34" fillId="42" borderId="16" applyAlignment="1" pivotButton="0" quotePrefix="0" xfId="60307">
      <alignment horizontal="right" vertical="center" wrapText="1" readingOrder="1"/>
    </xf>
    <xf numFmtId="165" fontId="34" fillId="42" borderId="15" applyAlignment="1" pivotButton="0" quotePrefix="0" xfId="60307">
      <alignment horizontal="right" vertical="center" wrapText="1" readingOrder="1"/>
    </xf>
    <xf numFmtId="165" fontId="34" fillId="42" borderId="174" applyAlignment="1" pivotButton="0" quotePrefix="0" xfId="60307">
      <alignment horizontal="right" vertical="center" wrapText="1" readingOrder="1"/>
    </xf>
    <xf numFmtId="165" fontId="34" fillId="42" borderId="17" applyAlignment="1" pivotButton="0" quotePrefix="0" xfId="60307">
      <alignment horizontal="right" vertical="center" wrapText="1" readingOrder="1"/>
    </xf>
    <xf numFmtId="165" fontId="34" fillId="42" borderId="181" applyAlignment="1" pivotButton="0" quotePrefix="0" xfId="60307">
      <alignment horizontal="right" vertical="center" wrapText="1" readingOrder="1"/>
    </xf>
    <xf numFmtId="165" fontId="34" fillId="42" borderId="180" applyAlignment="1" pivotButton="0" quotePrefix="0" xfId="60307">
      <alignment horizontal="right" vertical="center" wrapText="1" readingOrder="1"/>
    </xf>
    <xf numFmtId="165" fontId="34" fillId="42" borderId="74" applyAlignment="1" pivotButton="0" quotePrefix="0" xfId="60307">
      <alignment horizontal="right" vertical="center" wrapText="1" readingOrder="1"/>
    </xf>
    <xf numFmtId="165" fontId="34" fillId="42" borderId="182" applyAlignment="1" pivotButton="0" quotePrefix="0" xfId="60307">
      <alignment horizontal="right" vertical="center" wrapText="1" readingOrder="1"/>
    </xf>
    <xf numFmtId="165" fontId="34" fillId="42" borderId="177" applyAlignment="1" pivotButton="0" quotePrefix="0" xfId="60307">
      <alignment horizontal="right" vertical="center" wrapText="1" readingOrder="1"/>
    </xf>
    <xf numFmtId="165" fontId="34" fillId="0" borderId="87" applyAlignment="1" pivotButton="0" quotePrefix="0" xfId="60307">
      <alignment horizontal="right" vertical="center" wrapText="1" readingOrder="1"/>
    </xf>
    <xf numFmtId="165" fontId="34" fillId="0" borderId="176" applyAlignment="1" pivotButton="0" quotePrefix="0" xfId="60307">
      <alignment horizontal="right" vertical="center" wrapText="1" readingOrder="1"/>
    </xf>
    <xf numFmtId="165" fontId="34" fillId="0" borderId="183" applyAlignment="1" pivotButton="0" quotePrefix="0" xfId="60307">
      <alignment horizontal="right" vertical="center" wrapText="1" readingOrder="1"/>
    </xf>
    <xf numFmtId="165" fontId="34" fillId="0" borderId="3" applyAlignment="1" pivotButton="0" quotePrefix="0" xfId="60307">
      <alignment horizontal="right" vertical="center" wrapText="1" readingOrder="1"/>
    </xf>
    <xf numFmtId="183" fontId="24" fillId="5" borderId="254" applyAlignment="1" pivotButton="0" quotePrefix="0" xfId="60307">
      <alignment horizontal="right" vertical="center" readingOrder="1"/>
    </xf>
    <xf numFmtId="10" fontId="13" fillId="0" borderId="0" applyAlignment="1" pivotButton="0" quotePrefix="0" xfId="1">
      <alignment horizontal="left" vertical="center"/>
    </xf>
    <xf numFmtId="0" fontId="16" fillId="0" borderId="0" applyAlignment="1" pivotButton="0" quotePrefix="0" xfId="0">
      <alignment horizontal="center" vertical="center"/>
    </xf>
    <xf numFmtId="10" fontId="13" fillId="0" borderId="0" applyAlignment="1" pivotButton="0" quotePrefix="0" xfId="0">
      <alignment horizontal="left" vertical="center"/>
    </xf>
    <xf numFmtId="179" fontId="10" fillId="0" borderId="26" applyAlignment="1" pivotButton="0" quotePrefix="0" xfId="1">
      <alignment horizontal="left" vertical="center" readingOrder="1"/>
    </xf>
    <xf numFmtId="0" fontId="29" fillId="0" borderId="162" applyAlignment="1" pivotButton="0" quotePrefix="0" xfId="36">
      <alignment horizontal="left" vertical="center" readingOrder="1"/>
    </xf>
    <xf numFmtId="185" fontId="37" fillId="0" borderId="0" applyAlignment="1" pivotButton="0" quotePrefix="0" xfId="60310">
      <alignment vertical="center"/>
    </xf>
    <xf numFmtId="186" fontId="29" fillId="0" borderId="221" applyAlignment="1" pivotButton="0" quotePrefix="0" xfId="60310">
      <alignment horizontal="left" vertical="center" readingOrder="1"/>
    </xf>
    <xf numFmtId="187" fontId="6" fillId="0" borderId="0" applyAlignment="1" pivotButton="0" quotePrefix="0" xfId="1">
      <alignment vertical="center"/>
    </xf>
    <xf numFmtId="188" fontId="6" fillId="0" borderId="0" applyAlignment="1" pivotButton="0" quotePrefix="0" xfId="60307">
      <alignment vertical="center"/>
    </xf>
    <xf numFmtId="189" fontId="37" fillId="0" borderId="0" applyAlignment="1" pivotButton="0" quotePrefix="0" xfId="60310">
      <alignment vertical="center"/>
    </xf>
    <xf numFmtId="0" fontId="13" fillId="0" borderId="0" applyAlignment="1" pivotButton="0" quotePrefix="1" xfId="1">
      <alignment horizontal="left" vertical="center"/>
    </xf>
    <xf numFmtId="0" fontId="13" fillId="0" borderId="0" applyAlignment="1" pivotButton="0" quotePrefix="0" xfId="0">
      <alignment horizontal="center" vertical="center"/>
    </xf>
    <xf numFmtId="0" fontId="13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left" vertical="center"/>
    </xf>
    <xf numFmtId="165" fontId="13" fillId="0" borderId="0" applyAlignment="1" pivotButton="0" quotePrefix="0" xfId="60307">
      <alignment vertical="center"/>
    </xf>
    <xf numFmtId="165" fontId="13" fillId="0" borderId="0" applyAlignment="1" pivotButton="0" quotePrefix="0" xfId="60307">
      <alignment horizontal="right" vertical="center"/>
    </xf>
    <xf numFmtId="0" fontId="28" fillId="3" borderId="7" applyAlignment="1" pivotButton="0" quotePrefix="0" xfId="60310">
      <alignment horizontal="center" vertical="center" wrapText="1" readingOrder="1"/>
    </xf>
    <xf numFmtId="165" fontId="6" fillId="0" borderId="0" applyAlignment="1" pivotButton="0" quotePrefix="0" xfId="60307">
      <alignment vertical="center"/>
    </xf>
    <xf numFmtId="0" fontId="28" fillId="3" borderId="258" applyAlignment="1" pivotButton="0" quotePrefix="0" xfId="60310">
      <alignment horizontal="center" vertical="center" wrapText="1" readingOrder="1"/>
    </xf>
    <xf numFmtId="183" fontId="30" fillId="46" borderId="259" applyAlignment="1" pivotButton="0" quotePrefix="0" xfId="60310">
      <alignment horizontal="right" vertical="center" readingOrder="1"/>
    </xf>
    <xf numFmtId="183" fontId="24" fillId="0" borderId="260" applyAlignment="1" pivotButton="0" quotePrefix="0" xfId="60310">
      <alignment horizontal="right" vertical="center" readingOrder="1"/>
    </xf>
    <xf numFmtId="183" fontId="24" fillId="5" borderId="261" applyAlignment="1" pivotButton="0" quotePrefix="0" xfId="60310">
      <alignment horizontal="right" vertical="center" readingOrder="1"/>
    </xf>
    <xf numFmtId="183" fontId="24" fillId="0" borderId="262" applyAlignment="1" pivotButton="0" quotePrefix="0" xfId="60310">
      <alignment horizontal="right" vertical="center" readingOrder="1"/>
    </xf>
    <xf numFmtId="183" fontId="24" fillId="0" borderId="261" applyAlignment="1" pivotButton="0" quotePrefix="0" xfId="60310">
      <alignment horizontal="right" vertical="center" readingOrder="1"/>
    </xf>
    <xf numFmtId="183" fontId="24" fillId="0" borderId="259" applyAlignment="1" pivotButton="0" quotePrefix="0" xfId="60310">
      <alignment horizontal="right" vertical="center" readingOrder="1"/>
    </xf>
    <xf numFmtId="183" fontId="24" fillId="0" borderId="263" applyAlignment="1" pivotButton="0" quotePrefix="0" xfId="60310">
      <alignment horizontal="right" vertical="center" readingOrder="1"/>
    </xf>
    <xf numFmtId="183" fontId="24" fillId="0" borderId="264" applyAlignment="1" pivotButton="0" quotePrefix="0" xfId="60310">
      <alignment horizontal="right" vertical="center" readingOrder="1"/>
    </xf>
    <xf numFmtId="183" fontId="24" fillId="5" borderId="259" applyAlignment="1" pivotButton="0" quotePrefix="0" xfId="60310">
      <alignment horizontal="right" vertical="center" readingOrder="1"/>
    </xf>
    <xf numFmtId="183" fontId="30" fillId="39" borderId="258" applyAlignment="1" pivotButton="0" quotePrefix="0" xfId="60310">
      <alignment horizontal="right" vertical="center" readingOrder="1"/>
    </xf>
    <xf numFmtId="165" fontId="37" fillId="0" borderId="0" applyAlignment="1" pivotButton="0" quotePrefix="0" xfId="60307">
      <alignment vertical="center"/>
    </xf>
    <xf numFmtId="0" fontId="28" fillId="3" borderId="265" applyAlignment="1" pivotButton="0" quotePrefix="0" xfId="60310">
      <alignment horizontal="center" vertical="center" wrapText="1" readingOrder="1"/>
    </xf>
    <xf numFmtId="183" fontId="30" fillId="46" borderId="266" applyAlignment="1" pivotButton="0" quotePrefix="0" xfId="60310">
      <alignment horizontal="right" vertical="center" readingOrder="1"/>
    </xf>
    <xf numFmtId="183" fontId="24" fillId="0" borderId="267" applyAlignment="1" pivotButton="0" quotePrefix="0" xfId="60310">
      <alignment horizontal="right" vertical="center" readingOrder="1"/>
    </xf>
    <xf numFmtId="183" fontId="24" fillId="5" borderId="268" applyAlignment="1" pivotButton="0" quotePrefix="0" xfId="60310">
      <alignment horizontal="right" vertical="center" readingOrder="1"/>
    </xf>
    <xf numFmtId="183" fontId="24" fillId="0" borderId="269" applyAlignment="1" pivotButton="0" quotePrefix="0" xfId="60310">
      <alignment horizontal="right" vertical="center" readingOrder="1"/>
    </xf>
    <xf numFmtId="183" fontId="24" fillId="0" borderId="268" applyAlignment="1" pivotButton="0" quotePrefix="0" xfId="60310">
      <alignment horizontal="right" vertical="center" readingOrder="1"/>
    </xf>
    <xf numFmtId="183" fontId="24" fillId="0" borderId="266" applyAlignment="1" pivotButton="0" quotePrefix="0" xfId="60310">
      <alignment horizontal="right" vertical="center" readingOrder="1"/>
    </xf>
    <xf numFmtId="183" fontId="24" fillId="0" borderId="270" applyAlignment="1" pivotButton="0" quotePrefix="0" xfId="60310">
      <alignment horizontal="right" vertical="center" readingOrder="1"/>
    </xf>
    <xf numFmtId="183" fontId="24" fillId="0" borderId="271" applyAlignment="1" pivotButton="0" quotePrefix="0" xfId="60310">
      <alignment horizontal="right" vertical="center" readingOrder="1"/>
    </xf>
    <xf numFmtId="183" fontId="24" fillId="5" borderId="266" applyAlignment="1" pivotButton="0" quotePrefix="0" xfId="60310">
      <alignment horizontal="right" vertical="center" readingOrder="1"/>
    </xf>
    <xf numFmtId="183" fontId="30" fillId="39" borderId="265" applyAlignment="1" pivotButton="0" quotePrefix="0" xfId="60310">
      <alignment horizontal="right" vertical="center" readingOrder="1"/>
    </xf>
    <xf numFmtId="183" fontId="24" fillId="0" borderId="29" applyAlignment="1" pivotButton="0" quotePrefix="0" xfId="60310">
      <alignment horizontal="right" vertical="center" readingOrder="1"/>
    </xf>
    <xf numFmtId="183" fontId="24" fillId="0" borderId="11" applyAlignment="1" pivotButton="0" quotePrefix="0" xfId="60310">
      <alignment horizontal="right" vertical="center" readingOrder="1"/>
    </xf>
    <xf numFmtId="0" fontId="28" fillId="3" borderId="2" applyAlignment="1" pivotButton="0" quotePrefix="0" xfId="60310">
      <alignment horizontal="center" vertical="center" wrapText="1" readingOrder="1"/>
    </xf>
    <xf numFmtId="0" fontId="10" fillId="0" borderId="19" applyAlignment="1" pivotButton="0" quotePrefix="0" xfId="1">
      <alignment vertical="center" readingOrder="1"/>
    </xf>
    <xf numFmtId="183" fontId="30" fillId="46" borderId="11" applyAlignment="1" pivotButton="0" quotePrefix="0" xfId="60310">
      <alignment horizontal="right" vertical="center" readingOrder="1"/>
    </xf>
    <xf numFmtId="183" fontId="24" fillId="0" borderId="16" applyAlignment="1" pivotButton="0" quotePrefix="0" xfId="60310">
      <alignment horizontal="right" vertical="center" readingOrder="1"/>
    </xf>
    <xf numFmtId="183" fontId="24" fillId="5" borderId="206" applyAlignment="1" pivotButton="0" quotePrefix="0" xfId="60310">
      <alignment horizontal="right" vertical="center" readingOrder="1"/>
    </xf>
    <xf numFmtId="183" fontId="24" fillId="0" borderId="206" applyAlignment="1" pivotButton="0" quotePrefix="0" xfId="60310">
      <alignment horizontal="right" vertical="center" readingOrder="1"/>
    </xf>
    <xf numFmtId="183" fontId="24" fillId="0" borderId="24" applyAlignment="1" pivotButton="0" quotePrefix="0" xfId="60310">
      <alignment horizontal="right" vertical="center" readingOrder="1"/>
    </xf>
    <xf numFmtId="183" fontId="24" fillId="5" borderId="206" applyAlignment="1" pivotButton="0" quotePrefix="0" xfId="60307">
      <alignment horizontal="right" vertical="center" readingOrder="1"/>
    </xf>
    <xf numFmtId="183" fontId="24" fillId="0" borderId="272" applyAlignment="1" pivotButton="0" quotePrefix="0" xfId="60310">
      <alignment horizontal="right" vertical="center" readingOrder="1"/>
    </xf>
    <xf numFmtId="183" fontId="24" fillId="5" borderId="11" applyAlignment="1" pivotButton="0" quotePrefix="0" xfId="60310">
      <alignment horizontal="right" vertical="center" readingOrder="1"/>
    </xf>
    <xf numFmtId="183" fontId="30" fillId="39" borderId="2" applyAlignment="1" pivotButton="0" quotePrefix="0" xfId="60310">
      <alignment horizontal="right" vertical="center" readingOrder="1"/>
    </xf>
    <xf numFmtId="167" fontId="24" fillId="0" borderId="212" applyAlignment="1" pivotButton="0" quotePrefix="0" xfId="60307">
      <alignment horizontal="right" vertical="center" readingOrder="1"/>
    </xf>
    <xf numFmtId="167" fontId="24" fillId="0" borderId="262" applyAlignment="1" pivotButton="0" quotePrefix="0" xfId="60307">
      <alignment horizontal="right" vertical="center" readingOrder="1"/>
    </xf>
    <xf numFmtId="165" fontId="37" fillId="45" borderId="0" applyAlignment="1" pivotButton="0" quotePrefix="0" xfId="60307">
      <alignment vertical="center"/>
    </xf>
    <xf numFmtId="165" fontId="24" fillId="0" borderId="0" applyAlignment="1" pivotButton="0" quotePrefix="0" xfId="60307">
      <alignment vertical="center"/>
    </xf>
    <xf numFmtId="165" fontId="28" fillId="3" borderId="7" applyAlignment="1" pivotButton="0" quotePrefix="0" xfId="60307">
      <alignment horizontal="center" vertical="center" wrapText="1" readingOrder="1"/>
    </xf>
    <xf numFmtId="165" fontId="28" fillId="3" borderId="2" applyAlignment="1" pivotButton="0" quotePrefix="0" xfId="60307">
      <alignment horizontal="center" vertical="center" wrapText="1" readingOrder="1"/>
    </xf>
    <xf numFmtId="165" fontId="28" fillId="3" borderId="0" applyAlignment="1" pivotButton="0" quotePrefix="0" xfId="60307">
      <alignment horizontal="center" vertical="center" wrapText="1" readingOrder="1"/>
    </xf>
    <xf numFmtId="165" fontId="28" fillId="3" borderId="29" applyAlignment="1" pivotButton="0" quotePrefix="0" xfId="60307">
      <alignment horizontal="center" vertical="center" wrapText="1" readingOrder="1"/>
    </xf>
    <xf numFmtId="165" fontId="28" fillId="3" borderId="236" applyAlignment="1" pivotButton="0" quotePrefix="0" xfId="60307">
      <alignment horizontal="center" vertical="center" wrapText="1" readingOrder="1"/>
    </xf>
    <xf numFmtId="165" fontId="28" fillId="3" borderId="253" applyAlignment="1" pivotButton="0" quotePrefix="0" xfId="60307">
      <alignment horizontal="center" vertical="center" wrapText="1" readingOrder="1"/>
    </xf>
    <xf numFmtId="165" fontId="95" fillId="3" borderId="246" applyAlignment="1" pivotButton="0" quotePrefix="0" xfId="60307">
      <alignment horizontal="center" vertical="center" wrapText="1" readingOrder="1"/>
    </xf>
    <xf numFmtId="165" fontId="30" fillId="46" borderId="196" applyAlignment="1" pivotButton="0" quotePrefix="0" xfId="60307">
      <alignment horizontal="right" vertical="center" readingOrder="1"/>
    </xf>
    <xf numFmtId="165" fontId="30" fillId="46" borderId="259" applyAlignment="1" pivotButton="0" quotePrefix="0" xfId="60307">
      <alignment horizontal="right" vertical="center" readingOrder="1"/>
    </xf>
    <xf numFmtId="165" fontId="24" fillId="0" borderId="200" applyAlignment="1" pivotButton="0" quotePrefix="0" xfId="60307">
      <alignment horizontal="right" vertical="center" readingOrder="1"/>
    </xf>
    <xf numFmtId="165" fontId="24" fillId="0" borderId="260" applyAlignment="1" pivotButton="0" quotePrefix="0" xfId="60307">
      <alignment horizontal="right" vertical="center" readingOrder="1"/>
    </xf>
    <xf numFmtId="165" fontId="29" fillId="5" borderId="207" applyAlignment="1" pivotButton="0" quotePrefix="0" xfId="60307">
      <alignment horizontal="right" vertical="center" readingOrder="1"/>
    </xf>
    <xf numFmtId="165" fontId="24" fillId="5" borderId="261" applyAlignment="1" pivotButton="0" quotePrefix="0" xfId="60307">
      <alignment horizontal="right" vertical="center" readingOrder="1"/>
    </xf>
    <xf numFmtId="165" fontId="24" fillId="0" borderId="212" applyAlignment="1" pivotButton="0" quotePrefix="0" xfId="60307">
      <alignment horizontal="right" vertical="center" readingOrder="1"/>
    </xf>
    <xf numFmtId="165" fontId="24" fillId="0" borderId="0" applyAlignment="1" pivotButton="0" quotePrefix="0" xfId="60307">
      <alignment horizontal="right" vertical="center" readingOrder="1"/>
    </xf>
    <xf numFmtId="165" fontId="24" fillId="0" borderId="262" applyAlignment="1" pivotButton="0" quotePrefix="0" xfId="60307">
      <alignment horizontal="right" vertical="center" readingOrder="1"/>
    </xf>
    <xf numFmtId="165" fontId="24" fillId="0" borderId="29" applyAlignment="1" pivotButton="0" quotePrefix="0" xfId="60307">
      <alignment horizontal="right" vertical="center" readingOrder="1"/>
    </xf>
    <xf numFmtId="165" fontId="24" fillId="0" borderId="214" applyAlignment="1" pivotButton="0" quotePrefix="0" xfId="60307">
      <alignment horizontal="right" vertical="center" readingOrder="1"/>
    </xf>
    <xf numFmtId="165" fontId="24" fillId="0" borderId="207" applyAlignment="1" pivotButton="0" quotePrefix="0" xfId="60307">
      <alignment horizontal="right" vertical="center" readingOrder="1"/>
    </xf>
    <xf numFmtId="165" fontId="24" fillId="0" borderId="205" applyAlignment="1" pivotButton="0" quotePrefix="0" xfId="60307">
      <alignment horizontal="right" vertical="center" readingOrder="1"/>
    </xf>
    <xf numFmtId="165" fontId="24" fillId="0" borderId="261" applyAlignment="1" pivotButton="0" quotePrefix="0" xfId="60307">
      <alignment horizontal="right" vertical="center" readingOrder="1"/>
    </xf>
    <xf numFmtId="165" fontId="24" fillId="0" borderId="206" applyAlignment="1" pivotButton="0" quotePrefix="0" xfId="60307">
      <alignment horizontal="right" vertical="center" readingOrder="1"/>
    </xf>
    <xf numFmtId="165" fontId="24" fillId="0" borderId="210" applyAlignment="1" pivotButton="0" quotePrefix="0" xfId="60307">
      <alignment horizontal="right" vertical="center" readingOrder="1"/>
    </xf>
    <xf numFmtId="165" fontId="24" fillId="0" borderId="196" applyAlignment="1" pivotButton="0" quotePrefix="0" xfId="60307">
      <alignment horizontal="right" vertical="center" readingOrder="1"/>
    </xf>
    <xf numFmtId="165" fontId="24" fillId="0" borderId="13" applyAlignment="1" pivotButton="0" quotePrefix="0" xfId="60307">
      <alignment horizontal="right" vertical="center" readingOrder="1"/>
    </xf>
    <xf numFmtId="165" fontId="24" fillId="0" borderId="259" applyAlignment="1" pivotButton="0" quotePrefix="0" xfId="60307">
      <alignment horizontal="right" vertical="center" readingOrder="1"/>
    </xf>
    <xf numFmtId="165" fontId="24" fillId="0" borderId="11" applyAlignment="1" pivotButton="0" quotePrefix="0" xfId="60307">
      <alignment horizontal="right" vertical="center" readingOrder="1"/>
    </xf>
    <xf numFmtId="165" fontId="24" fillId="0" borderId="199" applyAlignment="1" pivotButton="0" quotePrefix="0" xfId="60307">
      <alignment horizontal="right" vertical="center" readingOrder="1"/>
    </xf>
    <xf numFmtId="165" fontId="24" fillId="0" borderId="215" applyAlignment="1" pivotButton="0" quotePrefix="0" xfId="60307">
      <alignment horizontal="right" vertical="center" readingOrder="1"/>
    </xf>
    <xf numFmtId="165" fontId="24" fillId="0" borderId="25" applyAlignment="1" pivotButton="0" quotePrefix="0" xfId="60307">
      <alignment horizontal="right" vertical="center" readingOrder="1"/>
    </xf>
    <xf numFmtId="165" fontId="24" fillId="0" borderId="263" applyAlignment="1" pivotButton="0" quotePrefix="0" xfId="60307">
      <alignment horizontal="right" vertical="center" readingOrder="1"/>
    </xf>
    <xf numFmtId="165" fontId="24" fillId="0" borderId="24" applyAlignment="1" pivotButton="0" quotePrefix="0" xfId="60307">
      <alignment horizontal="right" vertical="center" readingOrder="1"/>
    </xf>
    <xf numFmtId="165" fontId="24" fillId="0" borderId="219" applyAlignment="1" pivotButton="0" quotePrefix="0" xfId="60307">
      <alignment horizontal="right" vertical="center" readingOrder="1"/>
    </xf>
    <xf numFmtId="165" fontId="24" fillId="5" borderId="207" applyAlignment="1" pivotButton="0" quotePrefix="0" xfId="60307">
      <alignment horizontal="right" vertical="center" readingOrder="1"/>
    </xf>
    <xf numFmtId="165" fontId="24" fillId="0" borderId="222" applyAlignment="1" pivotButton="0" quotePrefix="0" xfId="60307">
      <alignment horizontal="right" vertical="center" readingOrder="1"/>
    </xf>
    <xf numFmtId="165" fontId="24" fillId="0" borderId="264" applyAlignment="1" pivotButton="0" quotePrefix="0" xfId="60307">
      <alignment horizontal="right" vertical="center" readingOrder="1"/>
    </xf>
    <xf numFmtId="165" fontId="30" fillId="0" borderId="25" applyAlignment="1" pivotButton="0" quotePrefix="0" xfId="60307">
      <alignment horizontal="right" vertical="center" readingOrder="1"/>
    </xf>
    <xf numFmtId="165" fontId="30" fillId="39" borderId="236" applyAlignment="1" pivotButton="0" quotePrefix="0" xfId="60307">
      <alignment horizontal="right" vertical="center" readingOrder="1"/>
    </xf>
    <xf numFmtId="165" fontId="30" fillId="39" borderId="7" applyAlignment="1" pivotButton="0" quotePrefix="0" xfId="60307">
      <alignment horizontal="right" vertical="center" readingOrder="1"/>
    </xf>
    <xf numFmtId="165" fontId="30" fillId="39" borderId="258" applyAlignment="1" pivotButton="0" quotePrefix="0" xfId="60307">
      <alignment horizontal="right" vertical="center" readingOrder="1"/>
    </xf>
    <xf numFmtId="165" fontId="30" fillId="39" borderId="2" applyAlignment="1" pivotButton="0" quotePrefix="0" xfId="60307">
      <alignment horizontal="right" vertical="center" readingOrder="1"/>
    </xf>
    <xf numFmtId="165" fontId="30" fillId="39" borderId="235" applyAlignment="1" pivotButton="0" quotePrefix="0" xfId="60307">
      <alignment horizontal="right" vertical="center" readingOrder="1"/>
    </xf>
    <xf numFmtId="190" fontId="6" fillId="0" borderId="0" applyAlignment="1" pivotButton="0" quotePrefix="0" xfId="60307">
      <alignment vertical="center"/>
    </xf>
    <xf numFmtId="165" fontId="28" fillId="3" borderId="234" applyAlignment="1" pivotButton="0" quotePrefix="0" xfId="60307">
      <alignment horizontal="center" vertical="center" wrapText="1" readingOrder="1"/>
    </xf>
    <xf numFmtId="165" fontId="30" fillId="46" borderId="198" applyAlignment="1" pivotButton="0" quotePrefix="0" xfId="60307">
      <alignment horizontal="right" vertical="center" readingOrder="1"/>
    </xf>
    <xf numFmtId="165" fontId="24" fillId="0" borderId="202" applyAlignment="1" pivotButton="0" quotePrefix="0" xfId="60307">
      <alignment horizontal="right" vertical="center" readingOrder="1"/>
    </xf>
    <xf numFmtId="165" fontId="24" fillId="0" borderId="211" applyAlignment="1" pivotButton="0" quotePrefix="0" xfId="60307">
      <alignment horizontal="right" vertical="center" readingOrder="1"/>
    </xf>
    <xf numFmtId="165" fontId="24" fillId="0" borderId="204" applyAlignment="1" pivotButton="0" quotePrefix="0" xfId="60307">
      <alignment horizontal="right" vertical="center" readingOrder="1"/>
    </xf>
    <xf numFmtId="165" fontId="24" fillId="0" borderId="198" applyAlignment="1" pivotButton="0" quotePrefix="0" xfId="60307">
      <alignment horizontal="right" vertical="center" readingOrder="1"/>
    </xf>
    <xf numFmtId="165" fontId="24" fillId="0" borderId="217" applyAlignment="1" pivotButton="0" quotePrefix="0" xfId="60307">
      <alignment horizontal="right" vertical="center" readingOrder="1"/>
    </xf>
    <xf numFmtId="165" fontId="24" fillId="5" borderId="204" applyAlignment="1" pivotButton="0" quotePrefix="0" xfId="60307">
      <alignment horizontal="right" vertical="center" readingOrder="1"/>
    </xf>
    <xf numFmtId="165" fontId="24" fillId="0" borderId="220" applyAlignment="1" pivotButton="0" quotePrefix="0" xfId="60307">
      <alignment horizontal="right" vertical="center" readingOrder="1"/>
    </xf>
    <xf numFmtId="167" fontId="24" fillId="0" borderId="211" applyAlignment="1" pivotButton="0" quotePrefix="0" xfId="60307">
      <alignment horizontal="right" vertical="center" readingOrder="1"/>
    </xf>
    <xf numFmtId="165" fontId="30" fillId="39" borderId="234" applyAlignment="1" pivotButton="0" quotePrefix="0" xfId="60307">
      <alignment horizontal="right" vertical="center" readingOrder="1"/>
    </xf>
    <xf numFmtId="0" fontId="92" fillId="3" borderId="292" applyAlignment="1" pivotButton="0" quotePrefix="0" xfId="0">
      <alignment horizontal="center" vertical="center" wrapText="1"/>
    </xf>
    <xf numFmtId="0" fontId="92" fillId="3" borderId="293" applyAlignment="1" pivotButton="0" quotePrefix="0" xfId="0">
      <alignment horizontal="center" vertical="center" wrapText="1"/>
    </xf>
    <xf numFmtId="0" fontId="102" fillId="3" borderId="288" applyAlignment="1" pivotButton="0" quotePrefix="0" xfId="0">
      <alignment horizontal="center" vertical="center" wrapText="1" readingOrder="1"/>
    </xf>
    <xf numFmtId="0" fontId="102" fillId="3" borderId="294" applyAlignment="1" pivotButton="0" quotePrefix="0" xfId="0">
      <alignment horizontal="center" vertical="center" wrapText="1" readingOrder="1"/>
    </xf>
    <xf numFmtId="0" fontId="102" fillId="3" borderId="290" applyAlignment="1" pivotButton="0" quotePrefix="0" xfId="0">
      <alignment horizontal="center" vertical="center" wrapText="1" readingOrder="1"/>
    </xf>
    <xf numFmtId="0" fontId="102" fillId="3" borderId="295" applyAlignment="1" pivotButton="0" quotePrefix="0" xfId="0">
      <alignment horizontal="center" vertical="center" wrapText="1" readingOrder="1"/>
    </xf>
    <xf numFmtId="0" fontId="102" fillId="3" borderId="296" applyAlignment="1" pivotButton="0" quotePrefix="0" xfId="0">
      <alignment horizontal="center" vertical="center" wrapText="1" readingOrder="1"/>
    </xf>
    <xf numFmtId="0" fontId="102" fillId="0" borderId="284" applyAlignment="1" pivotButton="0" quotePrefix="0" xfId="0">
      <alignment horizontal="left" vertical="center" wrapText="1" readingOrder="1"/>
    </xf>
    <xf numFmtId="0" fontId="102" fillId="0" borderId="306" applyAlignment="1" pivotButton="0" quotePrefix="0" xfId="0">
      <alignment horizontal="left" vertical="center" wrapText="1" readingOrder="1"/>
    </xf>
    <xf numFmtId="0" fontId="102" fillId="0" borderId="316" applyAlignment="1" pivotButton="0" quotePrefix="0" xfId="0">
      <alignment horizontal="left" vertical="center" wrapText="1" readingOrder="1"/>
    </xf>
    <xf numFmtId="0" fontId="102" fillId="0" borderId="324" applyAlignment="1" pivotButton="0" quotePrefix="0" xfId="0">
      <alignment horizontal="left" vertical="center" wrapText="1" readingOrder="1"/>
    </xf>
    <xf numFmtId="0" fontId="102" fillId="0" borderId="332" applyAlignment="1" pivotButton="0" quotePrefix="0" xfId="0">
      <alignment horizontal="left" vertical="center" wrapText="1" readingOrder="1"/>
    </xf>
    <xf numFmtId="0" fontId="102" fillId="0" borderId="333" applyAlignment="1" pivotButton="0" quotePrefix="0" xfId="0">
      <alignment horizontal="left" vertical="center" wrapText="1" readingOrder="1"/>
    </xf>
    <xf numFmtId="0" fontId="92" fillId="0" borderId="335" applyAlignment="1" pivotButton="0" quotePrefix="0" xfId="0">
      <alignment vertical="center" wrapText="1"/>
    </xf>
    <xf numFmtId="0" fontId="102" fillId="0" borderId="341" applyAlignment="1" pivotButton="0" quotePrefix="0" xfId="0">
      <alignment horizontal="left" vertical="center" wrapText="1" readingOrder="1"/>
    </xf>
    <xf numFmtId="0" fontId="102" fillId="0" borderId="342" applyAlignment="1" pivotButton="0" quotePrefix="0" xfId="0">
      <alignment horizontal="left" vertical="center" wrapText="1" readingOrder="1"/>
    </xf>
    <xf numFmtId="0" fontId="102" fillId="0" borderId="292" applyAlignment="1" pivotButton="0" quotePrefix="0" xfId="0">
      <alignment horizontal="left" vertical="center" wrapText="1" readingOrder="1"/>
    </xf>
    <xf numFmtId="0" fontId="92" fillId="0" borderId="325" applyAlignment="1" pivotButton="0" quotePrefix="0" xfId="0">
      <alignment vertical="center" wrapText="1"/>
    </xf>
    <xf numFmtId="0" fontId="92" fillId="0" borderId="346" applyAlignment="1" pivotButton="0" quotePrefix="0" xfId="0">
      <alignment vertical="center" wrapText="1"/>
    </xf>
    <xf numFmtId="0" fontId="102" fillId="0" borderId="334" applyAlignment="1" pivotButton="0" quotePrefix="0" xfId="0">
      <alignment horizontal="left" vertical="center" wrapText="1" readingOrder="1"/>
    </xf>
    <xf numFmtId="0" fontId="102" fillId="0" borderId="336" applyAlignment="1" pivotButton="0" quotePrefix="0" xfId="0">
      <alignment horizontal="left" vertical="center" wrapText="1" readingOrder="1"/>
    </xf>
    <xf numFmtId="0" fontId="92" fillId="0" borderId="341" applyAlignment="1" pivotButton="0" quotePrefix="0" xfId="0">
      <alignment vertical="center" wrapText="1"/>
    </xf>
    <xf numFmtId="0" fontId="92" fillId="0" borderId="348" applyAlignment="1" pivotButton="0" quotePrefix="0" xfId="0">
      <alignment vertical="center" wrapText="1"/>
    </xf>
    <xf numFmtId="0" fontId="102" fillId="0" borderId="351" applyAlignment="1" pivotButton="0" quotePrefix="0" xfId="0">
      <alignment horizontal="left" vertical="center" wrapText="1" readingOrder="1"/>
    </xf>
    <xf numFmtId="0" fontId="92" fillId="0" borderId="292" applyAlignment="1" pivotButton="0" quotePrefix="0" xfId="0">
      <alignment vertical="center" wrapText="1"/>
    </xf>
    <xf numFmtId="0" fontId="92" fillId="0" borderId="307" applyAlignment="1" pivotButton="0" quotePrefix="0" xfId="0">
      <alignment vertical="center" wrapText="1"/>
    </xf>
    <xf numFmtId="0" fontId="92" fillId="0" borderId="356" applyAlignment="1" pivotButton="0" quotePrefix="0" xfId="0">
      <alignment vertical="center" wrapText="1"/>
    </xf>
    <xf numFmtId="0" fontId="102" fillId="0" borderId="306" applyAlignment="1" pivotButton="0" quotePrefix="0" xfId="0">
      <alignment horizontal="right" vertical="center" wrapText="1" readingOrder="1"/>
    </xf>
    <xf numFmtId="0" fontId="102" fillId="0" borderId="307" applyAlignment="1" pivotButton="0" quotePrefix="0" xfId="0">
      <alignment horizontal="left" vertical="center" wrapText="1" readingOrder="1"/>
    </xf>
    <xf numFmtId="0" fontId="102" fillId="0" borderId="360" applyAlignment="1" pivotButton="0" quotePrefix="0" xfId="0">
      <alignment horizontal="right" vertical="center" wrapText="1" readingOrder="1"/>
    </xf>
    <xf numFmtId="0" fontId="92" fillId="0" borderId="365" applyAlignment="1" pivotButton="0" quotePrefix="0" xfId="0">
      <alignment vertical="center" wrapText="1"/>
    </xf>
    <xf numFmtId="0" fontId="92" fillId="42" borderId="287" applyAlignment="1" pivotButton="0" quotePrefix="0" xfId="0">
      <alignment vertical="center" wrapText="1"/>
    </xf>
    <xf numFmtId="165" fontId="104" fillId="0" borderId="294" applyAlignment="1" pivotButton="0" quotePrefix="0" xfId="60307">
      <alignment horizontal="right" vertical="center" wrapText="1" readingOrder="1"/>
    </xf>
    <xf numFmtId="165" fontId="105" fillId="0" borderId="303" applyAlignment="1" pivotButton="0" quotePrefix="0" xfId="60307">
      <alignment horizontal="right" vertical="center" wrapText="1" readingOrder="1"/>
    </xf>
    <xf numFmtId="165" fontId="105" fillId="0" borderId="132" applyAlignment="1" pivotButton="0" quotePrefix="0" xfId="60307">
      <alignment horizontal="right" vertical="center" wrapText="1" readingOrder="1"/>
    </xf>
    <xf numFmtId="165" fontId="105" fillId="0" borderId="321" applyAlignment="1" pivotButton="0" quotePrefix="0" xfId="60307">
      <alignment horizontal="right" vertical="center" wrapText="1" readingOrder="1"/>
    </xf>
    <xf numFmtId="165" fontId="105" fillId="0" borderId="329" applyAlignment="1" pivotButton="0" quotePrefix="0" xfId="60307">
      <alignment horizontal="right" vertical="center" wrapText="1" readingOrder="1"/>
    </xf>
    <xf numFmtId="165" fontId="105" fillId="0" borderId="122" applyAlignment="1" pivotButton="0" quotePrefix="0" xfId="60307">
      <alignment horizontal="right" vertical="center" wrapText="1" readingOrder="1"/>
    </xf>
    <xf numFmtId="165" fontId="105" fillId="0" borderId="129" applyAlignment="1" pivotButton="0" quotePrefix="0" xfId="60307">
      <alignment horizontal="right" vertical="center" wrapText="1" readingOrder="1"/>
    </xf>
    <xf numFmtId="165" fontId="105" fillId="0" borderId="362" applyAlignment="1" pivotButton="0" quotePrefix="0" xfId="60307">
      <alignment horizontal="right" vertical="center" wrapText="1" readingOrder="1"/>
    </xf>
    <xf numFmtId="165" fontId="104" fillId="42" borderId="321" applyAlignment="1" pivotButton="0" quotePrefix="0" xfId="60307">
      <alignment horizontal="right" vertical="center" wrapText="1" readingOrder="1"/>
    </xf>
    <xf numFmtId="165" fontId="0" fillId="0" borderId="0" pivotButton="0" quotePrefix="0" xfId="60307"/>
    <xf numFmtId="165" fontId="104" fillId="0" borderId="288" applyAlignment="1" pivotButton="0" quotePrefix="0" xfId="60307">
      <alignment horizontal="right" vertical="center" wrapText="1" readingOrder="1"/>
    </xf>
    <xf numFmtId="165" fontId="105" fillId="0" borderId="302" applyAlignment="1" pivotButton="0" quotePrefix="0" xfId="60307">
      <alignment horizontal="right" vertical="center" wrapText="1" readingOrder="1"/>
    </xf>
    <xf numFmtId="165" fontId="105" fillId="0" borderId="313" applyAlignment="1" pivotButton="0" quotePrefix="0" xfId="60307">
      <alignment horizontal="right" vertical="center" wrapText="1" readingOrder="1"/>
    </xf>
    <xf numFmtId="165" fontId="105" fillId="0" borderId="320" applyAlignment="1" pivotButton="0" quotePrefix="0" xfId="60307">
      <alignment horizontal="right" vertical="center" wrapText="1" readingOrder="1"/>
    </xf>
    <xf numFmtId="165" fontId="105" fillId="0" borderId="328" applyAlignment="1" pivotButton="0" quotePrefix="0" xfId="60307">
      <alignment horizontal="right" vertical="center" wrapText="1" readingOrder="1"/>
    </xf>
    <xf numFmtId="165" fontId="105" fillId="0" borderId="338" applyAlignment="1" pivotButton="0" quotePrefix="0" xfId="60307">
      <alignment horizontal="right" vertical="center" wrapText="1" readingOrder="1"/>
    </xf>
    <xf numFmtId="165" fontId="105" fillId="0" borderId="343" applyAlignment="1" pivotButton="0" quotePrefix="0" xfId="60307">
      <alignment horizontal="right" vertical="center" wrapText="1" readingOrder="1"/>
    </xf>
    <xf numFmtId="165" fontId="105" fillId="0" borderId="361" applyAlignment="1" pivotButton="0" quotePrefix="0" xfId="60307">
      <alignment horizontal="right" vertical="center" wrapText="1" readingOrder="1"/>
    </xf>
    <xf numFmtId="165" fontId="104" fillId="42" borderId="320" applyAlignment="1" pivotButton="0" quotePrefix="0" xfId="60307">
      <alignment horizontal="right" vertical="center" wrapText="1" readingOrder="1"/>
    </xf>
    <xf numFmtId="191" fontId="105" fillId="0" borderId="132" applyAlignment="1" pivotButton="0" quotePrefix="0" xfId="60307">
      <alignment horizontal="right" vertical="center" wrapText="1" readingOrder="1"/>
    </xf>
    <xf numFmtId="191" fontId="105" fillId="0" borderId="321" applyAlignment="1" pivotButton="0" quotePrefix="0" xfId="60307">
      <alignment horizontal="right" vertical="center" wrapText="1" readingOrder="1"/>
    </xf>
    <xf numFmtId="191" fontId="105" fillId="0" borderId="329" applyAlignment="1" pivotButton="0" quotePrefix="0" xfId="60307">
      <alignment horizontal="right" vertical="center" wrapText="1" readingOrder="1"/>
    </xf>
    <xf numFmtId="191" fontId="105" fillId="0" borderId="122" applyAlignment="1" pivotButton="0" quotePrefix="0" xfId="60307">
      <alignment horizontal="right" vertical="center" wrapText="1" readingOrder="1"/>
    </xf>
    <xf numFmtId="191" fontId="105" fillId="0" borderId="362" applyAlignment="1" pivotButton="0" quotePrefix="0" xfId="60307">
      <alignment horizontal="right" vertical="center" wrapText="1" readingOrder="1"/>
    </xf>
    <xf numFmtId="191" fontId="104" fillId="42" borderId="321" applyAlignment="1" pivotButton="0" quotePrefix="0" xfId="60307">
      <alignment horizontal="right" vertical="center" wrapText="1" readingOrder="1"/>
    </xf>
    <xf numFmtId="191" fontId="105" fillId="0" borderId="314" applyAlignment="1" pivotButton="0" quotePrefix="0" xfId="60307">
      <alignment horizontal="right" vertical="center" wrapText="1" readingOrder="1"/>
    </xf>
    <xf numFmtId="191" fontId="105" fillId="0" borderId="315" applyAlignment="1" pivotButton="0" quotePrefix="0" xfId="60307">
      <alignment horizontal="right" vertical="center" wrapText="1" readingOrder="1"/>
    </xf>
    <xf numFmtId="191" fontId="105" fillId="0" borderId="322" applyAlignment="1" pivotButton="0" quotePrefix="0" xfId="60307">
      <alignment horizontal="right" vertical="center" wrapText="1" readingOrder="1"/>
    </xf>
    <xf numFmtId="191" fontId="105" fillId="0" borderId="323" applyAlignment="1" pivotButton="0" quotePrefix="0" xfId="60307">
      <alignment horizontal="right" vertical="center" wrapText="1" readingOrder="1"/>
    </xf>
    <xf numFmtId="191" fontId="105" fillId="0" borderId="330" applyAlignment="1" pivotButton="0" quotePrefix="0" xfId="60307">
      <alignment horizontal="right" vertical="center" wrapText="1" readingOrder="1"/>
    </xf>
    <xf numFmtId="191" fontId="105" fillId="0" borderId="331" applyAlignment="1" pivotButton="0" quotePrefix="0" xfId="60307">
      <alignment horizontal="right" vertical="center" wrapText="1" readingOrder="1"/>
    </xf>
    <xf numFmtId="191" fontId="105" fillId="0" borderId="339" applyAlignment="1" pivotButton="0" quotePrefix="0" xfId="60307">
      <alignment horizontal="right" vertical="center" wrapText="1" readingOrder="1"/>
    </xf>
    <xf numFmtId="191" fontId="105" fillId="0" borderId="340" applyAlignment="1" pivotButton="0" quotePrefix="0" xfId="60307">
      <alignment horizontal="right" vertical="center" wrapText="1" readingOrder="1"/>
    </xf>
    <xf numFmtId="191" fontId="105" fillId="0" borderId="363" applyAlignment="1" pivotButton="0" quotePrefix="0" xfId="60307">
      <alignment horizontal="right" vertical="center" wrapText="1" readingOrder="1"/>
    </xf>
    <xf numFmtId="191" fontId="105" fillId="0" borderId="364" applyAlignment="1" pivotButton="0" quotePrefix="0" xfId="60307">
      <alignment horizontal="right" vertical="center" wrapText="1" readingOrder="1"/>
    </xf>
    <xf numFmtId="191" fontId="104" fillId="42" borderId="322" applyAlignment="1" pivotButton="0" quotePrefix="0" xfId="60307">
      <alignment horizontal="right" vertical="center" wrapText="1" readingOrder="1"/>
    </xf>
    <xf numFmtId="191" fontId="104" fillId="42" borderId="323" applyAlignment="1" pivotButton="0" quotePrefix="0" xfId="60307">
      <alignment horizontal="right" vertical="center" wrapText="1" readingOrder="1"/>
    </xf>
    <xf numFmtId="192" fontId="105" fillId="0" borderId="302" applyAlignment="1" pivotButton="0" quotePrefix="0" xfId="60307">
      <alignment horizontal="right" vertical="center" wrapText="1" readingOrder="1"/>
    </xf>
    <xf numFmtId="192" fontId="105" fillId="0" borderId="303" applyAlignment="1" pivotButton="0" quotePrefix="0" xfId="60307">
      <alignment horizontal="right" vertical="center" wrapText="1" readingOrder="1"/>
    </xf>
    <xf numFmtId="192" fontId="105" fillId="0" borderId="304" applyAlignment="1" pivotButton="0" quotePrefix="0" xfId="60307">
      <alignment horizontal="right" vertical="center" wrapText="1" readingOrder="1"/>
    </xf>
    <xf numFmtId="192" fontId="105" fillId="0" borderId="305" applyAlignment="1" pivotButton="0" quotePrefix="0" xfId="60307">
      <alignment horizontal="right" vertical="center" wrapText="1" readingOrder="1"/>
    </xf>
    <xf numFmtId="192" fontId="105" fillId="0" borderId="357" applyAlignment="1" pivotButton="0" quotePrefix="0" xfId="60307">
      <alignment horizontal="right" vertical="center" wrapText="1" readingOrder="1"/>
    </xf>
    <xf numFmtId="192" fontId="105" fillId="0" borderId="358" applyAlignment="1" pivotButton="0" quotePrefix="0" xfId="60307">
      <alignment horizontal="right" vertical="center" wrapText="1" readingOrder="1"/>
    </xf>
    <xf numFmtId="192" fontId="105" fillId="0" borderId="359" applyAlignment="1" pivotButton="0" quotePrefix="0" xfId="60307">
      <alignment horizontal="right" vertical="center" wrapText="1" readingOrder="1"/>
    </xf>
    <xf numFmtId="192" fontId="105" fillId="0" borderId="295" applyAlignment="1" pivotButton="0" quotePrefix="0" xfId="60307">
      <alignment horizontal="right" vertical="center" wrapText="1" readingOrder="1"/>
    </xf>
    <xf numFmtId="193" fontId="105" fillId="0" borderId="132" applyAlignment="1" pivotButton="0" quotePrefix="0" xfId="60307">
      <alignment horizontal="right" vertical="center" wrapText="1" readingOrder="1"/>
    </xf>
    <xf numFmtId="193" fontId="105" fillId="0" borderId="314" applyAlignment="1" pivotButton="0" quotePrefix="0" xfId="60307">
      <alignment horizontal="right" vertical="center" wrapText="1" readingOrder="1"/>
    </xf>
    <xf numFmtId="193" fontId="105" fillId="0" borderId="315" applyAlignment="1" pivotButton="0" quotePrefix="0" xfId="60307">
      <alignment horizontal="right" vertical="center" wrapText="1" readingOrder="1"/>
    </xf>
    <xf numFmtId="193" fontId="105" fillId="0" borderId="122" applyAlignment="1" pivotButton="0" quotePrefix="0" xfId="60307">
      <alignment horizontal="right" vertical="center" wrapText="1" readingOrder="1"/>
    </xf>
    <xf numFmtId="193" fontId="105" fillId="0" borderId="339" applyAlignment="1" pivotButton="0" quotePrefix="0" xfId="60307">
      <alignment horizontal="right" vertical="center" wrapText="1" readingOrder="1"/>
    </xf>
    <xf numFmtId="193" fontId="105" fillId="0" borderId="340" applyAlignment="1" pivotButton="0" quotePrefix="0" xfId="60307">
      <alignment horizontal="right" vertical="center" wrapText="1" readingOrder="1"/>
    </xf>
    <xf numFmtId="193" fontId="105" fillId="0" borderId="129" applyAlignment="1" pivotButton="0" quotePrefix="0" xfId="60307">
      <alignment horizontal="right" vertical="center" wrapText="1" readingOrder="1"/>
    </xf>
    <xf numFmtId="193" fontId="105" fillId="0" borderId="344" applyAlignment="1" pivotButton="0" quotePrefix="0" xfId="60307">
      <alignment horizontal="right" vertical="center" wrapText="1" readingOrder="1"/>
    </xf>
    <xf numFmtId="193" fontId="105" fillId="0" borderId="345" applyAlignment="1" pivotButton="0" quotePrefix="0" xfId="60307">
      <alignment horizontal="right" vertical="center" wrapText="1" readingOrder="1"/>
    </xf>
    <xf numFmtId="194" fontId="9" fillId="0" borderId="1" applyAlignment="1" pivotButton="0" quotePrefix="0" xfId="2">
      <alignment horizontal="right" vertical="center" readingOrder="1"/>
    </xf>
    <xf numFmtId="194" fontId="9" fillId="0" borderId="5" applyAlignment="1" pivotButton="0" quotePrefix="0" xfId="2">
      <alignment horizontal="right" vertical="center" readingOrder="1"/>
    </xf>
    <xf numFmtId="194" fontId="9" fillId="0" borderId="50" applyAlignment="1" pivotButton="0" quotePrefix="0" xfId="2">
      <alignment horizontal="right" vertical="center" readingOrder="1"/>
    </xf>
    <xf numFmtId="194" fontId="9" fillId="0" borderId="8" applyAlignment="1" pivotButton="0" quotePrefix="0" xfId="2">
      <alignment horizontal="right" vertical="center" readingOrder="1"/>
    </xf>
    <xf numFmtId="194" fontId="9" fillId="0" borderId="2" applyAlignment="1" pivotButton="0" quotePrefix="0" xfId="2">
      <alignment horizontal="right" vertical="center" readingOrder="1"/>
    </xf>
    <xf numFmtId="194" fontId="9" fillId="0" borderId="23" applyAlignment="1" pivotButton="0" quotePrefix="0" xfId="2">
      <alignment horizontal="right" vertical="center" readingOrder="1"/>
    </xf>
    <xf numFmtId="194" fontId="9" fillId="0" borderId="75" applyAlignment="1" pivotButton="0" quotePrefix="0" xfId="2">
      <alignment horizontal="right" vertical="center" readingOrder="1"/>
    </xf>
    <xf numFmtId="194" fontId="9" fillId="0" borderId="81" applyAlignment="1" pivotButton="0" quotePrefix="0" xfId="2">
      <alignment horizontal="right" vertical="center" readingOrder="1"/>
    </xf>
    <xf numFmtId="194" fontId="9" fillId="0" borderId="22" applyAlignment="1" pivotButton="0" quotePrefix="0" xfId="2">
      <alignment horizontal="right" vertical="center" readingOrder="1"/>
    </xf>
    <xf numFmtId="194" fontId="6" fillId="0" borderId="21" applyAlignment="1" pivotButton="0" quotePrefix="0" xfId="2">
      <alignment horizontal="right" vertical="center" readingOrder="1"/>
    </xf>
    <xf numFmtId="194" fontId="9" fillId="0" borderId="31" applyAlignment="1" pivotButton="0" quotePrefix="0" xfId="2">
      <alignment horizontal="right" vertical="center" readingOrder="1"/>
    </xf>
    <xf numFmtId="194" fontId="9" fillId="0" borderId="76" applyAlignment="1" pivotButton="0" quotePrefix="0" xfId="2">
      <alignment horizontal="right" vertical="center" readingOrder="1"/>
    </xf>
    <xf numFmtId="194" fontId="9" fillId="0" borderId="82" applyAlignment="1" pivotButton="0" quotePrefix="0" xfId="2">
      <alignment horizontal="right" vertical="center" readingOrder="1"/>
    </xf>
    <xf numFmtId="194" fontId="9" fillId="0" borderId="33" applyAlignment="1" pivotButton="0" quotePrefix="0" xfId="2">
      <alignment horizontal="right" vertical="center" readingOrder="1"/>
    </xf>
    <xf numFmtId="194" fontId="6" fillId="0" borderId="69" applyAlignment="1" pivotButton="0" quotePrefix="0" xfId="2">
      <alignment horizontal="right" vertical="center" readingOrder="1"/>
    </xf>
    <xf numFmtId="194" fontId="9" fillId="0" borderId="15" applyAlignment="1" pivotButton="0" quotePrefix="0" xfId="2">
      <alignment horizontal="right" vertical="center" readingOrder="1"/>
    </xf>
    <xf numFmtId="194" fontId="9" fillId="0" borderId="41" applyAlignment="1" pivotButton="0" quotePrefix="0" xfId="2">
      <alignment horizontal="right" vertical="center" readingOrder="1"/>
    </xf>
    <xf numFmtId="194" fontId="9" fillId="0" borderId="83" applyAlignment="1" pivotButton="0" quotePrefix="0" xfId="2">
      <alignment horizontal="right" vertical="center" readingOrder="1"/>
    </xf>
    <xf numFmtId="194" fontId="9" fillId="0" borderId="17" applyAlignment="1" pivotButton="0" quotePrefix="0" xfId="2">
      <alignment horizontal="right" vertical="center" readingOrder="1"/>
    </xf>
    <xf numFmtId="194" fontId="6" fillId="0" borderId="16" applyAlignment="1" pivotButton="0" quotePrefix="0" xfId="2">
      <alignment horizontal="right" vertical="center" readingOrder="1"/>
    </xf>
    <xf numFmtId="194" fontId="9" fillId="0" borderId="26" applyAlignment="1" pivotButton="0" quotePrefix="0" xfId="2">
      <alignment horizontal="right" vertical="center" readingOrder="1"/>
    </xf>
    <xf numFmtId="194" fontId="9" fillId="0" borderId="40" applyAlignment="1" pivotButton="0" quotePrefix="0" xfId="2">
      <alignment vertical="center" readingOrder="1"/>
    </xf>
    <xf numFmtId="194" fontId="9" fillId="0" borderId="84" applyAlignment="1" pivotButton="0" quotePrefix="0" xfId="2">
      <alignment horizontal="right" vertical="center" readingOrder="1"/>
    </xf>
    <xf numFmtId="194" fontId="9" fillId="0" borderId="30" applyAlignment="1" pivotButton="0" quotePrefix="0" xfId="2">
      <alignment horizontal="right" vertical="center" readingOrder="1"/>
    </xf>
    <xf numFmtId="194" fontId="6" fillId="0" borderId="29" applyAlignment="1" pivotButton="0" quotePrefix="0" xfId="2">
      <alignment horizontal="right" vertical="center" readingOrder="1"/>
    </xf>
    <xf numFmtId="194" fontId="9" fillId="0" borderId="40" applyAlignment="1" pivotButton="0" quotePrefix="0" xfId="2">
      <alignment horizontal="right" vertical="center" readingOrder="1"/>
    </xf>
    <xf numFmtId="194" fontId="6" fillId="0" borderId="30" applyAlignment="1" pivotButton="0" quotePrefix="0" xfId="2">
      <alignment horizontal="right" vertical="center" readingOrder="1"/>
    </xf>
    <xf numFmtId="194" fontId="9" fillId="0" borderId="39" applyAlignment="1" pivotButton="0" quotePrefix="0" xfId="2">
      <alignment horizontal="right" vertical="center" readingOrder="1"/>
    </xf>
    <xf numFmtId="194" fontId="9" fillId="0" borderId="71" applyAlignment="1" pivotButton="0" quotePrefix="0" xfId="2">
      <alignment horizontal="right" vertical="center" readingOrder="1"/>
    </xf>
    <xf numFmtId="194" fontId="9" fillId="0" borderId="72" applyAlignment="1" pivotButton="0" quotePrefix="0" xfId="2">
      <alignment horizontal="right" vertical="center" readingOrder="1"/>
    </xf>
    <xf numFmtId="194" fontId="6" fillId="0" borderId="32" applyAlignment="1" pivotButton="0" quotePrefix="0" xfId="2">
      <alignment horizontal="right" vertical="center" readingOrder="1"/>
    </xf>
    <xf numFmtId="194" fontId="9" fillId="0" borderId="31" applyAlignment="1" pivotButton="0" quotePrefix="0" xfId="2">
      <alignment vertical="center" readingOrder="1"/>
    </xf>
    <xf numFmtId="194" fontId="9" fillId="0" borderId="76" applyAlignment="1" pivotButton="0" quotePrefix="0" xfId="2">
      <alignment vertical="center" readingOrder="1"/>
    </xf>
    <xf numFmtId="194" fontId="9" fillId="0" borderId="82" applyAlignment="1" pivotButton="0" quotePrefix="0" xfId="2">
      <alignment vertical="center" readingOrder="1"/>
    </xf>
    <xf numFmtId="194" fontId="9" fillId="0" borderId="15" applyAlignment="1" pivotButton="0" quotePrefix="0" xfId="2">
      <alignment vertical="center" readingOrder="1"/>
    </xf>
    <xf numFmtId="194" fontId="9" fillId="0" borderId="19" applyAlignment="1" pivotButton="0" quotePrefix="0" xfId="2">
      <alignment horizontal="right" vertical="center" readingOrder="1"/>
    </xf>
    <xf numFmtId="194" fontId="9" fillId="0" borderId="83" applyAlignment="1" pivotButton="0" quotePrefix="0" xfId="2">
      <alignment vertical="center" readingOrder="1"/>
    </xf>
    <xf numFmtId="194" fontId="9" fillId="0" borderId="26" applyAlignment="1" pivotButton="0" quotePrefix="0" xfId="2">
      <alignment vertical="center" readingOrder="1"/>
    </xf>
    <xf numFmtId="194" fontId="9" fillId="0" borderId="27" applyAlignment="1" pivotButton="0" quotePrefix="0" xfId="2">
      <alignment horizontal="right" vertical="center" readingOrder="1"/>
    </xf>
    <xf numFmtId="194" fontId="9" fillId="0" borderId="84" applyAlignment="1" pivotButton="0" quotePrefix="0" xfId="2">
      <alignment vertical="center" readingOrder="1"/>
    </xf>
    <xf numFmtId="194" fontId="9" fillId="0" borderId="34" applyAlignment="1" pivotButton="0" quotePrefix="0" xfId="2">
      <alignment vertical="center" readingOrder="1"/>
    </xf>
    <xf numFmtId="194" fontId="9" fillId="0" borderId="37" applyAlignment="1" pivotButton="0" quotePrefix="0" xfId="2">
      <alignment horizontal="right" vertical="center" readingOrder="1"/>
    </xf>
    <xf numFmtId="194" fontId="9" fillId="0" borderId="34" applyAlignment="1" pivotButton="0" quotePrefix="0" xfId="2">
      <alignment horizontal="right" vertical="center" readingOrder="1"/>
    </xf>
    <xf numFmtId="194" fontId="9" fillId="0" borderId="46" applyAlignment="1" pivotButton="0" quotePrefix="0" xfId="2">
      <alignment vertical="center" readingOrder="1"/>
    </xf>
    <xf numFmtId="194" fontId="9" fillId="0" borderId="36" applyAlignment="1" pivotButton="0" quotePrefix="0" xfId="2">
      <alignment horizontal="right" vertical="center" readingOrder="1"/>
    </xf>
    <xf numFmtId="194" fontId="6" fillId="0" borderId="35" applyAlignment="1" pivotButton="0" quotePrefix="0" xfId="2">
      <alignment horizontal="right" vertical="center" readingOrder="1"/>
    </xf>
    <xf numFmtId="194" fontId="9" fillId="0" borderId="78" applyAlignment="1" pivotButton="0" quotePrefix="0" xfId="2">
      <alignment horizontal="right" vertical="center" readingOrder="1"/>
    </xf>
    <xf numFmtId="194" fontId="9" fillId="0" borderId="77" applyAlignment="1" pivotButton="0" quotePrefix="0" xfId="2">
      <alignment vertical="center" readingOrder="1"/>
    </xf>
    <xf numFmtId="194" fontId="9" fillId="0" borderId="66" applyAlignment="1" pivotButton="0" quotePrefix="0" xfId="2">
      <alignment horizontal="right" vertical="center" readingOrder="1"/>
    </xf>
    <xf numFmtId="194" fontId="9" fillId="0" borderId="46" applyAlignment="1" pivotButton="0" quotePrefix="0" xfId="2">
      <alignment horizontal="right" vertical="center" readingOrder="1"/>
    </xf>
    <xf numFmtId="194" fontId="9" fillId="0" borderId="17" applyAlignment="1" pivotButton="0" quotePrefix="0" xfId="2">
      <alignment vertical="center" readingOrder="1"/>
    </xf>
    <xf numFmtId="194" fontId="6" fillId="0" borderId="16" applyAlignment="1" pivotButton="0" quotePrefix="0" xfId="2">
      <alignment vertical="center" readingOrder="1"/>
    </xf>
    <xf numFmtId="194" fontId="9" fillId="0" borderId="21" applyAlignment="1" pivotButton="0" quotePrefix="0" xfId="2">
      <alignment horizontal="right" vertical="center" readingOrder="1"/>
    </xf>
    <xf numFmtId="194" fontId="9" fillId="0" borderId="10" applyAlignment="1" pivotButton="0" quotePrefix="0" xfId="2">
      <alignment horizontal="right" vertical="center" readingOrder="1"/>
    </xf>
    <xf numFmtId="194" fontId="9" fillId="0" borderId="79" applyAlignment="1" pivotButton="0" quotePrefix="0" xfId="2">
      <alignment horizontal="right" vertical="center" readingOrder="1"/>
    </xf>
    <xf numFmtId="194" fontId="9" fillId="0" borderId="85" applyAlignment="1" pivotButton="0" quotePrefix="0" xfId="2">
      <alignment horizontal="right" vertical="center" readingOrder="1"/>
    </xf>
    <xf numFmtId="194" fontId="9" fillId="2" borderId="80" applyAlignment="1" pivotButton="0" quotePrefix="0" xfId="2">
      <alignment horizontal="right" vertical="center" readingOrder="1"/>
    </xf>
    <xf numFmtId="194" fontId="9" fillId="0" borderId="12" applyAlignment="1" pivotButton="0" quotePrefix="0" xfId="2">
      <alignment horizontal="right" vertical="center" readingOrder="1"/>
    </xf>
    <xf numFmtId="194" fontId="9" fillId="0" borderId="11" applyAlignment="1" pivotButton="0" quotePrefix="0" xfId="2">
      <alignment horizontal="right" vertical="center" readingOrder="1"/>
    </xf>
    <xf numFmtId="194" fontId="9" fillId="0" borderId="73" applyAlignment="1" pivotButton="0" quotePrefix="0" xfId="2">
      <alignment horizontal="right" vertical="center" readingOrder="1"/>
    </xf>
    <xf numFmtId="194" fontId="9" fillId="0" borderId="16" applyAlignment="1" pivotButton="0" quotePrefix="0" xfId="2">
      <alignment horizontal="right" vertical="center" readingOrder="1"/>
    </xf>
    <xf numFmtId="194" fontId="9" fillId="0" borderId="74" applyAlignment="1" pivotButton="0" quotePrefix="0" xfId="2">
      <alignment horizontal="right" vertical="center" readingOrder="1"/>
    </xf>
    <xf numFmtId="194" fontId="9" fillId="0" borderId="80" applyAlignment="1" pivotButton="0" quotePrefix="0" xfId="2">
      <alignment horizontal="right" vertical="center" readingOrder="1"/>
    </xf>
    <xf numFmtId="194" fontId="9" fillId="0" borderId="1" applyAlignment="1" pivotButton="0" quotePrefix="0" xfId="60307">
      <alignment horizontal="right" vertical="center" readingOrder="1"/>
    </xf>
    <xf numFmtId="194" fontId="9" fillId="0" borderId="86" applyAlignment="1" pivotButton="0" quotePrefix="0" xfId="2">
      <alignment horizontal="right" vertical="center" readingOrder="1"/>
    </xf>
    <xf numFmtId="194" fontId="10" fillId="0" borderId="4" applyAlignment="1" pivotButton="0" quotePrefix="0" xfId="2">
      <alignment horizontal="right" vertical="center" readingOrder="1"/>
    </xf>
    <xf numFmtId="194" fontId="9" fillId="0" borderId="3" applyAlignment="1" pivotButton="0" quotePrefix="0" xfId="2">
      <alignment horizontal="right" vertical="center" readingOrder="1"/>
    </xf>
    <xf numFmtId="195" fontId="104" fillId="0" borderId="294" applyAlignment="1" pivotButton="0" quotePrefix="0" xfId="60307">
      <alignment horizontal="right" vertical="center" wrapText="1" readingOrder="1"/>
    </xf>
    <xf numFmtId="195" fontId="104" fillId="0" borderId="290" applyAlignment="1" pivotButton="0" quotePrefix="0" xfId="60307">
      <alignment horizontal="right" vertical="center" wrapText="1" readingOrder="1"/>
    </xf>
    <xf numFmtId="195" fontId="104" fillId="0" borderId="298" applyAlignment="1" pivotButton="0" quotePrefix="0" xfId="60307">
      <alignment horizontal="right" vertical="center" wrapText="1" readingOrder="1"/>
    </xf>
    <xf numFmtId="195" fontId="105" fillId="0" borderId="303" applyAlignment="1" pivotButton="0" quotePrefix="0" xfId="60307">
      <alignment horizontal="right" vertical="center" wrapText="1" readingOrder="1"/>
    </xf>
    <xf numFmtId="195" fontId="105" fillId="0" borderId="304" applyAlignment="1" pivotButton="0" quotePrefix="0" xfId="60307">
      <alignment horizontal="right" vertical="center" wrapText="1" readingOrder="1"/>
    </xf>
    <xf numFmtId="195" fontId="105" fillId="0" borderId="305" applyAlignment="1" pivotButton="0" quotePrefix="0" xfId="60307">
      <alignment horizontal="right" vertical="center" wrapText="1" readingOrder="1"/>
    </xf>
    <xf numFmtId="195" fontId="105" fillId="0" borderId="132" applyAlignment="1" pivotButton="0" quotePrefix="0" xfId="60307">
      <alignment horizontal="right" vertical="center" wrapText="1" readingOrder="1"/>
    </xf>
    <xf numFmtId="195" fontId="105" fillId="0" borderId="314" applyAlignment="1" pivotButton="0" quotePrefix="0" xfId="60307">
      <alignment horizontal="right" vertical="center" wrapText="1" readingOrder="1"/>
    </xf>
    <xf numFmtId="195" fontId="105" fillId="0" borderId="315" applyAlignment="1" pivotButton="0" quotePrefix="0" xfId="60307">
      <alignment horizontal="right" vertical="center" wrapText="1" readingOrder="1"/>
    </xf>
    <xf numFmtId="195" fontId="105" fillId="0" borderId="321" applyAlignment="1" pivotButton="0" quotePrefix="0" xfId="60307">
      <alignment horizontal="right" vertical="center" wrapText="1" readingOrder="1"/>
    </xf>
    <xf numFmtId="195" fontId="105" fillId="0" borderId="322" applyAlignment="1" pivotButton="0" quotePrefix="0" xfId="60307">
      <alignment horizontal="right" vertical="center" wrapText="1" readingOrder="1"/>
    </xf>
    <xf numFmtId="195" fontId="105" fillId="0" borderId="323" applyAlignment="1" pivotButton="0" quotePrefix="0" xfId="60307">
      <alignment horizontal="right" vertical="center" wrapText="1" readingOrder="1"/>
    </xf>
    <xf numFmtId="195" fontId="105" fillId="0" borderId="329" applyAlignment="1" pivotButton="0" quotePrefix="0" xfId="60307">
      <alignment horizontal="right" vertical="center" wrapText="1" readingOrder="1"/>
    </xf>
    <xf numFmtId="195" fontId="105" fillId="0" borderId="330" applyAlignment="1" pivotButton="0" quotePrefix="0" xfId="60307">
      <alignment horizontal="right" vertical="center" wrapText="1" readingOrder="1"/>
    </xf>
    <xf numFmtId="195" fontId="105" fillId="0" borderId="331" applyAlignment="1" pivotButton="0" quotePrefix="0" xfId="60307">
      <alignment horizontal="right" vertical="center" wrapText="1" readingOrder="1"/>
    </xf>
    <xf numFmtId="195" fontId="105" fillId="0" borderId="122" applyAlignment="1" pivotButton="0" quotePrefix="0" xfId="60307">
      <alignment horizontal="right" vertical="center" wrapText="1" readingOrder="1"/>
    </xf>
    <xf numFmtId="195" fontId="105" fillId="0" borderId="339" applyAlignment="1" pivotButton="0" quotePrefix="0" xfId="60307">
      <alignment horizontal="right" vertical="center" wrapText="1" readingOrder="1"/>
    </xf>
    <xf numFmtId="195" fontId="105" fillId="0" borderId="340" applyAlignment="1" pivotButton="0" quotePrefix="0" xfId="60307">
      <alignment horizontal="right" vertical="center" wrapText="1" readingOrder="1"/>
    </xf>
    <xf numFmtId="195" fontId="105" fillId="0" borderId="129" applyAlignment="1" pivotButton="0" quotePrefix="0" xfId="60307">
      <alignment horizontal="right" vertical="center" wrapText="1" readingOrder="1"/>
    </xf>
    <xf numFmtId="195" fontId="105" fillId="0" borderId="344" applyAlignment="1" pivotButton="0" quotePrefix="0" xfId="60307">
      <alignment horizontal="right" vertical="center" wrapText="1" readingOrder="1"/>
    </xf>
    <xf numFmtId="195" fontId="105" fillId="0" borderId="345" applyAlignment="1" pivotButton="0" quotePrefix="0" xfId="60307">
      <alignment horizontal="right" vertical="center" wrapText="1" readingOrder="1"/>
    </xf>
    <xf numFmtId="168" fontId="91" fillId="39" borderId="1" applyAlignment="1" pivotButton="0" quotePrefix="0" xfId="60307">
      <alignment horizontal="right" vertical="center" readingOrder="1"/>
    </xf>
    <xf numFmtId="168" fontId="91" fillId="39" borderId="169" applyAlignment="1" pivotButton="0" quotePrefix="0" xfId="60307">
      <alignment horizontal="right" vertical="center" readingOrder="1"/>
    </xf>
    <xf numFmtId="168" fontId="91" fillId="39" borderId="126" applyAlignment="1" pivotButton="0" quotePrefix="0" xfId="60307">
      <alignment horizontal="right" vertical="center" readingOrder="1"/>
    </xf>
    <xf numFmtId="168" fontId="91" fillId="5" borderId="170" applyAlignment="1" pivotButton="0" quotePrefix="0" xfId="60307">
      <alignment horizontal="right" vertical="center" readingOrder="1"/>
    </xf>
    <xf numFmtId="168" fontId="91" fillId="5" borderId="134" applyAlignment="1" pivotButton="0" quotePrefix="0" xfId="60307">
      <alignment horizontal="right" vertical="center" readingOrder="1"/>
    </xf>
    <xf numFmtId="168" fontId="91" fillId="5" borderId="162" applyAlignment="1" pivotButton="0" quotePrefix="0" xfId="60307">
      <alignment horizontal="right" vertical="center" readingOrder="1"/>
    </xf>
    <xf numFmtId="168" fontId="91" fillId="40" borderId="172" applyAlignment="1" pivotButton="0" quotePrefix="0" xfId="60307">
      <alignment horizontal="right" vertical="center" readingOrder="1"/>
    </xf>
    <xf numFmtId="196" fontId="24" fillId="0" borderId="0" applyAlignment="1" pivotButton="0" quotePrefix="0" xfId="1">
      <alignment vertical="center"/>
    </xf>
    <xf numFmtId="197" fontId="24" fillId="0" borderId="0" applyAlignment="1" pivotButton="0" quotePrefix="0" xfId="1">
      <alignment vertical="center"/>
    </xf>
    <xf numFmtId="198" fontId="30" fillId="46" borderId="13" applyAlignment="1" pivotButton="0" quotePrefix="0" xfId="60307">
      <alignment horizontal="right" vertical="center" readingOrder="1"/>
    </xf>
    <xf numFmtId="198" fontId="30" fillId="46" borderId="11" applyAlignment="1" pivotButton="0" quotePrefix="0" xfId="60307">
      <alignment horizontal="right" vertical="center" readingOrder="1"/>
    </xf>
    <xf numFmtId="198" fontId="30" fillId="46" borderId="199" applyAlignment="1" pivotButton="0" quotePrefix="0" xfId="60307">
      <alignment horizontal="right" vertical="center" readingOrder="1"/>
    </xf>
    <xf numFmtId="198" fontId="24" fillId="0" borderId="18" applyAlignment="1" pivotButton="0" quotePrefix="0" xfId="60307">
      <alignment horizontal="right" vertical="center" readingOrder="1"/>
    </xf>
    <xf numFmtId="198" fontId="24" fillId="0" borderId="16" applyAlignment="1" pivotButton="0" quotePrefix="0" xfId="60307">
      <alignment horizontal="right" vertical="center" readingOrder="1"/>
    </xf>
    <xf numFmtId="198" fontId="24" fillId="0" borderId="203" applyAlignment="1" pivotButton="0" quotePrefix="0" xfId="60307">
      <alignment horizontal="right" vertical="center" readingOrder="1"/>
    </xf>
    <xf numFmtId="198" fontId="24" fillId="5" borderId="205" applyAlignment="1" pivotButton="0" quotePrefix="0" xfId="60307">
      <alignment horizontal="right" vertical="center" readingOrder="1"/>
    </xf>
    <xf numFmtId="198" fontId="24" fillId="5" borderId="206" applyAlignment="1" pivotButton="0" quotePrefix="0" xfId="60307">
      <alignment horizontal="right" vertical="center" readingOrder="1"/>
    </xf>
    <xf numFmtId="198" fontId="24" fillId="5" borderId="210" applyAlignment="1" pivotButton="0" quotePrefix="0" xfId="60307">
      <alignment horizontal="right" vertical="center" readingOrder="1"/>
    </xf>
    <xf numFmtId="198" fontId="24" fillId="0" borderId="0" applyAlignment="1" pivotButton="0" quotePrefix="0" xfId="60307">
      <alignment horizontal="right" vertical="center" readingOrder="1"/>
    </xf>
    <xf numFmtId="198" fontId="24" fillId="0" borderId="29" applyAlignment="1" pivotButton="0" quotePrefix="0" xfId="60307">
      <alignment horizontal="right" vertical="center" readingOrder="1"/>
    </xf>
    <xf numFmtId="198" fontId="24" fillId="0" borderId="214" applyAlignment="1" pivotButton="0" quotePrefix="0" xfId="60307">
      <alignment horizontal="right" vertical="center" readingOrder="1"/>
    </xf>
    <xf numFmtId="198" fontId="24" fillId="0" borderId="205" applyAlignment="1" pivotButton="0" quotePrefix="0" xfId="60307">
      <alignment horizontal="right" vertical="center" readingOrder="1"/>
    </xf>
    <xf numFmtId="198" fontId="24" fillId="0" borderId="206" applyAlignment="1" pivotButton="0" quotePrefix="0" xfId="60307">
      <alignment horizontal="right" vertical="center" readingOrder="1"/>
    </xf>
    <xf numFmtId="198" fontId="24" fillId="0" borderId="210" applyAlignment="1" pivotButton="0" quotePrefix="0" xfId="60307">
      <alignment horizontal="right" vertical="center" readingOrder="1"/>
    </xf>
    <xf numFmtId="198" fontId="24" fillId="0" borderId="25" applyAlignment="1" pivotButton="0" quotePrefix="0" xfId="60307">
      <alignment horizontal="right" vertical="center" readingOrder="1"/>
    </xf>
    <xf numFmtId="198" fontId="24" fillId="0" borderId="24" applyAlignment="1" pivotButton="0" quotePrefix="0" xfId="60307">
      <alignment horizontal="right" vertical="center" readingOrder="1"/>
    </xf>
    <xf numFmtId="198" fontId="24" fillId="0" borderId="219" applyAlignment="1" pivotButton="0" quotePrefix="0" xfId="60307">
      <alignment horizontal="right" vertical="center" readingOrder="1"/>
    </xf>
    <xf numFmtId="198" fontId="24" fillId="0" borderId="221" applyAlignment="1" pivotButton="0" quotePrefix="0" xfId="60307">
      <alignment horizontal="right" vertical="center" readingOrder="1"/>
    </xf>
    <xf numFmtId="198" fontId="24" fillId="0" borderId="272" applyAlignment="1" pivotButton="0" quotePrefix="0" xfId="60307">
      <alignment horizontal="right" vertical="center" readingOrder="1"/>
    </xf>
    <xf numFmtId="198" fontId="24" fillId="0" borderId="225" applyAlignment="1" pivotButton="0" quotePrefix="0" xfId="60307">
      <alignment horizontal="right" vertical="center" readingOrder="1"/>
    </xf>
    <xf numFmtId="199" fontId="6" fillId="0" borderId="0" applyAlignment="1" pivotButton="0" quotePrefix="0" xfId="1">
      <alignment vertical="center"/>
    </xf>
    <xf numFmtId="200" fontId="24" fillId="0" borderId="0" applyAlignment="1" pivotButton="0" quotePrefix="0" xfId="1">
      <alignment vertical="center"/>
    </xf>
    <xf numFmtId="165" fontId="28" fillId="46" borderId="74" applyAlignment="1" pivotButton="0" quotePrefix="0" xfId="60307">
      <alignment horizontal="left" vertical="center" readingOrder="1"/>
    </xf>
    <xf numFmtId="165" fontId="25" fillId="0" borderId="100" applyAlignment="1" pivotButton="0" quotePrefix="0" xfId="60307">
      <alignment horizontal="left" vertical="center" readingOrder="1"/>
    </xf>
    <xf numFmtId="165" fontId="25" fillId="5" borderId="209" applyAlignment="1" pivotButton="0" quotePrefix="0" xfId="60307">
      <alignment horizontal="left" vertical="center" readingOrder="1"/>
    </xf>
    <xf numFmtId="165" fontId="25" fillId="0" borderId="209" applyAlignment="1" pivotButton="0" quotePrefix="0" xfId="60307">
      <alignment horizontal="left" vertical="center" readingOrder="1"/>
    </xf>
    <xf numFmtId="165" fontId="25" fillId="0" borderId="74" applyAlignment="1" pivotButton="0" quotePrefix="0" xfId="60307">
      <alignment horizontal="left" vertical="center" readingOrder="1"/>
    </xf>
    <xf numFmtId="165" fontId="25" fillId="0" borderId="218" applyAlignment="1" pivotButton="0" quotePrefix="0" xfId="60307">
      <alignment horizontal="left" vertical="center" readingOrder="1"/>
    </xf>
    <xf numFmtId="165" fontId="25" fillId="0" borderId="224" applyAlignment="1" pivotButton="0" quotePrefix="0" xfId="60307">
      <alignment horizontal="left" vertical="center" readingOrder="1"/>
    </xf>
    <xf numFmtId="165" fontId="91" fillId="0" borderId="100" applyAlignment="1" pivotButton="0" quotePrefix="0" xfId="60307">
      <alignment vertical="center" readingOrder="1"/>
    </xf>
    <xf numFmtId="165" fontId="28" fillId="0" borderId="209" applyAlignment="1" pivotButton="0" quotePrefix="0" xfId="60307">
      <alignment horizontal="left" vertical="center" readingOrder="1"/>
    </xf>
    <xf numFmtId="165" fontId="28" fillId="0" borderId="100" applyAlignment="1" pivotButton="0" quotePrefix="0" xfId="60307">
      <alignment horizontal="left" vertical="center" readingOrder="1"/>
    </xf>
    <xf numFmtId="165" fontId="28" fillId="39" borderId="94" applyAlignment="1" pivotButton="0" quotePrefix="0" xfId="60307">
      <alignment horizontal="left" vertical="center" readingOrder="1"/>
    </xf>
    <xf numFmtId="165" fontId="28" fillId="46" borderId="235" applyAlignment="1" pivotButton="0" quotePrefix="0" xfId="60307">
      <alignment horizontal="left" vertical="center" readingOrder="1"/>
    </xf>
    <xf numFmtId="165" fontId="28" fillId="39" borderId="235" applyAlignment="1" pivotButton="0" quotePrefix="0" xfId="60307">
      <alignment horizontal="left" vertical="center" readingOrder="1"/>
    </xf>
    <xf numFmtId="165" fontId="24" fillId="0" borderId="225" applyAlignment="1" pivotButton="0" quotePrefix="0" xfId="60307">
      <alignment horizontal="right" vertical="center" readingOrder="1"/>
    </xf>
    <xf numFmtId="165" fontId="24" fillId="0" borderId="256" applyAlignment="1" pivotButton="0" quotePrefix="0" xfId="60307">
      <alignment horizontal="right" vertical="center" readingOrder="1"/>
    </xf>
    <xf numFmtId="165" fontId="24" fillId="0" borderId="26" applyAlignment="1" pivotButton="0" quotePrefix="0" xfId="60307">
      <alignment horizontal="right" vertical="center" readingOrder="1"/>
    </xf>
    <xf numFmtId="165" fontId="24" fillId="0" borderId="257" applyAlignment="1" pivotButton="0" quotePrefix="0" xfId="60307">
      <alignment horizontal="right" vertical="center" readingOrder="1"/>
    </xf>
    <xf numFmtId="167" fontId="24" fillId="0" borderId="29" applyAlignment="1" pivotButton="0" quotePrefix="0" xfId="60307">
      <alignment horizontal="right" vertical="center" readingOrder="1"/>
    </xf>
    <xf numFmtId="165" fontId="24" fillId="0" borderId="0" applyAlignment="1" pivotButton="0" quotePrefix="0" xfId="1">
      <alignment vertical="center"/>
    </xf>
    <xf numFmtId="165" fontId="29" fillId="5" borderId="208" applyAlignment="1" pivotButton="0" quotePrefix="0" xfId="60307">
      <alignment horizontal="right" vertical="center" readingOrder="1"/>
    </xf>
    <xf numFmtId="165" fontId="24" fillId="5" borderId="208" applyAlignment="1" pivotButton="0" quotePrefix="0" xfId="60307">
      <alignment horizontal="right" vertical="center" readingOrder="1"/>
    </xf>
    <xf numFmtId="198" fontId="24" fillId="5" borderId="208" applyAlignment="1" pivotButton="0" quotePrefix="0" xfId="60307">
      <alignment horizontal="right" vertical="center" readingOrder="1"/>
    </xf>
    <xf numFmtId="165" fontId="29" fillId="5" borderId="250" applyAlignment="1" pivotButton="0" quotePrefix="0" xfId="60307">
      <alignment horizontal="right" vertical="center" readingOrder="1"/>
    </xf>
    <xf numFmtId="165" fontId="16" fillId="0" borderId="0" applyAlignment="1" pivotButton="0" quotePrefix="0" xfId="60307">
      <alignment vertical="center"/>
    </xf>
    <xf numFmtId="164" fontId="98" fillId="0" borderId="219" applyAlignment="1" pivotButton="0" quotePrefix="0" xfId="60307">
      <alignment horizontal="right" vertical="center" readingOrder="1"/>
    </xf>
    <xf numFmtId="164" fontId="98" fillId="0" borderId="215" applyAlignment="1" pivotButton="0" quotePrefix="0" xfId="60307">
      <alignment horizontal="right" vertical="center" readingOrder="1"/>
    </xf>
    <xf numFmtId="164" fontId="98" fillId="0" borderId="217" applyAlignment="1" pivotButton="0" quotePrefix="0" xfId="60307">
      <alignment horizontal="right" vertical="center" readingOrder="1"/>
    </xf>
    <xf numFmtId="164" fontId="98" fillId="0" borderId="263" applyAlignment="1" pivotButton="0" quotePrefix="0" xfId="60307">
      <alignment horizontal="right" vertical="center" readingOrder="1"/>
    </xf>
    <xf numFmtId="164" fontId="98" fillId="0" borderId="25" applyAlignment="1" pivotButton="0" quotePrefix="0" xfId="60307">
      <alignment horizontal="right" vertical="center" readingOrder="1"/>
    </xf>
    <xf numFmtId="164" fontId="98" fillId="0" borderId="24" applyAlignment="1" pivotButton="0" quotePrefix="0" xfId="60307">
      <alignment horizontal="right" vertical="center" readingOrder="1"/>
    </xf>
    <xf numFmtId="164" fontId="98" fillId="5" borderId="199" applyAlignment="1" pivotButton="0" quotePrefix="0" xfId="60307">
      <alignment horizontal="right" vertical="center" readingOrder="1"/>
    </xf>
    <xf numFmtId="164" fontId="98" fillId="5" borderId="196" applyAlignment="1" pivotButton="0" quotePrefix="0" xfId="60307">
      <alignment horizontal="right" vertical="center" readingOrder="1"/>
    </xf>
    <xf numFmtId="164" fontId="98" fillId="5" borderId="198" applyAlignment="1" pivotButton="0" quotePrefix="0" xfId="60307">
      <alignment horizontal="right" vertical="center" readingOrder="1"/>
    </xf>
    <xf numFmtId="164" fontId="98" fillId="5" borderId="259" applyAlignment="1" pivotButton="0" quotePrefix="0" xfId="60307">
      <alignment horizontal="right" vertical="center" readingOrder="1"/>
    </xf>
    <xf numFmtId="164" fontId="98" fillId="5" borderId="13" applyAlignment="1" pivotButton="0" quotePrefix="0" xfId="60307">
      <alignment horizontal="right" vertical="center" readingOrder="1"/>
    </xf>
    <xf numFmtId="164" fontId="98" fillId="5" borderId="11" applyAlignment="1" pivotButton="0" quotePrefix="0" xfId="60307">
      <alignment horizontal="right" vertical="center" readingOrder="1"/>
    </xf>
    <xf numFmtId="164" fontId="98" fillId="0" borderId="218" applyAlignment="1" pivotButton="0" quotePrefix="0" xfId="60307">
      <alignment horizontal="right" vertical="center" readingOrder="1"/>
    </xf>
    <xf numFmtId="164" fontId="98" fillId="5" borderId="74" applyAlignment="1" pivotButton="0" quotePrefix="0" xfId="60307">
      <alignment horizontal="right" vertical="center" readingOrder="1"/>
    </xf>
    <xf numFmtId="167" fontId="6" fillId="0" borderId="0" applyAlignment="1" pivotButton="0" quotePrefix="0" xfId="60307">
      <alignment vertical="center"/>
    </xf>
    <xf numFmtId="180" fontId="6" fillId="0" borderId="0" applyAlignment="1" pivotButton="0" quotePrefix="0" xfId="1">
      <alignment vertical="center"/>
    </xf>
    <xf numFmtId="164" fontId="9" fillId="0" borderId="218" applyAlignment="1" pivotButton="0" quotePrefix="0" xfId="2">
      <alignment horizontal="right" vertical="center" readingOrder="1"/>
    </xf>
    <xf numFmtId="164" fontId="9" fillId="0" borderId="57" applyAlignment="1" pivotButton="0" quotePrefix="0" xfId="2">
      <alignment horizontal="right" vertical="center" readingOrder="1"/>
    </xf>
    <xf numFmtId="164" fontId="9" fillId="0" borderId="374" applyAlignment="1" pivotButton="0" quotePrefix="0" xfId="2">
      <alignment horizontal="right" vertical="center" readingOrder="1"/>
    </xf>
    <xf numFmtId="165" fontId="95" fillId="3" borderId="373" applyAlignment="1" pivotButton="0" quotePrefix="0" xfId="60307">
      <alignment horizontal="center" vertical="center" readingOrder="1"/>
    </xf>
    <xf numFmtId="165" fontId="28" fillId="3" borderId="246" applyAlignment="1" pivotButton="0" quotePrefix="0" xfId="60307">
      <alignment horizontal="center" vertical="center" wrapText="1" readingOrder="1"/>
    </xf>
    <xf numFmtId="201" fontId="93" fillId="0" borderId="56" applyAlignment="1" pivotButton="0" quotePrefix="0" xfId="1">
      <alignment vertical="center" readingOrder="1"/>
    </xf>
    <xf numFmtId="201" fontId="35" fillId="0" borderId="65" applyAlignment="1" pivotButton="0" quotePrefix="0" xfId="1">
      <alignment vertical="center" readingOrder="1"/>
    </xf>
    <xf numFmtId="201" fontId="38" fillId="0" borderId="54" applyAlignment="1" pivotButton="0" quotePrefix="0" xfId="1">
      <alignment vertical="center" readingOrder="1"/>
    </xf>
    <xf numFmtId="201" fontId="38" fillId="0" borderId="65" applyAlignment="1" pivotButton="0" quotePrefix="0" xfId="1">
      <alignment vertical="center" readingOrder="1"/>
    </xf>
    <xf numFmtId="201" fontId="93" fillId="0" borderId="59" applyAlignment="1" pivotButton="0" quotePrefix="0" xfId="1">
      <alignment horizontal="right" vertical="center" readingOrder="1"/>
    </xf>
    <xf numFmtId="201" fontId="97" fillId="0" borderId="56" applyAlignment="1" pivotButton="0" quotePrefix="0" xfId="1">
      <alignment horizontal="right" vertical="center" readingOrder="1"/>
    </xf>
    <xf numFmtId="201" fontId="97" fillId="0" borderId="65" applyAlignment="1" pivotButton="0" quotePrefix="0" xfId="1">
      <alignment horizontal="right" vertical="center" readingOrder="1"/>
    </xf>
    <xf numFmtId="201" fontId="93" fillId="0" borderId="56" applyAlignment="1" pivotButton="0" quotePrefix="0" xfId="1">
      <alignment horizontal="right" vertical="center" readingOrder="1"/>
    </xf>
    <xf numFmtId="201" fontId="35" fillId="0" borderId="65" applyAlignment="1" pivotButton="0" quotePrefix="0" xfId="1">
      <alignment horizontal="right" vertical="center" readingOrder="1"/>
    </xf>
    <xf numFmtId="201" fontId="93" fillId="0" borderId="62" applyAlignment="1" pivotButton="0" quotePrefix="0" xfId="1">
      <alignment horizontal="right" vertical="center" readingOrder="1"/>
    </xf>
    <xf numFmtId="202" fontId="34" fillId="43" borderId="6" applyAlignment="1" pivotButton="0" quotePrefix="0" xfId="60307">
      <alignment horizontal="right" vertical="center" wrapText="1" readingOrder="1"/>
    </xf>
    <xf numFmtId="202" fontId="34" fillId="43" borderId="87" applyAlignment="1" pivotButton="0" quotePrefix="0" xfId="60307">
      <alignment horizontal="right" vertical="center" wrapText="1" readingOrder="1"/>
    </xf>
    <xf numFmtId="202" fontId="34" fillId="43" borderId="1" applyAlignment="1" pivotButton="0" quotePrefix="0" xfId="60307">
      <alignment horizontal="right" vertical="center" wrapText="1" readingOrder="1"/>
    </xf>
    <xf numFmtId="202" fontId="34" fillId="43" borderId="9" applyAlignment="1" pivotButton="0" quotePrefix="0" xfId="60307">
      <alignment horizontal="right" vertical="center" wrapText="1" readingOrder="1"/>
    </xf>
    <xf numFmtId="202" fontId="34" fillId="43" borderId="8" applyAlignment="1" pivotButton="0" quotePrefix="0" xfId="60307">
      <alignment horizontal="right" vertical="center" wrapText="1" readingOrder="1"/>
    </xf>
    <xf numFmtId="202" fontId="34" fillId="43" borderId="50" applyAlignment="1" pivotButton="0" quotePrefix="0" xfId="0">
      <alignment horizontal="left" vertical="center" wrapText="1" readingOrder="1"/>
    </xf>
    <xf numFmtId="177" fontId="9" fillId="47" borderId="74" applyAlignment="1" pivotButton="0" quotePrefix="0" xfId="2">
      <alignment horizontal="right" vertical="center" readingOrder="1"/>
    </xf>
    <xf numFmtId="0" fontId="15" fillId="0" borderId="20" applyAlignment="1" pivotButton="0" quotePrefix="0" xfId="1">
      <alignment horizontal="left" vertical="center" readingOrder="1"/>
    </xf>
    <xf numFmtId="0" fontId="15" fillId="0" borderId="34" applyAlignment="1" pivotButton="0" quotePrefix="0" xfId="1">
      <alignment horizontal="left" vertical="center" readingOrder="1"/>
    </xf>
    <xf numFmtId="0" fontId="15" fillId="0" borderId="26" applyAlignment="1" pivotButton="0" quotePrefix="0" xfId="1">
      <alignment horizontal="left" vertical="center" readingOrder="1"/>
    </xf>
    <xf numFmtId="0" fontId="107" fillId="0" borderId="10" applyAlignment="1" pivotButton="0" quotePrefix="0" xfId="1">
      <alignment vertical="center"/>
    </xf>
    <xf numFmtId="0" fontId="108" fillId="0" borderId="34" applyAlignment="1" pivotButton="0" quotePrefix="0" xfId="1">
      <alignment horizontal="left" vertical="center" readingOrder="1"/>
    </xf>
    <xf numFmtId="0" fontId="107" fillId="0" borderId="20" applyAlignment="1" pivotButton="0" quotePrefix="0" xfId="1">
      <alignment vertical="center"/>
    </xf>
    <xf numFmtId="0" fontId="107" fillId="0" borderId="34" applyAlignment="1" pivotButton="0" quotePrefix="0" xfId="1">
      <alignment vertical="center"/>
    </xf>
    <xf numFmtId="0" fontId="109" fillId="0" borderId="61" applyAlignment="1" pivotButton="0" quotePrefix="0" xfId="1">
      <alignment vertical="center"/>
    </xf>
    <xf numFmtId="165" fontId="29" fillId="0" borderId="0" applyAlignment="1" pivotButton="0" quotePrefix="0" xfId="60307">
      <alignment vertical="center"/>
    </xf>
    <xf numFmtId="203" fontId="6" fillId="0" borderId="0" applyAlignment="1" pivotButton="0" quotePrefix="0" xfId="1">
      <alignment vertical="center"/>
    </xf>
    <xf numFmtId="0" fontId="21" fillId="0" borderId="0" applyAlignment="1" pivotButton="0" quotePrefix="0" xfId="0">
      <alignment horizontal="center"/>
    </xf>
    <xf numFmtId="165" fontId="0" fillId="0" borderId="0" applyAlignment="1" pivotButton="0" quotePrefix="0" xfId="60307">
      <alignment horizontal="center"/>
    </xf>
    <xf numFmtId="0" fontId="0" fillId="0" borderId="0" applyAlignment="1" pivotButton="0" quotePrefix="0" xfId="0">
      <alignment horizontal="center"/>
    </xf>
    <xf numFmtId="165" fontId="21" fillId="0" borderId="0" applyAlignment="1" pivotButton="0" quotePrefix="0" xfId="60307">
      <alignment horizontal="center"/>
    </xf>
    <xf numFmtId="0" fontId="110" fillId="0" borderId="0" pivotButton="0" quotePrefix="0" xfId="0"/>
    <xf numFmtId="165" fontId="111" fillId="0" borderId="0" pivotButton="0" quotePrefix="0" xfId="60307"/>
    <xf numFmtId="0" fontId="111" fillId="0" borderId="0" pivotButton="0" quotePrefix="0" xfId="0"/>
    <xf numFmtId="165" fontId="110" fillId="0" borderId="0" pivotButton="0" quotePrefix="0" xfId="60307"/>
    <xf numFmtId="177" fontId="6" fillId="0" borderId="0" applyAlignment="1" pivotButton="0" quotePrefix="0" xfId="1">
      <alignment vertical="center"/>
    </xf>
    <xf numFmtId="165" fontId="28" fillId="3" borderId="233" applyAlignment="1" pivotButton="0" quotePrefix="0" xfId="60307">
      <alignment horizontal="center" vertical="center" wrapText="1" readingOrder="1"/>
    </xf>
    <xf numFmtId="198" fontId="30" fillId="46" borderId="197" applyAlignment="1" pivotButton="0" quotePrefix="0" xfId="60307">
      <alignment horizontal="right" vertical="center" readingOrder="1"/>
    </xf>
    <xf numFmtId="198" fontId="24" fillId="0" borderId="201" applyAlignment="1" pivotButton="0" quotePrefix="0" xfId="60307">
      <alignment horizontal="right" vertical="center" readingOrder="1"/>
    </xf>
    <xf numFmtId="198" fontId="24" fillId="0" borderId="208" applyAlignment="1" pivotButton="0" quotePrefix="0" xfId="60307">
      <alignment horizontal="right" vertical="center" readingOrder="1"/>
    </xf>
    <xf numFmtId="198" fontId="24" fillId="0" borderId="216" applyAlignment="1" pivotButton="0" quotePrefix="0" xfId="60307">
      <alignment horizontal="right" vertical="center" readingOrder="1"/>
    </xf>
    <xf numFmtId="198" fontId="24" fillId="0" borderId="213" applyAlignment="1" pivotButton="0" quotePrefix="0" xfId="60307">
      <alignment horizontal="right" vertical="center" readingOrder="1"/>
    </xf>
    <xf numFmtId="198" fontId="24" fillId="0" borderId="223" applyAlignment="1" pivotButton="0" quotePrefix="0" xfId="60307">
      <alignment horizontal="right" vertical="center" readingOrder="1"/>
    </xf>
    <xf numFmtId="167" fontId="24" fillId="0" borderId="213" applyAlignment="1" pivotButton="0" quotePrefix="0" xfId="60307">
      <alignment horizontal="right" vertical="center" readingOrder="1"/>
    </xf>
    <xf numFmtId="165" fontId="24" fillId="0" borderId="208" applyAlignment="1" pivotButton="0" quotePrefix="0" xfId="60307">
      <alignment horizontal="right" vertical="center" readingOrder="1"/>
    </xf>
    <xf numFmtId="165" fontId="24" fillId="0" borderId="213" applyAlignment="1" pivotButton="0" quotePrefix="0" xfId="60307">
      <alignment horizontal="right" vertical="center" readingOrder="1"/>
    </xf>
    <xf numFmtId="164" fontId="98" fillId="0" borderId="216" applyAlignment="1" pivotButton="0" quotePrefix="0" xfId="60307">
      <alignment horizontal="right" vertical="center" readingOrder="1"/>
    </xf>
    <xf numFmtId="164" fontId="98" fillId="5" borderId="197" applyAlignment="1" pivotButton="0" quotePrefix="0" xfId="60307">
      <alignment horizontal="right" vertical="center" readingOrder="1"/>
    </xf>
    <xf numFmtId="165" fontId="24" fillId="0" borderId="216" applyAlignment="1" pivotButton="0" quotePrefix="0" xfId="60307">
      <alignment horizontal="right" vertical="center" readingOrder="1"/>
    </xf>
    <xf numFmtId="165" fontId="24" fillId="0" borderId="197" applyAlignment="1" pivotButton="0" quotePrefix="0" xfId="60307">
      <alignment horizontal="right" vertical="center" readingOrder="1"/>
    </xf>
    <xf numFmtId="165" fontId="30" fillId="39" borderId="233" applyAlignment="1" pivotButton="0" quotePrefix="0" xfId="60307">
      <alignment horizontal="right" vertical="center" readingOrder="1"/>
    </xf>
    <xf numFmtId="164" fontId="13" fillId="4" borderId="0" applyAlignment="1" pivotButton="0" quotePrefix="0" xfId="60307">
      <alignment horizontal="center" vertical="center"/>
    </xf>
    <xf numFmtId="164" fontId="17" fillId="0" borderId="0" applyAlignment="1" pivotButton="0" quotePrefix="0" xfId="60307">
      <alignment horizontal="right" vertical="center"/>
    </xf>
    <xf numFmtId="164" fontId="13" fillId="0" borderId="0" applyAlignment="1" pivotButton="0" quotePrefix="0" xfId="60307">
      <alignment horizontal="right" vertical="center"/>
    </xf>
    <xf numFmtId="164" fontId="29" fillId="0" borderId="0" applyAlignment="1" pivotButton="0" quotePrefix="0" xfId="60307">
      <alignment horizontal="right" vertical="center"/>
    </xf>
    <xf numFmtId="164" fontId="13" fillId="0" borderId="0" applyAlignment="1" pivotButton="0" quotePrefix="0" xfId="60307">
      <alignment horizontal="right" vertical="center"/>
    </xf>
    <xf numFmtId="164" fontId="6" fillId="0" borderId="0" applyAlignment="1" pivotButton="0" quotePrefix="1" xfId="1">
      <alignment vertical="center"/>
    </xf>
    <xf numFmtId="165" fontId="21" fillId="0" borderId="0" pivotButton="0" quotePrefix="0" xfId="60307"/>
    <xf numFmtId="0" fontId="21" fillId="0" borderId="0" pivotButton="0" quotePrefix="0" xfId="0"/>
    <xf numFmtId="0" fontId="21" fillId="5" borderId="0" applyAlignment="1" pivotButton="0" quotePrefix="0" xfId="0">
      <alignment horizontal="center"/>
    </xf>
    <xf numFmtId="165" fontId="0" fillId="5" borderId="0" applyAlignment="1" pivotButton="0" quotePrefix="0" xfId="60307">
      <alignment horizontal="center"/>
    </xf>
    <xf numFmtId="165" fontId="21" fillId="5" borderId="0" applyAlignment="1" pivotButton="0" quotePrefix="0" xfId="60307">
      <alignment horizontal="center"/>
    </xf>
    <xf numFmtId="165" fontId="21" fillId="5" borderId="0" pivotButton="0" quotePrefix="0" xfId="60307"/>
    <xf numFmtId="165" fontId="28" fillId="3" borderId="25" applyAlignment="1" pivotButton="0" quotePrefix="0" xfId="60307">
      <alignment vertical="center" wrapText="1" readingOrder="1"/>
    </xf>
    <xf numFmtId="165" fontId="28" fillId="3" borderId="24" applyAlignment="1" pivotButton="0" quotePrefix="0" xfId="60307">
      <alignment vertical="center" wrapText="1" readingOrder="1"/>
    </xf>
    <xf numFmtId="165" fontId="29" fillId="5" borderId="205" applyAlignment="1" pivotButton="0" quotePrefix="0" xfId="60307">
      <alignment horizontal="right" vertical="center" readingOrder="1"/>
    </xf>
    <xf numFmtId="198" fontId="24" fillId="0" borderId="0" applyAlignment="1" pivotButton="0" quotePrefix="0" xfId="60307">
      <alignment horizontal="right" vertical="center" readingOrder="1"/>
    </xf>
    <xf numFmtId="167" fontId="24" fillId="0" borderId="0" applyAlignment="1" pivotButton="0" quotePrefix="0" xfId="60307">
      <alignment horizontal="right" vertical="center" readingOrder="1"/>
    </xf>
    <xf numFmtId="165" fontId="24" fillId="0" borderId="0" applyAlignment="1" pivotButton="0" quotePrefix="0" xfId="60307">
      <alignment horizontal="right" vertical="center" readingOrder="1"/>
    </xf>
    <xf numFmtId="168" fontId="25" fillId="5" borderId="186" applyAlignment="1" pivotButton="0" quotePrefix="0" xfId="1">
      <alignment horizontal="right" vertical="center" readingOrder="1"/>
    </xf>
    <xf numFmtId="168" fontId="28" fillId="5" borderId="52" applyAlignment="1" pivotButton="0" quotePrefix="0" xfId="1">
      <alignment horizontal="right" vertical="center" readingOrder="1"/>
    </xf>
    <xf numFmtId="168" fontId="28" fillId="0" borderId="53" applyAlignment="1" pivotButton="0" quotePrefix="0" xfId="1">
      <alignment horizontal="right" vertical="center" readingOrder="1"/>
    </xf>
    <xf numFmtId="198" fontId="30" fillId="46" borderId="198" applyAlignment="1" pivotButton="0" quotePrefix="0" xfId="60307">
      <alignment horizontal="right" vertical="center" readingOrder="1"/>
    </xf>
    <xf numFmtId="198" fontId="24" fillId="0" borderId="202" applyAlignment="1" pivotButton="0" quotePrefix="0" xfId="60307">
      <alignment horizontal="right" vertical="center" readingOrder="1"/>
    </xf>
    <xf numFmtId="165" fontId="29" fillId="5" borderId="204" applyAlignment="1" pivotButton="0" quotePrefix="0" xfId="60307">
      <alignment horizontal="right" vertical="center" readingOrder="1"/>
    </xf>
    <xf numFmtId="198" fontId="24" fillId="0" borderId="204" applyAlignment="1" pivotButton="0" quotePrefix="0" xfId="60307">
      <alignment horizontal="right" vertical="center" readingOrder="1"/>
    </xf>
    <xf numFmtId="198" fontId="24" fillId="0" borderId="217" applyAlignment="1" pivotButton="0" quotePrefix="0" xfId="60307">
      <alignment horizontal="right" vertical="center" readingOrder="1"/>
    </xf>
    <xf numFmtId="198" fontId="24" fillId="5" borderId="204" applyAlignment="1" pivotButton="0" quotePrefix="0" xfId="60307">
      <alignment horizontal="right" vertical="center" readingOrder="1"/>
    </xf>
    <xf numFmtId="198" fontId="24" fillId="0" borderId="211" applyAlignment="1" pivotButton="0" quotePrefix="0" xfId="60307">
      <alignment horizontal="right" vertical="center" readingOrder="1"/>
    </xf>
    <xf numFmtId="198" fontId="24" fillId="0" borderId="220" applyAlignment="1" pivotButton="0" quotePrefix="0" xfId="60307">
      <alignment horizontal="right" vertical="center" readingOrder="1"/>
    </xf>
    <xf numFmtId="0" fontId="92" fillId="0" borderId="347" applyAlignment="1" pivotButton="0" quotePrefix="0" xfId="0">
      <alignment vertical="center" wrapText="1"/>
    </xf>
    <xf numFmtId="167" fontId="24" fillId="0" borderId="211" applyAlignment="1" pivotButton="0" quotePrefix="0" xfId="60307">
      <alignment horizontal="right" vertical="center" readingOrder="1"/>
    </xf>
    <xf numFmtId="0" fontId="0" fillId="0" borderId="375" pivotButton="0" quotePrefix="0" xfId="0"/>
    <xf numFmtId="165" fontId="0" fillId="0" borderId="375" pivotButton="0" quotePrefix="0" xfId="60307"/>
    <xf numFmtId="0" fontId="111" fillId="0" borderId="375" pivotButton="0" quotePrefix="0" xfId="0"/>
    <xf numFmtId="165" fontId="111" fillId="0" borderId="375" pivotButton="0" quotePrefix="0" xfId="60307"/>
    <xf numFmtId="0" fontId="21" fillId="0" borderId="375" pivotButton="0" quotePrefix="0" xfId="0"/>
    <xf numFmtId="0" fontId="112" fillId="0" borderId="375" applyAlignment="1" pivotButton="0" quotePrefix="0" xfId="0">
      <alignment horizontal="left"/>
    </xf>
    <xf numFmtId="165" fontId="112" fillId="0" borderId="375" applyAlignment="1" pivotButton="0" quotePrefix="0" xfId="60307">
      <alignment horizontal="left"/>
    </xf>
    <xf numFmtId="165" fontId="21" fillId="0" borderId="375" pivotButton="0" quotePrefix="0" xfId="60307"/>
    <xf numFmtId="0" fontId="0" fillId="48" borderId="376" applyAlignment="1" pivotButton="0" quotePrefix="0" xfId="0">
      <alignment horizontal="center"/>
    </xf>
    <xf numFmtId="165" fontId="0" fillId="48" borderId="376" applyAlignment="1" pivotButton="0" quotePrefix="0" xfId="60307">
      <alignment horizontal="center"/>
    </xf>
    <xf numFmtId="0" fontId="20" fillId="0" borderId="0" applyAlignment="1" pivotButton="0" quotePrefix="0" xfId="60312">
      <alignment vertical="center"/>
    </xf>
    <xf numFmtId="0" fontId="19" fillId="49" borderId="377" applyAlignment="1" pivotButton="0" quotePrefix="0" xfId="60312">
      <alignment horizontal="center" vertical="center"/>
    </xf>
    <xf numFmtId="0" fontId="20" fillId="0" borderId="376" applyAlignment="1" pivotButton="0" quotePrefix="0" xfId="60312">
      <alignment horizontal="center" vertical="center"/>
    </xf>
    <xf numFmtId="204" fontId="20" fillId="46" borderId="376" applyAlignment="1" pivotButton="0" quotePrefix="0" xfId="60312">
      <alignment horizontal="center" vertical="center"/>
    </xf>
    <xf numFmtId="0" fontId="19" fillId="49" borderId="376" applyAlignment="1" pivotButton="0" quotePrefix="0" xfId="60312">
      <alignment horizontal="center" vertical="center"/>
    </xf>
    <xf numFmtId="0" fontId="20" fillId="0" borderId="64" applyAlignment="1" pivotButton="0" quotePrefix="0" xfId="60312">
      <alignment vertical="center"/>
    </xf>
    <xf numFmtId="0" fontId="116" fillId="44" borderId="377" applyAlignment="1" pivotButton="0" quotePrefix="0" xfId="60312">
      <alignment horizontal="center" vertical="center"/>
    </xf>
    <xf numFmtId="0" fontId="20" fillId="0" borderId="0" applyAlignment="1" pivotButton="0" quotePrefix="0" xfId="60312">
      <alignment horizontal="center" vertical="center"/>
    </xf>
    <xf numFmtId="0" fontId="20" fillId="43" borderId="0" applyAlignment="1" pivotButton="0" quotePrefix="0" xfId="60312">
      <alignment horizontal="center" vertical="center"/>
    </xf>
    <xf numFmtId="0" fontId="116" fillId="51" borderId="377" applyAlignment="1" pivotButton="0" quotePrefix="0" xfId="60312">
      <alignment horizontal="center" vertical="center"/>
    </xf>
    <xf numFmtId="0" fontId="20" fillId="52" borderId="0" applyAlignment="1" pivotButton="0" quotePrefix="0" xfId="60312">
      <alignment horizontal="center" vertical="center"/>
    </xf>
    <xf numFmtId="0" fontId="20" fillId="51" borderId="0" applyAlignment="1" pivotButton="0" quotePrefix="0" xfId="60312">
      <alignment horizontal="center" vertical="center"/>
    </xf>
    <xf numFmtId="0" fontId="105" fillId="3" borderId="283" applyAlignment="1" pivotButton="0" quotePrefix="0" xfId="0">
      <alignment horizontal="center" vertical="center" wrapText="1" readingOrder="1"/>
    </xf>
    <xf numFmtId="0" fontId="105" fillId="3" borderId="378" applyAlignment="1" pivotButton="0" quotePrefix="0" xfId="0">
      <alignment horizontal="center" vertical="center" wrapText="1" readingOrder="1"/>
    </xf>
    <xf numFmtId="0" fontId="104" fillId="3" borderId="379" applyAlignment="1" pivotButton="0" quotePrefix="0" xfId="0">
      <alignment horizontal="center" vertical="center" wrapText="1" readingOrder="1"/>
    </xf>
    <xf numFmtId="0" fontId="105" fillId="3" borderId="380" applyAlignment="1" pivotButton="0" quotePrefix="0" xfId="0">
      <alignment horizontal="center" vertical="center" wrapText="1" readingOrder="1"/>
    </xf>
    <xf numFmtId="0" fontId="105" fillId="3" borderId="281" applyAlignment="1" pivotButton="0" quotePrefix="0" xfId="0">
      <alignment horizontal="center" vertical="center" wrapText="1" readingOrder="1"/>
    </xf>
    <xf numFmtId="0" fontId="104" fillId="0" borderId="283" applyAlignment="1" pivotButton="0" quotePrefix="0" xfId="0">
      <alignment horizontal="left" vertical="center" wrapText="1" readingOrder="1"/>
    </xf>
    <xf numFmtId="0" fontId="104" fillId="0" borderId="275" applyAlignment="1" pivotButton="0" quotePrefix="0" xfId="0">
      <alignment horizontal="left" vertical="center" wrapText="1" readingOrder="1"/>
    </xf>
    <xf numFmtId="0" fontId="105" fillId="0" borderId="280" applyAlignment="1" pivotButton="0" quotePrefix="0" xfId="0">
      <alignment horizontal="left" vertical="center" wrapText="1" readingOrder="1"/>
    </xf>
    <xf numFmtId="0" fontId="105" fillId="0" borderId="281" applyAlignment="1" pivotButton="0" quotePrefix="0" xfId="0">
      <alignment horizontal="left" vertical="center" wrapText="1" readingOrder="1"/>
    </xf>
    <xf numFmtId="0" fontId="104" fillId="42" borderId="283" applyAlignment="1" pivotButton="0" quotePrefix="0" xfId="0">
      <alignment horizontal="left" vertical="center" wrapText="1" readingOrder="1"/>
    </xf>
    <xf numFmtId="0" fontId="118" fillId="0" borderId="281" applyAlignment="1" pivotButton="0" quotePrefix="0" xfId="0">
      <alignment horizontal="left" vertical="center" readingOrder="1"/>
    </xf>
    <xf numFmtId="0" fontId="118" fillId="0" borderId="365" applyAlignment="1" pivotButton="0" quotePrefix="0" xfId="0">
      <alignment horizontal="left" vertical="center" readingOrder="1"/>
    </xf>
    <xf numFmtId="0" fontId="118" fillId="0" borderId="356" applyAlignment="1" pivotButton="0" quotePrefix="0" xfId="0">
      <alignment horizontal="left" vertical="center" readingOrder="1"/>
    </xf>
    <xf numFmtId="0" fontId="105" fillId="0" borderId="281" applyAlignment="1" pivotButton="0" quotePrefix="0" xfId="0">
      <alignment horizontal="left" vertical="center" readingOrder="1"/>
    </xf>
    <xf numFmtId="0" fontId="118" fillId="42" borderId="281" applyAlignment="1" pivotButton="0" quotePrefix="0" xfId="0">
      <alignment horizontal="left" vertical="center" readingOrder="1"/>
    </xf>
    <xf numFmtId="0" fontId="105" fillId="3" borderId="387" applyAlignment="1" pivotButton="0" quotePrefix="0" xfId="0">
      <alignment horizontal="center" vertical="center" wrapText="1" readingOrder="1"/>
    </xf>
    <xf numFmtId="0" fontId="105" fillId="3" borderId="388" applyAlignment="1" pivotButton="0" quotePrefix="0" xfId="0">
      <alignment horizontal="center" vertical="center" wrapText="1" readingOrder="1"/>
    </xf>
    <xf numFmtId="0" fontId="105" fillId="3" borderId="389" applyAlignment="1" pivotButton="0" quotePrefix="0" xfId="0">
      <alignment horizontal="center" vertical="center" wrapText="1" readingOrder="1"/>
    </xf>
    <xf numFmtId="0" fontId="105" fillId="0" borderId="283" applyAlignment="1" pivotButton="0" quotePrefix="0" xfId="0">
      <alignment horizontal="left" vertical="center" wrapText="1" readingOrder="1"/>
    </xf>
    <xf numFmtId="0" fontId="105" fillId="0" borderId="395" applyAlignment="1" pivotButton="0" quotePrefix="0" xfId="0">
      <alignment horizontal="left" vertical="center" wrapText="1" readingOrder="1"/>
    </xf>
    <xf numFmtId="0" fontId="105" fillId="0" borderId="396" applyAlignment="1" pivotButton="0" quotePrefix="0" xfId="0">
      <alignment horizontal="left" vertical="center" wrapText="1" readingOrder="1"/>
    </xf>
    <xf numFmtId="0" fontId="105" fillId="0" borderId="400" applyAlignment="1" pivotButton="0" quotePrefix="0" xfId="0">
      <alignment horizontal="left" vertical="center" wrapText="1" readingOrder="1"/>
    </xf>
    <xf numFmtId="0" fontId="105" fillId="0" borderId="401" applyAlignment="1" pivotButton="0" quotePrefix="0" xfId="0">
      <alignment horizontal="left" vertical="center" wrapText="1" readingOrder="1"/>
    </xf>
    <xf numFmtId="0" fontId="105" fillId="0" borderId="405" applyAlignment="1" pivotButton="0" quotePrefix="0" xfId="0">
      <alignment horizontal="left" vertical="center" wrapText="1" readingOrder="1"/>
    </xf>
    <xf numFmtId="0" fontId="104" fillId="53" borderId="283" applyAlignment="1" pivotButton="0" quotePrefix="0" xfId="0">
      <alignment horizontal="left" vertical="center" wrapText="1" readingOrder="1"/>
    </xf>
    <xf numFmtId="0" fontId="120" fillId="53" borderId="281" applyAlignment="1" pivotButton="0" quotePrefix="0" xfId="0">
      <alignment horizontal="left" vertical="center" wrapText="1" readingOrder="1"/>
    </xf>
    <xf numFmtId="0" fontId="119" fillId="42" borderId="281" applyAlignment="1" pivotButton="0" quotePrefix="0" xfId="0">
      <alignment horizontal="left" vertical="center" wrapText="1" readingOrder="1"/>
    </xf>
    <xf numFmtId="0" fontId="105" fillId="0" borderId="408" applyAlignment="1" pivotButton="0" quotePrefix="0" xfId="0">
      <alignment horizontal="left" vertical="center" wrapText="1" readingOrder="1"/>
    </xf>
    <xf numFmtId="0" fontId="105" fillId="0" borderId="412" applyAlignment="1" pivotButton="0" quotePrefix="0" xfId="0">
      <alignment horizontal="left" vertical="center" wrapText="1" readingOrder="1"/>
    </xf>
    <xf numFmtId="0" fontId="105" fillId="0" borderId="416" applyAlignment="1" pivotButton="0" quotePrefix="0" xfId="0">
      <alignment horizontal="left" vertical="center" wrapText="1" readingOrder="1"/>
    </xf>
    <xf numFmtId="0" fontId="104" fillId="0" borderId="417" applyAlignment="1" pivotButton="0" quotePrefix="0" xfId="0">
      <alignment horizontal="left" vertical="center" wrapText="1" readingOrder="1"/>
    </xf>
    <xf numFmtId="0" fontId="105" fillId="3" borderId="406" applyAlignment="1" pivotButton="0" quotePrefix="0" xfId="0">
      <alignment horizontal="center" vertical="center" wrapText="1" readingOrder="1"/>
    </xf>
    <xf numFmtId="0" fontId="105" fillId="3" borderId="407" applyAlignment="1" pivotButton="0" quotePrefix="0" xfId="0">
      <alignment horizontal="center" vertical="center" wrapText="1" readingOrder="1"/>
    </xf>
    <xf numFmtId="0" fontId="105" fillId="3" borderId="385" applyAlignment="1" pivotButton="0" quotePrefix="0" xfId="0">
      <alignment horizontal="center" vertical="center" wrapText="1" readingOrder="1"/>
    </xf>
    <xf numFmtId="0" fontId="105" fillId="3" borderId="427" applyAlignment="1" pivotButton="0" quotePrefix="0" xfId="0">
      <alignment horizontal="center" vertical="center" wrapText="1" readingOrder="1"/>
    </xf>
    <xf numFmtId="0" fontId="105" fillId="0" borderId="430" applyAlignment="1" pivotButton="0" quotePrefix="0" xfId="0">
      <alignment horizontal="left" vertical="center" wrapText="1" readingOrder="1"/>
    </xf>
    <xf numFmtId="0" fontId="105" fillId="43" borderId="334" applyAlignment="1" pivotButton="0" quotePrefix="0" xfId="0">
      <alignment horizontal="left" vertical="center" wrapText="1" readingOrder="1"/>
    </xf>
    <xf numFmtId="0" fontId="105" fillId="43" borderId="434" applyAlignment="1" pivotButton="0" quotePrefix="0" xfId="0">
      <alignment horizontal="left" vertical="center" wrapText="1" readingOrder="1"/>
    </xf>
    <xf numFmtId="0" fontId="92" fillId="0" borderId="435" applyAlignment="1" pivotButton="0" quotePrefix="0" xfId="0">
      <alignment vertical="center" wrapText="1"/>
    </xf>
    <xf numFmtId="0" fontId="105" fillId="43" borderId="436" applyAlignment="1" pivotButton="0" quotePrefix="0" xfId="0">
      <alignment horizontal="left" vertical="center" wrapText="1" readingOrder="1"/>
    </xf>
    <xf numFmtId="0" fontId="105" fillId="43" borderId="426" applyAlignment="1" pivotButton="0" quotePrefix="0" xfId="0">
      <alignment horizontal="left" vertical="center" wrapText="1" readingOrder="1"/>
    </xf>
    <xf numFmtId="0" fontId="105" fillId="43" borderId="416" applyAlignment="1" pivotButton="0" quotePrefix="0" xfId="0">
      <alignment horizontal="left" vertical="center" wrapText="1" readingOrder="1"/>
    </xf>
    <xf numFmtId="0" fontId="105" fillId="3" borderId="379" applyAlignment="1" pivotButton="0" quotePrefix="0" xfId="0">
      <alignment horizontal="center" vertical="center" wrapText="1" readingOrder="1"/>
    </xf>
    <xf numFmtId="0" fontId="104" fillId="0" borderId="441" applyAlignment="1" pivotButton="0" quotePrefix="0" xfId="0">
      <alignment horizontal="left" vertical="center" wrapText="1" readingOrder="1"/>
    </xf>
    <xf numFmtId="0" fontId="105" fillId="0" borderId="442" applyAlignment="1" pivotButton="0" quotePrefix="0" xfId="0">
      <alignment horizontal="left" vertical="center" wrapText="1" readingOrder="1"/>
    </xf>
    <xf numFmtId="0" fontId="105" fillId="0" borderId="365" applyAlignment="1" pivotButton="0" quotePrefix="0" xfId="0">
      <alignment horizontal="left" vertical="center" wrapText="1" readingOrder="1"/>
    </xf>
    <xf numFmtId="0" fontId="104" fillId="0" borderId="347" applyAlignment="1" pivotButton="0" quotePrefix="0" xfId="0">
      <alignment horizontal="left" vertical="center" wrapText="1" readingOrder="1"/>
    </xf>
    <xf numFmtId="0" fontId="105" fillId="0" borderId="351" applyAlignment="1" pivotButton="0" quotePrefix="0" xfId="0">
      <alignment horizontal="left" vertical="center" wrapText="1" readingOrder="1"/>
    </xf>
    <xf numFmtId="0" fontId="105" fillId="0" borderId="292" applyAlignment="1" pivotButton="0" quotePrefix="0" xfId="0">
      <alignment horizontal="left" vertical="center" wrapText="1" readingOrder="1"/>
    </xf>
    <xf numFmtId="0" fontId="104" fillId="0" borderId="405" applyAlignment="1" pivotButton="0" quotePrefix="0" xfId="0">
      <alignment horizontal="left" vertical="center" wrapText="1" readingOrder="1"/>
    </xf>
    <xf numFmtId="0" fontId="104" fillId="0" borderId="452" applyAlignment="1" pivotButton="0" quotePrefix="0" xfId="0">
      <alignment horizontal="left" vertical="center" wrapText="1" readingOrder="1"/>
    </xf>
    <xf numFmtId="0" fontId="105" fillId="0" borderId="365" applyAlignment="1" pivotButton="0" quotePrefix="0" xfId="0">
      <alignment horizontal="left" vertical="center" readingOrder="1"/>
    </xf>
    <xf numFmtId="0" fontId="121" fillId="3" borderId="292" applyAlignment="1" pivotButton="0" quotePrefix="0" xfId="0">
      <alignment horizontal="center" vertical="center" wrapText="1" readingOrder="1"/>
    </xf>
    <xf numFmtId="0" fontId="121" fillId="3" borderId="293" applyAlignment="1" pivotButton="0" quotePrefix="0" xfId="0">
      <alignment horizontal="center" vertical="center" wrapText="1" readingOrder="1"/>
    </xf>
    <xf numFmtId="0" fontId="121" fillId="3" borderId="402" applyAlignment="1" pivotButton="0" quotePrefix="0" xfId="0">
      <alignment horizontal="center" vertical="center" wrapText="1" readingOrder="1"/>
    </xf>
    <xf numFmtId="0" fontId="121" fillId="3" borderId="403" applyAlignment="1" pivotButton="0" quotePrefix="0" xfId="0">
      <alignment horizontal="center" vertical="center" wrapText="1" readingOrder="1"/>
    </xf>
    <xf numFmtId="0" fontId="121" fillId="3" borderId="288" applyAlignment="1" pivotButton="0" quotePrefix="0" xfId="0">
      <alignment horizontal="center" vertical="center" wrapText="1" readingOrder="1"/>
    </xf>
    <xf numFmtId="0" fontId="121" fillId="3" borderId="294" applyAlignment="1" pivotButton="0" quotePrefix="0" xfId="0">
      <alignment horizontal="center" vertical="center" wrapText="1" readingOrder="1"/>
    </xf>
    <xf numFmtId="0" fontId="121" fillId="3" borderId="290" applyAlignment="1" pivotButton="0" quotePrefix="0" xfId="0">
      <alignment horizontal="center" vertical="center" wrapText="1" readingOrder="1"/>
    </xf>
    <xf numFmtId="3" fontId="122" fillId="0" borderId="406" applyAlignment="1" pivotButton="0" quotePrefix="0" xfId="0">
      <alignment horizontal="right" vertical="center" wrapText="1" readingOrder="1"/>
    </xf>
    <xf numFmtId="0" fontId="122" fillId="0" borderId="407" applyAlignment="1" pivotButton="0" quotePrefix="0" xfId="0">
      <alignment horizontal="right" vertical="center" wrapText="1" readingOrder="1"/>
    </xf>
    <xf numFmtId="3" fontId="122" fillId="0" borderId="288" applyAlignment="1" pivotButton="0" quotePrefix="0" xfId="0">
      <alignment horizontal="right" vertical="center" wrapText="1" readingOrder="1"/>
    </xf>
    <xf numFmtId="3" fontId="122" fillId="0" borderId="294" applyAlignment="1" pivotButton="0" quotePrefix="0" xfId="0">
      <alignment horizontal="right" vertical="center" wrapText="1" readingOrder="1"/>
    </xf>
    <xf numFmtId="3" fontId="122" fillId="0" borderId="290" applyAlignment="1" pivotButton="0" quotePrefix="0" xfId="0">
      <alignment horizontal="right" vertical="center" wrapText="1" readingOrder="1"/>
    </xf>
    <xf numFmtId="3" fontId="122" fillId="0" borderId="407" applyAlignment="1" pivotButton="0" quotePrefix="0" xfId="0">
      <alignment horizontal="right" vertical="center" wrapText="1" readingOrder="1"/>
    </xf>
    <xf numFmtId="0" fontId="121" fillId="0" borderId="333" applyAlignment="1" pivotButton="0" quotePrefix="0" xfId="0">
      <alignment horizontal="left" vertical="center" wrapText="1" readingOrder="1"/>
    </xf>
    <xf numFmtId="0" fontId="121" fillId="0" borderId="342" applyAlignment="1" pivotButton="0" quotePrefix="0" xfId="0">
      <alignment horizontal="left" vertical="center" wrapText="1" readingOrder="1"/>
    </xf>
    <xf numFmtId="0" fontId="121" fillId="0" borderId="325" applyAlignment="1" pivotButton="0" quotePrefix="0" xfId="0">
      <alignment horizontal="left" vertical="center" wrapText="1" readingOrder="1"/>
    </xf>
    <xf numFmtId="0" fontId="121" fillId="0" borderId="346" applyAlignment="1" pivotButton="0" quotePrefix="0" xfId="0">
      <alignment horizontal="left" vertical="center" wrapText="1" readingOrder="1"/>
    </xf>
    <xf numFmtId="0" fontId="121" fillId="0" borderId="334" applyAlignment="1" pivotButton="0" quotePrefix="0" xfId="0">
      <alignment horizontal="left" vertical="center" wrapText="1" readingOrder="1"/>
    </xf>
    <xf numFmtId="0" fontId="121" fillId="0" borderId="336" applyAlignment="1" pivotButton="0" quotePrefix="0" xfId="0">
      <alignment horizontal="left" vertical="center" wrapText="1" readingOrder="1"/>
    </xf>
    <xf numFmtId="0" fontId="121" fillId="0" borderId="348" applyAlignment="1" pivotButton="0" quotePrefix="0" xfId="0">
      <alignment horizontal="left" vertical="center" wrapText="1" readingOrder="1"/>
    </xf>
    <xf numFmtId="0" fontId="121" fillId="0" borderId="351" applyAlignment="1" pivotButton="0" quotePrefix="0" xfId="0">
      <alignment horizontal="left" vertical="center" wrapText="1" readingOrder="1"/>
    </xf>
    <xf numFmtId="0" fontId="121" fillId="0" borderId="307" applyAlignment="1" pivotButton="0" quotePrefix="0" xfId="0">
      <alignment horizontal="left" vertical="center" wrapText="1" readingOrder="1"/>
    </xf>
    <xf numFmtId="0" fontId="121" fillId="0" borderId="402" applyAlignment="1" pivotButton="0" quotePrefix="0" xfId="0">
      <alignment horizontal="right" vertical="center" wrapText="1" readingOrder="1"/>
    </xf>
    <xf numFmtId="0" fontId="121" fillId="0" borderId="403" applyAlignment="1" pivotButton="0" quotePrefix="0" xfId="0">
      <alignment horizontal="right" vertical="center" wrapText="1" readingOrder="1"/>
    </xf>
    <xf numFmtId="0" fontId="121" fillId="0" borderId="357" applyAlignment="1" pivotButton="0" quotePrefix="0" xfId="0">
      <alignment horizontal="right" vertical="center" wrapText="1" readingOrder="1"/>
    </xf>
    <xf numFmtId="0" fontId="121" fillId="0" borderId="358" applyAlignment="1" pivotButton="0" quotePrefix="0" xfId="0">
      <alignment horizontal="right" vertical="center" wrapText="1" readingOrder="1"/>
    </xf>
    <xf numFmtId="0" fontId="121" fillId="0" borderId="359" applyAlignment="1" pivotButton="0" quotePrefix="0" xfId="0">
      <alignment horizontal="right" vertical="center" wrapText="1" readingOrder="1"/>
    </xf>
    <xf numFmtId="0" fontId="123" fillId="0" borderId="284" applyAlignment="1" pivotButton="0" quotePrefix="0" xfId="0">
      <alignment horizontal="left" vertical="center" readingOrder="1"/>
    </xf>
    <xf numFmtId="0" fontId="124" fillId="0" borderId="306" applyAlignment="1" pivotButton="0" quotePrefix="0" xfId="0">
      <alignment horizontal="left" vertical="center" readingOrder="1"/>
    </xf>
    <xf numFmtId="0" fontId="124" fillId="0" borderId="316" applyAlignment="1" pivotButton="0" quotePrefix="0" xfId="0">
      <alignment horizontal="left" vertical="center" readingOrder="1"/>
    </xf>
    <xf numFmtId="0" fontId="124" fillId="0" borderId="324" applyAlignment="1" pivotButton="0" quotePrefix="0" xfId="0">
      <alignment horizontal="left" vertical="center" readingOrder="1"/>
    </xf>
    <xf numFmtId="0" fontId="124" fillId="0" borderId="332" applyAlignment="1" pivotButton="0" quotePrefix="0" xfId="0">
      <alignment horizontal="left" vertical="center" readingOrder="1"/>
    </xf>
    <xf numFmtId="0" fontId="124" fillId="0" borderId="335" applyAlignment="1" pivotButton="0" quotePrefix="0" xfId="0">
      <alignment horizontal="left" vertical="center" readingOrder="1"/>
    </xf>
    <xf numFmtId="0" fontId="124" fillId="0" borderId="341" applyAlignment="1" pivotButton="0" quotePrefix="0" xfId="0">
      <alignment horizontal="left" vertical="center" readingOrder="1"/>
    </xf>
    <xf numFmtId="0" fontId="124" fillId="0" borderId="292" applyAlignment="1" pivotButton="0" quotePrefix="0" xfId="0">
      <alignment horizontal="left" vertical="center" readingOrder="1"/>
    </xf>
    <xf numFmtId="0" fontId="92" fillId="0" borderId="360" applyAlignment="1" pivotButton="0" quotePrefix="0" xfId="0">
      <alignment vertical="center"/>
    </xf>
    <xf numFmtId="0" fontId="126" fillId="0" borderId="306" applyAlignment="1" pivotButton="0" quotePrefix="0" xfId="0">
      <alignment horizontal="right" vertical="center" readingOrder="1"/>
    </xf>
    <xf numFmtId="0" fontId="126" fillId="0" borderId="360" applyAlignment="1" pivotButton="0" quotePrefix="0" xfId="0">
      <alignment horizontal="right" vertical="center" readingOrder="1"/>
    </xf>
    <xf numFmtId="0" fontId="124" fillId="0" borderId="281" applyAlignment="1" pivotButton="0" quotePrefix="0" xfId="0">
      <alignment horizontal="left" vertical="center" readingOrder="1"/>
    </xf>
    <xf numFmtId="0" fontId="124" fillId="42" borderId="284" applyAlignment="1" pivotButton="0" quotePrefix="0" xfId="0">
      <alignment horizontal="left" vertical="center" readingOrder="1"/>
    </xf>
    <xf numFmtId="0" fontId="105" fillId="3" borderId="446" applyAlignment="1" pivotButton="0" quotePrefix="0" xfId="0">
      <alignment horizontal="center" vertical="center" wrapText="1" readingOrder="1"/>
    </xf>
    <xf numFmtId="0" fontId="105" fillId="0" borderId="347" applyAlignment="1" pivotButton="0" quotePrefix="0" xfId="0">
      <alignment horizontal="left" vertical="center" wrapText="1" readingOrder="1"/>
    </xf>
    <xf numFmtId="0" fontId="105" fillId="0" borderId="346" applyAlignment="1" pivotButton="0" quotePrefix="0" xfId="0">
      <alignment horizontal="left" vertical="center" wrapText="1" readingOrder="1"/>
    </xf>
    <xf numFmtId="0" fontId="105" fillId="0" borderId="348" applyAlignment="1" pivotButton="0" quotePrefix="0" xfId="0">
      <alignment horizontal="left" vertical="center" wrapText="1" readingOrder="1"/>
    </xf>
    <xf numFmtId="0" fontId="105" fillId="0" borderId="334" applyAlignment="1" pivotButton="0" quotePrefix="0" xfId="0">
      <alignment horizontal="left" vertical="center" wrapText="1" readingOrder="1"/>
    </xf>
    <xf numFmtId="0" fontId="105" fillId="0" borderId="336" applyAlignment="1" pivotButton="0" quotePrefix="0" xfId="0">
      <alignment horizontal="left" vertical="center" wrapText="1" readingOrder="1"/>
    </xf>
    <xf numFmtId="0" fontId="105" fillId="0" borderId="435" applyAlignment="1" pivotButton="0" quotePrefix="0" xfId="0">
      <alignment horizontal="left" vertical="center" wrapText="1" readingOrder="1"/>
    </xf>
    <xf numFmtId="0" fontId="105" fillId="0" borderId="341" applyAlignment="1" pivotButton="0" quotePrefix="0" xfId="0">
      <alignment horizontal="left" vertical="center" readingOrder="1"/>
    </xf>
    <xf numFmtId="0" fontId="105" fillId="0" borderId="356" applyAlignment="1" pivotButton="0" quotePrefix="0" xfId="0">
      <alignment horizontal="left" vertical="center" readingOrder="1"/>
    </xf>
    <xf numFmtId="0" fontId="105" fillId="0" borderId="335" applyAlignment="1" pivotButton="0" quotePrefix="0" xfId="0">
      <alignment horizontal="left" vertical="center" readingOrder="1"/>
    </xf>
    <xf numFmtId="0" fontId="130" fillId="0" borderId="356" applyAlignment="1" pivotButton="0" quotePrefix="0" xfId="0">
      <alignment vertical="center"/>
    </xf>
    <xf numFmtId="205" fontId="127" fillId="0" borderId="42" applyAlignment="1" pivotButton="0" quotePrefix="0" xfId="1">
      <alignment horizontal="right" vertical="center" readingOrder="1"/>
    </xf>
    <xf numFmtId="205" fontId="128" fillId="0" borderId="56" applyAlignment="1" pivotButton="0" quotePrefix="0" xfId="1">
      <alignment horizontal="right" vertical="center" readingOrder="1"/>
    </xf>
    <xf numFmtId="205" fontId="128" fillId="0" borderId="54" applyAlignment="1" pivotButton="0" quotePrefix="0" xfId="1">
      <alignment horizontal="right" vertical="center" readingOrder="1"/>
    </xf>
    <xf numFmtId="205" fontId="129" fillId="0" borderId="54" applyAlignment="1" pivotButton="0" quotePrefix="0" xfId="1">
      <alignment horizontal="right" vertical="center" readingOrder="1"/>
    </xf>
    <xf numFmtId="205" fontId="127" fillId="5" borderId="42" applyAlignment="1" pivotButton="0" quotePrefix="0" xfId="1">
      <alignment horizontal="right" vertical="center" readingOrder="1"/>
    </xf>
    <xf numFmtId="206" fontId="105" fillId="0" borderId="378" applyAlignment="1" pivotButton="0" quotePrefix="0" xfId="0">
      <alignment horizontal="right" vertical="center" wrapText="1" readingOrder="1"/>
    </xf>
    <xf numFmtId="206" fontId="104" fillId="0" borderId="381" applyAlignment="1" pivotButton="0" quotePrefix="0" xfId="0">
      <alignment horizontal="right" vertical="center" wrapText="1" readingOrder="1"/>
    </xf>
    <xf numFmtId="206" fontId="131" fillId="0" borderId="187" applyAlignment="1" pivotButton="0" quotePrefix="0" xfId="1">
      <alignment horizontal="right" vertical="center" readingOrder="1"/>
    </xf>
    <xf numFmtId="206" fontId="131" fillId="0" borderId="48" applyAlignment="1" pivotButton="0" quotePrefix="0" xfId="1">
      <alignment horizontal="right" vertical="center" readingOrder="1"/>
    </xf>
    <xf numFmtId="206" fontId="131" fillId="0" borderId="188" applyAlignment="1" pivotButton="0" quotePrefix="0" xfId="1">
      <alignment horizontal="right" vertical="center" readingOrder="1"/>
    </xf>
    <xf numFmtId="206" fontId="131" fillId="0" borderId="55" applyAlignment="1" pivotButton="0" quotePrefix="0" xfId="1">
      <alignment horizontal="right" vertical="center" readingOrder="1"/>
    </xf>
    <xf numFmtId="206" fontId="132" fillId="0" borderId="186" applyAlignment="1" pivotButton="0" quotePrefix="0" xfId="1">
      <alignment horizontal="right" vertical="center" readingOrder="1"/>
    </xf>
    <xf numFmtId="206" fontId="132" fillId="0" borderId="8" applyAlignment="1" pivotButton="0" quotePrefix="0" xfId="1">
      <alignment horizontal="right" vertical="center" readingOrder="1"/>
    </xf>
    <xf numFmtId="206" fontId="131" fillId="0" borderId="186" applyAlignment="1" pivotButton="0" quotePrefix="0" xfId="60307">
      <alignment horizontal="right" vertical="center" readingOrder="1"/>
    </xf>
    <xf numFmtId="206" fontId="131" fillId="0" borderId="53" applyAlignment="1" pivotButton="0" quotePrefix="0" xfId="60307">
      <alignment horizontal="right" vertical="center" readingOrder="1"/>
    </xf>
    <xf numFmtId="206" fontId="131" fillId="5" borderId="186" applyAlignment="1" pivotButton="0" quotePrefix="0" xfId="1">
      <alignment horizontal="right" vertical="center" readingOrder="1"/>
    </xf>
    <xf numFmtId="206" fontId="129" fillId="5" borderId="52" applyAlignment="1" pivotButton="0" quotePrefix="0" xfId="1">
      <alignment horizontal="right" vertical="center" readingOrder="1"/>
    </xf>
    <xf numFmtId="206" fontId="105" fillId="0" borderId="393" applyAlignment="1" pivotButton="0" quotePrefix="0" xfId="60307">
      <alignment horizontal="right" vertical="center" wrapText="1" readingOrder="1"/>
    </xf>
    <xf numFmtId="206" fontId="105" fillId="0" borderId="398" applyAlignment="1" pivotButton="0" quotePrefix="0" xfId="60307">
      <alignment horizontal="right" vertical="center" wrapText="1" readingOrder="1"/>
    </xf>
    <xf numFmtId="206" fontId="105" fillId="0" borderId="403" applyAlignment="1" pivotButton="0" quotePrefix="0" xfId="60307">
      <alignment horizontal="right" vertical="center" wrapText="1" readingOrder="1"/>
    </xf>
    <xf numFmtId="206" fontId="120" fillId="53" borderId="407" applyAlignment="1" pivotButton="0" quotePrefix="0" xfId="60307">
      <alignment horizontal="right" vertical="center" wrapText="1" readingOrder="1"/>
    </xf>
    <xf numFmtId="206" fontId="105" fillId="42" borderId="407" applyAlignment="1" pivotButton="0" quotePrefix="0" xfId="60307">
      <alignment horizontal="right" vertical="center" wrapText="1" readingOrder="1"/>
    </xf>
    <xf numFmtId="206" fontId="105" fillId="0" borderId="407" applyAlignment="1" pivotButton="0" quotePrefix="0" xfId="60307">
      <alignment horizontal="right" vertical="center" wrapText="1" readingOrder="1"/>
    </xf>
    <xf numFmtId="206" fontId="105" fillId="0" borderId="410" applyAlignment="1" pivotButton="0" quotePrefix="0" xfId="60307">
      <alignment horizontal="right" vertical="center" wrapText="1" readingOrder="1"/>
    </xf>
    <xf numFmtId="206" fontId="105" fillId="0" borderId="414" applyAlignment="1" pivotButton="0" quotePrefix="0" xfId="60307">
      <alignment horizontal="right" vertical="center" wrapText="1" readingOrder="1"/>
    </xf>
    <xf numFmtId="206" fontId="104" fillId="0" borderId="419" applyAlignment="1" pivotButton="0" quotePrefix="0" xfId="60307">
      <alignment horizontal="right" vertical="center" wrapText="1" readingOrder="1"/>
    </xf>
    <xf numFmtId="206" fontId="105" fillId="0" borderId="406" applyAlignment="1" pivotButton="0" quotePrefix="0" xfId="0">
      <alignment horizontal="right" vertical="center" wrapText="1" readingOrder="1"/>
    </xf>
    <xf numFmtId="206" fontId="105" fillId="0" borderId="111" applyAlignment="1" pivotButton="0" quotePrefix="0" xfId="0">
      <alignment horizontal="right" vertical="center" wrapText="1" readingOrder="1"/>
    </xf>
    <xf numFmtId="206" fontId="105" fillId="0" borderId="413" applyAlignment="1" pivotButton="0" quotePrefix="0" xfId="0">
      <alignment horizontal="right" vertical="center" wrapText="1" readingOrder="1"/>
    </xf>
    <xf numFmtId="206" fontId="105" fillId="0" borderId="415" applyAlignment="1" pivotButton="0" quotePrefix="0" xfId="0">
      <alignment horizontal="right" vertical="center" wrapText="1" readingOrder="1"/>
    </xf>
    <xf numFmtId="206" fontId="105" fillId="0" borderId="407" applyAlignment="1" pivotButton="0" quotePrefix="0" xfId="0">
      <alignment horizontal="right" vertical="center" wrapText="1" readingOrder="1"/>
    </xf>
    <xf numFmtId="206" fontId="105" fillId="0" borderId="427" applyAlignment="1" pivotButton="0" quotePrefix="0" xfId="0">
      <alignment horizontal="right" vertical="center" wrapText="1" readingOrder="1"/>
    </xf>
    <xf numFmtId="206" fontId="105" fillId="0" borderId="397" applyAlignment="1" pivotButton="0" quotePrefix="0" xfId="0">
      <alignment horizontal="right" vertical="center" wrapText="1" readingOrder="1"/>
    </xf>
    <xf numFmtId="206" fontId="105" fillId="0" borderId="398" applyAlignment="1" pivotButton="0" quotePrefix="0" xfId="0">
      <alignment horizontal="right" vertical="center" wrapText="1" readingOrder="1"/>
    </xf>
    <xf numFmtId="206" fontId="105" fillId="0" borderId="428" applyAlignment="1" pivotButton="0" quotePrefix="0" xfId="0">
      <alignment horizontal="right" vertical="center" wrapText="1" readingOrder="1"/>
    </xf>
    <xf numFmtId="206" fontId="105" fillId="0" borderId="429" applyAlignment="1" pivotButton="0" quotePrefix="0" xfId="0">
      <alignment horizontal="right" vertical="center" wrapText="1" readingOrder="1"/>
    </xf>
    <xf numFmtId="206" fontId="105" fillId="43" borderId="431" applyAlignment="1" pivotButton="0" quotePrefix="0" xfId="0">
      <alignment horizontal="right" vertical="center" wrapText="1" readingOrder="1"/>
    </xf>
    <xf numFmtId="206" fontId="105" fillId="43" borderId="334" applyAlignment="1" pivotButton="0" quotePrefix="0" xfId="0">
      <alignment horizontal="right" vertical="center" wrapText="1" readingOrder="1"/>
    </xf>
    <xf numFmtId="206" fontId="105" fillId="43" borderId="432" applyAlignment="1" pivotButton="0" quotePrefix="0" xfId="0">
      <alignment horizontal="right" vertical="center" wrapText="1" readingOrder="1"/>
    </xf>
    <xf numFmtId="206" fontId="105" fillId="43" borderId="433" applyAlignment="1" pivotButton="0" quotePrefix="0" xfId="0">
      <alignment horizontal="right" vertical="center" wrapText="1" readingOrder="1"/>
    </xf>
    <xf numFmtId="206" fontId="105" fillId="43" borderId="437" applyAlignment="1" pivotButton="0" quotePrefix="0" xfId="0">
      <alignment horizontal="right" vertical="center" wrapText="1" readingOrder="1"/>
    </xf>
    <xf numFmtId="206" fontId="105" fillId="43" borderId="436" applyAlignment="1" pivotButton="0" quotePrefix="0" xfId="0">
      <alignment horizontal="right" vertical="center" wrapText="1" readingOrder="1"/>
    </xf>
    <xf numFmtId="206" fontId="105" fillId="43" borderId="385" applyAlignment="1" pivotButton="0" quotePrefix="0" xfId="0">
      <alignment horizontal="right" vertical="center" wrapText="1" readingOrder="1"/>
    </xf>
    <xf numFmtId="206" fontId="105" fillId="43" borderId="438" applyAlignment="1" pivotButton="0" quotePrefix="0" xfId="0">
      <alignment horizontal="right" vertical="center" wrapText="1" readingOrder="1"/>
    </xf>
    <xf numFmtId="206" fontId="120" fillId="43" borderId="406" applyAlignment="1" pivotButton="0" quotePrefix="0" xfId="0">
      <alignment horizontal="right" vertical="center" wrapText="1" readingOrder="1"/>
    </xf>
    <xf numFmtId="206" fontId="120" fillId="43" borderId="407" applyAlignment="1" pivotButton="0" quotePrefix="0" xfId="0">
      <alignment horizontal="right" vertical="center" wrapText="1" readingOrder="1"/>
    </xf>
    <xf numFmtId="206" fontId="120" fillId="43" borderId="378" applyAlignment="1" pivotButton="0" quotePrefix="0" xfId="0">
      <alignment horizontal="right" vertical="center" wrapText="1" readingOrder="1"/>
    </xf>
    <xf numFmtId="206" fontId="105" fillId="43" borderId="427" applyAlignment="1" pivotButton="0" quotePrefix="0" xfId="0">
      <alignment horizontal="right" vertical="center" wrapText="1" readingOrder="1"/>
    </xf>
    <xf numFmtId="206" fontId="105" fillId="43" borderId="407" applyAlignment="1" pivotButton="0" quotePrefix="0" xfId="0">
      <alignment horizontal="right" vertical="center" wrapText="1" readingOrder="1"/>
    </xf>
    <xf numFmtId="206" fontId="105" fillId="43" borderId="378" applyAlignment="1" pivotButton="0" quotePrefix="0" xfId="0">
      <alignment horizontal="right" vertical="center" wrapText="1" readingOrder="1"/>
    </xf>
    <xf numFmtId="206" fontId="104" fillId="0" borderId="439" applyAlignment="1" pivotButton="0" quotePrefix="0" xfId="0">
      <alignment horizontal="right" vertical="center" wrapText="1" readingOrder="1"/>
    </xf>
    <xf numFmtId="206" fontId="104" fillId="0" borderId="410" applyAlignment="1" pivotButton="0" quotePrefix="0" xfId="0">
      <alignment horizontal="right" vertical="center" wrapText="1" readingOrder="1"/>
    </xf>
    <xf numFmtId="206" fontId="104" fillId="0" borderId="440" applyAlignment="1" pivotButton="0" quotePrefix="0" xfId="0">
      <alignment horizontal="right" vertical="center" wrapText="1" readingOrder="1"/>
    </xf>
    <xf numFmtId="206" fontId="105" fillId="0" borderId="382" applyAlignment="1" pivotButton="0" quotePrefix="0" xfId="0">
      <alignment horizontal="right" vertical="center" wrapText="1" readingOrder="1"/>
    </xf>
    <xf numFmtId="206" fontId="105" fillId="0" borderId="383" applyAlignment="1" pivotButton="0" quotePrefix="0" xfId="0">
      <alignment horizontal="right" vertical="center" wrapText="1" readingOrder="1"/>
    </xf>
    <xf numFmtId="206" fontId="117" fillId="0" borderId="384" applyAlignment="1" pivotButton="0" quotePrefix="0" xfId="0">
      <alignment horizontal="right" vertical="center" wrapText="1" readingOrder="1"/>
    </xf>
    <xf numFmtId="206" fontId="105" fillId="0" borderId="443" applyAlignment="1" pivotButton="0" quotePrefix="0" xfId="0">
      <alignment horizontal="right" vertical="center" wrapText="1" readingOrder="1"/>
    </xf>
    <xf numFmtId="206" fontId="105" fillId="0" borderId="444" applyAlignment="1" pivotButton="0" quotePrefix="0" xfId="0">
      <alignment horizontal="right" vertical="center" wrapText="1" readingOrder="1"/>
    </xf>
    <xf numFmtId="206" fontId="104" fillId="0" borderId="445" applyAlignment="1" pivotButton="0" quotePrefix="0" xfId="0">
      <alignment horizontal="right" vertical="center" wrapText="1" readingOrder="1"/>
    </xf>
    <xf numFmtId="206" fontId="104" fillId="0" borderId="446" applyAlignment="1" pivotButton="0" quotePrefix="0" xfId="0">
      <alignment horizontal="right" vertical="center" wrapText="1" readingOrder="1"/>
    </xf>
    <xf numFmtId="206" fontId="104" fillId="0" borderId="447" applyAlignment="1" pivotButton="0" quotePrefix="0" xfId="0">
      <alignment horizontal="right" vertical="center" wrapText="1" readingOrder="1"/>
    </xf>
    <xf numFmtId="206" fontId="104" fillId="0" borderId="384" applyAlignment="1" pivotButton="0" quotePrefix="0" xfId="0">
      <alignment horizontal="right" vertical="center" wrapText="1" readingOrder="1"/>
    </xf>
    <xf numFmtId="206" fontId="104" fillId="0" borderId="448" applyAlignment="1" pivotButton="0" quotePrefix="0" xfId="0">
      <alignment horizontal="right" vertical="center" wrapText="1" readingOrder="1"/>
    </xf>
    <xf numFmtId="206" fontId="104" fillId="0" borderId="449" applyAlignment="1" pivotButton="0" quotePrefix="0" xfId="0">
      <alignment horizontal="right" vertical="center" wrapText="1" readingOrder="1"/>
    </xf>
    <xf numFmtId="206" fontId="104" fillId="0" borderId="450" applyAlignment="1" pivotButton="0" quotePrefix="0" xfId="0">
      <alignment horizontal="right" vertical="center" wrapText="1" readingOrder="1"/>
    </xf>
    <xf numFmtId="206" fontId="117" fillId="0" borderId="451" applyAlignment="1" pivotButton="0" quotePrefix="0" xfId="0">
      <alignment horizontal="right" vertical="center" wrapText="1" readingOrder="1"/>
    </xf>
    <xf numFmtId="207" fontId="121" fillId="0" borderId="397" applyAlignment="1" pivotButton="0" quotePrefix="0" xfId="0">
      <alignment horizontal="right" vertical="center" wrapText="1" readingOrder="1"/>
    </xf>
    <xf numFmtId="207" fontId="121" fillId="0" borderId="398" applyAlignment="1" pivotButton="0" quotePrefix="0" xfId="0">
      <alignment horizontal="right" vertical="center" wrapText="1" readingOrder="1"/>
    </xf>
    <xf numFmtId="207" fontId="121" fillId="0" borderId="302" applyAlignment="1" pivotButton="0" quotePrefix="0" xfId="0">
      <alignment horizontal="right" vertical="center" wrapText="1" readingOrder="1"/>
    </xf>
    <xf numFmtId="207" fontId="121" fillId="0" borderId="303" applyAlignment="1" pivotButton="0" quotePrefix="0" xfId="0">
      <alignment horizontal="right" vertical="center" wrapText="1" readingOrder="1"/>
    </xf>
    <xf numFmtId="207" fontId="121" fillId="0" borderId="304" applyAlignment="1" pivotButton="0" quotePrefix="0" xfId="0">
      <alignment horizontal="right" vertical="center" wrapText="1" readingOrder="1"/>
    </xf>
    <xf numFmtId="207" fontId="121" fillId="0" borderId="431" applyAlignment="1" pivotButton="0" quotePrefix="0" xfId="0">
      <alignment horizontal="right" vertical="center" wrapText="1" readingOrder="1"/>
    </xf>
    <xf numFmtId="207" fontId="121" fillId="0" borderId="334" applyAlignment="1" pivotButton="0" quotePrefix="0" xfId="0">
      <alignment horizontal="right" vertical="center" wrapText="1" readingOrder="1"/>
    </xf>
    <xf numFmtId="207" fontId="121" fillId="0" borderId="313" applyAlignment="1" pivotButton="0" quotePrefix="0" xfId="0">
      <alignment horizontal="right" vertical="center" wrapText="1" readingOrder="1"/>
    </xf>
    <xf numFmtId="207" fontId="121" fillId="0" borderId="132" applyAlignment="1" pivotButton="0" quotePrefix="0" xfId="0">
      <alignment horizontal="right" vertical="center" wrapText="1" readingOrder="1"/>
    </xf>
    <xf numFmtId="207" fontId="121" fillId="0" borderId="314" applyAlignment="1" pivotButton="0" quotePrefix="0" xfId="0">
      <alignment horizontal="right" vertical="center" wrapText="1" readingOrder="1"/>
    </xf>
    <xf numFmtId="207" fontId="121" fillId="0" borderId="437" applyAlignment="1" pivotButton="0" quotePrefix="0" xfId="0">
      <alignment horizontal="right" vertical="center" wrapText="1" readingOrder="1"/>
    </xf>
    <xf numFmtId="207" fontId="121" fillId="0" borderId="436" applyAlignment="1" pivotButton="0" quotePrefix="0" xfId="0">
      <alignment horizontal="right" vertical="center" wrapText="1" readingOrder="1"/>
    </xf>
    <xf numFmtId="207" fontId="121" fillId="0" borderId="320" applyAlignment="1" pivotButton="0" quotePrefix="0" xfId="0">
      <alignment horizontal="right" vertical="center" wrapText="1" readingOrder="1"/>
    </xf>
    <xf numFmtId="207" fontId="121" fillId="0" borderId="321" applyAlignment="1" pivotButton="0" quotePrefix="0" xfId="0">
      <alignment horizontal="right" vertical="center" wrapText="1" readingOrder="1"/>
    </xf>
    <xf numFmtId="207" fontId="121" fillId="0" borderId="322" applyAlignment="1" pivotButton="0" quotePrefix="0" xfId="0">
      <alignment horizontal="right" vertical="center" wrapText="1" readingOrder="1"/>
    </xf>
    <xf numFmtId="207" fontId="121" fillId="0" borderId="453" applyAlignment="1" pivotButton="0" quotePrefix="0" xfId="0">
      <alignment horizontal="right" vertical="center" wrapText="1" readingOrder="1"/>
    </xf>
    <xf numFmtId="207" fontId="121" fillId="0" borderId="454" applyAlignment="1" pivotButton="0" quotePrefix="0" xfId="0">
      <alignment horizontal="right" vertical="center" wrapText="1" readingOrder="1"/>
    </xf>
    <xf numFmtId="207" fontId="121" fillId="0" borderId="328" applyAlignment="1" pivotButton="0" quotePrefix="0" xfId="0">
      <alignment horizontal="right" vertical="center" wrapText="1" readingOrder="1"/>
    </xf>
    <xf numFmtId="207" fontId="121" fillId="0" borderId="329" applyAlignment="1" pivotButton="0" quotePrefix="0" xfId="0">
      <alignment horizontal="right" vertical="center" wrapText="1" readingOrder="1"/>
    </xf>
    <xf numFmtId="207" fontId="121" fillId="0" borderId="330" applyAlignment="1" pivotButton="0" quotePrefix="0" xfId="0">
      <alignment horizontal="right" vertical="center" wrapText="1" readingOrder="1"/>
    </xf>
    <xf numFmtId="207" fontId="121" fillId="0" borderId="457" applyAlignment="1" pivotButton="0" quotePrefix="0" xfId="0">
      <alignment horizontal="right" vertical="center" wrapText="1" readingOrder="1"/>
    </xf>
    <xf numFmtId="207" fontId="121" fillId="0" borderId="336" applyAlignment="1" pivotButton="0" quotePrefix="0" xfId="0">
      <alignment horizontal="right" vertical="center" wrapText="1" readingOrder="1"/>
    </xf>
    <xf numFmtId="207" fontId="121" fillId="0" borderId="338" applyAlignment="1" pivotButton="0" quotePrefix="0" xfId="0">
      <alignment horizontal="right" vertical="center" wrapText="1" readingOrder="1"/>
    </xf>
    <xf numFmtId="207" fontId="121" fillId="0" borderId="122" applyAlignment="1" pivotButton="0" quotePrefix="0" xfId="0">
      <alignment horizontal="right" vertical="center" wrapText="1" readingOrder="1"/>
    </xf>
    <xf numFmtId="207" fontId="121" fillId="0" borderId="339" applyAlignment="1" pivotButton="0" quotePrefix="0" xfId="0">
      <alignment horizontal="right" vertical="center" wrapText="1" readingOrder="1"/>
    </xf>
    <xf numFmtId="207" fontId="121" fillId="0" borderId="458" applyAlignment="1" pivotButton="0" quotePrefix="0" xfId="0">
      <alignment horizontal="right" vertical="center" wrapText="1" readingOrder="1"/>
    </xf>
    <xf numFmtId="207" fontId="121" fillId="0" borderId="351" applyAlignment="1" pivotButton="0" quotePrefix="0" xfId="0">
      <alignment horizontal="right" vertical="center" wrapText="1" readingOrder="1"/>
    </xf>
    <xf numFmtId="207" fontId="121" fillId="0" borderId="343" applyAlignment="1" pivotButton="0" quotePrefix="0" xfId="0">
      <alignment horizontal="right" vertical="center" wrapText="1" readingOrder="1"/>
    </xf>
    <xf numFmtId="207" fontId="121" fillId="0" borderId="129" applyAlignment="1" pivotButton="0" quotePrefix="0" xfId="0">
      <alignment horizontal="right" vertical="center" wrapText="1" readingOrder="1"/>
    </xf>
    <xf numFmtId="207" fontId="121" fillId="0" borderId="344" applyAlignment="1" pivotButton="0" quotePrefix="0" xfId="0">
      <alignment horizontal="right" vertical="center" wrapText="1" readingOrder="1"/>
    </xf>
    <xf numFmtId="208" fontId="125" fillId="0" borderId="397" applyAlignment="1" pivotButton="0" quotePrefix="0" xfId="0">
      <alignment horizontal="right" vertical="center" wrapText="1" readingOrder="1"/>
    </xf>
    <xf numFmtId="208" fontId="125" fillId="0" borderId="398" applyAlignment="1" pivotButton="0" quotePrefix="0" xfId="0">
      <alignment horizontal="right" vertical="center" wrapText="1" readingOrder="1"/>
    </xf>
    <xf numFmtId="208" fontId="125" fillId="0" borderId="302" applyAlignment="1" pivotButton="0" quotePrefix="0" xfId="0">
      <alignment horizontal="right" vertical="center" wrapText="1" readingOrder="1"/>
    </xf>
    <xf numFmtId="208" fontId="125" fillId="0" borderId="303" applyAlignment="1" pivotButton="0" quotePrefix="0" xfId="0">
      <alignment horizontal="right" vertical="center" wrapText="1" readingOrder="1"/>
    </xf>
    <xf numFmtId="208" fontId="125" fillId="0" borderId="304" applyAlignment="1" pivotButton="0" quotePrefix="0" xfId="0">
      <alignment horizontal="right" vertical="center" wrapText="1" readingOrder="1"/>
    </xf>
    <xf numFmtId="208" fontId="125" fillId="0" borderId="402" applyAlignment="1" pivotButton="0" quotePrefix="0" xfId="0">
      <alignment horizontal="right" vertical="center" wrapText="1" readingOrder="1"/>
    </xf>
    <xf numFmtId="208" fontId="125" fillId="0" borderId="403" applyAlignment="1" pivotButton="0" quotePrefix="0" xfId="0">
      <alignment horizontal="right" vertical="center" wrapText="1" readingOrder="1"/>
    </xf>
    <xf numFmtId="208" fontId="125" fillId="0" borderId="357" applyAlignment="1" pivotButton="0" quotePrefix="0" xfId="0">
      <alignment horizontal="right" vertical="center" wrapText="1" readingOrder="1"/>
    </xf>
    <xf numFmtId="208" fontId="125" fillId="0" borderId="358" applyAlignment="1" pivotButton="0" quotePrefix="0" xfId="0">
      <alignment horizontal="right" vertical="center" wrapText="1" readingOrder="1"/>
    </xf>
    <xf numFmtId="208" fontId="125" fillId="0" borderId="359" applyAlignment="1" pivotButton="0" quotePrefix="0" xfId="0">
      <alignment horizontal="right" vertical="center" wrapText="1" readingOrder="1"/>
    </xf>
    <xf numFmtId="208" fontId="121" fillId="0" borderId="406" applyAlignment="1" pivotButton="0" quotePrefix="0" xfId="0">
      <alignment horizontal="right" vertical="center" wrapText="1" readingOrder="1"/>
    </xf>
    <xf numFmtId="208" fontId="121" fillId="0" borderId="407" applyAlignment="1" pivotButton="0" quotePrefix="0" xfId="0">
      <alignment horizontal="right" vertical="center" wrapText="1" readingOrder="1"/>
    </xf>
    <xf numFmtId="208" fontId="121" fillId="0" borderId="288" applyAlignment="1" pivotButton="0" quotePrefix="0" xfId="0">
      <alignment horizontal="right" vertical="center" wrapText="1" readingOrder="1"/>
    </xf>
    <xf numFmtId="208" fontId="121" fillId="0" borderId="294" applyAlignment="1" pivotButton="0" quotePrefix="0" xfId="0">
      <alignment horizontal="right" vertical="center" wrapText="1" readingOrder="1"/>
    </xf>
    <xf numFmtId="208" fontId="121" fillId="0" borderId="290" applyAlignment="1" pivotButton="0" quotePrefix="0" xfId="0">
      <alignment horizontal="right" vertical="center" wrapText="1" readingOrder="1"/>
    </xf>
    <xf numFmtId="208" fontId="122" fillId="0" borderId="406" applyAlignment="1" pivotButton="0" quotePrefix="0" xfId="0">
      <alignment horizontal="right" vertical="center" wrapText="1" readingOrder="1"/>
    </xf>
    <xf numFmtId="207" fontId="104" fillId="42" borderId="406" applyAlignment="1" pivotButton="0" quotePrefix="0" xfId="0">
      <alignment horizontal="right" vertical="center" wrapText="1" readingOrder="1"/>
    </xf>
    <xf numFmtId="207" fontId="130" fillId="42" borderId="407" applyAlignment="1" pivotButton="0" quotePrefix="0" xfId="0">
      <alignment vertical="center" wrapText="1"/>
    </xf>
    <xf numFmtId="207" fontId="104" fillId="42" borderId="288" applyAlignment="1" pivotButton="0" quotePrefix="0" xfId="0">
      <alignment horizontal="right" vertical="center" wrapText="1" readingOrder="1"/>
    </xf>
    <xf numFmtId="207" fontId="104" fillId="42" borderId="294" applyAlignment="1" pivotButton="0" quotePrefix="0" xfId="0">
      <alignment horizontal="right" vertical="center" wrapText="1" readingOrder="1"/>
    </xf>
    <xf numFmtId="207" fontId="104" fillId="42" borderId="290" applyAlignment="1" pivotButton="0" quotePrefix="0" xfId="0">
      <alignment horizontal="right" vertical="center" wrapText="1" readingOrder="1"/>
    </xf>
    <xf numFmtId="207" fontId="104" fillId="42" borderId="407" applyAlignment="1" pivotButton="0" quotePrefix="0" xfId="0">
      <alignment horizontal="right" vertical="center" wrapText="1" readingOrder="1"/>
    </xf>
    <xf numFmtId="206" fontId="121" fillId="0" borderId="313" applyAlignment="1" pivotButton="0" quotePrefix="0" xfId="0">
      <alignment horizontal="right" vertical="center" wrapText="1" readingOrder="1"/>
    </xf>
    <xf numFmtId="206" fontId="121" fillId="0" borderId="132" applyAlignment="1" pivotButton="0" quotePrefix="0" xfId="0">
      <alignment horizontal="right" vertical="center" wrapText="1" readingOrder="1"/>
    </xf>
    <xf numFmtId="206" fontId="121" fillId="0" borderId="314" applyAlignment="1" pivotButton="0" quotePrefix="0" xfId="0">
      <alignment horizontal="right" vertical="center" wrapText="1" readingOrder="1"/>
    </xf>
    <xf numFmtId="206" fontId="121" fillId="0" borderId="338" applyAlignment="1" pivotButton="0" quotePrefix="0" xfId="0">
      <alignment horizontal="right" vertical="center" wrapText="1" readingOrder="1"/>
    </xf>
    <xf numFmtId="206" fontId="121" fillId="0" borderId="122" applyAlignment="1" pivotButton="0" quotePrefix="0" xfId="0">
      <alignment horizontal="right" vertical="center" wrapText="1" readingOrder="1"/>
    </xf>
    <xf numFmtId="206" fontId="121" fillId="0" borderId="339" applyAlignment="1" pivotButton="0" quotePrefix="0" xfId="0">
      <alignment horizontal="right" vertical="center" wrapText="1" readingOrder="1"/>
    </xf>
    <xf numFmtId="206" fontId="121" fillId="0" borderId="343" applyAlignment="1" pivotButton="0" quotePrefix="0" xfId="0">
      <alignment horizontal="right" vertical="center" wrapText="1" readingOrder="1"/>
    </xf>
    <xf numFmtId="206" fontId="121" fillId="0" borderId="129" applyAlignment="1" pivotButton="0" quotePrefix="0" xfId="0">
      <alignment horizontal="right" vertical="center" wrapText="1" readingOrder="1"/>
    </xf>
    <xf numFmtId="206" fontId="121" fillId="0" borderId="344" applyAlignment="1" pivotButton="0" quotePrefix="0" xfId="0">
      <alignment horizontal="right" vertical="center" wrapText="1" readingOrder="1"/>
    </xf>
    <xf numFmtId="206" fontId="105" fillId="0" borderId="380" applyAlignment="1" pivotButton="0" quotePrefix="0" xfId="0">
      <alignment horizontal="right" vertical="center" wrapText="1" readingOrder="1"/>
    </xf>
    <xf numFmtId="206" fontId="105" fillId="0" borderId="461" applyAlignment="1" pivotButton="0" quotePrefix="0" xfId="0">
      <alignment horizontal="right" vertical="center" wrapText="1" readingOrder="1"/>
    </xf>
    <xf numFmtId="206" fontId="105" fillId="0" borderId="453" applyAlignment="1" pivotButton="0" quotePrefix="0" xfId="0">
      <alignment horizontal="right" vertical="center" wrapText="1" readingOrder="1"/>
    </xf>
    <xf numFmtId="206" fontId="105" fillId="0" borderId="454" applyAlignment="1" pivotButton="0" quotePrefix="0" xfId="0">
      <alignment horizontal="right" vertical="center" wrapText="1" readingOrder="1"/>
    </xf>
    <xf numFmtId="206" fontId="105" fillId="0" borderId="463" applyAlignment="1" pivotButton="0" quotePrefix="0" xfId="0">
      <alignment horizontal="right" vertical="center" wrapText="1" readingOrder="1"/>
    </xf>
    <xf numFmtId="206" fontId="105" fillId="0" borderId="464" applyAlignment="1" pivotButton="0" quotePrefix="0" xfId="0">
      <alignment horizontal="right" vertical="center" wrapText="1" readingOrder="1"/>
    </xf>
    <xf numFmtId="206" fontId="105" fillId="0" borderId="465" applyAlignment="1" pivotButton="0" quotePrefix="0" xfId="0">
      <alignment horizontal="right" vertical="center" wrapText="1" readingOrder="1"/>
    </xf>
    <xf numFmtId="206" fontId="105" fillId="0" borderId="431" applyAlignment="1" pivotButton="0" quotePrefix="0" xfId="0">
      <alignment horizontal="right" vertical="center" wrapText="1" readingOrder="1"/>
    </xf>
    <xf numFmtId="206" fontId="105" fillId="0" borderId="334" applyAlignment="1" pivotButton="0" quotePrefix="0" xfId="0">
      <alignment horizontal="right" vertical="center" wrapText="1" readingOrder="1"/>
    </xf>
    <xf numFmtId="206" fontId="105" fillId="0" borderId="432" applyAlignment="1" pivotButton="0" quotePrefix="0" xfId="0">
      <alignment horizontal="right" vertical="center" wrapText="1" readingOrder="1"/>
    </xf>
    <xf numFmtId="206" fontId="105" fillId="0" borderId="433" applyAlignment="1" pivotButton="0" quotePrefix="0" xfId="0">
      <alignment horizontal="right" vertical="center" wrapText="1" readingOrder="1"/>
    </xf>
    <xf numFmtId="206" fontId="105" fillId="0" borderId="467" applyAlignment="1" pivotButton="0" quotePrefix="0" xfId="0">
      <alignment horizontal="right" vertical="center" wrapText="1" readingOrder="1"/>
    </xf>
    <xf numFmtId="206" fontId="105" fillId="0" borderId="457" applyAlignment="1" pivotButton="0" quotePrefix="0" xfId="0">
      <alignment horizontal="right" vertical="center" wrapText="1" readingOrder="1"/>
    </xf>
    <xf numFmtId="206" fontId="105" fillId="0" borderId="336" applyAlignment="1" pivotButton="0" quotePrefix="0" xfId="0">
      <alignment horizontal="right" vertical="center" wrapText="1" readingOrder="1"/>
    </xf>
    <xf numFmtId="206" fontId="105" fillId="0" borderId="468" applyAlignment="1" pivotButton="0" quotePrefix="0" xfId="0">
      <alignment horizontal="right" vertical="center" wrapText="1" readingOrder="1"/>
    </xf>
    <xf numFmtId="206" fontId="105" fillId="0" borderId="469" applyAlignment="1" pivotButton="0" quotePrefix="0" xfId="0">
      <alignment horizontal="right" vertical="center" wrapText="1" readingOrder="1"/>
    </xf>
    <xf numFmtId="206" fontId="105" fillId="0" borderId="470" applyAlignment="1" pivotButton="0" quotePrefix="0" xfId="0">
      <alignment horizontal="right" vertical="center" wrapText="1" readingOrder="1"/>
    </xf>
    <xf numFmtId="206" fontId="105" fillId="0" borderId="473" applyAlignment="1" pivotButton="0" quotePrefix="0" xfId="0">
      <alignment horizontal="right" vertical="center" wrapText="1" readingOrder="1"/>
    </xf>
    <xf numFmtId="206" fontId="105" fillId="0" borderId="351" applyAlignment="1" pivotButton="0" quotePrefix="0" xfId="0">
      <alignment horizontal="right" vertical="center" wrapText="1" readingOrder="1"/>
    </xf>
    <xf numFmtId="206" fontId="105" fillId="0" borderId="474" applyAlignment="1" pivotButton="0" quotePrefix="0" xfId="0">
      <alignment horizontal="right" vertical="center" wrapText="1" readingOrder="1"/>
    </xf>
    <xf numFmtId="206" fontId="105" fillId="0" borderId="445" applyAlignment="1" pivotButton="0" quotePrefix="0" xfId="0">
      <alignment horizontal="right" vertical="center" wrapText="1" readingOrder="1"/>
    </xf>
    <xf numFmtId="206" fontId="105" fillId="0" borderId="476" applyAlignment="1" pivotButton="0" quotePrefix="0" xfId="0">
      <alignment horizontal="right" vertical="center" wrapText="1" readingOrder="1"/>
    </xf>
    <xf numFmtId="206" fontId="105" fillId="0" borderId="458" applyAlignment="1" pivotButton="0" quotePrefix="0" xfId="0">
      <alignment horizontal="right" vertical="center" wrapText="1" readingOrder="1"/>
    </xf>
    <xf numFmtId="206" fontId="105" fillId="0" borderId="437" applyAlignment="1" pivotButton="0" quotePrefix="0" xfId="0">
      <alignment horizontal="right" vertical="center" wrapText="1" readingOrder="1"/>
    </xf>
    <xf numFmtId="206" fontId="105" fillId="0" borderId="436" applyAlignment="1" pivotButton="0" quotePrefix="0" xfId="0">
      <alignment horizontal="right" vertical="center" wrapText="1" readingOrder="1"/>
    </xf>
    <xf numFmtId="206" fontId="105" fillId="0" borderId="385" applyAlignment="1" pivotButton="0" quotePrefix="0" xfId="0">
      <alignment horizontal="right" vertical="center" wrapText="1" readingOrder="1"/>
    </xf>
    <xf numFmtId="206" fontId="105" fillId="0" borderId="438" applyAlignment="1" pivotButton="0" quotePrefix="0" xfId="0">
      <alignment horizontal="right" vertical="center" wrapText="1" readingOrder="1"/>
    </xf>
    <xf numFmtId="206" fontId="105" fillId="0" borderId="386" applyAlignment="1" pivotButton="0" quotePrefix="0" xfId="0">
      <alignment horizontal="right" vertical="center" wrapText="1" readingOrder="1"/>
    </xf>
    <xf numFmtId="206" fontId="104" fillId="42" borderId="406" applyAlignment="1" pivotButton="0" quotePrefix="0" xfId="0">
      <alignment horizontal="right" vertical="center" wrapText="1" readingOrder="1"/>
    </xf>
    <xf numFmtId="206" fontId="104" fillId="42" borderId="407" applyAlignment="1" pivotButton="0" quotePrefix="0" xfId="0">
      <alignment horizontal="right" vertical="center" wrapText="1" readingOrder="1"/>
    </xf>
    <xf numFmtId="206" fontId="104" fillId="42" borderId="378" applyAlignment="1" pivotButton="0" quotePrefix="0" xfId="0">
      <alignment horizontal="right" vertical="center" wrapText="1" readingOrder="1"/>
    </xf>
    <xf numFmtId="206" fontId="104" fillId="42" borderId="439" applyAlignment="1" pivotButton="0" quotePrefix="0" xfId="0">
      <alignment horizontal="right" vertical="center" wrapText="1" readingOrder="1"/>
    </xf>
    <xf numFmtId="206" fontId="104" fillId="42" borderId="410" applyAlignment="1" pivotButton="0" quotePrefix="0" xfId="0">
      <alignment horizontal="right" vertical="center" wrapText="1" readingOrder="1"/>
    </xf>
    <xf numFmtId="206" fontId="104" fillId="42" borderId="440" applyAlignment="1" pivotButton="0" quotePrefix="0" xfId="0">
      <alignment horizontal="right" vertical="center" wrapText="1" readingOrder="1"/>
    </xf>
    <xf numFmtId="206" fontId="117" fillId="42" borderId="380" applyAlignment="1" pivotButton="0" quotePrefix="0" xfId="0">
      <alignment horizontal="right" vertical="center" wrapText="1" readingOrder="1"/>
    </xf>
    <xf numFmtId="0" fontId="130" fillId="0" borderId="281" applyAlignment="1" pivotButton="0" quotePrefix="0" xfId="0">
      <alignment horizontal="left" vertical="center"/>
    </xf>
    <xf numFmtId="0" fontId="130" fillId="0" borderId="400" applyAlignment="1" pivotButton="0" quotePrefix="0" xfId="0">
      <alignment horizontal="left" vertical="center"/>
    </xf>
    <xf numFmtId="0" fontId="130" fillId="0" borderId="466" applyAlignment="1" pivotButton="0" quotePrefix="0" xfId="0">
      <alignment horizontal="left" vertical="center"/>
    </xf>
    <xf numFmtId="0" fontId="130" fillId="0" borderId="335" applyAlignment="1" pivotButton="0" quotePrefix="0" xfId="0">
      <alignment horizontal="left" vertical="center"/>
    </xf>
    <xf numFmtId="0" fontId="130" fillId="0" borderId="292" applyAlignment="1" pivotButton="0" quotePrefix="0" xfId="0">
      <alignment horizontal="left" vertical="center"/>
    </xf>
    <xf numFmtId="0" fontId="130" fillId="0" borderId="341" applyAlignment="1" pivotButton="0" quotePrefix="0" xfId="0">
      <alignment horizontal="left" vertical="center"/>
    </xf>
    <xf numFmtId="0" fontId="130" fillId="0" borderId="356" applyAlignment="1" pivotButton="0" quotePrefix="0" xfId="0">
      <alignment horizontal="left" vertical="center"/>
    </xf>
    <xf numFmtId="0" fontId="130" fillId="42" borderId="281" applyAlignment="1" pivotButton="0" quotePrefix="0" xfId="0">
      <alignment horizontal="left" vertical="center"/>
    </xf>
    <xf numFmtId="168" fontId="9" fillId="0" borderId="1" applyAlignment="1" pivotButton="0" quotePrefix="0" xfId="2">
      <alignment horizontal="right" vertical="center" readingOrder="1"/>
    </xf>
    <xf numFmtId="168" fontId="9" fillId="0" borderId="5" applyAlignment="1" pivotButton="0" quotePrefix="0" xfId="2">
      <alignment horizontal="right" vertical="center" readingOrder="1"/>
    </xf>
    <xf numFmtId="168" fontId="9" fillId="0" borderId="50" applyAlignment="1" pivotButton="0" quotePrefix="0" xfId="2">
      <alignment horizontal="right" vertical="center" readingOrder="1"/>
    </xf>
    <xf numFmtId="168" fontId="9" fillId="0" borderId="8" applyAlignment="1" pivotButton="0" quotePrefix="0" xfId="2">
      <alignment horizontal="right" vertical="center" readingOrder="1"/>
    </xf>
    <xf numFmtId="168" fontId="9" fillId="0" borderId="23" applyAlignment="1" pivotButton="0" quotePrefix="0" xfId="2">
      <alignment horizontal="right" vertical="center" readingOrder="1"/>
    </xf>
    <xf numFmtId="168" fontId="9" fillId="0" borderId="75" applyAlignment="1" pivotButton="0" quotePrefix="0" xfId="2">
      <alignment horizontal="right" vertical="center" readingOrder="1"/>
    </xf>
    <xf numFmtId="168" fontId="9" fillId="0" borderId="81" applyAlignment="1" pivotButton="0" quotePrefix="0" xfId="2">
      <alignment horizontal="right" vertical="center" readingOrder="1"/>
    </xf>
    <xf numFmtId="168" fontId="9" fillId="0" borderId="22" applyAlignment="1" pivotButton="0" quotePrefix="0" xfId="2">
      <alignment horizontal="right" vertical="center" readingOrder="1"/>
    </xf>
    <xf numFmtId="168" fontId="9" fillId="0" borderId="31" applyAlignment="1" pivotButton="0" quotePrefix="0" xfId="2">
      <alignment horizontal="right" vertical="center" readingOrder="1"/>
    </xf>
    <xf numFmtId="168" fontId="9" fillId="0" borderId="76" applyAlignment="1" pivotButton="0" quotePrefix="0" xfId="2">
      <alignment horizontal="right" vertical="center" readingOrder="1"/>
    </xf>
    <xf numFmtId="168" fontId="9" fillId="0" borderId="82" applyAlignment="1" pivotButton="0" quotePrefix="0" xfId="2">
      <alignment horizontal="right" vertical="center" readingOrder="1"/>
    </xf>
    <xf numFmtId="168" fontId="9" fillId="0" borderId="33" applyAlignment="1" pivotButton="0" quotePrefix="0" xfId="2">
      <alignment horizontal="right" vertical="center" readingOrder="1"/>
    </xf>
    <xf numFmtId="168" fontId="9" fillId="0" borderId="15" applyAlignment="1" pivotButton="0" quotePrefix="0" xfId="2">
      <alignment horizontal="right" vertical="center" readingOrder="1"/>
    </xf>
    <xf numFmtId="168" fontId="9" fillId="0" borderId="83" applyAlignment="1" pivotButton="0" quotePrefix="0" xfId="2">
      <alignment horizontal="right" vertical="center" readingOrder="1"/>
    </xf>
    <xf numFmtId="168" fontId="9" fillId="0" borderId="17" applyAlignment="1" pivotButton="0" quotePrefix="0" xfId="2">
      <alignment horizontal="right" vertical="center" readingOrder="1"/>
    </xf>
    <xf numFmtId="168" fontId="9" fillId="0" borderId="26" applyAlignment="1" pivotButton="0" quotePrefix="0" xfId="2">
      <alignment horizontal="right" vertical="center" readingOrder="1"/>
    </xf>
    <xf numFmtId="168" fontId="9" fillId="0" borderId="40" applyAlignment="1" pivotButton="0" quotePrefix="0" xfId="2">
      <alignment vertical="center" readingOrder="1"/>
    </xf>
    <xf numFmtId="168" fontId="9" fillId="0" borderId="84" applyAlignment="1" pivotButton="0" quotePrefix="0" xfId="2">
      <alignment horizontal="right" vertical="center" readingOrder="1"/>
    </xf>
    <xf numFmtId="168" fontId="9" fillId="0" borderId="30" applyAlignment="1" pivotButton="0" quotePrefix="0" xfId="2">
      <alignment horizontal="right" vertical="center" readingOrder="1"/>
    </xf>
    <xf numFmtId="168" fontId="6" fillId="0" borderId="30" applyAlignment="1" pivotButton="0" quotePrefix="0" xfId="2">
      <alignment horizontal="right" vertical="center" readingOrder="1"/>
    </xf>
    <xf numFmtId="168" fontId="9" fillId="0" borderId="39" applyAlignment="1" pivotButton="0" quotePrefix="0" xfId="2">
      <alignment horizontal="right" vertical="center" readingOrder="1"/>
    </xf>
    <xf numFmtId="168" fontId="9" fillId="0" borderId="71" applyAlignment="1" pivotButton="0" quotePrefix="0" xfId="2">
      <alignment horizontal="right" vertical="center" readingOrder="1"/>
    </xf>
    <xf numFmtId="168" fontId="9" fillId="0" borderId="72" applyAlignment="1" pivotButton="0" quotePrefix="0" xfId="2">
      <alignment horizontal="right" vertical="center" readingOrder="1"/>
    </xf>
    <xf numFmtId="168" fontId="9" fillId="0" borderId="31" applyAlignment="1" pivotButton="0" quotePrefix="0" xfId="2">
      <alignment vertical="center" readingOrder="1"/>
    </xf>
    <xf numFmtId="168" fontId="9" fillId="0" borderId="76" applyAlignment="1" pivotButton="0" quotePrefix="0" xfId="2">
      <alignment vertical="center" readingOrder="1"/>
    </xf>
    <xf numFmtId="168" fontId="9" fillId="0" borderId="82" applyAlignment="1" pivotButton="0" quotePrefix="0" xfId="2">
      <alignment vertical="center" readingOrder="1"/>
    </xf>
    <xf numFmtId="168" fontId="9" fillId="0" borderId="15" applyAlignment="1" pivotButton="0" quotePrefix="0" xfId="2">
      <alignment vertical="center" readingOrder="1"/>
    </xf>
    <xf numFmtId="168" fontId="9" fillId="0" borderId="19" applyAlignment="1" pivotButton="0" quotePrefix="0" xfId="2">
      <alignment horizontal="right" vertical="center" readingOrder="1"/>
    </xf>
    <xf numFmtId="168" fontId="9" fillId="0" borderId="83" applyAlignment="1" pivotButton="0" quotePrefix="0" xfId="2">
      <alignment vertical="center" readingOrder="1"/>
    </xf>
    <xf numFmtId="168" fontId="9" fillId="0" borderId="26" applyAlignment="1" pivotButton="0" quotePrefix="0" xfId="2">
      <alignment vertical="center" readingOrder="1"/>
    </xf>
    <xf numFmtId="168" fontId="9" fillId="0" borderId="27" applyAlignment="1" pivotButton="0" quotePrefix="0" xfId="2">
      <alignment horizontal="right" vertical="center" readingOrder="1"/>
    </xf>
    <xf numFmtId="168" fontId="9" fillId="0" borderId="84" applyAlignment="1" pivotButton="0" quotePrefix="0" xfId="2">
      <alignment vertical="center" readingOrder="1"/>
    </xf>
    <xf numFmtId="168" fontId="9" fillId="0" borderId="34" applyAlignment="1" pivotButton="0" quotePrefix="0" xfId="2">
      <alignment vertical="center" readingOrder="1"/>
    </xf>
    <xf numFmtId="168" fontId="9" fillId="0" borderId="37" applyAlignment="1" pivotButton="0" quotePrefix="0" xfId="2">
      <alignment horizontal="right" vertical="center" readingOrder="1"/>
    </xf>
    <xf numFmtId="168" fontId="9" fillId="0" borderId="34" applyAlignment="1" pivotButton="0" quotePrefix="0" xfId="2">
      <alignment horizontal="right" vertical="center" readingOrder="1"/>
    </xf>
    <xf numFmtId="168" fontId="9" fillId="0" borderId="46" applyAlignment="1" pivotButton="0" quotePrefix="0" xfId="2">
      <alignment vertical="center" readingOrder="1"/>
    </xf>
    <xf numFmtId="168" fontId="9" fillId="0" borderId="36" applyAlignment="1" pivotButton="0" quotePrefix="0" xfId="2">
      <alignment horizontal="right" vertical="center" readingOrder="1"/>
    </xf>
    <xf numFmtId="168" fontId="9" fillId="0" borderId="78" applyAlignment="1" pivotButton="0" quotePrefix="0" xfId="2">
      <alignment horizontal="right" vertical="center" readingOrder="1"/>
    </xf>
    <xf numFmtId="168" fontId="9" fillId="0" borderId="77" applyAlignment="1" pivotButton="0" quotePrefix="0" xfId="2">
      <alignment vertical="center" readingOrder="1"/>
    </xf>
    <xf numFmtId="168" fontId="9" fillId="0" borderId="66" applyAlignment="1" pivotButton="0" quotePrefix="0" xfId="2">
      <alignment horizontal="right" vertical="center" readingOrder="1"/>
    </xf>
    <xf numFmtId="168" fontId="9" fillId="0" borderId="46" applyAlignment="1" pivotButton="0" quotePrefix="0" xfId="2">
      <alignment horizontal="right" vertical="center" readingOrder="1"/>
    </xf>
    <xf numFmtId="168" fontId="9" fillId="0" borderId="17" applyAlignment="1" pivotButton="0" quotePrefix="0" xfId="2">
      <alignment vertical="center" readingOrder="1"/>
    </xf>
    <xf numFmtId="168" fontId="9" fillId="0" borderId="10" applyAlignment="1" pivotButton="0" quotePrefix="0" xfId="2">
      <alignment horizontal="right" vertical="center" readingOrder="1"/>
    </xf>
    <xf numFmtId="168" fontId="9" fillId="0" borderId="80" applyAlignment="1" pivotButton="0" quotePrefix="0" xfId="2">
      <alignment horizontal="right" vertical="center" readingOrder="1"/>
    </xf>
    <xf numFmtId="168" fontId="9" fillId="0" borderId="85" applyAlignment="1" pivotButton="0" quotePrefix="0" xfId="2">
      <alignment horizontal="right" vertical="center" readingOrder="1"/>
    </xf>
    <xf numFmtId="168" fontId="9" fillId="0" borderId="14" applyAlignment="1" pivotButton="0" quotePrefix="0" xfId="2">
      <alignment horizontal="right" vertical="center" readingOrder="1"/>
    </xf>
    <xf numFmtId="168" fontId="9" fillId="0" borderId="12" applyAlignment="1" pivotButton="0" quotePrefix="0" xfId="2">
      <alignment horizontal="right" vertical="center" readingOrder="1"/>
    </xf>
    <xf numFmtId="168" fontId="9" fillId="0" borderId="79" applyAlignment="1" pivotButton="0" quotePrefix="0" xfId="2">
      <alignment horizontal="right" vertical="center" readingOrder="1"/>
    </xf>
    <xf numFmtId="168" fontId="9" fillId="2" borderId="80" applyAlignment="1" pivotButton="0" quotePrefix="0" xfId="2">
      <alignment horizontal="right" vertical="center" readingOrder="1"/>
    </xf>
    <xf numFmtId="168" fontId="9" fillId="0" borderId="73" applyAlignment="1" pivotButton="0" quotePrefix="0" xfId="2">
      <alignment horizontal="right" vertical="center" readingOrder="1"/>
    </xf>
    <xf numFmtId="168" fontId="9" fillId="0" borderId="74" applyAlignment="1" pivotButton="0" quotePrefix="0" xfId="2">
      <alignment horizontal="right" vertical="center" readingOrder="1"/>
    </xf>
    <xf numFmtId="168" fontId="24" fillId="0" borderId="0" applyAlignment="1" pivotButton="0" quotePrefix="0" xfId="1">
      <alignment vertical="center"/>
    </xf>
    <xf numFmtId="198" fontId="30" fillId="46" borderId="248" applyAlignment="1" pivotButton="0" quotePrefix="0" xfId="60307">
      <alignment horizontal="right" vertical="center" readingOrder="1"/>
    </xf>
    <xf numFmtId="198" fontId="24" fillId="0" borderId="249" applyAlignment="1" pivotButton="0" quotePrefix="0" xfId="60307">
      <alignment horizontal="right" vertical="center" readingOrder="1"/>
    </xf>
    <xf numFmtId="198" fontId="24" fillId="0" borderId="250" applyAlignment="1" pivotButton="0" quotePrefix="0" xfId="60307">
      <alignment horizontal="right" vertical="center" readingOrder="1"/>
    </xf>
    <xf numFmtId="198" fontId="24" fillId="0" borderId="252" applyAlignment="1" pivotButton="0" quotePrefix="0" xfId="60307">
      <alignment horizontal="right" vertical="center" readingOrder="1"/>
    </xf>
    <xf numFmtId="198" fontId="24" fillId="5" borderId="250" applyAlignment="1" pivotButton="0" quotePrefix="0" xfId="60307">
      <alignment horizontal="right" vertical="center" readingOrder="1"/>
    </xf>
    <xf numFmtId="198" fontId="24" fillId="0" borderId="251" applyAlignment="1" pivotButton="0" quotePrefix="0" xfId="60307">
      <alignment horizontal="right" vertical="center" readingOrder="1"/>
    </xf>
    <xf numFmtId="198" fontId="24" fillId="0" borderId="480" applyAlignment="1" pivotButton="0" quotePrefix="0" xfId="60307">
      <alignment horizontal="right" vertical="center" readingOrder="1"/>
    </xf>
    <xf numFmtId="165" fontId="24" fillId="0" borderId="250" applyAlignment="1" pivotButton="0" quotePrefix="0" xfId="60307">
      <alignment horizontal="right" vertical="center" readingOrder="1"/>
    </xf>
    <xf numFmtId="165" fontId="24" fillId="0" borderId="251" applyAlignment="1" pivotButton="0" quotePrefix="0" xfId="60307">
      <alignment horizontal="right" vertical="center" readingOrder="1"/>
    </xf>
    <xf numFmtId="164" fontId="98" fillId="0" borderId="252" applyAlignment="1" pivotButton="0" quotePrefix="0" xfId="60307">
      <alignment horizontal="right" vertical="center" readingOrder="1"/>
    </xf>
    <xf numFmtId="164" fontId="98" fillId="5" borderId="248" applyAlignment="1" pivotButton="0" quotePrefix="0" xfId="60307">
      <alignment horizontal="right" vertical="center" readingOrder="1"/>
    </xf>
    <xf numFmtId="165" fontId="24" fillId="0" borderId="252" applyAlignment="1" pivotButton="0" quotePrefix="0" xfId="60307">
      <alignment horizontal="right" vertical="center" readingOrder="1"/>
    </xf>
    <xf numFmtId="165" fontId="24" fillId="0" borderId="248" applyAlignment="1" pivotButton="0" quotePrefix="0" xfId="60307">
      <alignment horizontal="right" vertical="center" readingOrder="1"/>
    </xf>
    <xf numFmtId="165" fontId="30" fillId="39" borderId="247" applyAlignment="1" pivotButton="0" quotePrefix="0" xfId="60307">
      <alignment horizontal="right" vertical="center" readingOrder="1"/>
    </xf>
    <xf numFmtId="170" fontId="37" fillId="0" borderId="0" applyAlignment="1" pivotButton="0" quotePrefix="0" xfId="60307">
      <alignment vertical="center"/>
    </xf>
    <xf numFmtId="165" fontId="28" fillId="3" borderId="481" applyAlignment="1" pivotButton="0" quotePrefix="0" xfId="60307">
      <alignment horizontal="center" vertical="center" wrapText="1" readingOrder="1"/>
    </xf>
    <xf numFmtId="198" fontId="30" fillId="46" borderId="482" applyAlignment="1" pivotButton="0" quotePrefix="0" xfId="60307">
      <alignment horizontal="right" vertical="center" readingOrder="1"/>
    </xf>
    <xf numFmtId="198" fontId="24" fillId="0" borderId="483" applyAlignment="1" pivotButton="0" quotePrefix="0" xfId="60307">
      <alignment horizontal="right" vertical="center" readingOrder="1"/>
    </xf>
    <xf numFmtId="198" fontId="24" fillId="0" borderId="484" applyAlignment="1" pivotButton="0" quotePrefix="0" xfId="60307">
      <alignment horizontal="right" vertical="center" readingOrder="1"/>
    </xf>
    <xf numFmtId="198" fontId="24" fillId="0" borderId="485" applyAlignment="1" pivotButton="0" quotePrefix="0" xfId="60307">
      <alignment horizontal="right" vertical="center" readingOrder="1"/>
    </xf>
    <xf numFmtId="198" fontId="24" fillId="5" borderId="484" applyAlignment="1" pivotButton="0" quotePrefix="0" xfId="60307">
      <alignment horizontal="right" vertical="center" readingOrder="1"/>
    </xf>
    <xf numFmtId="198" fontId="24" fillId="0" borderId="486" applyAlignment="1" pivotButton="0" quotePrefix="0" xfId="60307">
      <alignment horizontal="right" vertical="center" readingOrder="1"/>
    </xf>
    <xf numFmtId="198" fontId="24" fillId="0" borderId="487" applyAlignment="1" pivotButton="0" quotePrefix="0" xfId="60307">
      <alignment horizontal="right" vertical="center" readingOrder="1"/>
    </xf>
    <xf numFmtId="167" fontId="24" fillId="0" borderId="486" applyAlignment="1" pivotButton="0" quotePrefix="0" xfId="60307">
      <alignment horizontal="right" vertical="center" readingOrder="1"/>
    </xf>
    <xf numFmtId="165" fontId="24" fillId="0" borderId="484" applyAlignment="1" pivotButton="0" quotePrefix="0" xfId="60307">
      <alignment horizontal="right" vertical="center" readingOrder="1"/>
    </xf>
    <xf numFmtId="165" fontId="24" fillId="0" borderId="486" applyAlignment="1" pivotButton="0" quotePrefix="0" xfId="60307">
      <alignment horizontal="right" vertical="center" readingOrder="1"/>
    </xf>
    <xf numFmtId="164" fontId="98" fillId="0" borderId="485" applyAlignment="1" pivotButton="0" quotePrefix="0" xfId="60307">
      <alignment horizontal="right" vertical="center" readingOrder="1"/>
    </xf>
    <xf numFmtId="164" fontId="98" fillId="5" borderId="482" applyAlignment="1" pivotButton="0" quotePrefix="0" xfId="60307">
      <alignment horizontal="right" vertical="center" readingOrder="1"/>
    </xf>
    <xf numFmtId="165" fontId="24" fillId="0" borderId="485" applyAlignment="1" pivotButton="0" quotePrefix="0" xfId="60307">
      <alignment horizontal="right" vertical="center" readingOrder="1"/>
    </xf>
    <xf numFmtId="165" fontId="24" fillId="0" borderId="482" applyAlignment="1" pivotButton="0" quotePrefix="0" xfId="60307">
      <alignment horizontal="right" vertical="center" readingOrder="1"/>
    </xf>
    <xf numFmtId="165" fontId="30" fillId="39" borderId="481" applyAlignment="1" pivotButton="0" quotePrefix="0" xfId="60307">
      <alignment horizontal="right" vertical="center" readingOrder="1"/>
    </xf>
    <xf numFmtId="209" fontId="37" fillId="0" borderId="0" applyAlignment="1" pivotButton="0" quotePrefix="0" xfId="60307">
      <alignment vertical="center"/>
    </xf>
    <xf numFmtId="14" fontId="21" fillId="0" borderId="0" applyAlignment="1" pivotButton="0" quotePrefix="0" xfId="1">
      <alignment horizontal="right" vertical="center"/>
    </xf>
    <xf numFmtId="0" fontId="105" fillId="0" borderId="0" applyAlignment="1" pivotButton="0" quotePrefix="0" xfId="0">
      <alignment horizontal="left" vertical="center" wrapText="1" readingOrder="1"/>
    </xf>
    <xf numFmtId="0" fontId="105" fillId="0" borderId="337" applyAlignment="1" pivotButton="0" quotePrefix="0" xfId="0">
      <alignment horizontal="left" vertical="center" wrapText="1" readingOrder="1"/>
    </xf>
    <xf numFmtId="177" fontId="9" fillId="0" borderId="27" applyAlignment="1" pivotButton="0" quotePrefix="0" xfId="2">
      <alignment horizontal="right" vertical="center" readingOrder="1"/>
    </xf>
    <xf numFmtId="165" fontId="24" fillId="2" borderId="207" applyAlignment="1" pivotButton="0" quotePrefix="0" xfId="60307">
      <alignment horizontal="right" vertical="center" readingOrder="1"/>
    </xf>
    <xf numFmtId="0" fontId="133" fillId="0" borderId="0" applyAlignment="1" pivotButton="0" quotePrefix="0" xfId="60313">
      <alignment vertical="center"/>
    </xf>
    <xf numFmtId="210" fontId="133" fillId="0" borderId="0" applyAlignment="1" pivotButton="0" quotePrefix="0" xfId="60313">
      <alignment vertical="center"/>
    </xf>
    <xf numFmtId="210" fontId="1" fillId="0" borderId="0" applyAlignment="1" pivotButton="0" quotePrefix="0" xfId="60313">
      <alignment vertical="center"/>
    </xf>
    <xf numFmtId="210" fontId="133" fillId="2" borderId="0" applyAlignment="1" pivotButton="0" quotePrefix="0" xfId="60313">
      <alignment vertical="center"/>
    </xf>
    <xf numFmtId="0" fontId="1" fillId="0" borderId="0" applyAlignment="1" pivotButton="0" quotePrefix="0" xfId="60313">
      <alignment vertical="center"/>
    </xf>
    <xf numFmtId="0" fontId="36" fillId="0" borderId="0" applyAlignment="1" pivotButton="0" quotePrefix="0" xfId="60313">
      <alignment vertical="center"/>
    </xf>
    <xf numFmtId="0" fontId="133" fillId="5" borderId="0" applyAlignment="1" pivotButton="0" quotePrefix="0" xfId="60313">
      <alignment vertical="center"/>
    </xf>
    <xf numFmtId="0" fontId="116" fillId="0" borderId="84" applyAlignment="1" pivotButton="0" quotePrefix="0" xfId="60313">
      <alignment vertical="center"/>
    </xf>
    <xf numFmtId="0" fontId="116" fillId="0" borderId="0" applyAlignment="1" pivotButton="0" quotePrefix="0" xfId="60313">
      <alignment vertical="center"/>
    </xf>
    <xf numFmtId="0" fontId="134" fillId="54" borderId="0" applyAlignment="1" pivotButton="0" quotePrefix="0" xfId="60313">
      <alignment vertical="center"/>
    </xf>
    <xf numFmtId="211" fontId="135" fillId="54" borderId="0" applyAlignment="1" pivotButton="0" quotePrefix="0" xfId="60313">
      <alignment horizontal="center" vertical="center"/>
    </xf>
    <xf numFmtId="211" fontId="135" fillId="55" borderId="0" applyAlignment="1" pivotButton="0" quotePrefix="0" xfId="60313">
      <alignment horizontal="center" vertical="center"/>
    </xf>
    <xf numFmtId="0" fontId="136" fillId="55" borderId="0" applyAlignment="1" pivotButton="0" quotePrefix="0" xfId="60313">
      <alignment horizontal="center" vertical="center"/>
    </xf>
    <xf numFmtId="211" fontId="135" fillId="56" borderId="0" applyAlignment="1" pivotButton="0" quotePrefix="0" xfId="60313">
      <alignment horizontal="center" vertical="center"/>
    </xf>
    <xf numFmtId="212" fontId="137" fillId="57" borderId="0" applyAlignment="1" pivotButton="0" quotePrefix="0" xfId="60313">
      <alignment horizontal="center" vertical="center"/>
    </xf>
    <xf numFmtId="211" fontId="135" fillId="58" borderId="0" applyAlignment="1" pivotButton="0" quotePrefix="0" xfId="60313">
      <alignment horizontal="center" vertical="center"/>
    </xf>
    <xf numFmtId="0" fontId="139" fillId="50" borderId="0" applyAlignment="1" pivotButton="0" quotePrefix="0" xfId="60313">
      <alignment vertical="center"/>
    </xf>
    <xf numFmtId="210" fontId="140" fillId="50" borderId="0" applyAlignment="1" pivotButton="0" quotePrefix="0" xfId="60313">
      <alignment vertical="center"/>
    </xf>
    <xf numFmtId="210" fontId="140" fillId="59" borderId="0" applyAlignment="1" pivotButton="0" quotePrefix="0" xfId="60313">
      <alignment vertical="center"/>
    </xf>
    <xf numFmtId="210" fontId="140" fillId="60" borderId="0" applyAlignment="1" pivotButton="0" quotePrefix="0" xfId="60313">
      <alignment vertical="center"/>
    </xf>
    <xf numFmtId="0" fontId="141" fillId="0" borderId="0" applyAlignment="1" pivotButton="0" quotePrefix="0" xfId="60313">
      <alignment horizontal="left" vertical="center" indent="1"/>
    </xf>
    <xf numFmtId="210" fontId="142" fillId="5" borderId="0" applyAlignment="1" pivotButton="0" quotePrefix="0" xfId="60313">
      <alignment vertical="center"/>
    </xf>
    <xf numFmtId="210" fontId="142" fillId="59" borderId="0" applyAlignment="1" pivotButton="0" quotePrefix="0" xfId="60313">
      <alignment vertical="center"/>
    </xf>
    <xf numFmtId="210" fontId="142" fillId="0" borderId="0" applyAlignment="1" pivotButton="0" quotePrefix="0" xfId="60313">
      <alignment vertical="center"/>
    </xf>
    <xf numFmtId="210" fontId="142" fillId="60" borderId="0" applyAlignment="1" pivotButton="0" quotePrefix="0" xfId="60313">
      <alignment vertical="center"/>
    </xf>
    <xf numFmtId="210" fontId="142" fillId="2" borderId="0" applyAlignment="1" pivotButton="0" quotePrefix="0" xfId="60313">
      <alignment vertical="center"/>
    </xf>
    <xf numFmtId="3" fontId="142" fillId="5" borderId="0" applyAlignment="1" pivotButton="0" quotePrefix="0" xfId="60313">
      <alignment vertical="center"/>
    </xf>
    <xf numFmtId="165" fontId="1" fillId="0" borderId="0" applyAlignment="1" pivotButton="0" quotePrefix="0" xfId="60313">
      <alignment vertical="center"/>
    </xf>
    <xf numFmtId="0" fontId="143" fillId="0" borderId="0" applyAlignment="1" pivotButton="0" quotePrefix="0" xfId="60313">
      <alignment vertical="center"/>
    </xf>
    <xf numFmtId="165" fontId="0" fillId="0" borderId="0" applyAlignment="1" pivotButton="0" quotePrefix="0" xfId="60314">
      <alignment vertical="center"/>
    </xf>
    <xf numFmtId="0" fontId="142" fillId="0" borderId="0" applyAlignment="1" pivotButton="0" quotePrefix="0" xfId="60313">
      <alignment vertical="center"/>
    </xf>
    <xf numFmtId="0" fontId="142" fillId="0" borderId="0" applyAlignment="1" pivotButton="0" quotePrefix="0" xfId="60313">
      <alignment horizontal="center" vertical="center"/>
    </xf>
    <xf numFmtId="0" fontId="141" fillId="46" borderId="0" applyAlignment="1" pivotButton="0" quotePrefix="0" xfId="60313">
      <alignment horizontal="left" vertical="center" indent="1"/>
    </xf>
    <xf numFmtId="210" fontId="142" fillId="46" borderId="0" applyAlignment="1" pivotButton="0" quotePrefix="0" xfId="60313">
      <alignment vertical="center"/>
    </xf>
    <xf numFmtId="0" fontId="133" fillId="61" borderId="0" applyAlignment="1" pivotButton="0" quotePrefix="0" xfId="60313">
      <alignment vertical="center"/>
    </xf>
    <xf numFmtId="0" fontId="139" fillId="61" borderId="0" applyAlignment="1" pivotButton="0" quotePrefix="0" xfId="60313">
      <alignment vertical="center"/>
    </xf>
    <xf numFmtId="210" fontId="142" fillId="61" borderId="0" applyAlignment="1" pivotButton="0" quotePrefix="0" xfId="60313">
      <alignment vertical="center"/>
    </xf>
    <xf numFmtId="210" fontId="142" fillId="62" borderId="0" applyAlignment="1" pivotButton="0" quotePrefix="0" xfId="60313">
      <alignment vertical="center"/>
    </xf>
    <xf numFmtId="210" fontId="142" fillId="63" borderId="0" applyAlignment="1" pivotButton="0" quotePrefix="0" xfId="60313">
      <alignment vertical="center"/>
    </xf>
    <xf numFmtId="0" fontId="144" fillId="0" borderId="0" applyAlignment="1" pivotButton="0" quotePrefix="0" xfId="60313">
      <alignment vertical="center"/>
    </xf>
    <xf numFmtId="0" fontId="145" fillId="0" borderId="0" applyAlignment="1" pivotButton="0" quotePrefix="0" xfId="60313">
      <alignment vertical="center"/>
    </xf>
    <xf numFmtId="0" fontId="146" fillId="0" borderId="0" applyAlignment="1" pivotButton="0" quotePrefix="0" xfId="60313">
      <alignment vertical="center"/>
    </xf>
    <xf numFmtId="0" fontId="140" fillId="0" borderId="0" applyAlignment="1" pivotButton="0" quotePrefix="0" xfId="60313">
      <alignment vertical="center"/>
    </xf>
    <xf numFmtId="210" fontId="140" fillId="0" borderId="0" applyAlignment="1" pivotButton="0" quotePrefix="0" xfId="60313">
      <alignment vertical="center"/>
    </xf>
    <xf numFmtId="0" fontId="142" fillId="0" borderId="0" applyAlignment="1" pivotButton="0" quotePrefix="0" xfId="60313">
      <alignment horizontal="left" vertical="center" indent="1"/>
    </xf>
    <xf numFmtId="0" fontId="142" fillId="2" borderId="0" applyAlignment="1" pivotButton="0" quotePrefix="0" xfId="60313">
      <alignment horizontal="left" vertical="center" indent="1"/>
    </xf>
    <xf numFmtId="0" fontId="142" fillId="61" borderId="0" applyAlignment="1" pivotButton="0" quotePrefix="0" xfId="60313">
      <alignment horizontal="left" vertical="center" indent="1"/>
    </xf>
    <xf numFmtId="0" fontId="140" fillId="2" borderId="0" applyAlignment="1" pivotButton="0" quotePrefix="0" xfId="60313">
      <alignment vertical="center"/>
    </xf>
    <xf numFmtId="0" fontId="147" fillId="0" borderId="0" applyAlignment="1" pivotButton="0" quotePrefix="0" xfId="60313">
      <alignment vertical="center"/>
    </xf>
    <xf numFmtId="0" fontId="148" fillId="0" borderId="0" applyAlignment="1" pivotButton="0" quotePrefix="0" xfId="60313">
      <alignment vertical="center"/>
    </xf>
    <xf numFmtId="0" fontId="141" fillId="0" borderId="0" applyAlignment="1" pivotButton="0" quotePrefix="0" xfId="60313">
      <alignment horizontal="left" vertical="center"/>
    </xf>
    <xf numFmtId="210" fontId="148" fillId="0" borderId="0" applyAlignment="1" pivotButton="0" quotePrefix="0" xfId="60313">
      <alignment vertical="center"/>
    </xf>
    <xf numFmtId="210" fontId="148" fillId="59" borderId="0" applyAlignment="1" pivotButton="0" quotePrefix="0" xfId="60313">
      <alignment vertical="center"/>
    </xf>
    <xf numFmtId="210" fontId="148" fillId="60" borderId="0" applyAlignment="1" pivotButton="0" quotePrefix="0" xfId="60313">
      <alignment vertical="center"/>
    </xf>
    <xf numFmtId="0" fontId="149" fillId="0" borderId="0" applyAlignment="1" pivotButton="0" quotePrefix="0" xfId="60313">
      <alignment vertical="center"/>
    </xf>
    <xf numFmtId="0" fontId="147" fillId="0" borderId="0" applyAlignment="1" pivotButton="0" quotePrefix="0" xfId="60313">
      <alignment horizontal="left" vertical="center" indent="1"/>
    </xf>
    <xf numFmtId="0" fontId="148" fillId="0" borderId="0" applyAlignment="1" pivotButton="0" quotePrefix="0" xfId="60313">
      <alignment horizontal="left" vertical="center" indent="1"/>
    </xf>
    <xf numFmtId="165" fontId="1" fillId="0" borderId="0" applyAlignment="1" pivotButton="0" quotePrefix="0" xfId="60307">
      <alignment vertical="center"/>
    </xf>
    <xf numFmtId="0" fontId="133" fillId="64" borderId="0" applyAlignment="1" pivotButton="0" quotePrefix="0" xfId="60313">
      <alignment vertical="center"/>
    </xf>
    <xf numFmtId="0" fontId="141" fillId="64" borderId="0" applyAlignment="1" pivotButton="0" quotePrefix="0" xfId="60313">
      <alignment horizontal="left" vertical="center" indent="1"/>
    </xf>
    <xf numFmtId="210" fontId="142" fillId="64" borderId="0" applyAlignment="1" pivotButton="0" quotePrefix="0" xfId="60313">
      <alignment vertical="center"/>
    </xf>
    <xf numFmtId="0" fontId="142" fillId="64" borderId="0" applyAlignment="1" pivotButton="0" quotePrefix="0" xfId="60313">
      <alignment vertical="center"/>
    </xf>
    <xf numFmtId="0" fontId="1" fillId="64" borderId="0" applyAlignment="1" pivotButton="0" quotePrefix="0" xfId="60313">
      <alignment vertical="center"/>
    </xf>
    <xf numFmtId="165" fontId="0" fillId="64" borderId="0" applyAlignment="1" pivotButton="0" quotePrefix="0" xfId="60314">
      <alignment vertical="center"/>
    </xf>
    <xf numFmtId="0" fontId="143" fillId="64" borderId="0" applyAlignment="1" pivotButton="0" quotePrefix="0" xfId="60313">
      <alignment vertical="center"/>
    </xf>
    <xf numFmtId="0" fontId="144" fillId="64" borderId="0" applyAlignment="1" pivotButton="0" quotePrefix="0" xfId="60313">
      <alignment vertical="center"/>
    </xf>
    <xf numFmtId="165" fontId="143" fillId="0" borderId="0" applyAlignment="1" pivotButton="0" quotePrefix="0" xfId="60307">
      <alignment vertical="center"/>
    </xf>
    <xf numFmtId="0" fontId="18" fillId="63" borderId="488" applyAlignment="1" pivotButton="0" quotePrefix="0" xfId="0">
      <alignment horizontal="center" vertical="center"/>
    </xf>
    <xf numFmtId="0" fontId="18" fillId="63" borderId="488" applyAlignment="1" pivotButton="0" quotePrefix="0" xfId="0">
      <alignment horizontal="left" vertical="center"/>
    </xf>
    <xf numFmtId="0" fontId="13" fillId="63" borderId="488" applyAlignment="1" pivotButton="0" quotePrefix="0" xfId="1">
      <alignment horizontal="center" vertical="center"/>
    </xf>
    <xf numFmtId="165" fontId="13" fillId="63" borderId="488" applyAlignment="1" pivotButton="0" quotePrefix="0" xfId="2">
      <alignment vertical="center"/>
    </xf>
    <xf numFmtId="0" fontId="13" fillId="63" borderId="488" applyAlignment="1" pivotButton="0" quotePrefix="0" xfId="1">
      <alignment vertical="center"/>
    </xf>
    <xf numFmtId="10" fontId="13" fillId="0" borderId="0" applyAlignment="1" pivotButton="0" quotePrefix="1" xfId="1">
      <alignment horizontal="left" vertical="center"/>
    </xf>
    <xf numFmtId="167" fontId="24" fillId="0" borderId="212" applyAlignment="1" pivotButton="0" quotePrefix="0" xfId="60307">
      <alignment horizontal="right" vertical="center" readingOrder="1"/>
    </xf>
    <xf numFmtId="177" fontId="9" fillId="2" borderId="100" applyAlignment="1" pivotButton="0" quotePrefix="0" xfId="2">
      <alignment horizontal="right" vertical="center" readingOrder="1"/>
    </xf>
    <xf numFmtId="0" fontId="150" fillId="0" borderId="0" applyAlignment="1" pivotButton="0" quotePrefix="0" xfId="60312">
      <alignment vertical="center"/>
    </xf>
    <xf numFmtId="206" fontId="105" fillId="0" borderId="392" applyAlignment="1" pivotButton="0" quotePrefix="0" xfId="0">
      <alignment horizontal="right" vertical="center" wrapText="1" readingOrder="1"/>
    </xf>
    <xf numFmtId="206" fontId="105" fillId="0" borderId="394" applyAlignment="1" pivotButton="0" quotePrefix="0" xfId="0">
      <alignment horizontal="right" vertical="center" wrapText="1" readingOrder="1"/>
    </xf>
    <xf numFmtId="206" fontId="105" fillId="0" borderId="399" applyAlignment="1" pivotButton="0" quotePrefix="0" xfId="0">
      <alignment horizontal="right" vertical="center" wrapText="1" readingOrder="1"/>
    </xf>
    <xf numFmtId="206" fontId="105" fillId="0" borderId="402" applyAlignment="1" pivotButton="0" quotePrefix="0" xfId="0">
      <alignment horizontal="right" vertical="center" wrapText="1" readingOrder="1"/>
    </xf>
    <xf numFmtId="206" fontId="105" fillId="0" borderId="404" applyAlignment="1" pivotButton="0" quotePrefix="0" xfId="0">
      <alignment horizontal="right" vertical="center" wrapText="1" readingOrder="1"/>
    </xf>
    <xf numFmtId="206" fontId="120" fillId="53" borderId="406" applyAlignment="1" pivotButton="0" quotePrefix="0" xfId="0">
      <alignment horizontal="right" vertical="center" wrapText="1" readingOrder="1"/>
    </xf>
    <xf numFmtId="206" fontId="120" fillId="53" borderId="111" applyAlignment="1" pivotButton="0" quotePrefix="0" xfId="0">
      <alignment horizontal="right" vertical="center" wrapText="1" readingOrder="1"/>
    </xf>
    <xf numFmtId="206" fontId="105" fillId="42" borderId="406" applyAlignment="1" pivotButton="0" quotePrefix="0" xfId="0">
      <alignment horizontal="right" vertical="center" wrapText="1" readingOrder="1"/>
    </xf>
    <xf numFmtId="206" fontId="105" fillId="42" borderId="111" applyAlignment="1" pivotButton="0" quotePrefix="0" xfId="0">
      <alignment horizontal="right" vertical="center" wrapText="1" readingOrder="1"/>
    </xf>
    <xf numFmtId="206" fontId="105" fillId="0" borderId="409" applyAlignment="1" pivotButton="0" quotePrefix="0" xfId="0">
      <alignment horizontal="right" vertical="center" wrapText="1" readingOrder="1"/>
    </xf>
    <xf numFmtId="206" fontId="105" fillId="0" borderId="411" applyAlignment="1" pivotButton="0" quotePrefix="0" xfId="0">
      <alignment horizontal="right" vertical="center" wrapText="1" readingOrder="1"/>
    </xf>
    <xf numFmtId="206" fontId="104" fillId="0" borderId="418" applyAlignment="1" pivotButton="0" quotePrefix="0" xfId="0">
      <alignment horizontal="right" vertical="center" wrapText="1" readingOrder="1"/>
    </xf>
    <xf numFmtId="206" fontId="104" fillId="0" borderId="420" applyAlignment="1" pivotButton="0" quotePrefix="0" xfId="0">
      <alignment horizontal="right" vertical="center" wrapText="1" readingOrder="1"/>
    </xf>
    <xf numFmtId="206" fontId="121" fillId="0" borderId="403" applyAlignment="1" pivotButton="0" quotePrefix="0" xfId="0">
      <alignment horizontal="right" vertical="center" wrapText="1" readingOrder="1"/>
    </xf>
    <xf numFmtId="206" fontId="121" fillId="0" borderId="357" applyAlignment="1" pivotButton="0" quotePrefix="0" xfId="0">
      <alignment horizontal="right" vertical="center" wrapText="1" readingOrder="1"/>
    </xf>
    <xf numFmtId="206" fontId="121" fillId="0" borderId="358" applyAlignment="1" pivotButton="0" quotePrefix="0" xfId="0">
      <alignment horizontal="right" vertical="center" wrapText="1" readingOrder="1"/>
    </xf>
    <xf numFmtId="206" fontId="121" fillId="0" borderId="359" applyAlignment="1" pivotButton="0" quotePrefix="0" xfId="0">
      <alignment horizontal="right" vertical="center" wrapText="1" readingOrder="1"/>
    </xf>
    <xf numFmtId="206" fontId="121" fillId="0" borderId="402" applyAlignment="1" pivotButton="0" quotePrefix="0" xfId="60307">
      <alignment horizontal="right" vertical="center" wrapText="1" readingOrder="1"/>
    </xf>
    <xf numFmtId="206" fontId="121" fillId="0" borderId="403" applyAlignment="1" pivotButton="0" quotePrefix="0" xfId="60307">
      <alignment horizontal="right" vertical="center" wrapText="1" readingOrder="1"/>
    </xf>
    <xf numFmtId="165" fontId="25" fillId="3" borderId="7" applyAlignment="1" pivotButton="0" quotePrefix="0" xfId="60307">
      <alignment horizontal="center" vertical="center" wrapText="1" readingOrder="1"/>
    </xf>
    <xf numFmtId="165" fontId="25" fillId="3" borderId="25" applyAlignment="1" pivotButton="0" quotePrefix="0" xfId="60307">
      <alignment vertical="center" wrapText="1" readingOrder="1"/>
    </xf>
    <xf numFmtId="165" fontId="25" fillId="3" borderId="24" applyAlignment="1" pivotButton="0" quotePrefix="0" xfId="60307">
      <alignment vertical="center" wrapText="1" readingOrder="1"/>
    </xf>
    <xf numFmtId="165" fontId="25" fillId="3" borderId="0" applyAlignment="1" pivotButton="0" quotePrefix="0" xfId="60307">
      <alignment horizontal="center" vertical="center" wrapText="1" readingOrder="1"/>
    </xf>
    <xf numFmtId="165" fontId="25" fillId="3" borderId="29" applyAlignment="1" pivotButton="0" quotePrefix="0" xfId="60307">
      <alignment horizontal="center" vertical="center" wrapText="1" readingOrder="1"/>
    </xf>
    <xf numFmtId="165" fontId="151" fillId="3" borderId="373" applyAlignment="1" pivotButton="0" quotePrefix="0" xfId="60307">
      <alignment horizontal="center" vertical="center" readingOrder="1"/>
    </xf>
    <xf numFmtId="165" fontId="151" fillId="3" borderId="246" applyAlignment="1" pivotButton="0" quotePrefix="0" xfId="60307">
      <alignment horizontal="center" vertical="center" wrapText="1" readingOrder="1"/>
    </xf>
    <xf numFmtId="165" fontId="25" fillId="3" borderId="236" applyAlignment="1" pivotButton="0" quotePrefix="0" xfId="60307">
      <alignment horizontal="center" vertical="center" wrapText="1" readingOrder="1"/>
    </xf>
    <xf numFmtId="165" fontId="25" fillId="3" borderId="234" applyAlignment="1" pivotButton="0" quotePrefix="0" xfId="60307">
      <alignment horizontal="center" vertical="center" wrapText="1" readingOrder="1"/>
    </xf>
    <xf numFmtId="165" fontId="25" fillId="3" borderId="258" applyAlignment="1" pivotButton="0" quotePrefix="0" xfId="60307">
      <alignment horizontal="center" vertical="center" wrapText="1" readingOrder="1"/>
    </xf>
    <xf numFmtId="165" fontId="25" fillId="3" borderId="233" applyAlignment="1" pivotButton="0" quotePrefix="0" xfId="60307">
      <alignment horizontal="center" vertical="center" wrapText="1" readingOrder="1"/>
    </xf>
    <xf numFmtId="165" fontId="25" fillId="3" borderId="247" applyAlignment="1" pivotButton="0" quotePrefix="0" xfId="60307">
      <alignment horizontal="center" vertical="center" wrapText="1" readingOrder="1"/>
    </xf>
    <xf numFmtId="165" fontId="25" fillId="3" borderId="253" applyAlignment="1" pivotButton="0" quotePrefix="0" xfId="60307">
      <alignment horizontal="center" vertical="center" wrapText="1" readingOrder="1"/>
    </xf>
    <xf numFmtId="165" fontId="25" fillId="3" borderId="246" applyAlignment="1" pivotButton="0" quotePrefix="0" xfId="60307">
      <alignment horizontal="center" vertical="center" wrapText="1" readingOrder="1"/>
    </xf>
    <xf numFmtId="213" fontId="6" fillId="0" borderId="0" applyAlignment="1" pivotButton="0" quotePrefix="0" xfId="1">
      <alignment vertical="center"/>
    </xf>
    <xf numFmtId="164" fontId="9" fillId="0" borderId="18" applyAlignment="1" pivotButton="0" quotePrefix="0" xfId="2">
      <alignment vertical="center" readingOrder="1"/>
    </xf>
    <xf numFmtId="0" fontId="153" fillId="0" borderId="0" applyAlignment="1" pivotButton="0" quotePrefix="0" xfId="60315">
      <alignment horizontal="left" vertical="center" readingOrder="1"/>
    </xf>
    <xf numFmtId="170" fontId="6" fillId="0" borderId="0" applyAlignment="1" pivotButton="0" quotePrefix="0" xfId="60307">
      <alignment vertical="center"/>
    </xf>
    <xf numFmtId="165" fontId="24" fillId="65" borderId="211" applyAlignment="1" pivotButton="0" quotePrefix="0" xfId="60307">
      <alignment horizontal="right" vertical="center" readingOrder="1"/>
    </xf>
    <xf numFmtId="177" fontId="9" fillId="39" borderId="102" applyAlignment="1" pivotButton="0" quotePrefix="0" xfId="2">
      <alignment horizontal="right" vertical="center" readingOrder="1"/>
    </xf>
    <xf numFmtId="165" fontId="13" fillId="0" borderId="0" applyAlignment="1" pivotButton="0" quotePrefix="0" xfId="60307">
      <alignment horizontal="center" vertical="center"/>
    </xf>
    <xf numFmtId="164" fontId="9" fillId="2" borderId="218" applyAlignment="1" pivotButton="0" quotePrefix="0" xfId="2">
      <alignment horizontal="right" vertical="center" readingOrder="1"/>
    </xf>
    <xf numFmtId="165" fontId="24" fillId="39" borderId="204" applyAlignment="1" pivotButton="0" quotePrefix="0" xfId="60307">
      <alignment horizontal="right" vertical="center" readingOrder="1"/>
    </xf>
    <xf numFmtId="206" fontId="119" fillId="0" borderId="384" applyAlignment="1" pivotButton="0" quotePrefix="0" xfId="0">
      <alignment horizontal="right" vertical="center" wrapText="1" readingOrder="1"/>
    </xf>
    <xf numFmtId="206" fontId="119" fillId="0" borderId="445" applyAlignment="1" pivotButton="0" quotePrefix="0" xfId="0">
      <alignment horizontal="right" vertical="center" wrapText="1" readingOrder="1"/>
    </xf>
    <xf numFmtId="206" fontId="119" fillId="0" borderId="448" applyAlignment="1" pivotButton="0" quotePrefix="0" xfId="0">
      <alignment horizontal="right" vertical="center" wrapText="1" readingOrder="1"/>
    </xf>
    <xf numFmtId="167" fontId="24" fillId="0" borderId="0" applyAlignment="1" pivotButton="0" quotePrefix="0" xfId="60307">
      <alignment horizontal="right" vertical="center" readingOrder="1"/>
    </xf>
    <xf numFmtId="165" fontId="28" fillId="3" borderId="231" applyAlignment="1" pivotButton="0" quotePrefix="0" xfId="60307">
      <alignment horizontal="center" vertical="center" wrapText="1" readingOrder="1"/>
    </xf>
    <xf numFmtId="198" fontId="30" fillId="46" borderId="180" applyAlignment="1" pivotButton="0" quotePrefix="0" xfId="60307">
      <alignment horizontal="right" vertical="center" readingOrder="1"/>
    </xf>
    <xf numFmtId="198" fontId="24" fillId="0" borderId="489" applyAlignment="1" pivotButton="0" quotePrefix="0" xfId="60307">
      <alignment horizontal="right" vertical="center" readingOrder="1"/>
    </xf>
    <xf numFmtId="165" fontId="29" fillId="5" borderId="490" applyAlignment="1" pivotButton="0" quotePrefix="0" xfId="60307">
      <alignment horizontal="right" vertical="center" readingOrder="1"/>
    </xf>
    <xf numFmtId="198" fontId="24" fillId="0" borderId="490" applyAlignment="1" pivotButton="0" quotePrefix="0" xfId="60307">
      <alignment horizontal="right" vertical="center" readingOrder="1"/>
    </xf>
    <xf numFmtId="198" fontId="24" fillId="0" borderId="227" applyAlignment="1" pivotButton="0" quotePrefix="0" xfId="60307">
      <alignment horizontal="right" vertical="center" readingOrder="1"/>
    </xf>
    <xf numFmtId="198" fontId="24" fillId="5" borderId="490" applyAlignment="1" pivotButton="0" quotePrefix="0" xfId="60307">
      <alignment horizontal="right" vertical="center" readingOrder="1"/>
    </xf>
    <xf numFmtId="198" fontId="24" fillId="0" borderId="229" applyAlignment="1" pivotButton="0" quotePrefix="0" xfId="60307">
      <alignment horizontal="right" vertical="center" readingOrder="1"/>
    </xf>
    <xf numFmtId="198" fontId="24" fillId="0" borderId="491" applyAlignment="1" pivotButton="0" quotePrefix="0" xfId="60307">
      <alignment horizontal="right" vertical="center" readingOrder="1"/>
    </xf>
    <xf numFmtId="167" fontId="24" fillId="0" borderId="229" applyAlignment="1" pivotButton="0" quotePrefix="0" xfId="60307">
      <alignment horizontal="right" vertical="center" readingOrder="1"/>
    </xf>
    <xf numFmtId="165" fontId="24" fillId="0" borderId="490" applyAlignment="1" pivotButton="0" quotePrefix="0" xfId="60307">
      <alignment horizontal="right" vertical="center" readingOrder="1"/>
    </xf>
    <xf numFmtId="165" fontId="24" fillId="0" borderId="229" applyAlignment="1" pivotButton="0" quotePrefix="0" xfId="60307">
      <alignment horizontal="right" vertical="center" readingOrder="1"/>
    </xf>
    <xf numFmtId="164" fontId="98" fillId="0" borderId="227" applyAlignment="1" pivotButton="0" quotePrefix="0" xfId="60307">
      <alignment horizontal="right" vertical="center" readingOrder="1"/>
    </xf>
    <xf numFmtId="164" fontId="98" fillId="5" borderId="180" applyAlignment="1" pivotButton="0" quotePrefix="0" xfId="60307">
      <alignment horizontal="right" vertical="center" readingOrder="1"/>
    </xf>
    <xf numFmtId="165" fontId="24" fillId="0" borderId="227" applyAlignment="1" pivotButton="0" quotePrefix="0" xfId="60307">
      <alignment horizontal="right" vertical="center" readingOrder="1"/>
    </xf>
    <xf numFmtId="165" fontId="24" fillId="0" borderId="180" applyAlignment="1" pivotButton="0" quotePrefix="0" xfId="60307">
      <alignment horizontal="right" vertical="center" readingOrder="1"/>
    </xf>
    <xf numFmtId="165" fontId="30" fillId="39" borderId="231" applyAlignment="1" pivotButton="0" quotePrefix="0" xfId="60307">
      <alignment horizontal="right" vertical="center" readingOrder="1"/>
    </xf>
    <xf numFmtId="198" fontId="24" fillId="39" borderId="208" applyAlignment="1" pivotButton="0" quotePrefix="0" xfId="60307">
      <alignment horizontal="right" vertical="center" readingOrder="1"/>
    </xf>
    <xf numFmtId="214" fontId="9" fillId="0" borderId="2" applyAlignment="1" pivotButton="0" quotePrefix="0" xfId="2">
      <alignment horizontal="right" vertical="center" readingOrder="1"/>
    </xf>
    <xf numFmtId="214" fontId="6" fillId="0" borderId="21" applyAlignment="1" pivotButton="0" quotePrefix="0" xfId="2">
      <alignment horizontal="right" vertical="center" readingOrder="1"/>
    </xf>
    <xf numFmtId="214" fontId="6" fillId="0" borderId="69" applyAlignment="1" pivotButton="0" quotePrefix="0" xfId="2">
      <alignment horizontal="right" vertical="center" readingOrder="1"/>
    </xf>
    <xf numFmtId="214" fontId="6" fillId="0" borderId="16" applyAlignment="1" pivotButton="0" quotePrefix="0" xfId="2">
      <alignment horizontal="right" vertical="center" readingOrder="1"/>
    </xf>
    <xf numFmtId="214" fontId="6" fillId="0" borderId="29" applyAlignment="1" pivotButton="0" quotePrefix="0" xfId="2">
      <alignment horizontal="right" vertical="center" readingOrder="1"/>
    </xf>
    <xf numFmtId="214" fontId="6" fillId="0" borderId="32" applyAlignment="1" pivotButton="0" quotePrefix="0" xfId="2">
      <alignment horizontal="right" vertical="center" readingOrder="1"/>
    </xf>
    <xf numFmtId="214" fontId="6" fillId="0" borderId="35" applyAlignment="1" pivotButton="0" quotePrefix="0" xfId="2">
      <alignment horizontal="right" vertical="center" readingOrder="1"/>
    </xf>
    <xf numFmtId="214" fontId="6" fillId="0" borderId="16" applyAlignment="1" pivotButton="0" quotePrefix="0" xfId="2">
      <alignment vertical="center" readingOrder="1"/>
    </xf>
    <xf numFmtId="214" fontId="6" fillId="0" borderId="11" applyAlignment="1" pivotButton="0" quotePrefix="0" xfId="2">
      <alignment horizontal="right" vertical="center" readingOrder="1"/>
    </xf>
    <xf numFmtId="214" fontId="9" fillId="0" borderId="21" applyAlignment="1" pivotButton="0" quotePrefix="0" xfId="2">
      <alignment horizontal="right" vertical="center" readingOrder="1"/>
    </xf>
    <xf numFmtId="214" fontId="9" fillId="0" borderId="11" applyAlignment="1" pivotButton="0" quotePrefix="0" xfId="2">
      <alignment horizontal="right" vertical="center" readingOrder="1"/>
    </xf>
    <xf numFmtId="214" fontId="9" fillId="0" borderId="16" applyAlignment="1" pivotButton="0" quotePrefix="0" xfId="2">
      <alignment horizontal="right" vertical="center" readingOrder="1"/>
    </xf>
    <xf numFmtId="205" fontId="154" fillId="0" borderId="2" applyAlignment="1" pivotButton="0" quotePrefix="0" xfId="2">
      <alignment horizontal="right" vertical="center" readingOrder="1"/>
    </xf>
    <xf numFmtId="0" fontId="154" fillId="0" borderId="7" applyAlignment="1" pivotButton="0" quotePrefix="0" xfId="1">
      <alignment vertical="center" readingOrder="1"/>
    </xf>
    <xf numFmtId="0" fontId="154" fillId="0" borderId="2" applyAlignment="1" pivotButton="0" quotePrefix="0" xfId="1">
      <alignment vertical="center" readingOrder="1"/>
    </xf>
    <xf numFmtId="168" fontId="154" fillId="0" borderId="1" applyAlignment="1" pivotButton="0" quotePrefix="0" xfId="60307">
      <alignment horizontal="right" vertical="center" readingOrder="1"/>
    </xf>
    <xf numFmtId="168" fontId="154" fillId="0" borderId="5" applyAlignment="1" pivotButton="0" quotePrefix="0" xfId="2">
      <alignment horizontal="right" vertical="center" readingOrder="1"/>
    </xf>
    <xf numFmtId="168" fontId="154" fillId="0" borderId="1" applyAlignment="1" pivotButton="0" quotePrefix="0" xfId="2">
      <alignment horizontal="right" vertical="center" readingOrder="1"/>
    </xf>
    <xf numFmtId="168" fontId="154" fillId="0" borderId="86" applyAlignment="1" pivotButton="0" quotePrefix="0" xfId="2">
      <alignment horizontal="right" vertical="center" readingOrder="1"/>
    </xf>
    <xf numFmtId="168" fontId="12" fillId="0" borderId="4" applyAlignment="1" pivotButton="0" quotePrefix="0" xfId="2">
      <alignment horizontal="right" vertical="center" readingOrder="1"/>
    </xf>
    <xf numFmtId="168" fontId="154" fillId="0" borderId="3" applyAlignment="1" pivotButton="0" quotePrefix="0" xfId="2">
      <alignment horizontal="right" vertical="center" readingOrder="1"/>
    </xf>
    <xf numFmtId="0" fontId="39" fillId="0" borderId="1" applyAlignment="1" pivotButton="0" quotePrefix="0" xfId="1">
      <alignment vertical="center" wrapText="1"/>
    </xf>
    <xf numFmtId="3" fontId="39" fillId="0" borderId="0" applyAlignment="1" pivotButton="0" quotePrefix="0" xfId="1">
      <alignment vertical="center"/>
    </xf>
    <xf numFmtId="0" fontId="9" fillId="3" borderId="1" applyAlignment="1" pivotButton="0" quotePrefix="0" xfId="1">
      <alignment horizontal="center" vertical="center" wrapText="1" readingOrder="1"/>
    </xf>
    <xf numFmtId="0" fontId="9" fillId="3" borderId="7" applyAlignment="1" pivotButton="0" quotePrefix="0" xfId="1">
      <alignment horizontal="center" vertical="center" wrapText="1" readingOrder="1"/>
    </xf>
    <xf numFmtId="0" fontId="9" fillId="3" borderId="45" applyAlignment="1" pivotButton="0" quotePrefix="0" xfId="1">
      <alignment horizontal="center" vertical="center" wrapText="1" readingOrder="1"/>
    </xf>
    <xf numFmtId="0" fontId="9" fillId="3" borderId="44" applyAlignment="1" pivotButton="0" quotePrefix="0" xfId="1">
      <alignment horizontal="center" vertical="center" wrapText="1" readingOrder="1"/>
    </xf>
    <xf numFmtId="0" fontId="9" fillId="3" borderId="43" applyAlignment="1" pivotButton="0" quotePrefix="0" xfId="1">
      <alignment horizontal="center" vertical="center" wrapText="1" readingOrder="1"/>
    </xf>
    <xf numFmtId="0" fontId="9" fillId="3" borderId="24" applyAlignment="1" pivotButton="0" quotePrefix="0" xfId="1">
      <alignment horizontal="center" vertical="center" wrapText="1" readingOrder="1"/>
    </xf>
    <xf numFmtId="0" fontId="9" fillId="3" borderId="11" applyAlignment="1" pivotButton="0" quotePrefix="0" xfId="1">
      <alignment horizontal="center" vertical="center" wrapText="1" readingOrder="1"/>
    </xf>
    <xf numFmtId="0" fontId="9" fillId="3" borderId="20" applyAlignment="1" pivotButton="0" quotePrefix="0" xfId="1">
      <alignment horizontal="center" vertical="center" wrapText="1" readingOrder="1"/>
    </xf>
    <xf numFmtId="0" fontId="9" fillId="3" borderId="10" applyAlignment="1" pivotButton="0" quotePrefix="0" xfId="1">
      <alignment horizontal="center" vertical="center" wrapText="1" readingOrder="1"/>
    </xf>
    <xf numFmtId="0" fontId="9" fillId="3" borderId="25" applyAlignment="1" pivotButton="0" quotePrefix="0" xfId="1">
      <alignment horizontal="center" vertical="center" readingOrder="1"/>
    </xf>
    <xf numFmtId="0" fontId="9" fillId="3" borderId="24" applyAlignment="1" pivotButton="0" quotePrefix="0" xfId="1">
      <alignment horizontal="center" vertical="center" readingOrder="1"/>
    </xf>
    <xf numFmtId="0" fontId="9" fillId="3" borderId="13" applyAlignment="1" pivotButton="0" quotePrefix="0" xfId="1">
      <alignment horizontal="center" vertical="center" readingOrder="1"/>
    </xf>
    <xf numFmtId="0" fontId="9" fillId="3" borderId="11" applyAlignment="1" pivotButton="0" quotePrefix="0" xfId="1">
      <alignment horizontal="center" vertical="center" readingOrder="1"/>
    </xf>
    <xf numFmtId="215" fontId="30" fillId="6" borderId="0" applyAlignment="1" pivotButton="0" quotePrefix="0" xfId="1">
      <alignment horizontal="left" vertical="center"/>
    </xf>
    <xf numFmtId="0" fontId="25" fillId="0" borderId="24" applyAlignment="1" pivotButton="0" quotePrefix="0" xfId="1">
      <alignment horizontal="left" vertical="center" readingOrder="1"/>
    </xf>
    <xf numFmtId="0" fontId="25" fillId="0" borderId="29" applyAlignment="1" pivotButton="0" quotePrefix="0" xfId="1">
      <alignment horizontal="left" vertical="center" readingOrder="1"/>
    </xf>
    <xf numFmtId="0" fontId="91" fillId="3" borderId="25" applyAlignment="1" pivotButton="0" quotePrefix="0" xfId="60305">
      <alignment horizontal="center" vertical="center" readingOrder="1"/>
    </xf>
    <xf numFmtId="0" fontId="91" fillId="3" borderId="13" applyAlignment="1" pivotButton="0" quotePrefix="0" xfId="60305">
      <alignment horizontal="center" vertical="center" readingOrder="1"/>
    </xf>
    <xf numFmtId="0" fontId="91" fillId="3" borderId="1" applyAlignment="1" pivotButton="0" quotePrefix="0" xfId="60305">
      <alignment horizontal="center" vertical="center" readingOrder="1"/>
    </xf>
    <xf numFmtId="0" fontId="91" fillId="3" borderId="7" applyAlignment="1" pivotButton="0" quotePrefix="0" xfId="60305">
      <alignment horizontal="center" vertical="center" readingOrder="1"/>
    </xf>
    <xf numFmtId="0" fontId="91" fillId="3" borderId="24" applyAlignment="1" pivotButton="0" quotePrefix="0" xfId="60305">
      <alignment horizontal="center" vertical="center" readingOrder="1"/>
    </xf>
    <xf numFmtId="0" fontId="91" fillId="3" borderId="20" applyAlignment="1" pivotButton="0" quotePrefix="0" xfId="60305">
      <alignment horizontal="center" vertical="center" readingOrder="1"/>
    </xf>
    <xf numFmtId="0" fontId="91" fillId="3" borderId="10" applyAlignment="1" pivotButton="0" quotePrefix="0" xfId="60305">
      <alignment horizontal="center" vertical="center" readingOrder="1"/>
    </xf>
    <xf numFmtId="0" fontId="34" fillId="3" borderId="173" applyAlignment="1" pivotButton="0" quotePrefix="0" xfId="0">
      <alignment horizontal="center" vertical="center" wrapText="1" readingOrder="1"/>
    </xf>
    <xf numFmtId="0" fontId="34" fillId="3" borderId="85" applyAlignment="1" pivotButton="0" quotePrefix="0" xfId="0">
      <alignment horizontal="center" vertical="center" wrapText="1" readingOrder="1"/>
    </xf>
    <xf numFmtId="0" fontId="91" fillId="0" borderId="0" applyAlignment="1" pivotButton="0" quotePrefix="0" xfId="60305">
      <alignment horizontal="center" vertical="center" readingOrder="1"/>
    </xf>
    <xf numFmtId="0" fontId="32" fillId="0" borderId="7" applyAlignment="1" pivotButton="0" quotePrefix="0" xfId="0">
      <alignment horizontal="left" vertical="center" wrapText="1" readingOrder="1"/>
    </xf>
    <xf numFmtId="0" fontId="32" fillId="0" borderId="2" applyAlignment="1" pivotButton="0" quotePrefix="0" xfId="0">
      <alignment horizontal="left" vertical="center" wrapText="1" readingOrder="1"/>
    </xf>
    <xf numFmtId="0" fontId="32" fillId="0" borderId="25" applyAlignment="1" pivotButton="0" quotePrefix="0" xfId="0">
      <alignment horizontal="left" vertical="center" wrapText="1" readingOrder="1"/>
    </xf>
    <xf numFmtId="0" fontId="32" fillId="43" borderId="7" applyAlignment="1" pivotButton="0" quotePrefix="0" xfId="0">
      <alignment horizontal="left" vertical="center" wrapText="1" readingOrder="1"/>
    </xf>
    <xf numFmtId="0" fontId="32" fillId="43" borderId="2" applyAlignment="1" pivotButton="0" quotePrefix="0" xfId="0">
      <alignment horizontal="left" vertical="center" wrapText="1" readingOrder="1"/>
    </xf>
    <xf numFmtId="0" fontId="34" fillId="3" borderId="25" applyAlignment="1" pivotButton="0" quotePrefix="0" xfId="0">
      <alignment horizontal="center" vertical="center" wrapText="1" readingOrder="1"/>
    </xf>
    <xf numFmtId="0" fontId="34" fillId="3" borderId="24" applyAlignment="1" pivotButton="0" quotePrefix="0" xfId="0">
      <alignment horizontal="center" vertical="center" wrapText="1" readingOrder="1"/>
    </xf>
    <xf numFmtId="0" fontId="34" fillId="3" borderId="13" applyAlignment="1" pivotButton="0" quotePrefix="0" xfId="0">
      <alignment horizontal="center" vertical="center" wrapText="1" readingOrder="1"/>
    </xf>
    <xf numFmtId="0" fontId="34" fillId="3" borderId="11" applyAlignment="1" pivotButton="0" quotePrefix="0" xfId="0">
      <alignment horizontal="center" vertical="center" wrapText="1" readingOrder="1"/>
    </xf>
    <xf numFmtId="0" fontId="34" fillId="3" borderId="1" applyAlignment="1" pivotButton="0" quotePrefix="0" xfId="0">
      <alignment horizontal="center" vertical="center" wrapText="1" readingOrder="1"/>
    </xf>
    <xf numFmtId="0" fontId="34" fillId="3" borderId="7" applyAlignment="1" pivotButton="0" quotePrefix="0" xfId="0">
      <alignment horizontal="center" vertical="center" wrapText="1" readingOrder="1"/>
    </xf>
    <xf numFmtId="0" fontId="34" fillId="3" borderId="45" applyAlignment="1" pivotButton="0" quotePrefix="0" xfId="0">
      <alignment horizontal="center" vertical="center" wrapText="1" readingOrder="1"/>
    </xf>
    <xf numFmtId="0" fontId="34" fillId="3" borderId="44" applyAlignment="1" pivotButton="0" quotePrefix="0" xfId="0">
      <alignment horizontal="center" vertical="center" wrapText="1" readingOrder="1"/>
    </xf>
    <xf numFmtId="0" fontId="34" fillId="3" borderId="43" applyAlignment="1" pivotButton="0" quotePrefix="0" xfId="0">
      <alignment horizontal="center" vertical="center" wrapText="1" readingOrder="1"/>
    </xf>
    <xf numFmtId="0" fontId="34" fillId="3" borderId="7" applyAlignment="1" pivotButton="0" quotePrefix="0" xfId="1">
      <alignment horizontal="center" vertical="center" readingOrder="1"/>
    </xf>
    <xf numFmtId="0" fontId="34" fillId="3" borderId="2" applyAlignment="1" pivotButton="0" quotePrefix="0" xfId="1">
      <alignment horizontal="center" vertical="center" readingOrder="1"/>
    </xf>
    <xf numFmtId="0" fontId="32" fillId="0" borderId="13" applyAlignment="1" pivotButton="0" quotePrefix="0" xfId="1">
      <alignment horizontal="right" vertical="center" readingOrder="1"/>
    </xf>
    <xf numFmtId="0" fontId="32" fillId="0" borderId="11" applyAlignment="1" pivotButton="0" quotePrefix="0" xfId="1">
      <alignment horizontal="right" vertical="center" readingOrder="1"/>
    </xf>
    <xf numFmtId="0" fontId="32" fillId="0" borderId="64" applyAlignment="1" pivotButton="0" quotePrefix="0" xfId="1">
      <alignment horizontal="right" vertical="center" readingOrder="1"/>
    </xf>
    <xf numFmtId="0" fontId="32" fillId="0" borderId="63" applyAlignment="1" pivotButton="0" quotePrefix="0" xfId="1">
      <alignment horizontal="right" vertical="center" readingOrder="1"/>
    </xf>
    <xf numFmtId="0" fontId="34" fillId="3" borderId="13" applyAlignment="1" pivotButton="0" quotePrefix="0" xfId="1">
      <alignment horizontal="right" vertical="center" readingOrder="1"/>
    </xf>
    <xf numFmtId="0" fontId="34" fillId="3" borderId="11" applyAlignment="1" pivotButton="0" quotePrefix="0" xfId="1">
      <alignment horizontal="right" vertical="center" readingOrder="1"/>
    </xf>
    <xf numFmtId="0" fontId="9" fillId="3" borderId="89" applyAlignment="1" pivotButton="0" quotePrefix="0" xfId="1">
      <alignment horizontal="center" vertical="center" wrapText="1" readingOrder="1"/>
    </xf>
    <xf numFmtId="0" fontId="9" fillId="3" borderId="90" applyAlignment="1" pivotButton="0" quotePrefix="0" xfId="1">
      <alignment horizontal="center" vertical="center" wrapText="1" readingOrder="1"/>
    </xf>
    <xf numFmtId="0" fontId="9" fillId="3" borderId="91" applyAlignment="1" pivotButton="0" quotePrefix="0" xfId="1">
      <alignment horizontal="center" vertical="center" wrapText="1" readingOrder="1"/>
    </xf>
    <xf numFmtId="0" fontId="25" fillId="5" borderId="204" applyAlignment="1" pivotButton="0" quotePrefix="0" xfId="60310">
      <alignment horizontal="left" vertical="center" readingOrder="1"/>
    </xf>
    <xf numFmtId="0" fontId="25" fillId="5" borderId="205" applyAlignment="1" pivotButton="0" quotePrefix="0" xfId="60310">
      <alignment horizontal="left" vertical="center" readingOrder="1"/>
    </xf>
    <xf numFmtId="0" fontId="25" fillId="5" borderId="206" applyAlignment="1" pivotButton="0" quotePrefix="0" xfId="60310">
      <alignment horizontal="left" vertical="center" readingOrder="1"/>
    </xf>
    <xf numFmtId="0" fontId="25" fillId="3" borderId="25" applyAlignment="1" pivotButton="0" quotePrefix="0" xfId="60310">
      <alignment horizontal="center" vertical="center" readingOrder="1"/>
    </xf>
    <xf numFmtId="0" fontId="25" fillId="3" borderId="24" applyAlignment="1" pivotButton="0" quotePrefix="0" xfId="60310">
      <alignment horizontal="center" vertical="center" readingOrder="1"/>
    </xf>
    <xf numFmtId="0" fontId="25" fillId="3" borderId="189" applyAlignment="1" pivotButton="0" quotePrefix="0" xfId="60310">
      <alignment horizontal="center" vertical="center" readingOrder="1"/>
    </xf>
    <xf numFmtId="0" fontId="25" fillId="3" borderId="190" applyAlignment="1" pivotButton="0" quotePrefix="0" xfId="60310">
      <alignment horizontal="center" vertical="center" readingOrder="1"/>
    </xf>
    <xf numFmtId="0" fontId="28" fillId="3" borderId="20" applyAlignment="1" pivotButton="0" quotePrefix="0" xfId="60310">
      <alignment horizontal="center" vertical="center" wrapText="1" readingOrder="1"/>
    </xf>
    <xf numFmtId="0" fontId="28" fillId="3" borderId="25" applyAlignment="1" pivotButton="0" quotePrefix="0" xfId="60310">
      <alignment horizontal="center" vertical="center" wrapText="1" readingOrder="1"/>
    </xf>
    <xf numFmtId="0" fontId="28" fillId="3" borderId="24" applyAlignment="1" pivotButton="0" quotePrefix="0" xfId="60310">
      <alignment horizontal="center" vertical="center" wrapText="1" readingOrder="1"/>
    </xf>
    <xf numFmtId="216" fontId="28" fillId="46" borderId="13" applyAlignment="1" pivotButton="0" quotePrefix="0" xfId="60310">
      <alignment horizontal="left" vertical="center" readingOrder="1"/>
    </xf>
    <xf numFmtId="216" fontId="28" fillId="46" borderId="11" applyAlignment="1" pivotButton="0" quotePrefix="0" xfId="60310">
      <alignment horizontal="left" vertical="center" readingOrder="1"/>
    </xf>
    <xf numFmtId="0" fontId="25" fillId="0" borderId="25" applyAlignment="1" pivotButton="0" quotePrefix="0" xfId="60310">
      <alignment horizontal="left" vertical="center" readingOrder="1"/>
    </xf>
    <xf numFmtId="0" fontId="25" fillId="0" borderId="24" applyAlignment="1" pivotButton="0" quotePrefix="0" xfId="60310">
      <alignment horizontal="left" vertical="center" readingOrder="1"/>
    </xf>
    <xf numFmtId="0" fontId="28" fillId="39" borderId="7" applyAlignment="1" pivotButton="0" quotePrefix="0" xfId="60310">
      <alignment horizontal="left" vertical="center" readingOrder="1"/>
    </xf>
    <xf numFmtId="0" fontId="28" fillId="39" borderId="231" applyAlignment="1" pivotButton="0" quotePrefix="0" xfId="60310">
      <alignment horizontal="left" vertical="center" readingOrder="1"/>
    </xf>
    <xf numFmtId="0" fontId="25" fillId="0" borderId="204" applyAlignment="1" pivotButton="0" quotePrefix="0" xfId="60310">
      <alignment horizontal="left" vertical="center" readingOrder="1"/>
    </xf>
    <xf numFmtId="0" fontId="25" fillId="0" borderId="205" applyAlignment="1" pivotButton="0" quotePrefix="0" xfId="60310">
      <alignment horizontal="left" vertical="center" readingOrder="1"/>
    </xf>
    <xf numFmtId="0" fontId="25" fillId="0" borderId="206" applyAlignment="1" pivotButton="0" quotePrefix="0" xfId="60310">
      <alignment horizontal="left" vertical="center" readingOrder="1"/>
    </xf>
    <xf numFmtId="0" fontId="25" fillId="0" borderId="227" applyAlignment="1" pivotButton="0" quotePrefix="0" xfId="60310">
      <alignment horizontal="left" vertical="center" readingOrder="1"/>
    </xf>
    <xf numFmtId="0" fontId="25" fillId="3" borderId="0" applyAlignment="1" pivotButton="0" quotePrefix="0" xfId="60310">
      <alignment horizontal="center" vertical="center" readingOrder="1"/>
    </xf>
    <xf numFmtId="0" fontId="25" fillId="3" borderId="13" applyAlignment="1" pivotButton="0" quotePrefix="0" xfId="60310">
      <alignment horizontal="center" vertical="center" readingOrder="1"/>
    </xf>
    <xf numFmtId="0" fontId="25" fillId="3" borderId="371" applyAlignment="1" pivotButton="0" quotePrefix="0" xfId="60310">
      <alignment horizontal="center" vertical="center" readingOrder="1"/>
    </xf>
    <xf numFmtId="0" fontId="25" fillId="3" borderId="372" applyAlignment="1" pivotButton="0" quotePrefix="0" xfId="60310">
      <alignment horizontal="center" vertical="center" readingOrder="1"/>
    </xf>
    <xf numFmtId="0" fontId="25" fillId="3" borderId="100" applyAlignment="1" pivotButton="0" quotePrefix="0" xfId="60310">
      <alignment horizontal="center" vertical="center" readingOrder="1"/>
    </xf>
    <xf numFmtId="0" fontId="25" fillId="3" borderId="29" applyAlignment="1" pivotButton="0" quotePrefix="0" xfId="60310">
      <alignment horizontal="center" vertical="center" readingOrder="1"/>
    </xf>
    <xf numFmtId="165" fontId="25" fillId="3" borderId="1" applyAlignment="1" pivotButton="0" quotePrefix="0" xfId="60307">
      <alignment horizontal="center" vertical="center" wrapText="1" readingOrder="1"/>
    </xf>
    <xf numFmtId="165" fontId="25" fillId="3" borderId="7" applyAlignment="1" pivotButton="0" quotePrefix="0" xfId="60307">
      <alignment horizontal="center" vertical="center" wrapText="1" readingOrder="1"/>
    </xf>
    <xf numFmtId="165" fontId="25" fillId="3" borderId="2" applyAlignment="1" pivotButton="0" quotePrefix="0" xfId="60307">
      <alignment horizontal="center" vertical="center" wrapText="1" readingOrder="1"/>
    </xf>
    <xf numFmtId="0" fontId="28" fillId="3" borderId="1" applyAlignment="1" pivotButton="0" quotePrefix="0" xfId="60310">
      <alignment horizontal="center" vertical="center" wrapText="1" readingOrder="1"/>
    </xf>
    <xf numFmtId="0" fontId="28" fillId="3" borderId="7" applyAlignment="1" pivotButton="0" quotePrefix="0" xfId="60310">
      <alignment horizontal="center" vertical="center" wrapText="1" readingOrder="1"/>
    </xf>
    <xf numFmtId="0" fontId="28" fillId="3" borderId="2" applyAlignment="1" pivotButton="0" quotePrefix="0" xfId="60310">
      <alignment horizontal="center" vertical="center" wrapText="1" readingOrder="1"/>
    </xf>
    <xf numFmtId="0" fontId="28" fillId="3" borderId="25" applyAlignment="1" pivotButton="0" quotePrefix="0" xfId="60310">
      <alignment horizontal="center" vertical="center" readingOrder="1"/>
    </xf>
    <xf numFmtId="0" fontId="28" fillId="3" borderId="0" applyAlignment="1" pivotButton="0" quotePrefix="0" xfId="60310">
      <alignment horizontal="center" vertical="center" readingOrder="1"/>
    </xf>
    <xf numFmtId="0" fontId="28" fillId="3" borderId="13" applyAlignment="1" pivotButton="0" quotePrefix="0" xfId="60310">
      <alignment horizontal="center" vertical="center" readingOrder="1"/>
    </xf>
    <xf numFmtId="165" fontId="25" fillId="3" borderId="231" applyAlignment="1" pivotButton="0" quotePrefix="0" xfId="60307">
      <alignment horizontal="center" vertical="center" wrapText="1" readingOrder="1"/>
    </xf>
    <xf numFmtId="0" fontId="105" fillId="3" borderId="422" applyAlignment="1" pivotButton="0" quotePrefix="0" xfId="0">
      <alignment horizontal="center" vertical="center" wrapText="1" readingOrder="1"/>
    </xf>
    <xf numFmtId="0" fontId="105" fillId="3" borderId="423" applyAlignment="1" pivotButton="0" quotePrefix="0" xfId="0">
      <alignment horizontal="center" vertical="center" wrapText="1" readingOrder="1"/>
    </xf>
    <xf numFmtId="0" fontId="105" fillId="3" borderId="424" applyAlignment="1" pivotButton="0" quotePrefix="0" xfId="0">
      <alignment horizontal="center" vertical="center" wrapText="1" readingOrder="1"/>
    </xf>
    <xf numFmtId="0" fontId="105" fillId="3" borderId="425" applyAlignment="1" pivotButton="0" quotePrefix="0" xfId="0">
      <alignment horizontal="center" vertical="center" wrapText="1" readingOrder="1"/>
    </xf>
    <xf numFmtId="0" fontId="105" fillId="3" borderId="426" applyAlignment="1" pivotButton="0" quotePrefix="0" xfId="0">
      <alignment horizontal="center" vertical="center" wrapText="1" readingOrder="1"/>
    </xf>
    <xf numFmtId="0" fontId="104" fillId="0" borderId="282" applyAlignment="1" pivotButton="0" quotePrefix="0" xfId="0">
      <alignment horizontal="left" vertical="center" wrapText="1" readingOrder="1"/>
    </xf>
    <xf numFmtId="0" fontId="104" fillId="0" borderId="283" applyAlignment="1" pivotButton="0" quotePrefix="0" xfId="0">
      <alignment horizontal="left" vertical="center" wrapText="1" readingOrder="1"/>
    </xf>
    <xf numFmtId="0" fontId="104" fillId="0" borderId="274" applyAlignment="1" pivotButton="0" quotePrefix="0" xfId="0">
      <alignment horizontal="left" vertical="center" wrapText="1" readingOrder="1"/>
    </xf>
    <xf numFmtId="0" fontId="104" fillId="0" borderId="275" applyAlignment="1" pivotButton="0" quotePrefix="0" xfId="0">
      <alignment horizontal="left" vertical="center" wrapText="1" readingOrder="1"/>
    </xf>
    <xf numFmtId="0" fontId="104" fillId="43" borderId="282" applyAlignment="1" pivotButton="0" quotePrefix="0" xfId="0">
      <alignment horizontal="left" vertical="center" wrapText="1" readingOrder="1"/>
    </xf>
    <xf numFmtId="0" fontId="104" fillId="43" borderId="283" applyAlignment="1" pivotButton="0" quotePrefix="0" xfId="0">
      <alignment horizontal="left" vertical="center" wrapText="1" readingOrder="1"/>
    </xf>
    <xf numFmtId="0" fontId="114" fillId="50" borderId="377" applyAlignment="1" pivotButton="0" quotePrefix="0" xfId="60312">
      <alignment horizontal="center" vertical="center" wrapText="1"/>
    </xf>
    <xf numFmtId="0" fontId="105" fillId="3" borderId="275" applyAlignment="1" pivotButton="0" quotePrefix="0" xfId="0">
      <alignment horizontal="center" vertical="center" wrapText="1" readingOrder="1"/>
    </xf>
    <xf numFmtId="0" fontId="105" fillId="3" borderId="390" applyAlignment="1" pivotButton="0" quotePrefix="0" xfId="0">
      <alignment horizontal="center" vertical="center" wrapText="1" readingOrder="1"/>
    </xf>
    <xf numFmtId="0" fontId="105" fillId="3" borderId="281" applyAlignment="1" pivotButton="0" quotePrefix="0" xfId="0">
      <alignment horizontal="center" vertical="center" wrapText="1" readingOrder="1"/>
    </xf>
    <xf numFmtId="0" fontId="105" fillId="3" borderId="282" applyAlignment="1" pivotButton="0" quotePrefix="0" xfId="0">
      <alignment horizontal="center" vertical="center" wrapText="1" readingOrder="1"/>
    </xf>
    <xf numFmtId="0" fontId="105" fillId="3" borderId="391" applyAlignment="1" pivotButton="0" quotePrefix="0" xfId="0">
      <alignment horizontal="center" vertical="center" wrapText="1" readingOrder="1"/>
    </xf>
    <xf numFmtId="0" fontId="105" fillId="3" borderId="274" applyAlignment="1" pivotButton="0" quotePrefix="0" xfId="0">
      <alignment horizontal="center" vertical="center" wrapText="1" readingOrder="1"/>
    </xf>
    <xf numFmtId="0" fontId="105" fillId="3" borderId="279" applyAlignment="1" pivotButton="0" quotePrefix="0" xfId="0">
      <alignment horizontal="center" vertical="center" wrapText="1" readingOrder="1"/>
    </xf>
    <xf numFmtId="0" fontId="105" fillId="3" borderId="280" applyAlignment="1" pivotButton="0" quotePrefix="0" xfId="0">
      <alignment horizontal="center" vertical="center" wrapText="1" readingOrder="1"/>
    </xf>
    <xf numFmtId="0" fontId="105" fillId="3" borderId="421" applyAlignment="1" pivotButton="0" quotePrefix="0" xfId="0">
      <alignment horizontal="center" vertical="center" wrapText="1" readingOrder="1"/>
    </xf>
    <xf numFmtId="0" fontId="121" fillId="3" borderId="365" applyAlignment="1" pivotButton="0" quotePrefix="0" xfId="0">
      <alignment horizontal="center" vertical="center" wrapText="1" readingOrder="1"/>
    </xf>
    <xf numFmtId="0" fontId="121" fillId="3" borderId="275" applyAlignment="1" pivotButton="0" quotePrefix="0" xfId="0">
      <alignment horizontal="center" vertical="center" wrapText="1" readingOrder="1"/>
    </xf>
    <xf numFmtId="0" fontId="121" fillId="3" borderId="281" applyAlignment="1" pivotButton="0" quotePrefix="0" xfId="0">
      <alignment horizontal="center" vertical="center" wrapText="1" readingOrder="1"/>
    </xf>
    <xf numFmtId="0" fontId="121" fillId="3" borderId="282" applyAlignment="1" pivotButton="0" quotePrefix="0" xfId="0">
      <alignment horizontal="center" vertical="center" wrapText="1" readingOrder="1"/>
    </xf>
    <xf numFmtId="0" fontId="121" fillId="3" borderId="283" applyAlignment="1" pivotButton="0" quotePrefix="0" xfId="0">
      <alignment horizontal="center" vertical="center" wrapText="1" readingOrder="1"/>
    </xf>
    <xf numFmtId="0" fontId="121" fillId="3" borderId="285" applyAlignment="1" pivotButton="0" quotePrefix="0" xfId="0">
      <alignment horizontal="center" vertical="center" wrapText="1" readingOrder="1"/>
    </xf>
    <xf numFmtId="0" fontId="121" fillId="3" borderId="286" applyAlignment="1" pivotButton="0" quotePrefix="0" xfId="0">
      <alignment horizontal="center" vertical="center" wrapText="1" readingOrder="1"/>
    </xf>
    <xf numFmtId="0" fontId="121" fillId="3" borderId="287" applyAlignment="1" pivotButton="0" quotePrefix="0" xfId="0">
      <alignment horizontal="center" vertical="center" wrapText="1" readingOrder="1"/>
    </xf>
    <xf numFmtId="0" fontId="121" fillId="3" borderId="292" applyAlignment="1" pivotButton="0" quotePrefix="0" xfId="0">
      <alignment horizontal="center" vertical="center" wrapText="1" readingOrder="1"/>
    </xf>
    <xf numFmtId="0" fontId="121" fillId="3" borderId="293" applyAlignment="1" pivotButton="0" quotePrefix="0" xfId="0">
      <alignment horizontal="center" vertical="center" wrapText="1" readingOrder="1"/>
    </xf>
    <xf numFmtId="0" fontId="102" fillId="3" borderId="282" applyAlignment="1" pivotButton="0" quotePrefix="0" xfId="0">
      <alignment horizontal="center" vertical="center" wrapText="1" readingOrder="1"/>
    </xf>
    <xf numFmtId="0" fontId="102" fillId="3" borderId="283" applyAlignment="1" pivotButton="0" quotePrefix="0" xfId="0">
      <alignment horizontal="center" vertical="center" wrapText="1" readingOrder="1"/>
    </xf>
    <xf numFmtId="0" fontId="105" fillId="3" borderId="283" applyAlignment="1" pivotButton="0" quotePrefix="0" xfId="0">
      <alignment horizontal="center" vertical="center" wrapText="1" readingOrder="1"/>
    </xf>
    <xf numFmtId="0" fontId="104" fillId="0" borderId="279" applyAlignment="1" pivotButton="0" quotePrefix="0" xfId="0">
      <alignment horizontal="right" vertical="center" wrapText="1" readingOrder="1"/>
    </xf>
    <xf numFmtId="0" fontId="104" fillId="0" borderId="280" applyAlignment="1" pivotButton="0" quotePrefix="0" xfId="0">
      <alignment horizontal="right" vertical="center" wrapText="1" readingOrder="1"/>
    </xf>
    <xf numFmtId="0" fontId="121" fillId="3" borderId="273" applyAlignment="1" pivotButton="0" quotePrefix="0" xfId="0">
      <alignment horizontal="center" vertical="center" wrapText="1" readingOrder="1"/>
    </xf>
    <xf numFmtId="0" fontId="121" fillId="3" borderId="274" applyAlignment="1" pivotButton="0" quotePrefix="0" xfId="0">
      <alignment horizontal="center" vertical="center" wrapText="1" readingOrder="1"/>
    </xf>
    <xf numFmtId="0" fontId="121" fillId="3" borderId="276" applyAlignment="1" pivotButton="0" quotePrefix="0" xfId="0">
      <alignment horizontal="center" vertical="center" wrapText="1" readingOrder="1"/>
    </xf>
    <xf numFmtId="0" fontId="121" fillId="3" borderId="0" applyAlignment="1" pivotButton="0" quotePrefix="0" xfId="0">
      <alignment horizontal="center" vertical="center" wrapText="1" readingOrder="1"/>
    </xf>
    <xf numFmtId="0" fontId="121" fillId="3" borderId="277" applyAlignment="1" pivotButton="0" quotePrefix="0" xfId="0">
      <alignment horizontal="center" vertical="center" wrapText="1" readingOrder="1"/>
    </xf>
    <xf numFmtId="0" fontId="121" fillId="3" borderId="278" applyAlignment="1" pivotButton="0" quotePrefix="0" xfId="0">
      <alignment horizontal="center" vertical="center" wrapText="1" readingOrder="1"/>
    </xf>
    <xf numFmtId="0" fontId="121" fillId="3" borderId="279" applyAlignment="1" pivotButton="0" quotePrefix="0" xfId="0">
      <alignment horizontal="center" vertical="center" wrapText="1" readingOrder="1"/>
    </xf>
    <xf numFmtId="0" fontId="121" fillId="3" borderId="280" applyAlignment="1" pivotButton="0" quotePrefix="0" xfId="0">
      <alignment horizontal="center" vertical="center" wrapText="1" readingOrder="1"/>
    </xf>
    <xf numFmtId="0" fontId="121" fillId="0" borderId="308" applyAlignment="1" pivotButton="0" quotePrefix="0" xfId="0">
      <alignment horizontal="left" vertical="center" wrapText="1" readingOrder="1"/>
    </xf>
    <xf numFmtId="0" fontId="121" fillId="0" borderId="326" applyAlignment="1" pivotButton="0" quotePrefix="0" xfId="0">
      <alignment horizontal="left" vertical="center" wrapText="1" readingOrder="1"/>
    </xf>
    <xf numFmtId="0" fontId="121" fillId="0" borderId="327" applyAlignment="1" pivotButton="0" quotePrefix="0" xfId="0">
      <alignment horizontal="left" vertical="center" wrapText="1" readingOrder="1"/>
    </xf>
    <xf numFmtId="0" fontId="121" fillId="0" borderId="352" applyAlignment="1" pivotButton="0" quotePrefix="0" xfId="0">
      <alignment horizontal="left" vertical="center" wrapText="1" readingOrder="1"/>
    </xf>
    <xf numFmtId="0" fontId="121" fillId="0" borderId="366" applyAlignment="1" pivotButton="0" quotePrefix="0" xfId="0">
      <alignment horizontal="left" vertical="center" wrapText="1" readingOrder="1"/>
    </xf>
    <xf numFmtId="0" fontId="121" fillId="0" borderId="367" applyAlignment="1" pivotButton="0" quotePrefix="0" xfId="0">
      <alignment horizontal="left" vertical="center" wrapText="1" readingOrder="1"/>
    </xf>
    <xf numFmtId="0" fontId="121" fillId="0" borderId="368" applyAlignment="1" pivotButton="0" quotePrefix="0" xfId="0">
      <alignment horizontal="left" vertical="center" wrapText="1" readingOrder="1"/>
    </xf>
    <xf numFmtId="0" fontId="121" fillId="0" borderId="370" applyAlignment="1" pivotButton="0" quotePrefix="0" xfId="0">
      <alignment horizontal="left" vertical="center" wrapText="1" readingOrder="1"/>
    </xf>
    <xf numFmtId="0" fontId="121" fillId="0" borderId="337" applyAlignment="1" pivotButton="0" quotePrefix="0" xfId="0">
      <alignment horizontal="left" vertical="center" wrapText="1" readingOrder="1"/>
    </xf>
    <xf numFmtId="0" fontId="121" fillId="0" borderId="277" applyAlignment="1" pivotButton="0" quotePrefix="0" xfId="0">
      <alignment horizontal="left" vertical="center" wrapText="1" readingOrder="1"/>
    </xf>
    <xf numFmtId="0" fontId="121" fillId="0" borderId="459" applyAlignment="1" pivotButton="0" quotePrefix="0" xfId="0">
      <alignment horizontal="left" vertical="center" wrapText="1" readingOrder="1"/>
    </xf>
    <xf numFmtId="0" fontId="121" fillId="0" borderId="460" applyAlignment="1" pivotButton="0" quotePrefix="0" xfId="0">
      <alignment horizontal="left" vertical="center" wrapText="1" readingOrder="1"/>
    </xf>
    <xf numFmtId="0" fontId="121" fillId="0" borderId="401" applyAlignment="1" pivotButton="0" quotePrefix="0" xfId="0">
      <alignment horizontal="left" vertical="center" wrapText="1" readingOrder="1"/>
    </xf>
    <xf numFmtId="0" fontId="122" fillId="0" borderId="297" applyAlignment="1" pivotButton="0" quotePrefix="0" xfId="0">
      <alignment horizontal="left" vertical="center" wrapText="1" readingOrder="1"/>
    </xf>
    <xf numFmtId="0" fontId="122" fillId="0" borderId="282" applyAlignment="1" pivotButton="0" quotePrefix="0" xfId="0">
      <alignment horizontal="left" vertical="center" wrapText="1" readingOrder="1"/>
    </xf>
    <xf numFmtId="0" fontId="122" fillId="0" borderId="283" applyAlignment="1" pivotButton="0" quotePrefix="0" xfId="0">
      <alignment horizontal="left" vertical="center" wrapText="1" readingOrder="1"/>
    </xf>
    <xf numFmtId="0" fontId="122" fillId="0" borderId="299" applyAlignment="1" pivotButton="0" quotePrefix="0" xfId="0">
      <alignment horizontal="left" vertical="center" wrapText="1" readingOrder="1"/>
    </xf>
    <xf numFmtId="0" fontId="122" fillId="0" borderId="300" applyAlignment="1" pivotButton="0" quotePrefix="0" xfId="0">
      <alignment horizontal="left" vertical="center" wrapText="1" readingOrder="1"/>
    </xf>
    <xf numFmtId="0" fontId="122" fillId="0" borderId="301" applyAlignment="1" pivotButton="0" quotePrefix="0" xfId="0">
      <alignment horizontal="left" vertical="center" wrapText="1" readingOrder="1"/>
    </xf>
    <xf numFmtId="0" fontId="121" fillId="0" borderId="309" applyAlignment="1" pivotButton="0" quotePrefix="0" xfId="0">
      <alignment horizontal="left" vertical="center" wrapText="1" readingOrder="1"/>
    </xf>
    <xf numFmtId="0" fontId="121" fillId="0" borderId="317" applyAlignment="1" pivotButton="0" quotePrefix="0" xfId="0">
      <alignment horizontal="left" vertical="center" wrapText="1" readingOrder="1"/>
    </xf>
    <xf numFmtId="0" fontId="121" fillId="0" borderId="318" applyAlignment="1" pivotButton="0" quotePrefix="0" xfId="0">
      <alignment horizontal="left" vertical="center" wrapText="1" readingOrder="1"/>
    </xf>
    <xf numFmtId="0" fontId="121" fillId="0" borderId="319" applyAlignment="1" pivotButton="0" quotePrefix="0" xfId="0">
      <alignment horizontal="left" vertical="center" wrapText="1" readingOrder="1"/>
    </xf>
    <xf numFmtId="0" fontId="122" fillId="42" borderId="297" applyAlignment="1" pivotButton="0" quotePrefix="0" xfId="0">
      <alignment horizontal="left" vertical="center" wrapText="1" readingOrder="1"/>
    </xf>
    <xf numFmtId="0" fontId="122" fillId="42" borderId="282" applyAlignment="1" pivotButton="0" quotePrefix="0" xfId="0">
      <alignment horizontal="left" vertical="center" wrapText="1" readingOrder="1"/>
    </xf>
    <xf numFmtId="0" fontId="122" fillId="42" borderId="283" applyAlignment="1" pivotButton="0" quotePrefix="0" xfId="0">
      <alignment horizontal="left" vertical="center" wrapText="1" readingOrder="1"/>
    </xf>
    <xf numFmtId="0" fontId="105" fillId="3" borderId="384" applyAlignment="1" pivotButton="0" quotePrefix="0" xfId="0">
      <alignment horizontal="center" vertical="center" wrapText="1" readingOrder="1"/>
    </xf>
    <xf numFmtId="0" fontId="105" fillId="3" borderId="386" applyAlignment="1" pivotButton="0" quotePrefix="0" xfId="0">
      <alignment horizontal="center" vertical="center" wrapText="1" readingOrder="1"/>
    </xf>
    <xf numFmtId="0" fontId="105" fillId="3" borderId="365" applyAlignment="1" pivotButton="0" quotePrefix="0" xfId="0">
      <alignment horizontal="center" vertical="center" wrapText="1" readingOrder="1"/>
    </xf>
    <xf numFmtId="0" fontId="105" fillId="3" borderId="356" applyAlignment="1" pivotButton="0" quotePrefix="0" xfId="0">
      <alignment horizontal="center" vertical="center" wrapText="1" readingOrder="1"/>
    </xf>
    <xf numFmtId="0" fontId="105" fillId="0" borderId="349" applyAlignment="1" pivotButton="0" quotePrefix="0" xfId="0">
      <alignment horizontal="left" vertical="center" wrapText="1" readingOrder="1"/>
    </xf>
    <xf numFmtId="0" fontId="105" fillId="0" borderId="471" applyAlignment="1" pivotButton="0" quotePrefix="0" xfId="0">
      <alignment horizontal="left" vertical="center" wrapText="1" readingOrder="1"/>
    </xf>
    <xf numFmtId="0" fontId="105" fillId="0" borderId="350" applyAlignment="1" pivotButton="0" quotePrefix="0" xfId="0">
      <alignment horizontal="left" vertical="center" wrapText="1" readingOrder="1"/>
    </xf>
    <xf numFmtId="0" fontId="105" fillId="0" borderId="472" applyAlignment="1" pivotButton="0" quotePrefix="0" xfId="0">
      <alignment horizontal="left" vertical="center" wrapText="1" readingOrder="1"/>
    </xf>
    <xf numFmtId="0" fontId="105" fillId="0" borderId="455" applyAlignment="1" pivotButton="0" quotePrefix="0" xfId="0">
      <alignment horizontal="left" vertical="center" wrapText="1" readingOrder="1"/>
    </xf>
    <xf numFmtId="0" fontId="105" fillId="0" borderId="462" applyAlignment="1" pivotButton="0" quotePrefix="0" xfId="0">
      <alignment horizontal="left" vertical="center" wrapText="1" readingOrder="1"/>
    </xf>
    <xf numFmtId="0" fontId="105" fillId="0" borderId="456" applyAlignment="1" pivotButton="0" quotePrefix="0" xfId="0">
      <alignment horizontal="left" vertical="center" wrapText="1" readingOrder="1"/>
    </xf>
    <xf numFmtId="0" fontId="105" fillId="0" borderId="337" applyAlignment="1" pivotButton="0" quotePrefix="0" xfId="0">
      <alignment horizontal="left" vertical="center" wrapText="1" readingOrder="1"/>
    </xf>
    <xf numFmtId="0" fontId="105" fillId="0" borderId="0" applyAlignment="1" pivotButton="0" quotePrefix="0" xfId="0">
      <alignment horizontal="left" vertical="center" wrapText="1" readingOrder="1"/>
    </xf>
    <xf numFmtId="0" fontId="105" fillId="0" borderId="347" applyAlignment="1" pivotButton="0" quotePrefix="0" xfId="0">
      <alignment horizontal="left" vertical="center" wrapText="1" readingOrder="1"/>
    </xf>
    <xf numFmtId="0" fontId="105" fillId="0" borderId="475" applyAlignment="1" pivotButton="0" quotePrefix="0" xfId="0">
      <alignment horizontal="left" vertical="center" wrapText="1" readingOrder="1"/>
    </xf>
    <xf numFmtId="0" fontId="105" fillId="0" borderId="277" applyAlignment="1" pivotButton="0" quotePrefix="0" xfId="0">
      <alignment horizontal="left" vertical="center" wrapText="1" readingOrder="1"/>
    </xf>
    <xf numFmtId="0" fontId="105" fillId="0" borderId="477" applyAlignment="1" pivotButton="0" quotePrefix="0" xfId="0">
      <alignment horizontal="left" vertical="center" wrapText="1" readingOrder="1"/>
    </xf>
    <xf numFmtId="0" fontId="105" fillId="0" borderId="478" applyAlignment="1" pivotButton="0" quotePrefix="0" xfId="0">
      <alignment horizontal="left" vertical="center" wrapText="1" readingOrder="1"/>
    </xf>
    <xf numFmtId="0" fontId="105" fillId="0" borderId="479" applyAlignment="1" pivotButton="0" quotePrefix="0" xfId="0">
      <alignment horizontal="left" vertical="center" wrapText="1" readingOrder="1"/>
    </xf>
    <xf numFmtId="0" fontId="105" fillId="0" borderId="293" applyAlignment="1" pivotButton="0" quotePrefix="0" xfId="0">
      <alignment horizontal="left" vertical="center" wrapText="1" readingOrder="1"/>
    </xf>
    <xf numFmtId="0" fontId="105" fillId="0" borderId="279" applyAlignment="1" pivotButton="0" quotePrefix="0" xfId="0">
      <alignment horizontal="left" vertical="center" wrapText="1" readingOrder="1"/>
    </xf>
    <xf numFmtId="0" fontId="105" fillId="0" borderId="435" applyAlignment="1" pivotButton="0" quotePrefix="0" xfId="0">
      <alignment horizontal="left" vertical="center" wrapText="1" readingOrder="1"/>
    </xf>
    <xf numFmtId="0" fontId="105" fillId="0" borderId="355" applyAlignment="1" pivotButton="0" quotePrefix="0" xfId="0">
      <alignment horizontal="left" vertical="center" wrapText="1" readingOrder="1"/>
    </xf>
    <xf numFmtId="0" fontId="105" fillId="0" borderId="280" applyAlignment="1" pivotButton="0" quotePrefix="0" xfId="0">
      <alignment horizontal="left" vertical="center" wrapText="1" readingOrder="1"/>
    </xf>
    <xf numFmtId="0" fontId="104" fillId="42" borderId="282" applyAlignment="1" pivotButton="0" quotePrefix="0" xfId="0">
      <alignment horizontal="left" vertical="center" wrapText="1" readingOrder="1"/>
    </xf>
    <xf numFmtId="0" fontId="104" fillId="42" borderId="283" applyAlignment="1" pivotButton="0" quotePrefix="0" xfId="0">
      <alignment horizontal="left" vertical="center" wrapText="1" readingOrder="1"/>
    </xf>
    <xf numFmtId="0" fontId="102" fillId="0" borderId="299" applyAlignment="1" pivotButton="0" quotePrefix="0" xfId="0">
      <alignment horizontal="left" vertical="center" wrapText="1" readingOrder="1"/>
    </xf>
    <xf numFmtId="0" fontId="102" fillId="0" borderId="300" applyAlignment="1" pivotButton="0" quotePrefix="0" xfId="0">
      <alignment horizontal="left" vertical="center" wrapText="1" readingOrder="1"/>
    </xf>
    <xf numFmtId="0" fontId="102" fillId="0" borderId="301" applyAlignment="1" pivotButton="0" quotePrefix="0" xfId="0">
      <alignment horizontal="left" vertical="center" wrapText="1" readingOrder="1"/>
    </xf>
    <xf numFmtId="0" fontId="102" fillId="0" borderId="317" applyAlignment="1" pivotButton="0" quotePrefix="0" xfId="0">
      <alignment horizontal="left" vertical="center" wrapText="1" readingOrder="1"/>
    </xf>
    <xf numFmtId="0" fontId="102" fillId="0" borderId="318" applyAlignment="1" pivotButton="0" quotePrefix="0" xfId="0">
      <alignment horizontal="left" vertical="center" wrapText="1" readingOrder="1"/>
    </xf>
    <xf numFmtId="0" fontId="102" fillId="0" borderId="319" applyAlignment="1" pivotButton="0" quotePrefix="0" xfId="0">
      <alignment horizontal="left" vertical="center" wrapText="1" readingOrder="1"/>
    </xf>
    <xf numFmtId="0" fontId="102" fillId="0" borderId="274" applyAlignment="1" pivotButton="0" quotePrefix="0" xfId="0">
      <alignment horizontal="left" vertical="center" wrapText="1" readingOrder="1"/>
    </xf>
    <xf numFmtId="0" fontId="102" fillId="0" borderId="275" applyAlignment="1" pivotButton="0" quotePrefix="0" xfId="0">
      <alignment horizontal="left" vertical="center" wrapText="1" readingOrder="1"/>
    </xf>
    <xf numFmtId="0" fontId="103" fillId="42" borderId="278" applyAlignment="1" pivotButton="0" quotePrefix="0" xfId="0">
      <alignment horizontal="left" vertical="center" wrapText="1" readingOrder="1"/>
    </xf>
    <xf numFmtId="0" fontId="103" fillId="42" borderId="279" applyAlignment="1" pivotButton="0" quotePrefix="0" xfId="0">
      <alignment horizontal="left" vertical="center" wrapText="1" readingOrder="1"/>
    </xf>
    <xf numFmtId="0" fontId="103" fillId="42" borderId="280" applyAlignment="1" pivotButton="0" quotePrefix="0" xfId="0">
      <alignment horizontal="left" vertical="center" wrapText="1" readingOrder="1"/>
    </xf>
    <xf numFmtId="0" fontId="102" fillId="0" borderId="352" applyAlignment="1" pivotButton="0" quotePrefix="0" xfId="0">
      <alignment horizontal="left" vertical="center" wrapText="1" readingOrder="1"/>
    </xf>
    <xf numFmtId="0" fontId="102" fillId="0" borderId="353" applyAlignment="1" pivotButton="0" quotePrefix="0" xfId="0">
      <alignment horizontal="left" vertical="center" wrapText="1" readingOrder="1"/>
    </xf>
    <xf numFmtId="0" fontId="102" fillId="0" borderId="337" applyAlignment="1" pivotButton="0" quotePrefix="0" xfId="0">
      <alignment horizontal="left" vertical="center" wrapText="1" readingOrder="1"/>
    </xf>
    <xf numFmtId="0" fontId="102" fillId="0" borderId="277" applyAlignment="1" pivotButton="0" quotePrefix="0" xfId="0">
      <alignment horizontal="left" vertical="center" wrapText="1" readingOrder="1"/>
    </xf>
    <xf numFmtId="0" fontId="102" fillId="0" borderId="354" applyAlignment="1" pivotButton="0" quotePrefix="0" xfId="0">
      <alignment horizontal="left" vertical="center" wrapText="1" readingOrder="1"/>
    </xf>
    <xf numFmtId="0" fontId="102" fillId="0" borderId="355" applyAlignment="1" pivotButton="0" quotePrefix="0" xfId="0">
      <alignment horizontal="left" vertical="center" wrapText="1" readingOrder="1"/>
    </xf>
    <xf numFmtId="0" fontId="102" fillId="0" borderId="280" applyAlignment="1" pivotButton="0" quotePrefix="0" xfId="0">
      <alignment horizontal="left" vertical="center" wrapText="1" readingOrder="1"/>
    </xf>
    <xf numFmtId="0" fontId="92" fillId="0" borderId="337" applyAlignment="1" pivotButton="0" quotePrefix="0" xfId="0">
      <alignment vertical="center" wrapText="1"/>
    </xf>
    <xf numFmtId="0" fontId="92" fillId="0" borderId="347" applyAlignment="1" pivotButton="0" quotePrefix="0" xfId="0">
      <alignment vertical="center" wrapText="1"/>
    </xf>
    <xf numFmtId="0" fontId="92" fillId="0" borderId="349" applyAlignment="1" pivotButton="0" quotePrefix="0" xfId="0">
      <alignment vertical="center" wrapText="1"/>
    </xf>
    <xf numFmtId="0" fontId="92" fillId="0" borderId="350" applyAlignment="1" pivotButton="0" quotePrefix="0" xfId="0">
      <alignment vertical="center" wrapText="1"/>
    </xf>
    <xf numFmtId="0" fontId="102" fillId="0" borderId="310" applyAlignment="1" pivotButton="0" quotePrefix="0" xfId="0">
      <alignment horizontal="left" vertical="center" wrapText="1" readingOrder="1"/>
    </xf>
    <xf numFmtId="0" fontId="102" fillId="0" borderId="311" applyAlignment="1" pivotButton="0" quotePrefix="0" xfId="0">
      <alignment horizontal="left" vertical="center" wrapText="1" readingOrder="1"/>
    </xf>
    <xf numFmtId="0" fontId="102" fillId="0" borderId="312" applyAlignment="1" pivotButton="0" quotePrefix="0" xfId="0">
      <alignment horizontal="left" vertical="center" wrapText="1" readingOrder="1"/>
    </xf>
    <xf numFmtId="0" fontId="102" fillId="0" borderId="368" applyAlignment="1" pivotButton="0" quotePrefix="0" xfId="0">
      <alignment horizontal="left" vertical="center" wrapText="1" readingOrder="1"/>
    </xf>
    <xf numFmtId="0" fontId="102" fillId="0" borderId="370" applyAlignment="1" pivotButton="0" quotePrefix="0" xfId="0">
      <alignment horizontal="left" vertical="center" wrapText="1" readingOrder="1"/>
    </xf>
    <xf numFmtId="0" fontId="103" fillId="0" borderId="299" applyAlignment="1" pivotButton="0" quotePrefix="0" xfId="0">
      <alignment horizontal="left" vertical="center" wrapText="1" readingOrder="1"/>
    </xf>
    <xf numFmtId="0" fontId="103" fillId="0" borderId="300" applyAlignment="1" pivotButton="0" quotePrefix="0" xfId="0">
      <alignment horizontal="left" vertical="center" wrapText="1" readingOrder="1"/>
    </xf>
    <xf numFmtId="0" fontId="103" fillId="0" borderId="301" applyAlignment="1" pivotButton="0" quotePrefix="0" xfId="0">
      <alignment horizontal="left" vertical="center" wrapText="1" readingOrder="1"/>
    </xf>
    <xf numFmtId="0" fontId="92" fillId="0" borderId="308" applyAlignment="1" pivotButton="0" quotePrefix="0" xfId="0">
      <alignment vertical="center" wrapText="1"/>
    </xf>
    <xf numFmtId="0" fontId="92" fillId="0" borderId="309" applyAlignment="1" pivotButton="0" quotePrefix="0" xfId="0">
      <alignment vertical="center" wrapText="1"/>
    </xf>
    <xf numFmtId="0" fontId="102" fillId="0" borderId="366" applyAlignment="1" pivotButton="0" quotePrefix="0" xfId="0">
      <alignment horizontal="left" vertical="center" wrapText="1" readingOrder="1"/>
    </xf>
    <xf numFmtId="0" fontId="102" fillId="0" borderId="367" applyAlignment="1" pivotButton="0" quotePrefix="0" xfId="0">
      <alignment horizontal="left" vertical="center" wrapText="1" readingOrder="1"/>
    </xf>
    <xf numFmtId="0" fontId="92" fillId="0" borderId="326" applyAlignment="1" pivotButton="0" quotePrefix="0" xfId="0">
      <alignment vertical="center" wrapText="1"/>
    </xf>
    <xf numFmtId="0" fontId="92" fillId="0" borderId="327" applyAlignment="1" pivotButton="0" quotePrefix="0" xfId="0">
      <alignment vertical="center" wrapText="1"/>
    </xf>
    <xf numFmtId="0" fontId="102" fillId="0" borderId="369" applyAlignment="1" pivotButton="0" quotePrefix="0" xfId="0">
      <alignment horizontal="left" vertical="center" wrapText="1" readingOrder="1"/>
    </xf>
    <xf numFmtId="0" fontId="102" fillId="0" borderId="0" applyAlignment="1" pivotButton="0" quotePrefix="0" xfId="0">
      <alignment horizontal="left" vertical="center" wrapText="1" readingOrder="1"/>
    </xf>
    <xf numFmtId="0" fontId="103" fillId="0" borderId="297" applyAlignment="1" pivotButton="0" quotePrefix="0" xfId="0">
      <alignment horizontal="left" vertical="center" wrapText="1" readingOrder="1"/>
    </xf>
    <xf numFmtId="0" fontId="103" fillId="0" borderId="282" applyAlignment="1" pivotButton="0" quotePrefix="0" xfId="0">
      <alignment horizontal="left" vertical="center" wrapText="1" readingOrder="1"/>
    </xf>
    <xf numFmtId="0" fontId="103" fillId="0" borderId="283" applyAlignment="1" pivotButton="0" quotePrefix="0" xfId="0">
      <alignment horizontal="left" vertical="center" wrapText="1" readingOrder="1"/>
    </xf>
    <xf numFmtId="0" fontId="102" fillId="3" borderId="273" applyAlignment="1" pivotButton="0" quotePrefix="0" xfId="0">
      <alignment horizontal="center" vertical="center" wrapText="1" readingOrder="1"/>
    </xf>
    <xf numFmtId="0" fontId="102" fillId="3" borderId="274" applyAlignment="1" pivotButton="0" quotePrefix="0" xfId="0">
      <alignment horizontal="center" vertical="center" wrapText="1" readingOrder="1"/>
    </xf>
    <xf numFmtId="0" fontId="102" fillId="3" borderId="275" applyAlignment="1" pivotButton="0" quotePrefix="0" xfId="0">
      <alignment horizontal="center" vertical="center" wrapText="1" readingOrder="1"/>
    </xf>
    <xf numFmtId="0" fontId="102" fillId="3" borderId="276" applyAlignment="1" pivotButton="0" quotePrefix="0" xfId="0">
      <alignment horizontal="center" vertical="center" wrapText="1" readingOrder="1"/>
    </xf>
    <xf numFmtId="0" fontId="102" fillId="3" borderId="0" applyAlignment="1" pivotButton="0" quotePrefix="0" xfId="0">
      <alignment horizontal="center" vertical="center" wrapText="1" readingOrder="1"/>
    </xf>
    <xf numFmtId="0" fontId="102" fillId="3" borderId="277" applyAlignment="1" pivotButton="0" quotePrefix="0" xfId="0">
      <alignment horizontal="center" vertical="center" wrapText="1" readingOrder="1"/>
    </xf>
    <xf numFmtId="0" fontId="102" fillId="3" borderId="278" applyAlignment="1" pivotButton="0" quotePrefix="0" xfId="0">
      <alignment horizontal="center" vertical="center" wrapText="1" readingOrder="1"/>
    </xf>
    <xf numFmtId="0" fontId="102" fillId="3" borderId="279" applyAlignment="1" pivotButton="0" quotePrefix="0" xfId="0">
      <alignment horizontal="center" vertical="center" wrapText="1" readingOrder="1"/>
    </xf>
    <xf numFmtId="0" fontId="102" fillId="3" borderId="280" applyAlignment="1" pivotButton="0" quotePrefix="0" xfId="0">
      <alignment horizontal="center" vertical="center" wrapText="1" readingOrder="1"/>
    </xf>
    <xf numFmtId="0" fontId="102" fillId="3" borderId="281" applyAlignment="1" pivotButton="0" quotePrefix="0" xfId="0">
      <alignment horizontal="center" vertical="center" wrapText="1" readingOrder="1"/>
    </xf>
    <xf numFmtId="0" fontId="102" fillId="3" borderId="285" applyAlignment="1" pivotButton="0" quotePrefix="0" xfId="0">
      <alignment horizontal="center" vertical="center" wrapText="1" readingOrder="1"/>
    </xf>
    <xf numFmtId="0" fontId="102" fillId="3" borderId="286" applyAlignment="1" pivotButton="0" quotePrefix="0" xfId="0">
      <alignment horizontal="center" vertical="center" wrapText="1" readingOrder="1"/>
    </xf>
    <xf numFmtId="0" fontId="102" fillId="3" borderId="287" applyAlignment="1" pivotButton="0" quotePrefix="0" xfId="0">
      <alignment horizontal="center" vertical="center" wrapText="1" readingOrder="1"/>
    </xf>
    <xf numFmtId="0" fontId="102" fillId="3" borderId="289" applyAlignment="1" pivotButton="0" quotePrefix="0" xfId="0">
      <alignment horizontal="center" vertical="center" wrapText="1" readingOrder="1"/>
    </xf>
    <xf numFmtId="0" fontId="102" fillId="3" borderId="291" applyAlignment="1" pivotButton="0" quotePrefix="0" xfId="0">
      <alignment horizontal="center" vertical="center" wrapText="1" readingOrder="1"/>
    </xf>
    <xf numFmtId="215" fontId="30" fillId="6" borderId="0" applyAlignment="1" pivotButton="0" quotePrefix="0" xfId="1">
      <alignment horizontal="left" vertical="center"/>
    </xf>
    <xf numFmtId="174" fontId="24" fillId="0" borderId="0" applyAlignment="1" pivotButton="0" quotePrefix="0" xfId="1">
      <alignment vertical="center"/>
    </xf>
    <xf numFmtId="168" fontId="25" fillId="0" borderId="186" applyAlignment="1" pivotButton="0" quotePrefix="0" xfId="1">
      <alignment horizontal="right" vertical="center" readingOrder="1"/>
    </xf>
    <xf numFmtId="168" fontId="28" fillId="0" borderId="53" applyAlignment="1" pivotButton="0" quotePrefix="0" xfId="1">
      <alignment horizontal="right" vertical="center" readingOrder="1"/>
    </xf>
    <xf numFmtId="173" fontId="26" fillId="0" borderId="42" applyAlignment="1" pivotButton="0" quotePrefix="0" xfId="1">
      <alignment horizontal="right" vertical="center" readingOrder="1"/>
    </xf>
    <xf numFmtId="168" fontId="25" fillId="0" borderId="187" applyAlignment="1" pivotButton="0" quotePrefix="0" xfId="1">
      <alignment horizontal="right" vertical="center" readingOrder="1"/>
    </xf>
    <xf numFmtId="168" fontId="25" fillId="0" borderId="48" applyAlignment="1" pivotButton="0" quotePrefix="0" xfId="1">
      <alignment horizontal="right" vertical="center" readingOrder="1"/>
    </xf>
    <xf numFmtId="173" fontId="27" fillId="0" borderId="56" applyAlignment="1" pivotButton="0" quotePrefix="0" xfId="1">
      <alignment horizontal="right" vertical="center" readingOrder="1"/>
    </xf>
    <xf numFmtId="0" fontId="0" fillId="0" borderId="29" pivotButton="0" quotePrefix="0" xfId="0"/>
    <xf numFmtId="168" fontId="25" fillId="0" borderId="188" applyAlignment="1" pivotButton="0" quotePrefix="0" xfId="1">
      <alignment horizontal="right" vertical="center" readingOrder="1"/>
    </xf>
    <xf numFmtId="168" fontId="25" fillId="0" borderId="55" applyAlignment="1" pivotButton="0" quotePrefix="0" xfId="1">
      <alignment horizontal="right" vertical="center" readingOrder="1"/>
    </xf>
    <xf numFmtId="173" fontId="27" fillId="0" borderId="54" applyAlignment="1" pivotButton="0" quotePrefix="0" xfId="1">
      <alignment horizontal="right" vertical="center" readingOrder="1"/>
    </xf>
    <xf numFmtId="173" fontId="28" fillId="0" borderId="54" applyAlignment="1" pivotButton="0" quotePrefix="0" xfId="1">
      <alignment horizontal="right" vertical="center" readingOrder="1"/>
    </xf>
    <xf numFmtId="168" fontId="24" fillId="0" borderId="186" applyAlignment="1" pivotButton="0" quotePrefix="0" xfId="1">
      <alignment horizontal="right" vertical="center" readingOrder="1"/>
    </xf>
    <xf numFmtId="168" fontId="24" fillId="0" borderId="8" applyAlignment="1" pivotButton="0" quotePrefix="0" xfId="1">
      <alignment horizontal="right" vertical="center" readingOrder="1"/>
    </xf>
    <xf numFmtId="168" fontId="25" fillId="0" borderId="53" applyAlignment="1" pivotButton="0" quotePrefix="0" xfId="1">
      <alignment horizontal="right" vertical="center" readingOrder="1"/>
    </xf>
    <xf numFmtId="168" fontId="25" fillId="5" borderId="186" applyAlignment="1" pivotButton="0" quotePrefix="0" xfId="1">
      <alignment horizontal="right" vertical="center" readingOrder="1"/>
    </xf>
    <xf numFmtId="168" fontId="28" fillId="5" borderId="52" applyAlignment="1" pivotButton="0" quotePrefix="0" xfId="1">
      <alignment horizontal="right" vertical="center" readingOrder="1"/>
    </xf>
    <xf numFmtId="173" fontId="26" fillId="5" borderId="42" applyAlignment="1" pivotButton="0" quotePrefix="0" xfId="1">
      <alignment horizontal="right" vertical="center" readingOrder="1"/>
    </xf>
    <xf numFmtId="168" fontId="24" fillId="0" borderId="0" applyAlignment="1" pivotButton="0" quotePrefix="0" xfId="1">
      <alignment vertical="center"/>
    </xf>
    <xf numFmtId="196" fontId="24" fillId="0" borderId="0" applyAlignment="1" pivotButton="0" quotePrefix="0" xfId="1">
      <alignment vertical="center"/>
    </xf>
    <xf numFmtId="197" fontId="24" fillId="0" borderId="0" applyAlignment="1" pivotButton="0" quotePrefix="0" xfId="1">
      <alignment vertical="center"/>
    </xf>
    <xf numFmtId="165" fontId="24" fillId="0" borderId="0" applyAlignment="1" pivotButton="0" quotePrefix="0" xfId="60307">
      <alignment vertical="center"/>
    </xf>
    <xf numFmtId="200" fontId="24" fillId="0" borderId="0" applyAlignment="1" pivotButton="0" quotePrefix="0" xfId="1">
      <alignment vertical="center"/>
    </xf>
    <xf numFmtId="165" fontId="24" fillId="0" borderId="0" applyAlignment="1" pivotButton="0" quotePrefix="0" xfId="1">
      <alignment vertical="center"/>
    </xf>
    <xf numFmtId="0" fontId="91" fillId="3" borderId="118" applyAlignment="1" pivotButton="0" quotePrefix="0" xfId="60305">
      <alignment horizontal="center" vertical="center" readingOrder="1"/>
    </xf>
    <xf numFmtId="0" fontId="0" fillId="0" borderId="7" pivotButton="0" quotePrefix="0" xfId="0"/>
    <xf numFmtId="0" fontId="0" fillId="0" borderId="2" pivotButton="0" quotePrefix="0" xfId="0"/>
    <xf numFmtId="0" fontId="0" fillId="0" borderId="13" pivotButton="0" quotePrefix="0" xfId="0"/>
    <xf numFmtId="0" fontId="0" fillId="0" borderId="10" pivotButton="0" quotePrefix="0" xfId="0"/>
    <xf numFmtId="168" fontId="91" fillId="38" borderId="1" applyAlignment="1" pivotButton="0" quotePrefix="0" xfId="60305">
      <alignment horizontal="right" vertical="center" readingOrder="1"/>
    </xf>
    <xf numFmtId="168" fontId="91" fillId="39" borderId="1" applyAlignment="1" pivotButton="0" quotePrefix="0" xfId="60307">
      <alignment horizontal="right" vertical="center" readingOrder="1"/>
    </xf>
    <xf numFmtId="168" fontId="91" fillId="38" borderId="118" applyAlignment="1" pivotButton="0" quotePrefix="0" xfId="60305">
      <alignment horizontal="right" vertical="center" readingOrder="1"/>
    </xf>
    <xf numFmtId="168" fontId="91" fillId="0" borderId="20" applyAlignment="1" pivotButton="0" quotePrefix="0" xfId="60305">
      <alignment horizontal="right" vertical="center" readingOrder="1"/>
    </xf>
    <xf numFmtId="168" fontId="91" fillId="0" borderId="168" applyAlignment="1" pivotButton="0" quotePrefix="0" xfId="60305">
      <alignment horizontal="right" vertical="center" readingOrder="1"/>
    </xf>
    <xf numFmtId="168" fontId="91" fillId="0" borderId="169" applyAlignment="1" pivotButton="0" quotePrefix="0" xfId="60306">
      <alignment horizontal="right" vertical="center" readingOrder="1"/>
    </xf>
    <xf numFmtId="168" fontId="91" fillId="0" borderId="126" applyAlignment="1" pivotButton="0" quotePrefix="0" xfId="60306">
      <alignment horizontal="right" vertical="center" readingOrder="1"/>
    </xf>
    <xf numFmtId="168" fontId="91" fillId="39" borderId="169" applyAlignment="1" pivotButton="0" quotePrefix="0" xfId="60307">
      <alignment horizontal="right" vertical="center" readingOrder="1"/>
    </xf>
    <xf numFmtId="168" fontId="91" fillId="39" borderId="126" applyAlignment="1" pivotButton="0" quotePrefix="0" xfId="60307">
      <alignment horizontal="right" vertical="center" readingOrder="1"/>
    </xf>
    <xf numFmtId="168" fontId="91" fillId="5" borderId="170" applyAlignment="1" pivotButton="0" quotePrefix="0" xfId="60307">
      <alignment horizontal="right" vertical="center" readingOrder="1"/>
    </xf>
    <xf numFmtId="168" fontId="91" fillId="5" borderId="134" applyAlignment="1" pivotButton="0" quotePrefix="0" xfId="60307">
      <alignment horizontal="right" vertical="center" readingOrder="1"/>
    </xf>
    <xf numFmtId="168" fontId="91" fillId="0" borderId="169" applyAlignment="1" pivotButton="0" quotePrefix="0" xfId="60305">
      <alignment horizontal="right" vertical="center" readingOrder="1"/>
    </xf>
    <xf numFmtId="168" fontId="91" fillId="0" borderId="125" applyAlignment="1" pivotButton="0" quotePrefix="0" xfId="60305">
      <alignment horizontal="right" vertical="center" readingOrder="1"/>
    </xf>
    <xf numFmtId="168" fontId="91" fillId="5" borderId="162" applyAlignment="1" pivotButton="0" quotePrefix="0" xfId="60305">
      <alignment horizontal="right" vertical="center" readingOrder="1"/>
    </xf>
    <xf numFmtId="168" fontId="91" fillId="5" borderId="162" applyAlignment="1" pivotButton="0" quotePrefix="0" xfId="60307">
      <alignment horizontal="right" vertical="center" readingOrder="1"/>
    </xf>
    <xf numFmtId="168" fontId="91" fillId="0" borderId="171" applyAlignment="1" pivotButton="0" quotePrefix="0" xfId="60305">
      <alignment horizontal="right" vertical="center" readingOrder="1"/>
    </xf>
    <xf numFmtId="168" fontId="91" fillId="0" borderId="140" applyAlignment="1" pivotButton="0" quotePrefix="0" xfId="60305">
      <alignment horizontal="right" vertical="center" readingOrder="1"/>
    </xf>
    <xf numFmtId="168" fontId="91" fillId="40" borderId="172" applyAlignment="1" pivotButton="0" quotePrefix="0" xfId="60305">
      <alignment horizontal="right" vertical="center" readingOrder="1"/>
    </xf>
    <xf numFmtId="168" fontId="91" fillId="40" borderId="172" applyAlignment="1" pivotButton="0" quotePrefix="0" xfId="60307">
      <alignment horizontal="right" vertical="center" readingOrder="1"/>
    </xf>
    <xf numFmtId="168" fontId="91" fillId="40" borderId="142" applyAlignment="1" pivotButton="0" quotePrefix="0" xfId="60305">
      <alignment horizontal="right" vertical="center" readingOrder="1"/>
    </xf>
    <xf numFmtId="164" fontId="91" fillId="0" borderId="0" applyAlignment="1" pivotButton="0" quotePrefix="0" xfId="60305">
      <alignment horizontal="right" vertical="center" readingOrder="1"/>
    </xf>
    <xf numFmtId="168" fontId="91" fillId="38" borderId="6" applyAlignment="1" pivotButton="0" quotePrefix="0" xfId="60305">
      <alignment horizontal="right" vertical="center" readingOrder="1"/>
    </xf>
    <xf numFmtId="168" fontId="91" fillId="38" borderId="5" applyAlignment="1" pivotButton="0" quotePrefix="0" xfId="60305">
      <alignment horizontal="right" vertical="center" readingOrder="1"/>
    </xf>
    <xf numFmtId="168" fontId="91" fillId="0" borderId="146" applyAlignment="1" pivotButton="0" quotePrefix="0" xfId="60305">
      <alignment horizontal="right" vertical="center" readingOrder="1"/>
    </xf>
    <xf numFmtId="168" fontId="91" fillId="0" borderId="75" applyAlignment="1" pivotButton="0" quotePrefix="0" xfId="60305">
      <alignment horizontal="right" vertical="center" readingOrder="1"/>
    </xf>
    <xf numFmtId="168" fontId="91" fillId="0" borderId="147" applyAlignment="1" pivotButton="0" quotePrefix="0" xfId="60305">
      <alignment horizontal="right" vertical="center" readingOrder="1"/>
    </xf>
    <xf numFmtId="167" fontId="91" fillId="0" borderId="119" applyAlignment="1" pivotButton="0" quotePrefix="0" xfId="60306">
      <alignment horizontal="right" vertical="center" readingOrder="1"/>
    </xf>
    <xf numFmtId="167" fontId="91" fillId="0" borderId="41" applyAlignment="1" pivotButton="0" quotePrefix="0" xfId="60306">
      <alignment horizontal="right" vertical="center" readingOrder="1"/>
    </xf>
    <xf numFmtId="167" fontId="91" fillId="0" borderId="120" applyAlignment="1" pivotButton="0" quotePrefix="0" xfId="60306">
      <alignment horizontal="right" vertical="center" readingOrder="1"/>
    </xf>
    <xf numFmtId="167" fontId="91" fillId="0" borderId="123" applyAlignment="1" pivotButton="0" quotePrefix="0" xfId="60306">
      <alignment horizontal="right" vertical="center" readingOrder="1"/>
    </xf>
    <xf numFmtId="167" fontId="91" fillId="0" borderId="66" applyAlignment="1" pivotButton="0" quotePrefix="0" xfId="60306">
      <alignment horizontal="right" vertical="center" readingOrder="1"/>
    </xf>
    <xf numFmtId="167" fontId="91" fillId="0" borderId="124" applyAlignment="1" pivotButton="0" quotePrefix="0" xfId="60306">
      <alignment horizontal="right" vertical="center" readingOrder="1"/>
    </xf>
    <xf numFmtId="167" fontId="91" fillId="0" borderId="149" applyAlignment="1" pivotButton="0" quotePrefix="0" xfId="60306">
      <alignment horizontal="right" vertical="center" readingOrder="1"/>
    </xf>
    <xf numFmtId="167" fontId="91" fillId="0" borderId="150" applyAlignment="1" pivotButton="0" quotePrefix="0" xfId="60306">
      <alignment horizontal="right" vertical="center" readingOrder="1"/>
    </xf>
    <xf numFmtId="167" fontId="91" fillId="0" borderId="151" applyAlignment="1" pivotButton="0" quotePrefix="0" xfId="60306">
      <alignment horizontal="right" vertical="center" readingOrder="1"/>
    </xf>
    <xf numFmtId="167" fontId="91" fillId="0" borderId="128" applyAlignment="1" pivotButton="0" quotePrefix="0" xfId="60306">
      <alignment horizontal="right" vertical="center" readingOrder="1"/>
    </xf>
    <xf numFmtId="167" fontId="91" fillId="0" borderId="127" applyAlignment="1" pivotButton="0" quotePrefix="0" xfId="60306">
      <alignment horizontal="right" vertical="center" readingOrder="1"/>
    </xf>
    <xf numFmtId="167" fontId="91" fillId="0" borderId="129" applyAlignment="1" pivotButton="0" quotePrefix="0" xfId="60306">
      <alignment horizontal="right" vertical="center" readingOrder="1"/>
    </xf>
    <xf numFmtId="167" fontId="91" fillId="0" borderId="131" applyAlignment="1" pivotButton="0" quotePrefix="0" xfId="60306">
      <alignment horizontal="right" vertical="center" readingOrder="1"/>
    </xf>
    <xf numFmtId="167" fontId="91" fillId="0" borderId="130" applyAlignment="1" pivotButton="0" quotePrefix="0" xfId="60306">
      <alignment horizontal="right" vertical="center" readingOrder="1"/>
    </xf>
    <xf numFmtId="167" fontId="91" fillId="0" borderId="132" applyAlignment="1" pivotButton="0" quotePrefix="0" xfId="60306">
      <alignment horizontal="right" vertical="center" readingOrder="1"/>
    </xf>
    <xf numFmtId="168" fontId="91" fillId="41" borderId="149" applyAlignment="1" pivotButton="0" quotePrefix="0" xfId="60305">
      <alignment horizontal="right" vertical="center" readingOrder="1"/>
    </xf>
    <xf numFmtId="168" fontId="91" fillId="41" borderId="150" applyAlignment="1" pivotButton="0" quotePrefix="0" xfId="60305">
      <alignment horizontal="right" vertical="center" readingOrder="1"/>
    </xf>
    <xf numFmtId="168" fontId="91" fillId="41" borderId="151" applyAlignment="1" pivotButton="0" quotePrefix="0" xfId="60305">
      <alignment horizontal="right" vertical="center" readingOrder="1"/>
    </xf>
    <xf numFmtId="168" fontId="91" fillId="0" borderId="155" applyAlignment="1" pivotButton="0" quotePrefix="0" xfId="60305">
      <alignment horizontal="right" vertical="center" readingOrder="1"/>
    </xf>
    <xf numFmtId="168" fontId="91" fillId="0" borderId="156" applyAlignment="1" pivotButton="0" quotePrefix="0" xfId="60305">
      <alignment horizontal="right" vertical="center" readingOrder="1"/>
    </xf>
    <xf numFmtId="168" fontId="91" fillId="0" borderId="157" applyAlignment="1" pivotButton="0" quotePrefix="0" xfId="60305">
      <alignment horizontal="right" vertical="center" readingOrder="1"/>
    </xf>
    <xf numFmtId="164" fontId="91" fillId="0" borderId="121" applyAlignment="1" pivotButton="0" quotePrefix="0" xfId="60305">
      <alignment horizontal="right" vertical="center" readingOrder="1"/>
    </xf>
    <xf numFmtId="165" fontId="91" fillId="0" borderId="40" applyAlignment="1" pivotButton="0" quotePrefix="0" xfId="60306">
      <alignment horizontal="right" vertical="center" readingOrder="1"/>
    </xf>
    <xf numFmtId="164" fontId="91" fillId="0" borderId="122" applyAlignment="1" pivotButton="0" quotePrefix="0" xfId="60305">
      <alignment horizontal="right" vertical="center" readingOrder="1"/>
    </xf>
    <xf numFmtId="168" fontId="91" fillId="0" borderId="137" applyAlignment="1" pivotButton="0" quotePrefix="0" xfId="60305">
      <alignment horizontal="right" vertical="center" readingOrder="1"/>
    </xf>
    <xf numFmtId="168" fontId="91" fillId="0" borderId="160" applyAlignment="1" pivotButton="0" quotePrefix="0" xfId="60305">
      <alignment horizontal="right" vertical="center" readingOrder="1"/>
    </xf>
    <xf numFmtId="168" fontId="91" fillId="0" borderId="161" applyAlignment="1" pivotButton="0" quotePrefix="0" xfId="60305">
      <alignment horizontal="right" vertical="center" readingOrder="1"/>
    </xf>
    <xf numFmtId="165" fontId="91" fillId="2" borderId="164" applyAlignment="1" pivotButton="0" quotePrefix="0" xfId="60306">
      <alignment horizontal="right" vertical="center" readingOrder="1"/>
    </xf>
    <xf numFmtId="168" fontId="91" fillId="2" borderId="165" applyAlignment="1" pivotButton="0" quotePrefix="0" xfId="60305">
      <alignment horizontal="right" vertical="center" readingOrder="1"/>
    </xf>
    <xf numFmtId="168" fontId="91" fillId="2" borderId="166" applyAlignment="1" pivotButton="0" quotePrefix="0" xfId="60305">
      <alignment horizontal="right" vertical="center" readingOrder="1"/>
    </xf>
    <xf numFmtId="168" fontId="91" fillId="40" borderId="143" applyAlignment="1" pivotButton="0" quotePrefix="0" xfId="60305">
      <alignment horizontal="right" vertical="center" readingOrder="1"/>
    </xf>
    <xf numFmtId="168" fontId="91" fillId="40" borderId="144" applyAlignment="1" pivotButton="0" quotePrefix="0" xfId="60305">
      <alignment horizontal="right" vertical="center" readingOrder="1"/>
    </xf>
    <xf numFmtId="165" fontId="16" fillId="0" borderId="0" applyAlignment="1" pivotButton="0" quotePrefix="0" xfId="60306">
      <alignment vertical="center"/>
    </xf>
    <xf numFmtId="167" fontId="16" fillId="0" borderId="0" applyAlignment="1" pivotButton="0" quotePrefix="0" xfId="60306">
      <alignment vertical="center"/>
    </xf>
    <xf numFmtId="0" fontId="34" fillId="3" borderId="2" applyAlignment="1" pivotButton="0" quotePrefix="0" xfId="0">
      <alignment horizontal="center" vertical="center" wrapText="1" readingOrder="1"/>
    </xf>
    <xf numFmtId="0" fontId="0" fillId="0" borderId="24" pivotButton="0" quotePrefix="0" xfId="0"/>
    <xf numFmtId="0" fontId="34" fillId="3" borderId="51" applyAlignment="1" pivotButton="0" quotePrefix="0" xfId="0">
      <alignment horizontal="center" vertical="center" wrapText="1" readingOrder="1"/>
    </xf>
    <xf numFmtId="0" fontId="0" fillId="0" borderId="44" pivotButton="0" quotePrefix="0" xfId="0"/>
    <xf numFmtId="0" fontId="0" fillId="0" borderId="43" pivotButton="0" quotePrefix="0" xfId="0"/>
    <xf numFmtId="0" fontId="34" fillId="3" borderId="50" applyAlignment="1" pivotButton="0" quotePrefix="0" xfId="0">
      <alignment horizontal="center" vertical="center" wrapText="1" readingOrder="1"/>
    </xf>
    <xf numFmtId="0" fontId="0" fillId="0" borderId="11" pivotButton="0" quotePrefix="0" xfId="0"/>
    <xf numFmtId="0" fontId="0" fillId="0" borderId="85" pivotButton="0" quotePrefix="0" xfId="0"/>
    <xf numFmtId="165" fontId="34" fillId="0" borderId="6" applyAlignment="1" pivotButton="0" quotePrefix="0" xfId="60307">
      <alignment horizontal="right" vertical="center" wrapText="1" readingOrder="1"/>
    </xf>
    <xf numFmtId="165" fontId="34" fillId="0" borderId="5" applyAlignment="1" pivotButton="0" quotePrefix="0" xfId="60307">
      <alignment horizontal="right" vertical="center" wrapText="1" readingOrder="1"/>
    </xf>
    <xf numFmtId="165" fontId="34" fillId="0" borderId="1" applyAlignment="1" pivotButton="0" quotePrefix="0" xfId="60307">
      <alignment horizontal="right" vertical="center" wrapText="1" readingOrder="1"/>
    </xf>
    <xf numFmtId="165" fontId="34" fillId="0" borderId="9" applyAlignment="1" pivotButton="0" quotePrefix="0" xfId="60307">
      <alignment horizontal="right" vertical="center" wrapText="1" readingOrder="1"/>
    </xf>
    <xf numFmtId="165" fontId="34" fillId="0" borderId="8" applyAlignment="1" pivotButton="0" quotePrefix="0" xfId="60307">
      <alignment horizontal="right" vertical="center" wrapText="1" readingOrder="1"/>
    </xf>
    <xf numFmtId="0" fontId="0" fillId="0" borderId="25" pivotButton="0" quotePrefix="0" xfId="0"/>
    <xf numFmtId="165" fontId="34" fillId="0" borderId="96" applyAlignment="1" pivotButton="0" quotePrefix="0" xfId="60307">
      <alignment horizontal="right" vertical="center" wrapText="1" readingOrder="1"/>
    </xf>
    <xf numFmtId="165" fontId="34" fillId="0" borderId="179" applyAlignment="1" pivotButton="0" quotePrefix="0" xfId="60307">
      <alignment horizontal="right" vertical="center" wrapText="1" readingOrder="1"/>
    </xf>
    <xf numFmtId="165" fontId="34" fillId="0" borderId="81" applyAlignment="1" pivotButton="0" quotePrefix="0" xfId="60307">
      <alignment horizontal="right" vertical="center" wrapText="1" readingOrder="1"/>
    </xf>
    <xf numFmtId="165" fontId="34" fillId="0" borderId="178" applyAlignment="1" pivotButton="0" quotePrefix="0" xfId="60307">
      <alignment horizontal="right" vertical="center" wrapText="1" readingOrder="1"/>
    </xf>
    <xf numFmtId="165" fontId="34" fillId="42" borderId="119" applyAlignment="1" pivotButton="0" quotePrefix="0" xfId="60307">
      <alignment horizontal="right" vertical="center" wrapText="1" readingOrder="1"/>
    </xf>
    <xf numFmtId="165" fontId="34" fillId="42" borderId="16" applyAlignment="1" pivotButton="0" quotePrefix="0" xfId="60307">
      <alignment horizontal="right" vertical="center" wrapText="1" readingOrder="1"/>
    </xf>
    <xf numFmtId="165" fontId="34" fillId="42" borderId="15" applyAlignment="1" pivotButton="0" quotePrefix="0" xfId="60307">
      <alignment horizontal="right" vertical="center" wrapText="1" readingOrder="1"/>
    </xf>
    <xf numFmtId="165" fontId="34" fillId="42" borderId="174" applyAlignment="1" pivotButton="0" quotePrefix="0" xfId="60307">
      <alignment horizontal="right" vertical="center" wrapText="1" readingOrder="1"/>
    </xf>
    <xf numFmtId="165" fontId="34" fillId="42" borderId="17" applyAlignment="1" pivotButton="0" quotePrefix="0" xfId="60307">
      <alignment horizontal="right" vertical="center" wrapText="1" readingOrder="1"/>
    </xf>
    <xf numFmtId="165" fontId="34" fillId="42" borderId="181" applyAlignment="1" pivotButton="0" quotePrefix="0" xfId="60307">
      <alignment horizontal="right" vertical="center" wrapText="1" readingOrder="1"/>
    </xf>
    <xf numFmtId="165" fontId="34" fillId="42" borderId="180" applyAlignment="1" pivotButton="0" quotePrefix="0" xfId="60307">
      <alignment horizontal="right" vertical="center" wrapText="1" readingOrder="1"/>
    </xf>
    <xf numFmtId="165" fontId="34" fillId="42" borderId="74" applyAlignment="1" pivotButton="0" quotePrefix="0" xfId="60307">
      <alignment horizontal="right" vertical="center" wrapText="1" readingOrder="1"/>
    </xf>
    <xf numFmtId="165" fontId="34" fillId="42" borderId="182" applyAlignment="1" pivotButton="0" quotePrefix="0" xfId="60307">
      <alignment horizontal="right" vertical="center" wrapText="1" readingOrder="1"/>
    </xf>
    <xf numFmtId="165" fontId="34" fillId="42" borderId="177" applyAlignment="1" pivotButton="0" quotePrefix="0" xfId="60307">
      <alignment horizontal="right" vertical="center" wrapText="1" readingOrder="1"/>
    </xf>
    <xf numFmtId="202" fontId="34" fillId="43" borderId="6" applyAlignment="1" pivotButton="0" quotePrefix="0" xfId="60307">
      <alignment horizontal="right" vertical="center" wrapText="1" readingOrder="1"/>
    </xf>
    <xf numFmtId="202" fontId="34" fillId="43" borderId="87" applyAlignment="1" pivotButton="0" quotePrefix="0" xfId="60307">
      <alignment horizontal="right" vertical="center" wrapText="1" readingOrder="1"/>
    </xf>
    <xf numFmtId="202" fontId="34" fillId="43" borderId="1" applyAlignment="1" pivotButton="0" quotePrefix="0" xfId="60307">
      <alignment horizontal="right" vertical="center" wrapText="1" readingOrder="1"/>
    </xf>
    <xf numFmtId="202" fontId="34" fillId="43" borderId="9" applyAlignment="1" pivotButton="0" quotePrefix="0" xfId="60307">
      <alignment horizontal="right" vertical="center" wrapText="1" readingOrder="1"/>
    </xf>
    <xf numFmtId="202" fontId="34" fillId="43" borderId="8" applyAlignment="1" pivotButton="0" quotePrefix="0" xfId="60307">
      <alignment horizontal="right" vertical="center" wrapText="1" readingOrder="1"/>
    </xf>
    <xf numFmtId="202" fontId="34" fillId="43" borderId="50" applyAlignment="1" pivotButton="0" quotePrefix="0" xfId="0">
      <alignment horizontal="left" vertical="center" wrapText="1" readingOrder="1"/>
    </xf>
    <xf numFmtId="165" fontId="34" fillId="0" borderId="87" applyAlignment="1" pivotButton="0" quotePrefix="0" xfId="60307">
      <alignment horizontal="right" vertical="center" wrapText="1" readingOrder="1"/>
    </xf>
    <xf numFmtId="165" fontId="34" fillId="0" borderId="176" applyAlignment="1" pivotButton="0" quotePrefix="0" xfId="60307">
      <alignment horizontal="right" vertical="center" wrapText="1" readingOrder="1"/>
    </xf>
    <xf numFmtId="165" fontId="34" fillId="0" borderId="183" applyAlignment="1" pivotButton="0" quotePrefix="0" xfId="60307">
      <alignment horizontal="right" vertical="center" wrapText="1" readingOrder="1"/>
    </xf>
    <xf numFmtId="165" fontId="34" fillId="0" borderId="3" applyAlignment="1" pivotButton="0" quotePrefix="0" xfId="60307">
      <alignment horizontal="right" vertical="center" wrapText="1" readingOrder="1"/>
    </xf>
    <xf numFmtId="168" fontId="91" fillId="0" borderId="0" applyAlignment="1" pivotButton="0" quotePrefix="0" xfId="60305">
      <alignment horizontal="right" vertical="center" readingOrder="1"/>
    </xf>
    <xf numFmtId="167" fontId="91" fillId="0" borderId="0" applyAlignment="1" pivotButton="0" quotePrefix="0" xfId="60306">
      <alignment horizontal="right" vertical="center" readingOrder="1"/>
    </xf>
    <xf numFmtId="165" fontId="91" fillId="0" borderId="0" applyAlignment="1" pivotButton="0" quotePrefix="0" xfId="60306">
      <alignment horizontal="right" vertical="center" readingOrder="1"/>
    </xf>
    <xf numFmtId="168" fontId="34" fillId="0" borderId="49" applyAlignment="1" pivotButton="0" quotePrefix="0" xfId="1">
      <alignment vertical="center" readingOrder="1"/>
    </xf>
    <xf numFmtId="168" fontId="34" fillId="0" borderId="48" applyAlignment="1" pivotButton="0" quotePrefix="0" xfId="1">
      <alignment vertical="center" readingOrder="1"/>
    </xf>
    <xf numFmtId="201" fontId="93" fillId="0" borderId="56" applyAlignment="1" pivotButton="0" quotePrefix="0" xfId="1">
      <alignment vertical="center" readingOrder="1"/>
    </xf>
    <xf numFmtId="168" fontId="34" fillId="0" borderId="36" applyAlignment="1" pivotButton="0" quotePrefix="0" xfId="1">
      <alignment vertical="center" readingOrder="1"/>
    </xf>
    <xf numFmtId="168" fontId="34" fillId="0" borderId="47" applyAlignment="1" pivotButton="0" quotePrefix="0" xfId="1">
      <alignment vertical="center" readingOrder="1"/>
    </xf>
    <xf numFmtId="201" fontId="35" fillId="0" borderId="65" applyAlignment="1" pivotButton="0" quotePrefix="0" xfId="1">
      <alignment vertical="center" readingOrder="1"/>
    </xf>
    <xf numFmtId="168" fontId="34" fillId="0" borderId="30" applyAlignment="1" pivotButton="0" quotePrefix="0" xfId="1">
      <alignment vertical="center" readingOrder="1"/>
    </xf>
    <xf numFmtId="168" fontId="34" fillId="0" borderId="55" applyAlignment="1" pivotButton="0" quotePrefix="0" xfId="1">
      <alignment vertical="center" readingOrder="1"/>
    </xf>
    <xf numFmtId="201" fontId="38" fillId="0" borderId="54" applyAlignment="1" pivotButton="0" quotePrefix="0" xfId="1">
      <alignment vertical="center" readingOrder="1"/>
    </xf>
    <xf numFmtId="201" fontId="38" fillId="0" borderId="65" applyAlignment="1" pivotButton="0" quotePrefix="0" xfId="1">
      <alignment vertical="center" readingOrder="1"/>
    </xf>
    <xf numFmtId="168" fontId="32" fillId="0" borderId="12" applyAlignment="1" pivotButton="0" quotePrefix="0" xfId="1">
      <alignment horizontal="right" vertical="center" readingOrder="1"/>
    </xf>
    <xf numFmtId="168" fontId="36" fillId="0" borderId="67" applyAlignment="1" pivotButton="0" quotePrefix="0" xfId="1">
      <alignment horizontal="right" vertical="center" readingOrder="1"/>
    </xf>
    <xf numFmtId="201" fontId="93" fillId="0" borderId="59" applyAlignment="1" pivotButton="0" quotePrefix="0" xfId="1">
      <alignment horizontal="right" vertical="center" readingOrder="1"/>
    </xf>
    <xf numFmtId="168" fontId="34" fillId="0" borderId="49" applyAlignment="1" pivotButton="0" quotePrefix="0" xfId="1">
      <alignment horizontal="right" vertical="center" readingOrder="1"/>
    </xf>
    <xf numFmtId="168" fontId="33" fillId="0" borderId="48" applyAlignment="1" pivotButton="0" quotePrefix="0" xfId="1">
      <alignment horizontal="right" vertical="center" readingOrder="1"/>
    </xf>
    <xf numFmtId="201" fontId="97" fillId="0" borderId="56" applyAlignment="1" pivotButton="0" quotePrefix="0" xfId="1">
      <alignment horizontal="right" vertical="center" readingOrder="1"/>
    </xf>
    <xf numFmtId="168" fontId="34" fillId="0" borderId="36" applyAlignment="1" pivotButton="0" quotePrefix="0" xfId="1">
      <alignment horizontal="right" vertical="center" readingOrder="1"/>
    </xf>
    <xf numFmtId="168" fontId="33" fillId="0" borderId="47" applyAlignment="1" pivotButton="0" quotePrefix="0" xfId="1">
      <alignment horizontal="right" vertical="center" readingOrder="1"/>
    </xf>
    <xf numFmtId="201" fontId="97" fillId="0" borderId="65" applyAlignment="1" pivotButton="0" quotePrefix="0" xfId="1">
      <alignment horizontal="right" vertical="center" readingOrder="1"/>
    </xf>
    <xf numFmtId="201" fontId="93" fillId="0" borderId="56" applyAlignment="1" pivotButton="0" quotePrefix="0" xfId="1">
      <alignment horizontal="right" vertical="center" readingOrder="1"/>
    </xf>
    <xf numFmtId="201" fontId="35" fillId="0" borderId="65" applyAlignment="1" pivotButton="0" quotePrefix="0" xfId="1">
      <alignment horizontal="right" vertical="center" readingOrder="1"/>
    </xf>
    <xf numFmtId="0" fontId="0" fillId="0" borderId="63" pivotButton="0" quotePrefix="0" xfId="0"/>
    <xf numFmtId="168" fontId="32" fillId="0" borderId="68" applyAlignment="1" pivotButton="0" quotePrefix="0" xfId="1">
      <alignment horizontal="right" vertical="center" readingOrder="1"/>
    </xf>
    <xf numFmtId="168" fontId="36" fillId="0" borderId="184" applyAlignment="1" pivotButton="0" quotePrefix="0" xfId="1">
      <alignment horizontal="right" vertical="center" readingOrder="1"/>
    </xf>
    <xf numFmtId="201" fontId="93" fillId="0" borderId="62" applyAlignment="1" pivotButton="0" quotePrefix="0" xfId="1">
      <alignment horizontal="right" vertical="center" readingOrder="1"/>
    </xf>
    <xf numFmtId="176" fontId="34" fillId="3" borderId="12" applyAlignment="1" pivotButton="0" quotePrefix="0" xfId="1">
      <alignment horizontal="right" vertical="center" readingOrder="1"/>
    </xf>
    <xf numFmtId="176" fontId="33" fillId="3" borderId="60" applyAlignment="1" pivotButton="0" quotePrefix="0" xfId="1">
      <alignment horizontal="right" vertical="center" readingOrder="1"/>
    </xf>
    <xf numFmtId="175" fontId="32" fillId="3" borderId="59" applyAlignment="1" pivotButton="0" quotePrefix="0" xfId="1">
      <alignment horizontal="right" vertical="center" readingOrder="1"/>
    </xf>
    <xf numFmtId="164" fontId="6" fillId="0" borderId="0" applyAlignment="1" pivotButton="0" quotePrefix="0" xfId="1">
      <alignment vertical="center"/>
    </xf>
    <xf numFmtId="164" fontId="42" fillId="0" borderId="0" applyAlignment="1" pivotButton="0" quotePrefix="0" xfId="1">
      <alignment vertical="center"/>
    </xf>
    <xf numFmtId="164" fontId="39" fillId="0" borderId="0" applyAlignment="1" pivotButton="0" quotePrefix="0" xfId="1">
      <alignment vertical="center"/>
    </xf>
    <xf numFmtId="177" fontId="6" fillId="0" borderId="0" applyAlignment="1" pivotButton="0" quotePrefix="0" xfId="1">
      <alignment vertical="center"/>
    </xf>
    <xf numFmtId="0" fontId="9" fillId="3" borderId="2" applyAlignment="1" pivotButton="0" quotePrefix="0" xfId="1">
      <alignment horizontal="center" vertical="center" readingOrder="1"/>
    </xf>
    <xf numFmtId="0" fontId="9" fillId="3" borderId="51" applyAlignment="1" pivotButton="0" quotePrefix="0" xfId="1">
      <alignment horizontal="center" vertical="center" wrapText="1" readingOrder="1"/>
    </xf>
    <xf numFmtId="168" fontId="6" fillId="0" borderId="0" applyAlignment="1" pivotButton="0" quotePrefix="0" xfId="1">
      <alignment vertical="center"/>
    </xf>
    <xf numFmtId="168" fontId="9" fillId="0" borderId="1" applyAlignment="1" pivotButton="0" quotePrefix="0" xfId="2">
      <alignment horizontal="right" vertical="center" readingOrder="1"/>
    </xf>
    <xf numFmtId="168" fontId="9" fillId="0" borderId="5" applyAlignment="1" pivotButton="0" quotePrefix="0" xfId="2">
      <alignment horizontal="right" vertical="center" readingOrder="1"/>
    </xf>
    <xf numFmtId="168" fontId="9" fillId="0" borderId="50" applyAlignment="1" pivotButton="0" quotePrefix="0" xfId="2">
      <alignment horizontal="right" vertical="center" readingOrder="1"/>
    </xf>
    <xf numFmtId="168" fontId="9" fillId="0" borderId="8" applyAlignment="1" pivotButton="0" quotePrefix="0" xfId="2">
      <alignment horizontal="right" vertical="center" readingOrder="1"/>
    </xf>
    <xf numFmtId="214" fontId="9" fillId="0" borderId="2" applyAlignment="1" pivotButton="0" quotePrefix="0" xfId="2">
      <alignment horizontal="right" vertical="center" readingOrder="1"/>
    </xf>
    <xf numFmtId="168" fontId="9" fillId="0" borderId="23" applyAlignment="1" pivotButton="0" quotePrefix="0" xfId="2">
      <alignment horizontal="right" vertical="center" readingOrder="1"/>
    </xf>
    <xf numFmtId="168" fontId="9" fillId="0" borderId="75" applyAlignment="1" pivotButton="0" quotePrefix="0" xfId="2">
      <alignment horizontal="right" vertical="center" readingOrder="1"/>
    </xf>
    <xf numFmtId="168" fontId="9" fillId="0" borderId="81" applyAlignment="1" pivotButton="0" quotePrefix="0" xfId="2">
      <alignment horizontal="right" vertical="center" readingOrder="1"/>
    </xf>
    <xf numFmtId="168" fontId="9" fillId="0" borderId="22" applyAlignment="1" pivotButton="0" quotePrefix="0" xfId="2">
      <alignment horizontal="right" vertical="center" readingOrder="1"/>
    </xf>
    <xf numFmtId="214" fontId="6" fillId="0" borderId="21" applyAlignment="1" pivotButton="0" quotePrefix="0" xfId="2">
      <alignment horizontal="right" vertical="center" readingOrder="1"/>
    </xf>
    <xf numFmtId="168" fontId="9" fillId="0" borderId="31" applyAlignment="1" pivotButton="0" quotePrefix="0" xfId="2">
      <alignment horizontal="right" vertical="center" readingOrder="1"/>
    </xf>
    <xf numFmtId="168" fontId="9" fillId="0" borderId="76" applyAlignment="1" pivotButton="0" quotePrefix="0" xfId="2">
      <alignment horizontal="right" vertical="center" readingOrder="1"/>
    </xf>
    <xf numFmtId="168" fontId="9" fillId="0" borderId="82" applyAlignment="1" pivotButton="0" quotePrefix="0" xfId="2">
      <alignment horizontal="right" vertical="center" readingOrder="1"/>
    </xf>
    <xf numFmtId="168" fontId="9" fillId="0" borderId="33" applyAlignment="1" pivotButton="0" quotePrefix="0" xfId="2">
      <alignment horizontal="right" vertical="center" readingOrder="1"/>
    </xf>
    <xf numFmtId="214" fontId="6" fillId="0" borderId="69" applyAlignment="1" pivotButton="0" quotePrefix="0" xfId="2">
      <alignment horizontal="right" vertical="center" readingOrder="1"/>
    </xf>
    <xf numFmtId="168" fontId="9" fillId="0" borderId="15" applyAlignment="1" pivotButton="0" quotePrefix="0" xfId="2">
      <alignment horizontal="right" vertical="center" readingOrder="1"/>
    </xf>
    <xf numFmtId="168" fontId="9" fillId="0" borderId="41" applyAlignment="1" pivotButton="0" quotePrefix="0" xfId="2">
      <alignment horizontal="right" vertical="center" readingOrder="1"/>
    </xf>
    <xf numFmtId="168" fontId="9" fillId="0" borderId="83" applyAlignment="1" pivotButton="0" quotePrefix="0" xfId="2">
      <alignment horizontal="right" vertical="center" readingOrder="1"/>
    </xf>
    <xf numFmtId="168" fontId="9" fillId="0" borderId="17" applyAlignment="1" pivotButton="0" quotePrefix="0" xfId="2">
      <alignment horizontal="right" vertical="center" readingOrder="1"/>
    </xf>
    <xf numFmtId="214" fontId="6" fillId="0" borderId="16" applyAlignment="1" pivotButton="0" quotePrefix="0" xfId="2">
      <alignment horizontal="right" vertical="center" readingOrder="1"/>
    </xf>
    <xf numFmtId="168" fontId="9" fillId="0" borderId="26" applyAlignment="1" pivotButton="0" quotePrefix="0" xfId="2">
      <alignment horizontal="right" vertical="center" readingOrder="1"/>
    </xf>
    <xf numFmtId="168" fontId="9" fillId="0" borderId="40" applyAlignment="1" pivotButton="0" quotePrefix="0" xfId="2">
      <alignment vertical="center" readingOrder="1"/>
    </xf>
    <xf numFmtId="168" fontId="9" fillId="0" borderId="84" applyAlignment="1" pivotButton="0" quotePrefix="0" xfId="2">
      <alignment horizontal="right" vertical="center" readingOrder="1"/>
    </xf>
    <xf numFmtId="168" fontId="9" fillId="0" borderId="30" applyAlignment="1" pivotButton="0" quotePrefix="0" xfId="2">
      <alignment horizontal="right" vertical="center" readingOrder="1"/>
    </xf>
    <xf numFmtId="214" fontId="6" fillId="0" borderId="29" applyAlignment="1" pivotButton="0" quotePrefix="0" xfId="2">
      <alignment horizontal="right" vertical="center" readingOrder="1"/>
    </xf>
    <xf numFmtId="168" fontId="9" fillId="0" borderId="40" applyAlignment="1" pivotButton="0" quotePrefix="0" xfId="2">
      <alignment horizontal="right" vertical="center" readingOrder="1"/>
    </xf>
    <xf numFmtId="168" fontId="6" fillId="0" borderId="30" applyAlignment="1" pivotButton="0" quotePrefix="0" xfId="2">
      <alignment horizontal="right" vertical="center" readingOrder="1"/>
    </xf>
    <xf numFmtId="168" fontId="9" fillId="0" borderId="39" applyAlignment="1" pivotButton="0" quotePrefix="0" xfId="2">
      <alignment horizontal="right" vertical="center" readingOrder="1"/>
    </xf>
    <xf numFmtId="168" fontId="9" fillId="0" borderId="71" applyAlignment="1" pivotButton="0" quotePrefix="0" xfId="2">
      <alignment horizontal="right" vertical="center" readingOrder="1"/>
    </xf>
    <xf numFmtId="168" fontId="9" fillId="0" borderId="72" applyAlignment="1" pivotButton="0" quotePrefix="0" xfId="2">
      <alignment horizontal="right" vertical="center" readingOrder="1"/>
    </xf>
    <xf numFmtId="214" fontId="6" fillId="0" borderId="32" applyAlignment="1" pivotButton="0" quotePrefix="0" xfId="2">
      <alignment horizontal="right" vertical="center" readingOrder="1"/>
    </xf>
    <xf numFmtId="168" fontId="9" fillId="0" borderId="31" applyAlignment="1" pivotButton="0" quotePrefix="0" xfId="2">
      <alignment vertical="center" readingOrder="1"/>
    </xf>
    <xf numFmtId="168" fontId="9" fillId="0" borderId="76" applyAlignment="1" pivotButton="0" quotePrefix="0" xfId="2">
      <alignment vertical="center" readingOrder="1"/>
    </xf>
    <xf numFmtId="168" fontId="9" fillId="0" borderId="82" applyAlignment="1" pivotButton="0" quotePrefix="0" xfId="2">
      <alignment vertical="center" readingOrder="1"/>
    </xf>
    <xf numFmtId="168" fontId="9" fillId="0" borderId="15" applyAlignment="1" pivotButton="0" quotePrefix="0" xfId="2">
      <alignment vertical="center" readingOrder="1"/>
    </xf>
    <xf numFmtId="168" fontId="9" fillId="0" borderId="19" applyAlignment="1" pivotButton="0" quotePrefix="0" xfId="2">
      <alignment horizontal="right" vertical="center" readingOrder="1"/>
    </xf>
    <xf numFmtId="168" fontId="9" fillId="0" borderId="83" applyAlignment="1" pivotButton="0" quotePrefix="0" xfId="2">
      <alignment vertical="center" readingOrder="1"/>
    </xf>
    <xf numFmtId="168" fontId="9" fillId="0" borderId="26" applyAlignment="1" pivotButton="0" quotePrefix="0" xfId="2">
      <alignment vertical="center" readingOrder="1"/>
    </xf>
    <xf numFmtId="168" fontId="9" fillId="0" borderId="27" applyAlignment="1" pivotButton="0" quotePrefix="0" xfId="2">
      <alignment horizontal="right" vertical="center" readingOrder="1"/>
    </xf>
    <xf numFmtId="168" fontId="9" fillId="0" borderId="84" applyAlignment="1" pivotButton="0" quotePrefix="0" xfId="2">
      <alignment vertical="center" readingOrder="1"/>
    </xf>
    <xf numFmtId="199" fontId="6" fillId="0" borderId="0" applyAlignment="1" pivotButton="0" quotePrefix="0" xfId="1">
      <alignment vertical="center"/>
    </xf>
    <xf numFmtId="168" fontId="9" fillId="0" borderId="34" applyAlignment="1" pivotButton="0" quotePrefix="0" xfId="2">
      <alignment vertical="center" readingOrder="1"/>
    </xf>
    <xf numFmtId="168" fontId="9" fillId="0" borderId="37" applyAlignment="1" pivotButton="0" quotePrefix="0" xfId="2">
      <alignment horizontal="right" vertical="center" readingOrder="1"/>
    </xf>
    <xf numFmtId="168" fontId="9" fillId="0" borderId="34" applyAlignment="1" pivotButton="0" quotePrefix="0" xfId="2">
      <alignment horizontal="right" vertical="center" readingOrder="1"/>
    </xf>
    <xf numFmtId="168" fontId="9" fillId="0" borderId="46" applyAlignment="1" pivotButton="0" quotePrefix="0" xfId="2">
      <alignment vertical="center" readingOrder="1"/>
    </xf>
    <xf numFmtId="168" fontId="9" fillId="0" borderId="36" applyAlignment="1" pivotButton="0" quotePrefix="0" xfId="2">
      <alignment horizontal="right" vertical="center" readingOrder="1"/>
    </xf>
    <xf numFmtId="214" fontId="6" fillId="0" borderId="35" applyAlignment="1" pivotButton="0" quotePrefix="0" xfId="2">
      <alignment horizontal="right" vertical="center" readingOrder="1"/>
    </xf>
    <xf numFmtId="168" fontId="9" fillId="0" borderId="78" applyAlignment="1" pivotButton="0" quotePrefix="0" xfId="2">
      <alignment horizontal="right" vertical="center" readingOrder="1"/>
    </xf>
    <xf numFmtId="165" fontId="10" fillId="0" borderId="26" applyAlignment="1" pivotButton="0" quotePrefix="1" xfId="2">
      <alignment horizontal="left" vertical="center" readingOrder="1"/>
    </xf>
    <xf numFmtId="168" fontId="9" fillId="0" borderId="77" applyAlignment="1" pivotButton="0" quotePrefix="0" xfId="2">
      <alignment vertical="center" readingOrder="1"/>
    </xf>
    <xf numFmtId="168" fontId="9" fillId="0" borderId="66" applyAlignment="1" pivotButton="0" quotePrefix="0" xfId="2">
      <alignment horizontal="right" vertical="center" readingOrder="1"/>
    </xf>
    <xf numFmtId="165" fontId="6" fillId="0" borderId="0" applyAlignment="1" pivotButton="0" quotePrefix="0" xfId="60307">
      <alignment vertical="center"/>
    </xf>
    <xf numFmtId="164" fontId="6" fillId="0" borderId="0" applyAlignment="1" pivotButton="0" quotePrefix="1" xfId="1">
      <alignment vertical="center"/>
    </xf>
    <xf numFmtId="168" fontId="9" fillId="0" borderId="46" applyAlignment="1" pivotButton="0" quotePrefix="0" xfId="2">
      <alignment horizontal="right" vertical="center" readingOrder="1"/>
    </xf>
    <xf numFmtId="165" fontId="6" fillId="0" borderId="0" applyAlignment="1" pivotButton="0" quotePrefix="0" xfId="1">
      <alignment vertical="center"/>
    </xf>
    <xf numFmtId="168" fontId="9" fillId="0" borderId="17" applyAlignment="1" pivotButton="0" quotePrefix="0" xfId="2">
      <alignment vertical="center" readingOrder="1"/>
    </xf>
    <xf numFmtId="214" fontId="6" fillId="0" borderId="16" applyAlignment="1" pivotButton="0" quotePrefix="0" xfId="2">
      <alignment vertical="center" readingOrder="1"/>
    </xf>
    <xf numFmtId="179" fontId="10" fillId="0" borderId="26" applyAlignment="1" pivotButton="0" quotePrefix="0" xfId="1">
      <alignment horizontal="left" vertical="center" readingOrder="1"/>
    </xf>
    <xf numFmtId="168" fontId="9" fillId="0" borderId="10" applyAlignment="1" pivotButton="0" quotePrefix="0" xfId="2">
      <alignment horizontal="right" vertical="center" readingOrder="1"/>
    </xf>
    <xf numFmtId="168" fontId="9" fillId="0" borderId="80" applyAlignment="1" pivotButton="0" quotePrefix="0" xfId="2">
      <alignment horizontal="right" vertical="center" readingOrder="1"/>
    </xf>
    <xf numFmtId="168" fontId="9" fillId="0" borderId="85" applyAlignment="1" pivotButton="0" quotePrefix="0" xfId="2">
      <alignment horizontal="right" vertical="center" readingOrder="1"/>
    </xf>
    <xf numFmtId="168" fontId="9" fillId="0" borderId="14" applyAlignment="1" pivotButton="0" quotePrefix="0" xfId="2">
      <alignment horizontal="right" vertical="center" readingOrder="1"/>
    </xf>
    <xf numFmtId="168" fontId="9" fillId="0" borderId="12" applyAlignment="1" pivotButton="0" quotePrefix="0" xfId="2">
      <alignment horizontal="right" vertical="center" readingOrder="1"/>
    </xf>
    <xf numFmtId="214" fontId="6" fillId="0" borderId="11" applyAlignment="1" pivotButton="0" quotePrefix="0" xfId="2">
      <alignment horizontal="right" vertical="center" readingOrder="1"/>
    </xf>
    <xf numFmtId="214" fontId="9" fillId="0" borderId="21" applyAlignment="1" pivotButton="0" quotePrefix="0" xfId="2">
      <alignment horizontal="right" vertical="center" readingOrder="1"/>
    </xf>
    <xf numFmtId="168" fontId="9" fillId="0" borderId="79" applyAlignment="1" pivotButton="0" quotePrefix="0" xfId="2">
      <alignment horizontal="right" vertical="center" readingOrder="1"/>
    </xf>
    <xf numFmtId="168" fontId="9" fillId="2" borderId="80" applyAlignment="1" pivotButton="0" quotePrefix="0" xfId="2">
      <alignment horizontal="right" vertical="center" readingOrder="1"/>
    </xf>
    <xf numFmtId="214" fontId="9" fillId="0" borderId="11" applyAlignment="1" pivotButton="0" quotePrefix="0" xfId="2">
      <alignment horizontal="right" vertical="center" readingOrder="1"/>
    </xf>
    <xf numFmtId="168" fontId="9" fillId="0" borderId="73" applyAlignment="1" pivotButton="0" quotePrefix="0" xfId="2">
      <alignment horizontal="right" vertical="center" readingOrder="1"/>
    </xf>
    <xf numFmtId="214" fontId="9" fillId="0" borderId="16" applyAlignment="1" pivotButton="0" quotePrefix="0" xfId="2">
      <alignment horizontal="right" vertical="center" readingOrder="1"/>
    </xf>
    <xf numFmtId="168" fontId="9" fillId="0" borderId="74" applyAlignment="1" pivotButton="0" quotePrefix="0" xfId="2">
      <alignment horizontal="right" vertical="center" readingOrder="1"/>
    </xf>
    <xf numFmtId="168" fontId="154" fillId="0" borderId="1" applyAlignment="1" pivotButton="0" quotePrefix="0" xfId="60307">
      <alignment horizontal="right" vertical="center" readingOrder="1"/>
    </xf>
    <xf numFmtId="168" fontId="154" fillId="0" borderId="5" applyAlignment="1" pivotButton="0" quotePrefix="0" xfId="2">
      <alignment horizontal="right" vertical="center" readingOrder="1"/>
    </xf>
    <xf numFmtId="168" fontId="154" fillId="0" borderId="1" applyAlignment="1" pivotButton="0" quotePrefix="0" xfId="2">
      <alignment horizontal="right" vertical="center" readingOrder="1"/>
    </xf>
    <xf numFmtId="168" fontId="154" fillId="0" borderId="86" applyAlignment="1" pivotButton="0" quotePrefix="0" xfId="2">
      <alignment horizontal="right" vertical="center" readingOrder="1"/>
    </xf>
    <xf numFmtId="168" fontId="12" fillId="0" borderId="4" applyAlignment="1" pivotButton="0" quotePrefix="0" xfId="2">
      <alignment horizontal="right" vertical="center" readingOrder="1"/>
    </xf>
    <xf numFmtId="168" fontId="154" fillId="0" borderId="3" applyAlignment="1" pivotButton="0" quotePrefix="0" xfId="2">
      <alignment horizontal="right" vertical="center" readingOrder="1"/>
    </xf>
    <xf numFmtId="205" fontId="154" fillId="0" borderId="2" applyAlignment="1" pivotButton="0" quotePrefix="0" xfId="2">
      <alignment horizontal="right" vertical="center" readingOrder="1"/>
    </xf>
    <xf numFmtId="170" fontId="6" fillId="0" borderId="0" applyAlignment="1" pivotButton="0" quotePrefix="0" xfId="60307">
      <alignment vertical="center"/>
    </xf>
    <xf numFmtId="213" fontId="6" fillId="0" borderId="0" applyAlignment="1" pivotButton="0" quotePrefix="0" xfId="1">
      <alignment vertical="center"/>
    </xf>
    <xf numFmtId="203" fontId="6" fillId="0" borderId="0" applyAlignment="1" pivotButton="0" quotePrefix="0" xfId="1">
      <alignment vertical="center"/>
    </xf>
    <xf numFmtId="166" fontId="6" fillId="0" borderId="0" applyAlignment="1" pivotButton="0" quotePrefix="0" xfId="1">
      <alignment vertical="center"/>
    </xf>
    <xf numFmtId="167" fontId="6" fillId="0" borderId="0" applyAlignment="1" pivotButton="0" quotePrefix="0" xfId="2">
      <alignment vertical="center"/>
    </xf>
    <xf numFmtId="188" fontId="6" fillId="0" borderId="0" applyAlignment="1" pivotButton="0" quotePrefix="0" xfId="60307">
      <alignment vertical="center"/>
    </xf>
    <xf numFmtId="190" fontId="6" fillId="0" borderId="0" applyAlignment="1" pivotButton="0" quotePrefix="0" xfId="60307">
      <alignment vertical="center"/>
    </xf>
    <xf numFmtId="187" fontId="6" fillId="0" borderId="0" applyAlignment="1" pivotButton="0" quotePrefix="0" xfId="1">
      <alignment vertical="center"/>
    </xf>
    <xf numFmtId="0" fontId="9" fillId="3" borderId="494" applyAlignment="1" pivotButton="0" quotePrefix="0" xfId="1">
      <alignment horizontal="center" vertical="center" wrapText="1" readingOrder="1"/>
    </xf>
    <xf numFmtId="0" fontId="0" fillId="0" borderId="90" pivotButton="0" quotePrefix="0" xfId="0"/>
    <xf numFmtId="0" fontId="0" fillId="0" borderId="91" pivotButton="0" quotePrefix="0" xfId="0"/>
    <xf numFmtId="164" fontId="9" fillId="0" borderId="1" applyAlignment="1" pivotButton="0" quotePrefix="0" xfId="2">
      <alignment horizontal="right" vertical="center" readingOrder="1"/>
    </xf>
    <xf numFmtId="164" fontId="9" fillId="0" borderId="5" applyAlignment="1" pivotButton="0" quotePrefix="0" xfId="2">
      <alignment horizontal="right" vertical="center" readingOrder="1"/>
    </xf>
    <xf numFmtId="164" fontId="9" fillId="0" borderId="94" applyAlignment="1" pivotButton="0" quotePrefix="0" xfId="2">
      <alignment horizontal="right" vertical="center" readingOrder="1"/>
    </xf>
    <xf numFmtId="164" fontId="9" fillId="0" borderId="95" applyAlignment="1" pivotButton="0" quotePrefix="0" xfId="2">
      <alignment horizontal="right" vertical="center" readingOrder="1"/>
    </xf>
    <xf numFmtId="164" fontId="9" fillId="0" borderId="7" applyAlignment="1" pivotButton="0" quotePrefix="0" xfId="2">
      <alignment horizontal="right" vertical="center" readingOrder="1"/>
    </xf>
    <xf numFmtId="164" fontId="9" fillId="0" borderId="23" applyAlignment="1" pivotButton="0" quotePrefix="0" xfId="2">
      <alignment horizontal="right" vertical="center" readingOrder="1"/>
    </xf>
    <xf numFmtId="164" fontId="9" fillId="0" borderId="75" applyAlignment="1" pivotButton="0" quotePrefix="0" xfId="2">
      <alignment horizontal="right" vertical="center" readingOrder="1"/>
    </xf>
    <xf numFmtId="164" fontId="9" fillId="0" borderId="96" applyAlignment="1" pivotButton="0" quotePrefix="0" xfId="2">
      <alignment horizontal="right" vertical="center" readingOrder="1"/>
    </xf>
    <xf numFmtId="164" fontId="9" fillId="0" borderId="97" applyAlignment="1" pivotButton="0" quotePrefix="0" xfId="2">
      <alignment horizontal="right" vertical="center" readingOrder="1"/>
    </xf>
    <xf numFmtId="164" fontId="9" fillId="0" borderId="88" applyAlignment="1" pivotButton="0" quotePrefix="0" xfId="2">
      <alignment horizontal="right" vertical="center" readingOrder="1"/>
    </xf>
    <xf numFmtId="164" fontId="9" fillId="0" borderId="31" applyAlignment="1" pivotButton="0" quotePrefix="0" xfId="2">
      <alignment horizontal="right" vertical="center" readingOrder="1"/>
    </xf>
    <xf numFmtId="164" fontId="9" fillId="0" borderId="76" applyAlignment="1" pivotButton="0" quotePrefix="0" xfId="2">
      <alignment horizontal="right" vertical="center" readingOrder="1"/>
    </xf>
    <xf numFmtId="164" fontId="9" fillId="0" borderId="71" applyAlignment="1" pivotButton="0" quotePrefix="0" xfId="2">
      <alignment horizontal="right" vertical="center" readingOrder="1"/>
    </xf>
    <xf numFmtId="164" fontId="9" fillId="0" borderId="98" applyAlignment="1" pivotButton="0" quotePrefix="0" xfId="2">
      <alignment horizontal="right" vertical="center" readingOrder="1"/>
    </xf>
    <xf numFmtId="164" fontId="9" fillId="0" borderId="69" applyAlignment="1" pivotButton="0" quotePrefix="0" xfId="2">
      <alignment horizontal="right" vertical="center" readingOrder="1"/>
    </xf>
    <xf numFmtId="164" fontId="9" fillId="0" borderId="15" applyAlignment="1" pivotButton="0" quotePrefix="0" xfId="2">
      <alignment vertical="center" readingOrder="1"/>
    </xf>
    <xf numFmtId="164" fontId="9" fillId="0" borderId="19" applyAlignment="1" pivotButton="0" quotePrefix="0" xfId="2">
      <alignment horizontal="right" vertical="center" readingOrder="1"/>
    </xf>
    <xf numFmtId="164" fontId="9" fillId="0" borderId="15" applyAlignment="1" pivotButton="0" quotePrefix="0" xfId="2">
      <alignment horizontal="right" vertical="center" readingOrder="1"/>
    </xf>
    <xf numFmtId="164" fontId="9" fillId="0" borderId="99" applyAlignment="1" pivotButton="0" quotePrefix="0" xfId="2">
      <alignment horizontal="right" vertical="center" readingOrder="1"/>
    </xf>
    <xf numFmtId="165" fontId="9" fillId="0" borderId="73" applyAlignment="1" pivotButton="0" quotePrefix="0" xfId="2">
      <alignment horizontal="right" vertical="center" readingOrder="1"/>
    </xf>
    <xf numFmtId="165" fontId="9" fillId="0" borderId="237" applyAlignment="1" pivotButton="0" quotePrefix="0" xfId="2">
      <alignment horizontal="right" vertical="center" readingOrder="1"/>
    </xf>
    <xf numFmtId="165" fontId="9" fillId="0" borderId="238" applyAlignment="1" pivotButton="0" quotePrefix="0" xfId="2">
      <alignment horizontal="right" vertical="center" readingOrder="1"/>
    </xf>
    <xf numFmtId="164" fontId="9" fillId="0" borderId="26" applyAlignment="1" pivotButton="0" quotePrefix="0" xfId="2">
      <alignment vertical="center" readingOrder="1"/>
    </xf>
    <xf numFmtId="164" fontId="9" fillId="0" borderId="27" applyAlignment="1" pivotButton="0" quotePrefix="0" xfId="2">
      <alignment horizontal="right" vertical="center" readingOrder="1"/>
    </xf>
    <xf numFmtId="164" fontId="9" fillId="0" borderId="26" applyAlignment="1" pivotButton="0" quotePrefix="0" xfId="2">
      <alignment horizontal="right" vertical="center" readingOrder="1"/>
    </xf>
    <xf numFmtId="164" fontId="9" fillId="0" borderId="101" applyAlignment="1" pivotButton="0" quotePrefix="0" xfId="2">
      <alignment horizontal="right" vertical="center" readingOrder="1"/>
    </xf>
    <xf numFmtId="177" fontId="9" fillId="0" borderId="100" applyAlignment="1" pivotButton="0" quotePrefix="0" xfId="2">
      <alignment horizontal="right" vertical="center" readingOrder="1"/>
    </xf>
    <xf numFmtId="164" fontId="9" fillId="0" borderId="40" applyAlignment="1" pivotButton="0" quotePrefix="0" xfId="2">
      <alignment vertical="center" readingOrder="1"/>
    </xf>
    <xf numFmtId="165" fontId="9" fillId="0" borderId="239" applyAlignment="1" pivotButton="0" quotePrefix="0" xfId="2">
      <alignment horizontal="right" vertical="center" readingOrder="1"/>
    </xf>
    <xf numFmtId="165" fontId="9" fillId="0" borderId="240" applyAlignment="1" pivotButton="0" quotePrefix="0" xfId="2">
      <alignment horizontal="right" vertical="center" readingOrder="1"/>
    </xf>
    <xf numFmtId="164" fontId="6" fillId="0" borderId="101" applyAlignment="1" pivotButton="0" quotePrefix="0" xfId="2">
      <alignment horizontal="right" vertical="center" readingOrder="1"/>
    </xf>
    <xf numFmtId="164" fontId="9" fillId="0" borderId="40" applyAlignment="1" pivotButton="0" quotePrefix="0" xfId="2">
      <alignment horizontal="right" vertical="center" readingOrder="1"/>
    </xf>
    <xf numFmtId="164" fontId="9" fillId="0" borderId="34" applyAlignment="1" pivotButton="0" quotePrefix="0" xfId="2">
      <alignment vertical="center" readingOrder="1"/>
    </xf>
    <xf numFmtId="164" fontId="9" fillId="0" borderId="37" applyAlignment="1" pivotButton="0" quotePrefix="0" xfId="2">
      <alignment horizontal="right" vertical="center" readingOrder="1"/>
    </xf>
    <xf numFmtId="164" fontId="9" fillId="0" borderId="34" applyAlignment="1" pivotButton="0" quotePrefix="0" xfId="2">
      <alignment horizontal="right" vertical="center" readingOrder="1"/>
    </xf>
    <xf numFmtId="164" fontId="9" fillId="0" borderId="103" applyAlignment="1" pivotButton="0" quotePrefix="0" xfId="2">
      <alignment horizontal="right" vertical="center" readingOrder="1"/>
    </xf>
    <xf numFmtId="177" fontId="9" fillId="39" borderId="102" applyAlignment="1" pivotButton="0" quotePrefix="0" xfId="2">
      <alignment horizontal="right" vertical="center" readingOrder="1"/>
    </xf>
    <xf numFmtId="177" fontId="9" fillId="0" borderId="77" applyAlignment="1" pivotButton="0" quotePrefix="0" xfId="2">
      <alignment horizontal="right" vertical="center" readingOrder="1"/>
    </xf>
    <xf numFmtId="177" fontId="9" fillId="0" borderId="102" applyAlignment="1" pivotButton="0" quotePrefix="0" xfId="2">
      <alignment horizontal="right" vertical="center" readingOrder="1"/>
    </xf>
    <xf numFmtId="165" fontId="9" fillId="0" borderId="241" applyAlignment="1" pivotButton="0" quotePrefix="0" xfId="2">
      <alignment horizontal="right" vertical="center" readingOrder="1"/>
    </xf>
    <xf numFmtId="165" fontId="9" fillId="0" borderId="242" applyAlignment="1" pivotButton="0" quotePrefix="0" xfId="2">
      <alignment horizontal="right" vertical="center" readingOrder="1"/>
    </xf>
    <xf numFmtId="164" fontId="9" fillId="0" borderId="104" applyAlignment="1" pivotButton="0" quotePrefix="0" xfId="2">
      <alignment horizontal="right" vertical="center" readingOrder="1"/>
    </xf>
    <xf numFmtId="164" fontId="9" fillId="0" borderId="31" applyAlignment="1" pivotButton="0" quotePrefix="0" xfId="2">
      <alignment vertical="center" readingOrder="1"/>
    </xf>
    <xf numFmtId="164" fontId="9" fillId="0" borderId="76" applyAlignment="1" pivotButton="0" quotePrefix="0" xfId="2">
      <alignment vertical="center" readingOrder="1"/>
    </xf>
    <xf numFmtId="164" fontId="9" fillId="0" borderId="71" applyAlignment="1" pivotButton="0" quotePrefix="0" xfId="2">
      <alignment vertical="center" readingOrder="1"/>
    </xf>
    <xf numFmtId="164" fontId="9" fillId="0" borderId="69" applyAlignment="1" pivotButton="0" quotePrefix="0" xfId="2">
      <alignment vertical="center" readingOrder="1"/>
    </xf>
    <xf numFmtId="164" fontId="9" fillId="0" borderId="120" applyAlignment="1" pivotButton="0" quotePrefix="0" xfId="2">
      <alignment horizontal="right" vertical="center" readingOrder="1"/>
    </xf>
    <xf numFmtId="164" fontId="9" fillId="0" borderId="18" applyAlignment="1" pivotButton="0" quotePrefix="0" xfId="2">
      <alignment vertical="center" readingOrder="1"/>
    </xf>
    <xf numFmtId="164" fontId="9" fillId="0" borderId="73" applyAlignment="1" pivotButton="0" quotePrefix="0" xfId="2">
      <alignment vertical="center" readingOrder="1"/>
    </xf>
    <xf numFmtId="164" fontId="9" fillId="0" borderId="41" applyAlignment="1" pivotButton="0" quotePrefix="0" xfId="2">
      <alignment horizontal="right" vertical="center" readingOrder="1"/>
    </xf>
    <xf numFmtId="164" fontId="9" fillId="0" borderId="237" applyAlignment="1" pivotButton="0" quotePrefix="0" xfId="2">
      <alignment vertical="center" readingOrder="1"/>
    </xf>
    <xf numFmtId="164" fontId="9" fillId="0" borderId="238" applyAlignment="1" pivotButton="0" quotePrefix="0" xfId="2">
      <alignment vertical="center" readingOrder="1"/>
    </xf>
    <xf numFmtId="164" fontId="9" fillId="0" borderId="100" applyAlignment="1" pivotButton="0" quotePrefix="0" xfId="2">
      <alignment vertical="center" readingOrder="1"/>
    </xf>
    <xf numFmtId="164" fontId="9" fillId="0" borderId="239" applyAlignment="1" pivotButton="0" quotePrefix="0" xfId="2">
      <alignment vertical="center" readingOrder="1"/>
    </xf>
    <xf numFmtId="164" fontId="9" fillId="0" borderId="240" applyAlignment="1" pivotButton="0" quotePrefix="0" xfId="2">
      <alignment vertical="center" readingOrder="1"/>
    </xf>
    <xf numFmtId="164" fontId="9" fillId="0" borderId="102" applyAlignment="1" pivotButton="0" quotePrefix="0" xfId="2">
      <alignment vertical="center" readingOrder="1"/>
    </xf>
    <xf numFmtId="164" fontId="9" fillId="0" borderId="66" applyAlignment="1" pivotButton="0" quotePrefix="0" xfId="2">
      <alignment horizontal="right" vertical="center" readingOrder="1"/>
    </xf>
    <xf numFmtId="164" fontId="9" fillId="0" borderId="241" applyAlignment="1" pivotButton="0" quotePrefix="0" xfId="2">
      <alignment vertical="center" readingOrder="1"/>
    </xf>
    <xf numFmtId="164" fontId="9" fillId="0" borderId="242" applyAlignment="1" pivotButton="0" quotePrefix="0" xfId="2">
      <alignment vertical="center" readingOrder="1"/>
    </xf>
    <xf numFmtId="177" fontId="9" fillId="0" borderId="15" applyAlignment="1" pivotButton="0" quotePrefix="0" xfId="2">
      <alignment horizontal="right" vertical="center" readingOrder="1"/>
    </xf>
    <xf numFmtId="177" fontId="9" fillId="0" borderId="78" applyAlignment="1" pivotButton="0" quotePrefix="0" xfId="2">
      <alignment horizontal="right" vertical="center" readingOrder="1"/>
    </xf>
    <xf numFmtId="177" fontId="9" fillId="0" borderId="73" applyAlignment="1" pivotButton="0" quotePrefix="0" xfId="2">
      <alignment horizontal="right" vertical="center" readingOrder="1"/>
    </xf>
    <xf numFmtId="177" fontId="9" fillId="0" borderId="18" applyAlignment="1" pivotButton="0" quotePrefix="0" xfId="2">
      <alignment horizontal="right" vertical="center" readingOrder="1"/>
    </xf>
    <xf numFmtId="164" fontId="9" fillId="0" borderId="77" applyAlignment="1" pivotButton="0" quotePrefix="0" xfId="2">
      <alignment vertical="center" readingOrder="1"/>
    </xf>
    <xf numFmtId="164" fontId="9" fillId="0" borderId="70" applyAlignment="1" pivotButton="0" quotePrefix="0" xfId="2">
      <alignment vertical="center" readingOrder="1"/>
    </xf>
    <xf numFmtId="164" fontId="9" fillId="0" borderId="244" applyAlignment="1" pivotButton="0" quotePrefix="0" xfId="2">
      <alignment vertical="center" readingOrder="1"/>
    </xf>
    <xf numFmtId="165" fontId="9" fillId="0" borderId="102" applyAlignment="1" pivotButton="0" quotePrefix="0" xfId="60307">
      <alignment vertical="center" readingOrder="1"/>
    </xf>
    <xf numFmtId="164" fontId="9" fillId="0" borderId="245" applyAlignment="1" pivotButton="0" quotePrefix="0" xfId="2">
      <alignment vertical="center" readingOrder="1"/>
    </xf>
    <xf numFmtId="177" fontId="9" fillId="0" borderId="26" applyAlignment="1" pivotButton="0" quotePrefix="0" xfId="2">
      <alignment horizontal="right" vertical="center" readingOrder="1"/>
    </xf>
    <xf numFmtId="177" fontId="9" fillId="0" borderId="0" applyAlignment="1" pivotButton="0" quotePrefix="0" xfId="2">
      <alignment horizontal="right" vertical="center" readingOrder="1"/>
    </xf>
    <xf numFmtId="164" fontId="9" fillId="0" borderId="243" applyAlignment="1" pivotButton="0" quotePrefix="0" xfId="2">
      <alignment vertical="center" readingOrder="1"/>
    </xf>
    <xf numFmtId="177" fontId="9" fillId="0" borderId="39" applyAlignment="1" pivotButton="0" quotePrefix="0" xfId="2">
      <alignment horizontal="right" vertical="center" readingOrder="1"/>
    </xf>
    <xf numFmtId="177" fontId="9" fillId="0" borderId="27" applyAlignment="1" pivotButton="0" quotePrefix="0" xfId="2">
      <alignment horizontal="right" vertical="center" readingOrder="1"/>
    </xf>
    <xf numFmtId="177" fontId="9" fillId="2" borderId="100" applyAlignment="1" pivotButton="0" quotePrefix="0" xfId="2">
      <alignment horizontal="right" vertical="center" readingOrder="1"/>
    </xf>
    <xf numFmtId="164" fontId="9" fillId="0" borderId="102" applyAlignment="1" pivotButton="0" quotePrefix="0" xfId="2">
      <alignment horizontal="right" vertical="center" readingOrder="1"/>
    </xf>
    <xf numFmtId="164" fontId="9" fillId="0" borderId="70" applyAlignment="1" pivotButton="0" quotePrefix="0" xfId="2">
      <alignment horizontal="right" vertical="center" readingOrder="1"/>
    </xf>
    <xf numFmtId="164" fontId="9" fillId="0" borderId="99" applyAlignment="1" pivotButton="0" quotePrefix="0" xfId="2">
      <alignment vertical="center" readingOrder="1"/>
    </xf>
    <xf numFmtId="164" fontId="9" fillId="0" borderId="10" applyAlignment="1" pivotButton="0" quotePrefix="0" xfId="2">
      <alignment vertical="center" readingOrder="1"/>
    </xf>
    <xf numFmtId="164" fontId="9" fillId="0" borderId="93" applyAlignment="1" pivotButton="0" quotePrefix="0" xfId="2">
      <alignment horizontal="right" vertical="center" readingOrder="1"/>
    </xf>
    <xf numFmtId="164" fontId="9" fillId="0" borderId="181" applyAlignment="1" pivotButton="0" quotePrefix="0" xfId="2">
      <alignment vertical="center" readingOrder="1"/>
    </xf>
    <xf numFmtId="164" fontId="9" fillId="0" borderId="147" applyAlignment="1" pivotButton="0" quotePrefix="0" xfId="2">
      <alignment horizontal="right" vertical="center" readingOrder="1"/>
    </xf>
    <xf numFmtId="177" fontId="9" fillId="0" borderId="243" applyAlignment="1" pivotButton="0" quotePrefix="0" xfId="2">
      <alignment horizontal="right" vertical="center" readingOrder="1"/>
    </xf>
    <xf numFmtId="177" fontId="9" fillId="0" borderId="10" applyAlignment="1" pivotButton="0" quotePrefix="0" xfId="2">
      <alignment horizontal="right" vertical="center" readingOrder="1"/>
    </xf>
    <xf numFmtId="177" fontId="9" fillId="0" borderId="79" applyAlignment="1" pivotButton="0" quotePrefix="0" xfId="2">
      <alignment horizontal="right" vertical="center" readingOrder="1"/>
    </xf>
    <xf numFmtId="164" fontId="9" fillId="0" borderId="117" applyAlignment="1" pivotButton="0" quotePrefix="0" xfId="2">
      <alignment horizontal="right" vertical="center" readingOrder="1"/>
    </xf>
    <xf numFmtId="177" fontId="9" fillId="2" borderId="13" applyAlignment="1" pivotButton="0" quotePrefix="0" xfId="2">
      <alignment horizontal="right" vertical="center" readingOrder="1"/>
    </xf>
    <xf numFmtId="164" fontId="9" fillId="2" borderId="80" applyAlignment="1" pivotButton="0" quotePrefix="0" xfId="2">
      <alignment horizontal="right" vertical="center" readingOrder="1"/>
    </xf>
    <xf numFmtId="177" fontId="9" fillId="0" borderId="13" applyAlignment="1" pivotButton="0" quotePrefix="0" xfId="2">
      <alignment horizontal="right" vertical="center" readingOrder="1"/>
    </xf>
    <xf numFmtId="177" fontId="9" fillId="0" borderId="74" applyAlignment="1" pivotButton="0" quotePrefix="0" xfId="2">
      <alignment horizontal="right" vertical="center" readingOrder="1"/>
    </xf>
    <xf numFmtId="177" fontId="9" fillId="47" borderId="74" applyAlignment="1" pivotButton="0" quotePrefix="0" xfId="2">
      <alignment horizontal="right" vertical="center" readingOrder="1"/>
    </xf>
    <xf numFmtId="177" fontId="9" fillId="2" borderId="74" applyAlignment="1" pivotButton="0" quotePrefix="0" xfId="2">
      <alignment horizontal="right" vertical="center" readingOrder="1"/>
    </xf>
    <xf numFmtId="177" fontId="9" fillId="0" borderId="181" applyAlignment="1" pivotButton="0" quotePrefix="0" xfId="2">
      <alignment horizontal="right" vertical="center" readingOrder="1"/>
    </xf>
    <xf numFmtId="164" fontId="9" fillId="0" borderId="73" applyAlignment="1" pivotButton="0" quotePrefix="0" xfId="2">
      <alignment horizontal="right" vertical="center" readingOrder="1"/>
    </xf>
    <xf numFmtId="164" fontId="9" fillId="0" borderId="18" applyAlignment="1" pivotButton="0" quotePrefix="0" xfId="2">
      <alignment horizontal="right" vertical="center" readingOrder="1"/>
    </xf>
    <xf numFmtId="164" fontId="9" fillId="0" borderId="74" applyAlignment="1" pivotButton="0" quotePrefix="0" xfId="2">
      <alignment horizontal="right" vertical="center" readingOrder="1"/>
    </xf>
    <xf numFmtId="164" fontId="9" fillId="0" borderId="80" applyAlignment="1" pivotButton="0" quotePrefix="0" xfId="2">
      <alignment horizontal="right" vertical="center" readingOrder="1"/>
    </xf>
    <xf numFmtId="164" fontId="9" fillId="0" borderId="10" applyAlignment="1" pivotButton="0" quotePrefix="0" xfId="2">
      <alignment horizontal="right" vertical="center" readingOrder="1"/>
    </xf>
    <xf numFmtId="164" fontId="9" fillId="0" borderId="13" applyAlignment="1" pivotButton="0" quotePrefix="0" xfId="2">
      <alignment horizontal="right" vertical="center" readingOrder="1"/>
    </xf>
    <xf numFmtId="164" fontId="9" fillId="0" borderId="218" applyAlignment="1" pivotButton="0" quotePrefix="0" xfId="2">
      <alignment horizontal="right" vertical="center" readingOrder="1"/>
    </xf>
    <xf numFmtId="164" fontId="9" fillId="0" borderId="57" applyAlignment="1" pivotButton="0" quotePrefix="0" xfId="2">
      <alignment horizontal="right" vertical="center" readingOrder="1"/>
    </xf>
    <xf numFmtId="164" fontId="9" fillId="0" borderId="374" applyAlignment="1" pivotButton="0" quotePrefix="0" xfId="2">
      <alignment horizontal="right" vertical="center" readingOrder="1"/>
    </xf>
    <xf numFmtId="164" fontId="9" fillId="2" borderId="218" applyAlignment="1" pivotButton="0" quotePrefix="0" xfId="2">
      <alignment horizontal="right" vertical="center" readingOrder="1"/>
    </xf>
    <xf numFmtId="164" fontId="9" fillId="0" borderId="105" applyAlignment="1" pivotButton="0" quotePrefix="0" xfId="2">
      <alignment horizontal="right" vertical="center" readingOrder="1"/>
    </xf>
    <xf numFmtId="164" fontId="10" fillId="0" borderId="106" applyAlignment="1" pivotButton="0" quotePrefix="0" xfId="2">
      <alignment horizontal="right" vertical="center" readingOrder="1"/>
    </xf>
    <xf numFmtId="164" fontId="9" fillId="0" borderId="107" applyAlignment="1" pivotButton="0" quotePrefix="0" xfId="2">
      <alignment horizontal="right" vertical="center" readingOrder="1"/>
    </xf>
    <xf numFmtId="165" fontId="9" fillId="0" borderId="105" applyAlignment="1" pivotButton="0" quotePrefix="0" xfId="60307">
      <alignment horizontal="right" vertical="center" readingOrder="1"/>
    </xf>
    <xf numFmtId="167" fontId="6" fillId="0" borderId="0" applyAlignment="1" pivotButton="0" quotePrefix="0" xfId="60307">
      <alignment vertical="center"/>
    </xf>
    <xf numFmtId="180" fontId="6" fillId="0" borderId="0" applyAlignment="1" pivotButton="0" quotePrefix="0" xfId="1">
      <alignment vertical="center"/>
    </xf>
    <xf numFmtId="165" fontId="13" fillId="0" borderId="0" applyAlignment="1" pivotButton="0" quotePrefix="0" xfId="60307">
      <alignment vertical="center"/>
    </xf>
    <xf numFmtId="164" fontId="13" fillId="0" borderId="0" applyAlignment="1" pivotButton="0" quotePrefix="0" xfId="60307">
      <alignment horizontal="right" vertical="center"/>
    </xf>
    <xf numFmtId="165" fontId="17" fillId="0" borderId="0" applyAlignment="1" pivotButton="0" quotePrefix="0" xfId="2">
      <alignment horizontal="center" vertical="center"/>
    </xf>
    <xf numFmtId="165" fontId="17" fillId="0" borderId="0" applyAlignment="1" pivotButton="0" quotePrefix="0" xfId="2">
      <alignment horizontal="left" vertical="center"/>
    </xf>
    <xf numFmtId="165" fontId="17" fillId="0" borderId="0" applyAlignment="1" pivotButton="0" quotePrefix="0" xfId="60307">
      <alignment vertical="center"/>
    </xf>
    <xf numFmtId="164" fontId="17" fillId="0" borderId="0" applyAlignment="1" pivotButton="0" quotePrefix="0" xfId="60307">
      <alignment horizontal="right" vertical="center"/>
    </xf>
    <xf numFmtId="165" fontId="13" fillId="0" borderId="0" applyAlignment="1" pivotButton="0" quotePrefix="0" xfId="1">
      <alignment horizontal="center" vertical="center"/>
    </xf>
    <xf numFmtId="165" fontId="13" fillId="0" borderId="0" applyAlignment="1" pivotButton="0" quotePrefix="0" xfId="1">
      <alignment horizontal="left" vertical="center"/>
    </xf>
    <xf numFmtId="165" fontId="13" fillId="4" borderId="0" applyAlignment="1" pivotButton="0" quotePrefix="0" xfId="60307">
      <alignment horizontal="center" vertical="center"/>
    </xf>
    <xf numFmtId="164" fontId="13" fillId="4" borderId="0" applyAlignment="1" pivotButton="0" quotePrefix="0" xfId="60307">
      <alignment horizontal="center" vertical="center"/>
    </xf>
    <xf numFmtId="165" fontId="29" fillId="0" borderId="0" applyAlignment="1" pivotButton="0" quotePrefix="0" xfId="60307">
      <alignment vertical="center"/>
    </xf>
    <xf numFmtId="165" fontId="24" fillId="0" borderId="0" applyAlignment="1" pivotButton="0" quotePrefix="0" xfId="60307">
      <alignment horizontal="center" vertical="center"/>
    </xf>
    <xf numFmtId="164" fontId="29" fillId="0" borderId="0" applyAlignment="1" pivotButton="0" quotePrefix="0" xfId="60307">
      <alignment horizontal="right" vertical="center"/>
    </xf>
    <xf numFmtId="165" fontId="13" fillId="0" borderId="0" applyAlignment="1" pivotButton="0" quotePrefix="0" xfId="1">
      <alignment horizontal="right" vertical="center"/>
    </xf>
    <xf numFmtId="165" fontId="29" fillId="0" borderId="0" applyAlignment="1" pivotButton="0" quotePrefix="0" xfId="60307">
      <alignment horizontal="center" vertical="center"/>
    </xf>
    <xf numFmtId="165" fontId="13" fillId="0" borderId="0" applyAlignment="1" pivotButton="0" quotePrefix="0" xfId="60307">
      <alignment horizontal="center" vertical="center"/>
    </xf>
    <xf numFmtId="165" fontId="13" fillId="0" borderId="0" applyAlignment="1" pivotButton="0" quotePrefix="0" xfId="1">
      <alignment vertical="center"/>
    </xf>
    <xf numFmtId="170" fontId="13" fillId="0" borderId="0" applyAlignment="1" pivotButton="0" quotePrefix="0" xfId="60307">
      <alignment horizontal="center" vertical="center"/>
    </xf>
    <xf numFmtId="178" fontId="13" fillId="0" borderId="0" applyAlignment="1" pivotButton="0" quotePrefix="0" xfId="1">
      <alignment vertical="center"/>
    </xf>
    <xf numFmtId="165" fontId="13" fillId="0" borderId="0" applyAlignment="1" pivotButton="0" quotePrefix="0" xfId="2">
      <alignment vertical="center"/>
    </xf>
    <xf numFmtId="165" fontId="13" fillId="0" borderId="0" applyAlignment="1" pivotButton="0" quotePrefix="0" xfId="2">
      <alignment horizontal="center" vertical="center"/>
    </xf>
    <xf numFmtId="179" fontId="13" fillId="0" borderId="0" applyAlignment="1" pivotButton="0" quotePrefix="0" xfId="1">
      <alignment vertical="center"/>
    </xf>
    <xf numFmtId="169" fontId="13" fillId="0" borderId="0" applyAlignment="1" pivotButton="0" quotePrefix="0" xfId="1">
      <alignment vertical="center"/>
    </xf>
    <xf numFmtId="180" fontId="13" fillId="0" borderId="0" applyAlignment="1" pivotButton="0" quotePrefix="0" xfId="1">
      <alignment vertical="center"/>
    </xf>
    <xf numFmtId="170" fontId="13" fillId="0" borderId="0" applyAlignment="1" pivotButton="0" quotePrefix="0" xfId="2">
      <alignment vertical="center"/>
    </xf>
    <xf numFmtId="169" fontId="13" fillId="0" borderId="0" applyAlignment="1" pivotButton="0" quotePrefix="0" xfId="1">
      <alignment horizontal="right" vertical="center"/>
    </xf>
    <xf numFmtId="170" fontId="13" fillId="0" borderId="0" applyAlignment="1" pivotButton="0" quotePrefix="0" xfId="2">
      <alignment horizontal="center" vertical="center"/>
    </xf>
    <xf numFmtId="172" fontId="13" fillId="0" borderId="0" applyAlignment="1" pivotButton="0" quotePrefix="0" xfId="2">
      <alignment vertical="center"/>
    </xf>
    <xf numFmtId="172" fontId="13" fillId="0" borderId="0" applyAlignment="1" pivotButton="0" quotePrefix="0" xfId="2">
      <alignment horizontal="center" vertical="center"/>
    </xf>
    <xf numFmtId="171" fontId="13" fillId="0" borderId="0" applyAlignment="1" pivotButton="0" quotePrefix="0" xfId="1">
      <alignment vertical="center"/>
    </xf>
    <xf numFmtId="165" fontId="16" fillId="0" borderId="0" applyAlignment="1" pivotButton="0" quotePrefix="0" xfId="2">
      <alignment vertical="center"/>
    </xf>
    <xf numFmtId="165" fontId="16" fillId="0" borderId="0" applyAlignment="1" pivotButton="0" quotePrefix="0" xfId="60307">
      <alignment vertical="center"/>
    </xf>
    <xf numFmtId="165" fontId="21" fillId="4" borderId="0" applyAlignment="1" pivotButton="0" quotePrefix="0" xfId="2">
      <alignment horizontal="right" vertical="center"/>
    </xf>
    <xf numFmtId="165" fontId="21" fillId="0" borderId="0" applyAlignment="1" pivotButton="0" quotePrefix="0" xfId="60307">
      <alignment horizontal="right" vertical="center"/>
    </xf>
    <xf numFmtId="170" fontId="16" fillId="0" borderId="0" applyAlignment="1" pivotButton="0" quotePrefix="0" xfId="2">
      <alignment vertical="center"/>
    </xf>
    <xf numFmtId="165" fontId="16" fillId="0" borderId="0" applyAlignment="1" pivotButton="0" quotePrefix="0" xfId="60307">
      <alignment horizontal="center" vertical="center"/>
    </xf>
    <xf numFmtId="165" fontId="13" fillId="4" borderId="0" applyAlignment="1" pivotButton="0" quotePrefix="0" xfId="2">
      <alignment horizontal="center" vertical="center"/>
    </xf>
    <xf numFmtId="165" fontId="13" fillId="2" borderId="0" applyAlignment="1" pivotButton="0" quotePrefix="0" xfId="2">
      <alignment vertical="center"/>
    </xf>
    <xf numFmtId="165" fontId="13" fillId="2" borderId="185" applyAlignment="1" pivotButton="0" quotePrefix="0" xfId="2">
      <alignment vertical="center"/>
    </xf>
    <xf numFmtId="165" fontId="13" fillId="63" borderId="488" applyAlignment="1" pivotButton="0" quotePrefix="0" xfId="2">
      <alignment vertical="center"/>
    </xf>
    <xf numFmtId="165" fontId="18" fillId="0" borderId="0" applyAlignment="1" pivotButton="0" quotePrefix="0" xfId="2">
      <alignment vertical="center"/>
    </xf>
    <xf numFmtId="165" fontId="13" fillId="0" borderId="0" applyAlignment="1" pivotButton="0" quotePrefix="0" xfId="60307">
      <alignment horizontal="right" vertical="center"/>
    </xf>
    <xf numFmtId="181" fontId="37" fillId="0" borderId="0" applyAlignment="1" pivotButton="0" quotePrefix="0" xfId="60310">
      <alignment vertical="center"/>
    </xf>
    <xf numFmtId="182" fontId="37" fillId="0" borderId="0" applyAlignment="1" pivotButton="0" quotePrefix="0" xfId="60310">
      <alignment horizontal="right"/>
    </xf>
    <xf numFmtId="181" fontId="37" fillId="45" borderId="0" applyAlignment="1" pivotButton="0" quotePrefix="0" xfId="60310">
      <alignment vertical="center"/>
    </xf>
    <xf numFmtId="0" fontId="25" fillId="3" borderId="496" applyAlignment="1" pivotButton="0" quotePrefix="0" xfId="60310">
      <alignment horizontal="center" vertical="center" readingOrder="1"/>
    </xf>
    <xf numFmtId="0" fontId="28" fillId="3" borderId="168" applyAlignment="1" pivotButton="0" quotePrefix="0" xfId="60310">
      <alignment horizontal="center" vertical="center" wrapText="1" readingOrder="1"/>
    </xf>
    <xf numFmtId="0" fontId="25" fillId="3" borderId="497" applyAlignment="1" pivotButton="0" quotePrefix="0" xfId="60310">
      <alignment horizontal="center" vertical="center" readingOrder="1"/>
    </xf>
    <xf numFmtId="0" fontId="0" fillId="0" borderId="189" pivotButton="0" quotePrefix="0" xfId="0"/>
    <xf numFmtId="0" fontId="0" fillId="0" borderId="190" pivotButton="0" quotePrefix="0" xfId="0"/>
    <xf numFmtId="216" fontId="28" fillId="46" borderId="11" applyAlignment="1" pivotButton="0" quotePrefix="0" xfId="60310">
      <alignment horizontal="left" vertical="center" readingOrder="1"/>
    </xf>
    <xf numFmtId="183" fontId="30" fillId="44" borderId="196" applyAlignment="1" pivotButton="0" quotePrefix="0" xfId="60310">
      <alignment horizontal="right" vertical="center" readingOrder="1"/>
    </xf>
    <xf numFmtId="183" fontId="30" fillId="44" borderId="197" applyAlignment="1" pivotButton="0" quotePrefix="0" xfId="60310">
      <alignment horizontal="right" vertical="center" readingOrder="1"/>
    </xf>
    <xf numFmtId="183" fontId="30" fillId="46" borderId="197" applyAlignment="1" pivotButton="0" quotePrefix="0" xfId="60310">
      <alignment horizontal="right" vertical="center" readingOrder="1"/>
    </xf>
    <xf numFmtId="183" fontId="30" fillId="46" borderId="198" applyAlignment="1" pivotButton="0" quotePrefix="0" xfId="60310">
      <alignment horizontal="right" vertical="center" readingOrder="1"/>
    </xf>
    <xf numFmtId="183" fontId="30" fillId="46" borderId="74" applyAlignment="1" pivotButton="0" quotePrefix="0" xfId="60310">
      <alignment horizontal="right" vertical="center" readingOrder="1"/>
    </xf>
    <xf numFmtId="183" fontId="30" fillId="46" borderId="199" applyAlignment="1" pivotButton="0" quotePrefix="0" xfId="60310">
      <alignment horizontal="right" vertical="center" readingOrder="1"/>
    </xf>
    <xf numFmtId="183" fontId="24" fillId="44" borderId="200" applyAlignment="1" pivotButton="0" quotePrefix="0" xfId="60310">
      <alignment horizontal="right" vertical="center" readingOrder="1"/>
    </xf>
    <xf numFmtId="183" fontId="24" fillId="44" borderId="201" applyAlignment="1" pivotButton="0" quotePrefix="0" xfId="60310">
      <alignment horizontal="right" vertical="center" readingOrder="1"/>
    </xf>
    <xf numFmtId="183" fontId="24" fillId="0" borderId="201" applyAlignment="1" pivotButton="0" quotePrefix="0" xfId="60310">
      <alignment horizontal="right" vertical="center" readingOrder="1"/>
    </xf>
    <xf numFmtId="183" fontId="24" fillId="0" borderId="202" applyAlignment="1" pivotButton="0" quotePrefix="0" xfId="60310">
      <alignment horizontal="right" vertical="center" readingOrder="1"/>
    </xf>
    <xf numFmtId="183" fontId="24" fillId="0" borderId="73" applyAlignment="1" pivotButton="0" quotePrefix="0" xfId="60310">
      <alignment horizontal="right" vertical="center" readingOrder="1"/>
    </xf>
    <xf numFmtId="183" fontId="24" fillId="0" borderId="203" applyAlignment="1" pivotButton="0" quotePrefix="0" xfId="60310">
      <alignment horizontal="right" vertical="center" readingOrder="1"/>
    </xf>
    <xf numFmtId="0" fontId="25" fillId="5" borderId="250" applyAlignment="1" pivotButton="0" quotePrefix="0" xfId="60310">
      <alignment horizontal="left" vertical="center" readingOrder="1"/>
    </xf>
    <xf numFmtId="0" fontId="0" fillId="0" borderId="205" pivotButton="0" quotePrefix="0" xfId="0"/>
    <xf numFmtId="0" fontId="0" fillId="0" borderId="206" pivotButton="0" quotePrefix="0" xfId="0"/>
    <xf numFmtId="183" fontId="24" fillId="44" borderId="207" applyAlignment="1" pivotButton="0" quotePrefix="0" xfId="60310">
      <alignment horizontal="right" vertical="center" readingOrder="1"/>
    </xf>
    <xf numFmtId="183" fontId="24" fillId="44" borderId="208" applyAlignment="1" pivotButton="0" quotePrefix="0" xfId="60310">
      <alignment horizontal="right" vertical="center" readingOrder="1"/>
    </xf>
    <xf numFmtId="183" fontId="24" fillId="5" borderId="208" applyAlignment="1" pivotButton="0" quotePrefix="0" xfId="60310">
      <alignment horizontal="right" vertical="center" readingOrder="1"/>
    </xf>
    <xf numFmtId="183" fontId="24" fillId="5" borderId="204" applyAlignment="1" pivotButton="0" quotePrefix="0" xfId="60310">
      <alignment horizontal="right" vertical="center" readingOrder="1"/>
    </xf>
    <xf numFmtId="183" fontId="24" fillId="5" borderId="209" applyAlignment="1" pivotButton="0" quotePrefix="0" xfId="60310">
      <alignment horizontal="right" vertical="center" readingOrder="1"/>
    </xf>
    <xf numFmtId="183" fontId="24" fillId="5" borderId="210" applyAlignment="1" pivotButton="0" quotePrefix="0" xfId="60310">
      <alignment horizontal="right" vertical="center" readingOrder="1"/>
    </xf>
    <xf numFmtId="183" fontId="24" fillId="44" borderId="212" applyAlignment="1" pivotButton="0" quotePrefix="0" xfId="60310">
      <alignment horizontal="right" vertical="center" readingOrder="1"/>
    </xf>
    <xf numFmtId="183" fontId="24" fillId="44" borderId="213" applyAlignment="1" pivotButton="0" quotePrefix="0" xfId="60310">
      <alignment horizontal="right" vertical="center" readingOrder="1"/>
    </xf>
    <xf numFmtId="183" fontId="24" fillId="0" borderId="213" applyAlignment="1" pivotButton="0" quotePrefix="0" xfId="60310">
      <alignment horizontal="right" vertical="center" readingOrder="1"/>
    </xf>
    <xf numFmtId="183" fontId="24" fillId="0" borderId="211" applyAlignment="1" pivotButton="0" quotePrefix="0" xfId="60310">
      <alignment horizontal="right" vertical="center" readingOrder="1"/>
    </xf>
    <xf numFmtId="183" fontId="24" fillId="0" borderId="100" applyAlignment="1" pivotButton="0" quotePrefix="0" xfId="60310">
      <alignment horizontal="right" vertical="center" readingOrder="1"/>
    </xf>
    <xf numFmtId="183" fontId="24" fillId="0" borderId="214" applyAlignment="1" pivotButton="0" quotePrefix="0" xfId="60310">
      <alignment horizontal="right" vertical="center" readingOrder="1"/>
    </xf>
    <xf numFmtId="0" fontId="25" fillId="0" borderId="250" applyAlignment="1" pivotButton="0" quotePrefix="0" xfId="60310">
      <alignment horizontal="left" vertical="center" readingOrder="1"/>
    </xf>
    <xf numFmtId="183" fontId="24" fillId="0" borderId="208" applyAlignment="1" pivotButton="0" quotePrefix="0" xfId="60310">
      <alignment horizontal="right" vertical="center" readingOrder="1"/>
    </xf>
    <xf numFmtId="183" fontId="24" fillId="0" borderId="204" applyAlignment="1" pivotButton="0" quotePrefix="0" xfId="60310">
      <alignment horizontal="right" vertical="center" readingOrder="1"/>
    </xf>
    <xf numFmtId="183" fontId="24" fillId="0" borderId="209" applyAlignment="1" pivotButton="0" quotePrefix="0" xfId="60310">
      <alignment horizontal="right" vertical="center" readingOrder="1"/>
    </xf>
    <xf numFmtId="183" fontId="24" fillId="0" borderId="210" applyAlignment="1" pivotButton="0" quotePrefix="0" xfId="60310">
      <alignment horizontal="right" vertical="center" readingOrder="1"/>
    </xf>
    <xf numFmtId="183" fontId="24" fillId="44" borderId="196" applyAlignment="1" pivotButton="0" quotePrefix="0" xfId="60310">
      <alignment horizontal="right" vertical="center" readingOrder="1"/>
    </xf>
    <xf numFmtId="183" fontId="24" fillId="44" borderId="197" applyAlignment="1" pivotButton="0" quotePrefix="0" xfId="60310">
      <alignment horizontal="right" vertical="center" readingOrder="1"/>
    </xf>
    <xf numFmtId="183" fontId="24" fillId="0" borderId="197" applyAlignment="1" pivotButton="0" quotePrefix="0" xfId="60310">
      <alignment horizontal="right" vertical="center" readingOrder="1"/>
    </xf>
    <xf numFmtId="183" fontId="24" fillId="0" borderId="198" applyAlignment="1" pivotButton="0" quotePrefix="0" xfId="60310">
      <alignment horizontal="right" vertical="center" readingOrder="1"/>
    </xf>
    <xf numFmtId="183" fontId="24" fillId="0" borderId="74" applyAlignment="1" pivotButton="0" quotePrefix="0" xfId="60310">
      <alignment horizontal="right" vertical="center" readingOrder="1"/>
    </xf>
    <xf numFmtId="183" fontId="24" fillId="0" borderId="199" applyAlignment="1" pivotButton="0" quotePrefix="0" xfId="60310">
      <alignment horizontal="right" vertical="center" readingOrder="1"/>
    </xf>
    <xf numFmtId="183" fontId="24" fillId="44" borderId="215" applyAlignment="1" pivotButton="0" quotePrefix="0" xfId="60310">
      <alignment horizontal="right" vertical="center" readingOrder="1"/>
    </xf>
    <xf numFmtId="183" fontId="24" fillId="44" borderId="216" applyAlignment="1" pivotButton="0" quotePrefix="0" xfId="60310">
      <alignment horizontal="right" vertical="center" readingOrder="1"/>
    </xf>
    <xf numFmtId="183" fontId="24" fillId="0" borderId="216" applyAlignment="1" pivotButton="0" quotePrefix="0" xfId="60310">
      <alignment horizontal="right" vertical="center" readingOrder="1"/>
    </xf>
    <xf numFmtId="183" fontId="24" fillId="0" borderId="217" applyAlignment="1" pivotButton="0" quotePrefix="0" xfId="60310">
      <alignment horizontal="right" vertical="center" readingOrder="1"/>
    </xf>
    <xf numFmtId="183" fontId="24" fillId="0" borderId="218" applyAlignment="1" pivotButton="0" quotePrefix="0" xfId="60310">
      <alignment horizontal="right" vertical="center" readingOrder="1"/>
    </xf>
    <xf numFmtId="183" fontId="24" fillId="0" borderId="219" applyAlignment="1" pivotButton="0" quotePrefix="0" xfId="60310">
      <alignment horizontal="right" vertical="center" readingOrder="1"/>
    </xf>
    <xf numFmtId="176" fontId="33" fillId="0" borderId="0" applyAlignment="1" pivotButton="0" quotePrefix="0" xfId="60311">
      <alignment vertical="center"/>
    </xf>
    <xf numFmtId="183" fontId="24" fillId="44" borderId="222" applyAlignment="1" pivotButton="0" quotePrefix="0" xfId="60310">
      <alignment horizontal="right" vertical="center" readingOrder="1"/>
    </xf>
    <xf numFmtId="183" fontId="24" fillId="44" borderId="223" applyAlignment="1" pivotButton="0" quotePrefix="0" xfId="60310">
      <alignment horizontal="right" vertical="center" readingOrder="1"/>
    </xf>
    <xf numFmtId="183" fontId="24" fillId="0" borderId="223" applyAlignment="1" pivotButton="0" quotePrefix="0" xfId="60310">
      <alignment horizontal="right" vertical="center" readingOrder="1"/>
    </xf>
    <xf numFmtId="183" fontId="24" fillId="0" borderId="224" applyAlignment="1" pivotButton="0" quotePrefix="0" xfId="60310">
      <alignment horizontal="right" vertical="center" readingOrder="1"/>
    </xf>
    <xf numFmtId="183" fontId="24" fillId="0" borderId="225" applyAlignment="1" pivotButton="0" quotePrefix="0" xfId="60310">
      <alignment horizontal="right" vertical="center" readingOrder="1"/>
    </xf>
    <xf numFmtId="183" fontId="24" fillId="44" borderId="226" applyAlignment="1" pivotButton="0" quotePrefix="0" xfId="60310">
      <alignment horizontal="right" vertical="center" readingOrder="1"/>
    </xf>
    <xf numFmtId="183" fontId="24" fillId="5" borderId="197" applyAlignment="1" pivotButton="0" quotePrefix="0" xfId="60310">
      <alignment horizontal="right" vertical="center" readingOrder="1"/>
    </xf>
    <xf numFmtId="183" fontId="24" fillId="5" borderId="198" applyAlignment="1" pivotButton="0" quotePrefix="0" xfId="60310">
      <alignment horizontal="right" vertical="center" readingOrder="1"/>
    </xf>
    <xf numFmtId="183" fontId="24" fillId="5" borderId="74" applyAlignment="1" pivotButton="0" quotePrefix="0" xfId="60310">
      <alignment horizontal="right" vertical="center" readingOrder="1"/>
    </xf>
    <xf numFmtId="183" fontId="24" fillId="5" borderId="199" applyAlignment="1" pivotButton="0" quotePrefix="0" xfId="60310">
      <alignment horizontal="right" vertical="center" readingOrder="1"/>
    </xf>
    <xf numFmtId="0" fontId="0" fillId="0" borderId="227" pivotButton="0" quotePrefix="0" xfId="0"/>
    <xf numFmtId="183" fontId="24" fillId="44" borderId="228" applyAlignment="1" pivotButton="0" quotePrefix="0" xfId="60310">
      <alignment horizontal="right" vertical="center" readingOrder="1"/>
    </xf>
    <xf numFmtId="183" fontId="30" fillId="2" borderId="218" applyAlignment="1" pivotButton="0" quotePrefix="0" xfId="60310">
      <alignment horizontal="right" vertical="center" readingOrder="1"/>
    </xf>
    <xf numFmtId="183" fontId="24" fillId="44" borderId="230" applyAlignment="1" pivotButton="0" quotePrefix="0" xfId="60310">
      <alignment horizontal="right" vertical="center" readingOrder="1"/>
    </xf>
    <xf numFmtId="0" fontId="0" fillId="0" borderId="231" pivotButton="0" quotePrefix="0" xfId="0"/>
    <xf numFmtId="183" fontId="30" fillId="44" borderId="232" applyAlignment="1" pivotButton="0" quotePrefix="0" xfId="60310">
      <alignment horizontal="right" vertical="center" readingOrder="1"/>
    </xf>
    <xf numFmtId="183" fontId="30" fillId="44" borderId="233" applyAlignment="1" pivotButton="0" quotePrefix="0" xfId="60310">
      <alignment horizontal="right" vertical="center" readingOrder="1"/>
    </xf>
    <xf numFmtId="183" fontId="30" fillId="39" borderId="233" applyAlignment="1" pivotButton="0" quotePrefix="0" xfId="60310">
      <alignment horizontal="right" vertical="center" readingOrder="1"/>
    </xf>
    <xf numFmtId="183" fontId="30" fillId="39" borderId="234" applyAlignment="1" pivotButton="0" quotePrefix="0" xfId="60310">
      <alignment horizontal="right" vertical="center" readingOrder="1"/>
    </xf>
    <xf numFmtId="183" fontId="30" fillId="39" borderId="94" applyAlignment="1" pivotButton="0" quotePrefix="0" xfId="60310">
      <alignment horizontal="right" vertical="center" readingOrder="1"/>
    </xf>
    <xf numFmtId="183" fontId="30" fillId="39" borderId="235" applyAlignment="1" pivotButton="0" quotePrefix="0" xfId="60310">
      <alignment horizontal="right" vertical="center" readingOrder="1"/>
    </xf>
    <xf numFmtId="184" fontId="37" fillId="0" borderId="0" applyAlignment="1" pivotButton="0" quotePrefix="0" xfId="60310">
      <alignment vertical="center"/>
    </xf>
    <xf numFmtId="165" fontId="37" fillId="0" borderId="0" applyAlignment="1" pivotButton="0" quotePrefix="0" xfId="60307">
      <alignment vertical="center"/>
    </xf>
    <xf numFmtId="165" fontId="37" fillId="45" borderId="0" applyAlignment="1" pivotButton="0" quotePrefix="0" xfId="60307">
      <alignment vertical="center"/>
    </xf>
    <xf numFmtId="0" fontId="25" fillId="3" borderId="7" applyAlignment="1" pivotButton="0" quotePrefix="0" xfId="60310">
      <alignment horizontal="center" vertical="center" readingOrder="1"/>
    </xf>
    <xf numFmtId="0" fontId="25" fillId="3" borderId="498" applyAlignment="1" pivotButton="0" quotePrefix="0" xfId="60310">
      <alignment horizontal="center" vertical="center" readingOrder="1"/>
    </xf>
    <xf numFmtId="0" fontId="0" fillId="0" borderId="372" pivotButton="0" quotePrefix="0" xfId="0"/>
    <xf numFmtId="165" fontId="25" fillId="3" borderId="1" applyAlignment="1" pivotButton="0" quotePrefix="0" xfId="60307">
      <alignment horizontal="center" vertical="center" wrapText="1" readingOrder="1"/>
    </xf>
    <xf numFmtId="165" fontId="25" fillId="3" borderId="25" applyAlignment="1" pivotButton="0" quotePrefix="0" xfId="60307">
      <alignment vertical="center" wrapText="1" readingOrder="1"/>
    </xf>
    <xf numFmtId="165" fontId="25" fillId="3" borderId="24" applyAlignment="1" pivotButton="0" quotePrefix="0" xfId="60307">
      <alignment vertical="center" wrapText="1" readingOrder="1"/>
    </xf>
    <xf numFmtId="0" fontId="0" fillId="0" borderId="100" pivotButton="0" quotePrefix="0" xfId="0"/>
    <xf numFmtId="165" fontId="25" fillId="3" borderId="118" applyAlignment="1" pivotButton="0" quotePrefix="0" xfId="60307">
      <alignment horizontal="center" vertical="center" wrapText="1" readingOrder="1"/>
    </xf>
    <xf numFmtId="165" fontId="25" fillId="3" borderId="0" applyAlignment="1" pivotButton="0" quotePrefix="0" xfId="60307">
      <alignment horizontal="center" vertical="center" wrapText="1" readingOrder="1"/>
    </xf>
    <xf numFmtId="165" fontId="25" fillId="3" borderId="29" applyAlignment="1" pivotButton="0" quotePrefix="0" xfId="60307">
      <alignment horizontal="center" vertical="center" wrapText="1" readingOrder="1"/>
    </xf>
    <xf numFmtId="165" fontId="151" fillId="3" borderId="373" applyAlignment="1" pivotButton="0" quotePrefix="0" xfId="60307">
      <alignment horizontal="center" vertical="center" readingOrder="1"/>
    </xf>
    <xf numFmtId="165" fontId="151" fillId="3" borderId="246" applyAlignment="1" pivotButton="0" quotePrefix="0" xfId="60307">
      <alignment horizontal="center" vertical="center" wrapText="1" readingOrder="1"/>
    </xf>
    <xf numFmtId="165" fontId="25" fillId="3" borderId="236" applyAlignment="1" pivotButton="0" quotePrefix="0" xfId="60307">
      <alignment horizontal="center" vertical="center" wrapText="1" readingOrder="1"/>
    </xf>
    <xf numFmtId="165" fontId="25" fillId="3" borderId="234" applyAlignment="1" pivotButton="0" quotePrefix="0" xfId="60307">
      <alignment horizontal="center" vertical="center" wrapText="1" readingOrder="1"/>
    </xf>
    <xf numFmtId="165" fontId="25" fillId="3" borderId="258" applyAlignment="1" pivotButton="0" quotePrefix="0" xfId="60307">
      <alignment horizontal="center" vertical="center" wrapText="1" readingOrder="1"/>
    </xf>
    <xf numFmtId="165" fontId="25" fillId="3" borderId="233" applyAlignment="1" pivotButton="0" quotePrefix="0" xfId="60307">
      <alignment horizontal="center" vertical="center" wrapText="1" readingOrder="1"/>
    </xf>
    <xf numFmtId="165" fontId="25" fillId="3" borderId="7" applyAlignment="1" pivotButton="0" quotePrefix="0" xfId="60307">
      <alignment horizontal="center" vertical="center" wrapText="1" readingOrder="1"/>
    </xf>
    <xf numFmtId="165" fontId="25" fillId="3" borderId="247" applyAlignment="1" pivotButton="0" quotePrefix="0" xfId="60307">
      <alignment horizontal="center" vertical="center" wrapText="1" readingOrder="1"/>
    </xf>
    <xf numFmtId="165" fontId="25" fillId="3" borderId="253" applyAlignment="1" pivotButton="0" quotePrefix="0" xfId="60307">
      <alignment horizontal="center" vertical="center" wrapText="1" readingOrder="1"/>
    </xf>
    <xf numFmtId="165" fontId="25" fillId="3" borderId="246" applyAlignment="1" pivotButton="0" quotePrefix="0" xfId="60307">
      <alignment horizontal="center" vertical="center" wrapText="1" readingOrder="1"/>
    </xf>
    <xf numFmtId="216" fontId="28" fillId="46" borderId="13" applyAlignment="1" pivotButton="0" quotePrefix="0" xfId="60310">
      <alignment horizontal="left" vertical="center" readingOrder="1"/>
    </xf>
    <xf numFmtId="165" fontId="28" fillId="46" borderId="74" applyAlignment="1" pivotButton="0" quotePrefix="0" xfId="60307">
      <alignment horizontal="left" vertical="center" readingOrder="1"/>
    </xf>
    <xf numFmtId="165" fontId="28" fillId="46" borderId="235" applyAlignment="1" pivotButton="0" quotePrefix="0" xfId="60307">
      <alignment horizontal="left" vertical="center" readingOrder="1"/>
    </xf>
    <xf numFmtId="165" fontId="30" fillId="46" borderId="196" applyAlignment="1" pivotButton="0" quotePrefix="0" xfId="60307">
      <alignment horizontal="right" vertical="center" readingOrder="1"/>
    </xf>
    <xf numFmtId="165" fontId="30" fillId="46" borderId="198" applyAlignment="1" pivotButton="0" quotePrefix="0" xfId="60307">
      <alignment horizontal="right" vertical="center" readingOrder="1"/>
    </xf>
    <xf numFmtId="165" fontId="30" fillId="46" borderId="259" applyAlignment="1" pivotButton="0" quotePrefix="0" xfId="60307">
      <alignment horizontal="right" vertical="center" readingOrder="1"/>
    </xf>
    <xf numFmtId="198" fontId="30" fillId="46" borderId="197" applyAlignment="1" pivotButton="0" quotePrefix="0" xfId="60307">
      <alignment horizontal="right" vertical="center" readingOrder="1"/>
    </xf>
    <xf numFmtId="198" fontId="30" fillId="46" borderId="13" applyAlignment="1" pivotButton="0" quotePrefix="0" xfId="60307">
      <alignment horizontal="right" vertical="center" readingOrder="1"/>
    </xf>
    <xf numFmtId="198" fontId="30" fillId="46" borderId="198" applyAlignment="1" pivotButton="0" quotePrefix="0" xfId="60307">
      <alignment horizontal="right" vertical="center" readingOrder="1"/>
    </xf>
    <xf numFmtId="198" fontId="30" fillId="46" borderId="248" applyAlignment="1" pivotButton="0" quotePrefix="0" xfId="60307">
      <alignment horizontal="right" vertical="center" readingOrder="1"/>
    </xf>
    <xf numFmtId="198" fontId="30" fillId="46" borderId="199" applyAlignment="1" pivotButton="0" quotePrefix="0" xfId="60307">
      <alignment horizontal="right" vertical="center" readingOrder="1"/>
    </xf>
    <xf numFmtId="165" fontId="25" fillId="0" borderId="100" applyAlignment="1" pivotButton="0" quotePrefix="0" xfId="60307">
      <alignment horizontal="left" vertical="center" readingOrder="1"/>
    </xf>
    <xf numFmtId="198" fontId="24" fillId="0" borderId="203" applyAlignment="1" pivotButton="0" quotePrefix="0" xfId="60307">
      <alignment horizontal="right" vertical="center" readingOrder="1"/>
    </xf>
    <xf numFmtId="165" fontId="24" fillId="0" borderId="200" applyAlignment="1" pivotButton="0" quotePrefix="0" xfId="60307">
      <alignment horizontal="right" vertical="center" readingOrder="1"/>
    </xf>
    <xf numFmtId="165" fontId="24" fillId="0" borderId="202" applyAlignment="1" pivotButton="0" quotePrefix="0" xfId="60307">
      <alignment horizontal="right" vertical="center" readingOrder="1"/>
    </xf>
    <xf numFmtId="165" fontId="24" fillId="0" borderId="260" applyAlignment="1" pivotButton="0" quotePrefix="0" xfId="60307">
      <alignment horizontal="right" vertical="center" readingOrder="1"/>
    </xf>
    <xf numFmtId="198" fontId="24" fillId="0" borderId="201" applyAlignment="1" pivotButton="0" quotePrefix="0" xfId="60307">
      <alignment horizontal="right" vertical="center" readingOrder="1"/>
    </xf>
    <xf numFmtId="198" fontId="24" fillId="0" borderId="18" applyAlignment="1" pivotButton="0" quotePrefix="0" xfId="60307">
      <alignment horizontal="right" vertical="center" readingOrder="1"/>
    </xf>
    <xf numFmtId="198" fontId="24" fillId="0" borderId="202" applyAlignment="1" pivotButton="0" quotePrefix="0" xfId="60307">
      <alignment horizontal="right" vertical="center" readingOrder="1"/>
    </xf>
    <xf numFmtId="198" fontId="24" fillId="0" borderId="249" applyAlignment="1" pivotButton="0" quotePrefix="0" xfId="60307">
      <alignment horizontal="right" vertical="center" readingOrder="1"/>
    </xf>
    <xf numFmtId="165" fontId="25" fillId="5" borderId="209" applyAlignment="1" pivotButton="0" quotePrefix="0" xfId="60307">
      <alignment horizontal="left" vertical="center" readingOrder="1"/>
    </xf>
    <xf numFmtId="198" fontId="24" fillId="5" borderId="210" applyAlignment="1" pivotButton="0" quotePrefix="0" xfId="60307">
      <alignment horizontal="right" vertical="center" readingOrder="1"/>
    </xf>
    <xf numFmtId="165" fontId="29" fillId="5" borderId="207" applyAlignment="1" pivotButton="0" quotePrefix="0" xfId="60307">
      <alignment horizontal="right" vertical="center" readingOrder="1"/>
    </xf>
    <xf numFmtId="165" fontId="29" fillId="5" borderId="208" applyAlignment="1" pivotButton="0" quotePrefix="0" xfId="60307">
      <alignment horizontal="right" vertical="center" readingOrder="1"/>
    </xf>
    <xf numFmtId="165" fontId="24" fillId="5" borderId="208" applyAlignment="1" pivotButton="0" quotePrefix="0" xfId="60307">
      <alignment horizontal="right" vertical="center" readingOrder="1"/>
    </xf>
    <xf numFmtId="165" fontId="29" fillId="5" borderId="205" applyAlignment="1" pivotButton="0" quotePrefix="0" xfId="60307">
      <alignment horizontal="right" vertical="center" readingOrder="1"/>
    </xf>
    <xf numFmtId="165" fontId="29" fillId="5" borderId="204" applyAlignment="1" pivotButton="0" quotePrefix="0" xfId="60307">
      <alignment horizontal="right" vertical="center" readingOrder="1"/>
    </xf>
    <xf numFmtId="198" fontId="24" fillId="5" borderId="208" applyAlignment="1" pivotButton="0" quotePrefix="0" xfId="60307">
      <alignment horizontal="right" vertical="center" readingOrder="1"/>
    </xf>
    <xf numFmtId="198" fontId="24" fillId="5" borderId="204" applyAlignment="1" pivotButton="0" quotePrefix="0" xfId="60307">
      <alignment horizontal="right" vertical="center" readingOrder="1"/>
    </xf>
    <xf numFmtId="165" fontId="29" fillId="5" borderId="250" applyAlignment="1" pivotButton="0" quotePrefix="0" xfId="60307">
      <alignment horizontal="right" vertical="center" readingOrder="1"/>
    </xf>
    <xf numFmtId="198" fontId="24" fillId="5" borderId="205" applyAlignment="1" pivotButton="0" quotePrefix="0" xfId="60307">
      <alignment horizontal="right" vertical="center" readingOrder="1"/>
    </xf>
    <xf numFmtId="165" fontId="25" fillId="0" borderId="209" applyAlignment="1" pivotButton="0" quotePrefix="0" xfId="60307">
      <alignment horizontal="left" vertical="center" readingOrder="1"/>
    </xf>
    <xf numFmtId="198" fontId="24" fillId="0" borderId="210" applyAlignment="1" pivotButton="0" quotePrefix="0" xfId="60307">
      <alignment horizontal="right" vertical="center" readingOrder="1"/>
    </xf>
    <xf numFmtId="165" fontId="24" fillId="0" borderId="207" applyAlignment="1" pivotButton="0" quotePrefix="0" xfId="60307">
      <alignment horizontal="right" vertical="center" readingOrder="1"/>
    </xf>
    <xf numFmtId="165" fontId="24" fillId="0" borderId="204" applyAlignment="1" pivotButton="0" quotePrefix="0" xfId="60307">
      <alignment horizontal="right" vertical="center" readingOrder="1"/>
    </xf>
    <xf numFmtId="165" fontId="24" fillId="0" borderId="261" applyAlignment="1" pivotButton="0" quotePrefix="0" xfId="60307">
      <alignment horizontal="right" vertical="center" readingOrder="1"/>
    </xf>
    <xf numFmtId="198" fontId="24" fillId="0" borderId="208" applyAlignment="1" pivotButton="0" quotePrefix="0" xfId="60307">
      <alignment horizontal="right" vertical="center" readingOrder="1"/>
    </xf>
    <xf numFmtId="198" fontId="24" fillId="0" borderId="205" applyAlignment="1" pivotButton="0" quotePrefix="0" xfId="60307">
      <alignment horizontal="right" vertical="center" readingOrder="1"/>
    </xf>
    <xf numFmtId="198" fontId="24" fillId="0" borderId="204" applyAlignment="1" pivotButton="0" quotePrefix="0" xfId="60307">
      <alignment horizontal="right" vertical="center" readingOrder="1"/>
    </xf>
    <xf numFmtId="198" fontId="24" fillId="0" borderId="250" applyAlignment="1" pivotButton="0" quotePrefix="0" xfId="60307">
      <alignment horizontal="right" vertical="center" readingOrder="1"/>
    </xf>
    <xf numFmtId="165" fontId="25" fillId="0" borderId="218" applyAlignment="1" pivotButton="0" quotePrefix="0" xfId="60307">
      <alignment horizontal="left" vertical="center" readingOrder="1"/>
    </xf>
    <xf numFmtId="198" fontId="24" fillId="0" borderId="219" applyAlignment="1" pivotButton="0" quotePrefix="0" xfId="60307">
      <alignment horizontal="right" vertical="center" readingOrder="1"/>
    </xf>
    <xf numFmtId="165" fontId="24" fillId="0" borderId="215" applyAlignment="1" pivotButton="0" quotePrefix="0" xfId="60307">
      <alignment horizontal="right" vertical="center" readingOrder="1"/>
    </xf>
    <xf numFmtId="165" fontId="24" fillId="0" borderId="217" applyAlignment="1" pivotButton="0" quotePrefix="0" xfId="60307">
      <alignment horizontal="right" vertical="center" readingOrder="1"/>
    </xf>
    <xf numFmtId="165" fontId="24" fillId="0" borderId="263" applyAlignment="1" pivotButton="0" quotePrefix="0" xfId="60307">
      <alignment horizontal="right" vertical="center" readingOrder="1"/>
    </xf>
    <xf numFmtId="198" fontId="24" fillId="0" borderId="216" applyAlignment="1" pivotButton="0" quotePrefix="0" xfId="60307">
      <alignment horizontal="right" vertical="center" readingOrder="1"/>
    </xf>
    <xf numFmtId="198" fontId="24" fillId="0" borderId="25" applyAlignment="1" pivotButton="0" quotePrefix="0" xfId="60307">
      <alignment horizontal="right" vertical="center" readingOrder="1"/>
    </xf>
    <xf numFmtId="198" fontId="24" fillId="0" borderId="217" applyAlignment="1" pivotButton="0" quotePrefix="0" xfId="60307">
      <alignment horizontal="right" vertical="center" readingOrder="1"/>
    </xf>
    <xf numFmtId="198" fontId="24" fillId="0" borderId="252" applyAlignment="1" pivotButton="0" quotePrefix="0" xfId="60307">
      <alignment horizontal="right" vertical="center" readingOrder="1"/>
    </xf>
    <xf numFmtId="165" fontId="24" fillId="5" borderId="207" applyAlignment="1" pivotButton="0" quotePrefix="0" xfId="60307">
      <alignment horizontal="right" vertical="center" readingOrder="1"/>
    </xf>
    <xf numFmtId="165" fontId="24" fillId="5" borderId="204" applyAlignment="1" pivotButton="0" quotePrefix="0" xfId="60307">
      <alignment horizontal="right" vertical="center" readingOrder="1"/>
    </xf>
    <xf numFmtId="165" fontId="24" fillId="5" borderId="261" applyAlignment="1" pivotButton="0" quotePrefix="0" xfId="60307">
      <alignment horizontal="right" vertical="center" readingOrder="1"/>
    </xf>
    <xf numFmtId="198" fontId="24" fillId="5" borderId="250" applyAlignment="1" pivotButton="0" quotePrefix="0" xfId="60307">
      <alignment horizontal="right" vertical="center" readingOrder="1"/>
    </xf>
    <xf numFmtId="198" fontId="24" fillId="0" borderId="214" applyAlignment="1" pivotButton="0" quotePrefix="0" xfId="60307">
      <alignment horizontal="right" vertical="center" readingOrder="1"/>
    </xf>
    <xf numFmtId="165" fontId="24" fillId="0" borderId="212" applyAlignment="1" pivotButton="0" quotePrefix="0" xfId="60307">
      <alignment horizontal="right" vertical="center" readingOrder="1"/>
    </xf>
    <xf numFmtId="165" fontId="24" fillId="0" borderId="211" applyAlignment="1" pivotButton="0" quotePrefix="0" xfId="60307">
      <alignment horizontal="right" vertical="center" readingOrder="1"/>
    </xf>
    <xf numFmtId="165" fontId="24" fillId="0" borderId="262" applyAlignment="1" pivotButton="0" quotePrefix="0" xfId="60307">
      <alignment horizontal="right" vertical="center" readingOrder="1"/>
    </xf>
    <xf numFmtId="198" fontId="24" fillId="0" borderId="213" applyAlignment="1" pivotButton="0" quotePrefix="0" xfId="60307">
      <alignment horizontal="right" vertical="center" readingOrder="1"/>
    </xf>
    <xf numFmtId="198" fontId="24" fillId="0" borderId="0" applyAlignment="1" pivotButton="0" quotePrefix="0" xfId="60307">
      <alignment horizontal="right" vertical="center" readingOrder="1"/>
    </xf>
    <xf numFmtId="198" fontId="24" fillId="0" borderId="211" applyAlignment="1" pivotButton="0" quotePrefix="0" xfId="60307">
      <alignment horizontal="right" vertical="center" readingOrder="1"/>
    </xf>
    <xf numFmtId="198" fontId="24" fillId="0" borderId="251" applyAlignment="1" pivotButton="0" quotePrefix="0" xfId="60307">
      <alignment horizontal="right" vertical="center" readingOrder="1"/>
    </xf>
    <xf numFmtId="165" fontId="25" fillId="0" borderId="224" applyAlignment="1" pivotButton="0" quotePrefix="0" xfId="60307">
      <alignment horizontal="left" vertical="center" readingOrder="1"/>
    </xf>
    <xf numFmtId="198" fontId="24" fillId="0" borderId="225" applyAlignment="1" pivotButton="0" quotePrefix="0" xfId="60307">
      <alignment horizontal="right" vertical="center" readingOrder="1"/>
    </xf>
    <xf numFmtId="165" fontId="24" fillId="0" borderId="222" applyAlignment="1" pivotButton="0" quotePrefix="0" xfId="60307">
      <alignment horizontal="right" vertical="center" readingOrder="1"/>
    </xf>
    <xf numFmtId="165" fontId="24" fillId="0" borderId="220" applyAlignment="1" pivotButton="0" quotePrefix="0" xfId="60307">
      <alignment horizontal="right" vertical="center" readingOrder="1"/>
    </xf>
    <xf numFmtId="165" fontId="24" fillId="0" borderId="264" applyAlignment="1" pivotButton="0" quotePrefix="0" xfId="60307">
      <alignment horizontal="right" vertical="center" readingOrder="1"/>
    </xf>
    <xf numFmtId="198" fontId="24" fillId="0" borderId="223" applyAlignment="1" pivotButton="0" quotePrefix="0" xfId="60307">
      <alignment horizontal="right" vertical="center" readingOrder="1"/>
    </xf>
    <xf numFmtId="198" fontId="24" fillId="0" borderId="221" applyAlignment="1" pivotButton="0" quotePrefix="0" xfId="60307">
      <alignment horizontal="right" vertical="center" readingOrder="1"/>
    </xf>
    <xf numFmtId="198" fontId="24" fillId="0" borderId="220" applyAlignment="1" pivotButton="0" quotePrefix="0" xfId="60307">
      <alignment horizontal="right" vertical="center" readingOrder="1"/>
    </xf>
    <xf numFmtId="198" fontId="24" fillId="0" borderId="480" applyAlignment="1" pivotButton="0" quotePrefix="0" xfId="60307">
      <alignment horizontal="right" vertical="center" readingOrder="1"/>
    </xf>
    <xf numFmtId="165" fontId="24" fillId="0" borderId="210" applyAlignment="1" pivotButton="0" quotePrefix="0" xfId="60307">
      <alignment horizontal="right" vertical="center" readingOrder="1"/>
    </xf>
    <xf numFmtId="167" fontId="24" fillId="0" borderId="212" applyAlignment="1" pivotButton="0" quotePrefix="0" xfId="60307">
      <alignment horizontal="right" vertical="center" readingOrder="1"/>
    </xf>
    <xf numFmtId="167" fontId="24" fillId="0" borderId="211" applyAlignment="1" pivotButton="0" quotePrefix="0" xfId="60307">
      <alignment horizontal="right" vertical="center" readingOrder="1"/>
    </xf>
    <xf numFmtId="167" fontId="24" fillId="0" borderId="262" applyAlignment="1" pivotButton="0" quotePrefix="0" xfId="60307">
      <alignment horizontal="right" vertical="center" readingOrder="1"/>
    </xf>
    <xf numFmtId="167" fontId="24" fillId="0" borderId="213" applyAlignment="1" pivotButton="0" quotePrefix="0" xfId="60307">
      <alignment horizontal="right" vertical="center" readingOrder="1"/>
    </xf>
    <xf numFmtId="167" fontId="24" fillId="0" borderId="0" applyAlignment="1" pivotButton="0" quotePrefix="0" xfId="60307">
      <alignment horizontal="right" vertical="center" readingOrder="1"/>
    </xf>
    <xf numFmtId="167" fontId="24" fillId="0" borderId="251" applyAlignment="1" pivotButton="0" quotePrefix="0" xfId="60307">
      <alignment horizontal="right" vertical="center" readingOrder="1"/>
    </xf>
    <xf numFmtId="165" fontId="24" fillId="0" borderId="256" applyAlignment="1" pivotButton="0" quotePrefix="0" xfId="60307">
      <alignment horizontal="right" vertical="center" readingOrder="1"/>
    </xf>
    <xf numFmtId="165" fontId="91" fillId="0" borderId="100" applyAlignment="1" pivotButton="0" quotePrefix="0" xfId="60307">
      <alignment vertical="center" readingOrder="1"/>
    </xf>
    <xf numFmtId="165" fontId="24" fillId="0" borderId="214" applyAlignment="1" pivotButton="0" quotePrefix="0" xfId="60307">
      <alignment horizontal="right" vertical="center" readingOrder="1"/>
    </xf>
    <xf numFmtId="165" fontId="24" fillId="0" borderId="26" applyAlignment="1" pivotButton="0" quotePrefix="0" xfId="60307">
      <alignment horizontal="right" vertical="center" readingOrder="1"/>
    </xf>
    <xf numFmtId="165" fontId="24" fillId="0" borderId="225" applyAlignment="1" pivotButton="0" quotePrefix="0" xfId="60307">
      <alignment horizontal="right" vertical="center" readingOrder="1"/>
    </xf>
    <xf numFmtId="165" fontId="24" fillId="0" borderId="257" applyAlignment="1" pivotButton="0" quotePrefix="0" xfId="60307">
      <alignment horizontal="right" vertical="center" readingOrder="1"/>
    </xf>
    <xf numFmtId="186" fontId="29" fillId="0" borderId="221" applyAlignment="1" pivotButton="0" quotePrefix="0" xfId="60310">
      <alignment horizontal="left" vertical="center" readingOrder="1"/>
    </xf>
    <xf numFmtId="165" fontId="24" fillId="0" borderId="208" applyAlignment="1" pivotButton="0" quotePrefix="0" xfId="60307">
      <alignment horizontal="right" vertical="center" readingOrder="1"/>
    </xf>
    <xf numFmtId="165" fontId="24" fillId="0" borderId="205" applyAlignment="1" pivotButton="0" quotePrefix="0" xfId="60307">
      <alignment horizontal="right" vertical="center" readingOrder="1"/>
    </xf>
    <xf numFmtId="165" fontId="24" fillId="0" borderId="250" applyAlignment="1" pivotButton="0" quotePrefix="0" xfId="60307">
      <alignment horizontal="right" vertical="center" readingOrder="1"/>
    </xf>
    <xf numFmtId="165" fontId="28" fillId="0" borderId="209" applyAlignment="1" pivotButton="0" quotePrefix="0" xfId="60307">
      <alignment horizontal="left" vertical="center" readingOrder="1"/>
    </xf>
    <xf numFmtId="165" fontId="28" fillId="0" borderId="100" applyAlignment="1" pivotButton="0" quotePrefix="0" xfId="60307">
      <alignment horizontal="left" vertical="center" readingOrder="1"/>
    </xf>
    <xf numFmtId="165" fontId="24" fillId="0" borderId="213" applyAlignment="1" pivotButton="0" quotePrefix="0" xfId="60307">
      <alignment horizontal="right" vertical="center" readingOrder="1"/>
    </xf>
    <xf numFmtId="165" fontId="24" fillId="0" borderId="0" applyAlignment="1" pivotButton="0" quotePrefix="0" xfId="60307">
      <alignment horizontal="right" vertical="center" readingOrder="1"/>
    </xf>
    <xf numFmtId="165" fontId="24" fillId="0" borderId="251" applyAlignment="1" pivotButton="0" quotePrefix="0" xfId="60307">
      <alignment horizontal="right" vertical="center" readingOrder="1"/>
    </xf>
    <xf numFmtId="164" fontId="98" fillId="0" borderId="218" applyAlignment="1" pivotButton="0" quotePrefix="0" xfId="60307">
      <alignment horizontal="right" vertical="center" readingOrder="1"/>
    </xf>
    <xf numFmtId="164" fontId="98" fillId="0" borderId="219" applyAlignment="1" pivotButton="0" quotePrefix="0" xfId="60307">
      <alignment horizontal="right" vertical="center" readingOrder="1"/>
    </xf>
    <xf numFmtId="164" fontId="98" fillId="0" borderId="215" applyAlignment="1" pivotButton="0" quotePrefix="0" xfId="60307">
      <alignment horizontal="right" vertical="center" readingOrder="1"/>
    </xf>
    <xf numFmtId="164" fontId="98" fillId="0" borderId="217" applyAlignment="1" pivotButton="0" quotePrefix="0" xfId="60307">
      <alignment horizontal="right" vertical="center" readingOrder="1"/>
    </xf>
    <xf numFmtId="164" fontId="98" fillId="0" borderId="263" applyAlignment="1" pivotButton="0" quotePrefix="0" xfId="60307">
      <alignment horizontal="right" vertical="center" readingOrder="1"/>
    </xf>
    <xf numFmtId="164" fontId="98" fillId="0" borderId="216" applyAlignment="1" pivotButton="0" quotePrefix="0" xfId="60307">
      <alignment horizontal="right" vertical="center" readingOrder="1"/>
    </xf>
    <xf numFmtId="164" fontId="98" fillId="0" borderId="25" applyAlignment="1" pivotButton="0" quotePrefix="0" xfId="60307">
      <alignment horizontal="right" vertical="center" readingOrder="1"/>
    </xf>
    <xf numFmtId="164" fontId="98" fillId="0" borderId="252" applyAlignment="1" pivotButton="0" quotePrefix="0" xfId="60307">
      <alignment horizontal="right" vertical="center" readingOrder="1"/>
    </xf>
    <xf numFmtId="164" fontId="98" fillId="5" borderId="74" applyAlignment="1" pivotButton="0" quotePrefix="0" xfId="60307">
      <alignment horizontal="right" vertical="center" readingOrder="1"/>
    </xf>
    <xf numFmtId="164" fontId="98" fillId="5" borderId="199" applyAlignment="1" pivotButton="0" quotePrefix="0" xfId="60307">
      <alignment horizontal="right" vertical="center" readingOrder="1"/>
    </xf>
    <xf numFmtId="164" fontId="98" fillId="5" borderId="196" applyAlignment="1" pivotButton="0" quotePrefix="0" xfId="60307">
      <alignment horizontal="right" vertical="center" readingOrder="1"/>
    </xf>
    <xf numFmtId="164" fontId="98" fillId="5" borderId="198" applyAlignment="1" pivotButton="0" quotePrefix="0" xfId="60307">
      <alignment horizontal="right" vertical="center" readingOrder="1"/>
    </xf>
    <xf numFmtId="164" fontId="98" fillId="5" borderId="259" applyAlignment="1" pivotButton="0" quotePrefix="0" xfId="60307">
      <alignment horizontal="right" vertical="center" readingOrder="1"/>
    </xf>
    <xf numFmtId="164" fontId="98" fillId="5" borderId="197" applyAlignment="1" pivotButton="0" quotePrefix="0" xfId="60307">
      <alignment horizontal="right" vertical="center" readingOrder="1"/>
    </xf>
    <xf numFmtId="164" fontId="98" fillId="5" borderId="13" applyAlignment="1" pivotButton="0" quotePrefix="0" xfId="60307">
      <alignment horizontal="right" vertical="center" readingOrder="1"/>
    </xf>
    <xf numFmtId="164" fontId="98" fillId="5" borderId="248" applyAlignment="1" pivotButton="0" quotePrefix="0" xfId="60307">
      <alignment horizontal="right" vertical="center" readingOrder="1"/>
    </xf>
    <xf numFmtId="165" fontId="24" fillId="0" borderId="219" applyAlignment="1" pivotButton="0" quotePrefix="0" xfId="60307">
      <alignment horizontal="right" vertical="center" readingOrder="1"/>
    </xf>
    <xf numFmtId="165" fontId="24" fillId="0" borderId="216" applyAlignment="1" pivotButton="0" quotePrefix="0" xfId="60307">
      <alignment horizontal="right" vertical="center" readingOrder="1"/>
    </xf>
    <xf numFmtId="165" fontId="24" fillId="0" borderId="25" applyAlignment="1" pivotButton="0" quotePrefix="0" xfId="60307">
      <alignment horizontal="right" vertical="center" readingOrder="1"/>
    </xf>
    <xf numFmtId="165" fontId="24" fillId="0" borderId="252" applyAlignment="1" pivotButton="0" quotePrefix="0" xfId="60307">
      <alignment horizontal="right" vertical="center" readingOrder="1"/>
    </xf>
    <xf numFmtId="165" fontId="30" fillId="0" borderId="25" applyAlignment="1" pivotButton="0" quotePrefix="0" xfId="60307">
      <alignment horizontal="right" vertical="center" readingOrder="1"/>
    </xf>
    <xf numFmtId="165" fontId="25" fillId="0" borderId="74" applyAlignment="1" pivotButton="0" quotePrefix="0" xfId="60307">
      <alignment horizontal="left" vertical="center" readingOrder="1"/>
    </xf>
    <xf numFmtId="165" fontId="24" fillId="0" borderId="199" applyAlignment="1" pivotButton="0" quotePrefix="0" xfId="60307">
      <alignment horizontal="right" vertical="center" readingOrder="1"/>
    </xf>
    <xf numFmtId="165" fontId="24" fillId="0" borderId="196" applyAlignment="1" pivotButton="0" quotePrefix="0" xfId="60307">
      <alignment horizontal="right" vertical="center" readingOrder="1"/>
    </xf>
    <xf numFmtId="165" fontId="24" fillId="0" borderId="198" applyAlignment="1" pivotButton="0" quotePrefix="0" xfId="60307">
      <alignment horizontal="right" vertical="center" readingOrder="1"/>
    </xf>
    <xf numFmtId="165" fontId="24" fillId="0" borderId="259" applyAlignment="1" pivotButton="0" quotePrefix="0" xfId="60307">
      <alignment horizontal="right" vertical="center" readingOrder="1"/>
    </xf>
    <xf numFmtId="165" fontId="24" fillId="0" borderId="197" applyAlignment="1" pivotButton="0" quotePrefix="0" xfId="60307">
      <alignment horizontal="right" vertical="center" readingOrder="1"/>
    </xf>
    <xf numFmtId="165" fontId="24" fillId="0" borderId="13" applyAlignment="1" pivotButton="0" quotePrefix="0" xfId="60307">
      <alignment horizontal="right" vertical="center" readingOrder="1"/>
    </xf>
    <xf numFmtId="165" fontId="24" fillId="0" borderId="248" applyAlignment="1" pivotButton="0" quotePrefix="0" xfId="60307">
      <alignment horizontal="right" vertical="center" readingOrder="1"/>
    </xf>
    <xf numFmtId="165" fontId="28" fillId="39" borderId="94" applyAlignment="1" pivotButton="0" quotePrefix="0" xfId="60307">
      <alignment horizontal="left" vertical="center" readingOrder="1"/>
    </xf>
    <xf numFmtId="165" fontId="28" fillId="39" borderId="235" applyAlignment="1" pivotButton="0" quotePrefix="0" xfId="60307">
      <alignment horizontal="left" vertical="center" readingOrder="1"/>
    </xf>
    <xf numFmtId="165" fontId="30" fillId="39" borderId="236" applyAlignment="1" pivotButton="0" quotePrefix="0" xfId="60307">
      <alignment horizontal="right" vertical="center" readingOrder="1"/>
    </xf>
    <xf numFmtId="165" fontId="30" fillId="39" borderId="234" applyAlignment="1" pivotButton="0" quotePrefix="0" xfId="60307">
      <alignment horizontal="right" vertical="center" readingOrder="1"/>
    </xf>
    <xf numFmtId="165" fontId="30" fillId="39" borderId="258" applyAlignment="1" pivotButton="0" quotePrefix="0" xfId="60307">
      <alignment horizontal="right" vertical="center" readingOrder="1"/>
    </xf>
    <xf numFmtId="165" fontId="30" fillId="39" borderId="233" applyAlignment="1" pivotButton="0" quotePrefix="0" xfId="60307">
      <alignment horizontal="right" vertical="center" readingOrder="1"/>
    </xf>
    <xf numFmtId="165" fontId="30" fillId="39" borderId="7" applyAlignment="1" pivotButton="0" quotePrefix="0" xfId="60307">
      <alignment horizontal="right" vertical="center" readingOrder="1"/>
    </xf>
    <xf numFmtId="165" fontId="30" fillId="39" borderId="247" applyAlignment="1" pivotButton="0" quotePrefix="0" xfId="60307">
      <alignment horizontal="right" vertical="center" readingOrder="1"/>
    </xf>
    <xf numFmtId="165" fontId="30" fillId="39" borderId="235" applyAlignment="1" pivotButton="0" quotePrefix="0" xfId="60307">
      <alignment horizontal="right" vertical="center" readingOrder="1"/>
    </xf>
    <xf numFmtId="209" fontId="37" fillId="0" borderId="0" applyAlignment="1" pivotButton="0" quotePrefix="0" xfId="60307">
      <alignment vertical="center"/>
    </xf>
    <xf numFmtId="185" fontId="37" fillId="0" borderId="0" applyAlignment="1" pivotButton="0" quotePrefix="0" xfId="60310">
      <alignment vertical="center"/>
    </xf>
    <xf numFmtId="183" fontId="30" fillId="46" borderId="196" applyAlignment="1" pivotButton="0" quotePrefix="0" xfId="60310">
      <alignment horizontal="right" vertical="center" readingOrder="1"/>
    </xf>
    <xf numFmtId="183" fontId="30" fillId="46" borderId="13" applyAlignment="1" pivotButton="0" quotePrefix="0" xfId="60310">
      <alignment horizontal="right" vertical="center" readingOrder="1"/>
    </xf>
    <xf numFmtId="183" fontId="30" fillId="46" borderId="259" applyAlignment="1" pivotButton="0" quotePrefix="0" xfId="60310">
      <alignment horizontal="right" vertical="center" readingOrder="1"/>
    </xf>
    <xf numFmtId="183" fontId="30" fillId="46" borderId="266" applyAlignment="1" pivotButton="0" quotePrefix="0" xfId="60310">
      <alignment horizontal="right" vertical="center" readingOrder="1"/>
    </xf>
    <xf numFmtId="183" fontId="30" fillId="46" borderId="11" applyAlignment="1" pivotButton="0" quotePrefix="0" xfId="60310">
      <alignment horizontal="right" vertical="center" readingOrder="1"/>
    </xf>
    <xf numFmtId="183" fontId="24" fillId="0" borderId="200" applyAlignment="1" pivotButton="0" quotePrefix="0" xfId="60310">
      <alignment horizontal="right" vertical="center" readingOrder="1"/>
    </xf>
    <xf numFmtId="183" fontId="24" fillId="0" borderId="18" applyAlignment="1" pivotButton="0" quotePrefix="0" xfId="60310">
      <alignment horizontal="right" vertical="center" readingOrder="1"/>
    </xf>
    <xf numFmtId="183" fontId="24" fillId="0" borderId="260" applyAlignment="1" pivotButton="0" quotePrefix="0" xfId="60310">
      <alignment horizontal="right" vertical="center" readingOrder="1"/>
    </xf>
    <xf numFmtId="183" fontId="24" fillId="0" borderId="267" applyAlignment="1" pivotButton="0" quotePrefix="0" xfId="60310">
      <alignment horizontal="right" vertical="center" readingOrder="1"/>
    </xf>
    <xf numFmtId="183" fontId="24" fillId="0" borderId="16" applyAlignment="1" pivotButton="0" quotePrefix="0" xfId="60310">
      <alignment horizontal="right" vertical="center" readingOrder="1"/>
    </xf>
    <xf numFmtId="183" fontId="29" fillId="5" borderId="207" applyAlignment="1" pivotButton="0" quotePrefix="0" xfId="60310">
      <alignment horizontal="right" vertical="center" readingOrder="1"/>
    </xf>
    <xf numFmtId="183" fontId="29" fillId="5" borderId="208" applyAlignment="1" pivotButton="0" quotePrefix="0" xfId="60310">
      <alignment horizontal="right" vertical="center" readingOrder="1"/>
    </xf>
    <xf numFmtId="183" fontId="24" fillId="5" borderId="205" applyAlignment="1" pivotButton="0" quotePrefix="0" xfId="60310">
      <alignment horizontal="right" vertical="center" readingOrder="1"/>
    </xf>
    <xf numFmtId="183" fontId="24" fillId="5" borderId="261" applyAlignment="1" pivotButton="0" quotePrefix="0" xfId="60310">
      <alignment horizontal="right" vertical="center" readingOrder="1"/>
    </xf>
    <xf numFmtId="183" fontId="24" fillId="5" borderId="268" applyAlignment="1" pivotButton="0" quotePrefix="0" xfId="60310">
      <alignment horizontal="right" vertical="center" readingOrder="1"/>
    </xf>
    <xf numFmtId="183" fontId="24" fillId="5" borderId="206" applyAlignment="1" pivotButton="0" quotePrefix="0" xfId="60310">
      <alignment horizontal="right" vertical="center" readingOrder="1"/>
    </xf>
    <xf numFmtId="183" fontId="24" fillId="0" borderId="212" applyAlignment="1" pivotButton="0" quotePrefix="0" xfId="60310">
      <alignment horizontal="right" vertical="center" readingOrder="1"/>
    </xf>
    <xf numFmtId="183" fontId="24" fillId="0" borderId="0" applyAlignment="1" pivotButton="0" quotePrefix="0" xfId="60310">
      <alignment horizontal="right" vertical="center" readingOrder="1"/>
    </xf>
    <xf numFmtId="183" fontId="24" fillId="0" borderId="262" applyAlignment="1" pivotButton="0" quotePrefix="0" xfId="60310">
      <alignment horizontal="right" vertical="center" readingOrder="1"/>
    </xf>
    <xf numFmtId="183" fontId="24" fillId="0" borderId="269" applyAlignment="1" pivotButton="0" quotePrefix="0" xfId="60310">
      <alignment horizontal="right" vertical="center" readingOrder="1"/>
    </xf>
    <xf numFmtId="183" fontId="24" fillId="0" borderId="29" applyAlignment="1" pivotButton="0" quotePrefix="0" xfId="60310">
      <alignment horizontal="right" vertical="center" readingOrder="1"/>
    </xf>
    <xf numFmtId="183" fontId="24" fillId="0" borderId="207" applyAlignment="1" pivotButton="0" quotePrefix="0" xfId="60310">
      <alignment horizontal="right" vertical="center" readingOrder="1"/>
    </xf>
    <xf numFmtId="183" fontId="24" fillId="0" borderId="205" applyAlignment="1" pivotButton="0" quotePrefix="0" xfId="60310">
      <alignment horizontal="right" vertical="center" readingOrder="1"/>
    </xf>
    <xf numFmtId="183" fontId="24" fillId="0" borderId="261" applyAlignment="1" pivotButton="0" quotePrefix="0" xfId="60310">
      <alignment horizontal="right" vertical="center" readingOrder="1"/>
    </xf>
    <xf numFmtId="183" fontId="24" fillId="0" borderId="268" applyAlignment="1" pivotButton="0" quotePrefix="0" xfId="60310">
      <alignment horizontal="right" vertical="center" readingOrder="1"/>
    </xf>
    <xf numFmtId="183" fontId="24" fillId="0" borderId="206" applyAlignment="1" pivotButton="0" quotePrefix="0" xfId="60310">
      <alignment horizontal="right" vertical="center" readingOrder="1"/>
    </xf>
    <xf numFmtId="183" fontId="24" fillId="0" borderId="196" applyAlignment="1" pivotButton="0" quotePrefix="0" xfId="60310">
      <alignment horizontal="right" vertical="center" readingOrder="1"/>
    </xf>
    <xf numFmtId="183" fontId="24" fillId="0" borderId="13" applyAlignment="1" pivotButton="0" quotePrefix="0" xfId="60310">
      <alignment horizontal="right" vertical="center" readingOrder="1"/>
    </xf>
    <xf numFmtId="183" fontId="24" fillId="0" borderId="259" applyAlignment="1" pivotButton="0" quotePrefix="0" xfId="60310">
      <alignment horizontal="right" vertical="center" readingOrder="1"/>
    </xf>
    <xf numFmtId="183" fontId="24" fillId="0" borderId="266" applyAlignment="1" pivotButton="0" quotePrefix="0" xfId="60310">
      <alignment horizontal="right" vertical="center" readingOrder="1"/>
    </xf>
    <xf numFmtId="183" fontId="24" fillId="0" borderId="11" applyAlignment="1" pivotButton="0" quotePrefix="0" xfId="60310">
      <alignment horizontal="right" vertical="center" readingOrder="1"/>
    </xf>
    <xf numFmtId="183" fontId="24" fillId="0" borderId="215" applyAlignment="1" pivotButton="0" quotePrefix="0" xfId="60310">
      <alignment horizontal="right" vertical="center" readingOrder="1"/>
    </xf>
    <xf numFmtId="183" fontId="24" fillId="0" borderId="25" applyAlignment="1" pivotButton="0" quotePrefix="0" xfId="60310">
      <alignment horizontal="right" vertical="center" readingOrder="1"/>
    </xf>
    <xf numFmtId="183" fontId="24" fillId="0" borderId="263" applyAlignment="1" pivotButton="0" quotePrefix="0" xfId="60310">
      <alignment horizontal="right" vertical="center" readingOrder="1"/>
    </xf>
    <xf numFmtId="183" fontId="24" fillId="0" borderId="270" applyAlignment="1" pivotButton="0" quotePrefix="0" xfId="60310">
      <alignment horizontal="right" vertical="center" readingOrder="1"/>
    </xf>
    <xf numFmtId="183" fontId="24" fillId="0" borderId="24" applyAlignment="1" pivotButton="0" quotePrefix="0" xfId="60310">
      <alignment horizontal="right" vertical="center" readingOrder="1"/>
    </xf>
    <xf numFmtId="183" fontId="24" fillId="5" borderId="207" applyAlignment="1" pivotButton="0" quotePrefix="0" xfId="60310">
      <alignment horizontal="right" vertical="center" readingOrder="1"/>
    </xf>
    <xf numFmtId="183" fontId="24" fillId="5" borderId="206" applyAlignment="1" pivotButton="0" quotePrefix="0" xfId="60307">
      <alignment horizontal="right" vertical="center" readingOrder="1"/>
    </xf>
    <xf numFmtId="183" fontId="24" fillId="0" borderId="222" applyAlignment="1" pivotButton="0" quotePrefix="0" xfId="60310">
      <alignment horizontal="right" vertical="center" readingOrder="1"/>
    </xf>
    <xf numFmtId="183" fontId="24" fillId="0" borderId="221" applyAlignment="1" pivotButton="0" quotePrefix="0" xfId="60310">
      <alignment horizontal="right" vertical="center" readingOrder="1"/>
    </xf>
    <xf numFmtId="183" fontId="24" fillId="0" borderId="264" applyAlignment="1" pivotButton="0" quotePrefix="0" xfId="60310">
      <alignment horizontal="right" vertical="center" readingOrder="1"/>
    </xf>
    <xf numFmtId="183" fontId="24" fillId="0" borderId="271" applyAlignment="1" pivotButton="0" quotePrefix="0" xfId="60310">
      <alignment horizontal="right" vertical="center" readingOrder="1"/>
    </xf>
    <xf numFmtId="183" fontId="24" fillId="0" borderId="272" applyAlignment="1" pivotButton="0" quotePrefix="0" xfId="60310">
      <alignment horizontal="right" vertical="center" readingOrder="1"/>
    </xf>
    <xf numFmtId="183" fontId="24" fillId="0" borderId="256" applyAlignment="1" pivotButton="0" quotePrefix="0" xfId="60310">
      <alignment horizontal="right" vertical="center" readingOrder="1"/>
    </xf>
    <xf numFmtId="183" fontId="24" fillId="0" borderId="26" applyAlignment="1" pivotButton="0" quotePrefix="0" xfId="60310">
      <alignment horizontal="right" vertical="center" readingOrder="1"/>
    </xf>
    <xf numFmtId="183" fontId="24" fillId="0" borderId="257" applyAlignment="1" pivotButton="0" quotePrefix="0" xfId="60310">
      <alignment horizontal="right" vertical="center" readingOrder="1"/>
    </xf>
    <xf numFmtId="183" fontId="24" fillId="5" borderId="196" applyAlignment="1" pivotButton="0" quotePrefix="0" xfId="60310">
      <alignment horizontal="right" vertical="center" readingOrder="1"/>
    </xf>
    <xf numFmtId="183" fontId="24" fillId="5" borderId="13" applyAlignment="1" pivotButton="0" quotePrefix="0" xfId="60310">
      <alignment horizontal="right" vertical="center" readingOrder="1"/>
    </xf>
    <xf numFmtId="183" fontId="24" fillId="5" borderId="259" applyAlignment="1" pivotButton="0" quotePrefix="0" xfId="60310">
      <alignment horizontal="right" vertical="center" readingOrder="1"/>
    </xf>
    <xf numFmtId="183" fontId="24" fillId="5" borderId="266" applyAlignment="1" pivotButton="0" quotePrefix="0" xfId="60310">
      <alignment horizontal="right" vertical="center" readingOrder="1"/>
    </xf>
    <xf numFmtId="183" fontId="24" fillId="5" borderId="11" applyAlignment="1" pivotButton="0" quotePrefix="0" xfId="60310">
      <alignment horizontal="right" vertical="center" readingOrder="1"/>
    </xf>
    <xf numFmtId="183" fontId="30" fillId="0" borderId="25" applyAlignment="1" pivotButton="0" quotePrefix="0" xfId="60310">
      <alignment horizontal="right" vertical="center" readingOrder="1"/>
    </xf>
    <xf numFmtId="183" fontId="30" fillId="39" borderId="236" applyAlignment="1" pivotButton="0" quotePrefix="0" xfId="60310">
      <alignment horizontal="right" vertical="center" readingOrder="1"/>
    </xf>
    <xf numFmtId="183" fontId="30" fillId="39" borderId="7" applyAlignment="1" pivotButton="0" quotePrefix="0" xfId="60310">
      <alignment horizontal="right" vertical="center" readingOrder="1"/>
    </xf>
    <xf numFmtId="183" fontId="30" fillId="39" borderId="258" applyAlignment="1" pivotButton="0" quotePrefix="0" xfId="60310">
      <alignment horizontal="right" vertical="center" readingOrder="1"/>
    </xf>
    <xf numFmtId="183" fontId="30" fillId="39" borderId="265" applyAlignment="1" pivotButton="0" quotePrefix="0" xfId="60310">
      <alignment horizontal="right" vertical="center" readingOrder="1"/>
    </xf>
    <xf numFmtId="183" fontId="30" fillId="39" borderId="2" applyAlignment="1" pivotButton="0" quotePrefix="0" xfId="60310">
      <alignment horizontal="right" vertical="center" readingOrder="1"/>
    </xf>
    <xf numFmtId="189" fontId="37" fillId="0" borderId="0" applyAlignment="1" pivotButton="0" quotePrefix="0" xfId="60310">
      <alignment vertical="center"/>
    </xf>
    <xf numFmtId="165" fontId="28" fillId="3" borderId="25" applyAlignment="1" pivotButton="0" quotePrefix="0" xfId="60307">
      <alignment vertical="center" wrapText="1" readingOrder="1"/>
    </xf>
    <xf numFmtId="165" fontId="28" fillId="3" borderId="24" applyAlignment="1" pivotButton="0" quotePrefix="0" xfId="60307">
      <alignment vertical="center" wrapText="1" readingOrder="1"/>
    </xf>
    <xf numFmtId="0" fontId="28" fillId="3" borderId="7" applyAlignment="1" pivotButton="0" quotePrefix="0" xfId="60310">
      <alignment horizontal="center" vertical="center" readingOrder="1"/>
    </xf>
    <xf numFmtId="165" fontId="25" fillId="3" borderId="500" applyAlignment="1" pivotButton="0" quotePrefix="0" xfId="60307">
      <alignment horizontal="center" vertical="center" wrapText="1" readingOrder="1"/>
    </xf>
    <xf numFmtId="165" fontId="25" fillId="3" borderId="2" applyAlignment="1" pivotButton="0" quotePrefix="0" xfId="60307">
      <alignment horizontal="center" vertical="center" wrapText="1" readingOrder="1"/>
    </xf>
    <xf numFmtId="165" fontId="28" fillId="3" borderId="0" applyAlignment="1" pivotButton="0" quotePrefix="0" xfId="60307">
      <alignment horizontal="center" vertical="center" wrapText="1" readingOrder="1"/>
    </xf>
    <xf numFmtId="165" fontId="28" fillId="3" borderId="29" applyAlignment="1" pivotButton="0" quotePrefix="0" xfId="60307">
      <alignment horizontal="center" vertical="center" wrapText="1" readingOrder="1"/>
    </xf>
    <xf numFmtId="165" fontId="95" fillId="3" borderId="373" applyAlignment="1" pivotButton="0" quotePrefix="0" xfId="60307">
      <alignment horizontal="center" vertical="center" readingOrder="1"/>
    </xf>
    <xf numFmtId="165" fontId="95" fillId="3" borderId="246" applyAlignment="1" pivotButton="0" quotePrefix="0" xfId="60307">
      <alignment horizontal="center" vertical="center" wrapText="1" readingOrder="1"/>
    </xf>
    <xf numFmtId="165" fontId="28" fillId="3" borderId="236" applyAlignment="1" pivotButton="0" quotePrefix="0" xfId="60307">
      <alignment horizontal="center" vertical="center" wrapText="1" readingOrder="1"/>
    </xf>
    <xf numFmtId="165" fontId="28" fillId="3" borderId="234" applyAlignment="1" pivotButton="0" quotePrefix="0" xfId="60307">
      <alignment horizontal="center" vertical="center" wrapText="1" readingOrder="1"/>
    </xf>
    <xf numFmtId="165" fontId="28" fillId="3" borderId="233" applyAlignment="1" pivotButton="0" quotePrefix="0" xfId="60307">
      <alignment horizontal="center" vertical="center" wrapText="1" readingOrder="1"/>
    </xf>
    <xf numFmtId="165" fontId="28" fillId="3" borderId="231" applyAlignment="1" pivotButton="0" quotePrefix="0" xfId="60307">
      <alignment horizontal="center" vertical="center" wrapText="1" readingOrder="1"/>
    </xf>
    <xf numFmtId="165" fontId="28" fillId="3" borderId="7" applyAlignment="1" pivotButton="0" quotePrefix="0" xfId="60307">
      <alignment horizontal="center" vertical="center" wrapText="1" readingOrder="1"/>
    </xf>
    <xf numFmtId="165" fontId="28" fillId="3" borderId="481" applyAlignment="1" pivotButton="0" quotePrefix="0" xfId="60307">
      <alignment horizontal="center" vertical="center" wrapText="1" readingOrder="1"/>
    </xf>
    <xf numFmtId="165" fontId="28" fillId="3" borderId="2" applyAlignment="1" pivotButton="0" quotePrefix="0" xfId="60307">
      <alignment horizontal="center" vertical="center" wrapText="1" readingOrder="1"/>
    </xf>
    <xf numFmtId="165" fontId="28" fillId="3" borderId="253" applyAlignment="1" pivotButton="0" quotePrefix="0" xfId="60307">
      <alignment horizontal="center" vertical="center" wrapText="1" readingOrder="1"/>
    </xf>
    <xf numFmtId="165" fontId="28" fillId="3" borderId="246" applyAlignment="1" pivotButton="0" quotePrefix="0" xfId="60307">
      <alignment horizontal="center" vertical="center" wrapText="1" readingOrder="1"/>
    </xf>
    <xf numFmtId="198" fontId="30" fillId="46" borderId="180" applyAlignment="1" pivotButton="0" quotePrefix="0" xfId="60307">
      <alignment horizontal="right" vertical="center" readingOrder="1"/>
    </xf>
    <xf numFmtId="198" fontId="30" fillId="46" borderId="482" applyAlignment="1" pivotButton="0" quotePrefix="0" xfId="60307">
      <alignment horizontal="right" vertical="center" readingOrder="1"/>
    </xf>
    <xf numFmtId="198" fontId="30" fillId="46" borderId="11" applyAlignment="1" pivotButton="0" quotePrefix="0" xfId="60307">
      <alignment horizontal="right" vertical="center" readingOrder="1"/>
    </xf>
    <xf numFmtId="198" fontId="24" fillId="0" borderId="489" applyAlignment="1" pivotButton="0" quotePrefix="0" xfId="60307">
      <alignment horizontal="right" vertical="center" readingOrder="1"/>
    </xf>
    <xf numFmtId="198" fontId="24" fillId="0" borderId="483" applyAlignment="1" pivotButton="0" quotePrefix="0" xfId="60307">
      <alignment horizontal="right" vertical="center" readingOrder="1"/>
    </xf>
    <xf numFmtId="198" fontId="24" fillId="0" borderId="16" applyAlignment="1" pivotButton="0" quotePrefix="0" xfId="60307">
      <alignment horizontal="right" vertical="center" readingOrder="1"/>
    </xf>
    <xf numFmtId="165" fontId="29" fillId="5" borderId="490" applyAlignment="1" pivotButton="0" quotePrefix="0" xfId="60307">
      <alignment horizontal="right" vertical="center" readingOrder="1"/>
    </xf>
    <xf numFmtId="165" fontId="24" fillId="39" borderId="204" applyAlignment="1" pivotButton="0" quotePrefix="0" xfId="60307">
      <alignment horizontal="right" vertical="center" readingOrder="1"/>
    </xf>
    <xf numFmtId="198" fontId="24" fillId="39" borderId="208" applyAlignment="1" pivotButton="0" quotePrefix="0" xfId="60307">
      <alignment horizontal="right" vertical="center" readingOrder="1"/>
    </xf>
    <xf numFmtId="198" fontId="24" fillId="0" borderId="490" applyAlignment="1" pivotButton="0" quotePrefix="0" xfId="60307">
      <alignment horizontal="right" vertical="center" readingOrder="1"/>
    </xf>
    <xf numFmtId="198" fontId="24" fillId="0" borderId="484" applyAlignment="1" pivotButton="0" quotePrefix="0" xfId="60307">
      <alignment horizontal="right" vertical="center" readingOrder="1"/>
    </xf>
    <xf numFmtId="198" fontId="24" fillId="0" borderId="206" applyAlignment="1" pivotButton="0" quotePrefix="0" xfId="60307">
      <alignment horizontal="right" vertical="center" readingOrder="1"/>
    </xf>
    <xf numFmtId="198" fontId="24" fillId="0" borderId="227" applyAlignment="1" pivotButton="0" quotePrefix="0" xfId="60307">
      <alignment horizontal="right" vertical="center" readingOrder="1"/>
    </xf>
    <xf numFmtId="198" fontId="24" fillId="0" borderId="485" applyAlignment="1" pivotButton="0" quotePrefix="0" xfId="60307">
      <alignment horizontal="right" vertical="center" readingOrder="1"/>
    </xf>
    <xf numFmtId="198" fontId="24" fillId="0" borderId="24" applyAlignment="1" pivotButton="0" quotePrefix="0" xfId="60307">
      <alignment horizontal="right" vertical="center" readingOrder="1"/>
    </xf>
    <xf numFmtId="198" fontId="24" fillId="5" borderId="490" applyAlignment="1" pivotButton="0" quotePrefix="0" xfId="60307">
      <alignment horizontal="right" vertical="center" readingOrder="1"/>
    </xf>
    <xf numFmtId="198" fontId="24" fillId="5" borderId="484" applyAlignment="1" pivotButton="0" quotePrefix="0" xfId="60307">
      <alignment horizontal="right" vertical="center" readingOrder="1"/>
    </xf>
    <xf numFmtId="198" fontId="24" fillId="5" borderId="206" applyAlignment="1" pivotButton="0" quotePrefix="0" xfId="60307">
      <alignment horizontal="right" vertical="center" readingOrder="1"/>
    </xf>
    <xf numFmtId="198" fontId="24" fillId="0" borderId="229" applyAlignment="1" pivotButton="0" quotePrefix="0" xfId="60307">
      <alignment horizontal="right" vertical="center" readingOrder="1"/>
    </xf>
    <xf numFmtId="198" fontId="24" fillId="0" borderId="486" applyAlignment="1" pivotButton="0" quotePrefix="0" xfId="60307">
      <alignment horizontal="right" vertical="center" readingOrder="1"/>
    </xf>
    <xf numFmtId="198" fontId="24" fillId="0" borderId="29" applyAlignment="1" pivotButton="0" quotePrefix="0" xfId="60307">
      <alignment horizontal="right" vertical="center" readingOrder="1"/>
    </xf>
    <xf numFmtId="198" fontId="24" fillId="0" borderId="491" applyAlignment="1" pivotButton="0" quotePrefix="0" xfId="60307">
      <alignment horizontal="right" vertical="center" readingOrder="1"/>
    </xf>
    <xf numFmtId="198" fontId="24" fillId="0" borderId="487" applyAlignment="1" pivotButton="0" quotePrefix="0" xfId="60307">
      <alignment horizontal="right" vertical="center" readingOrder="1"/>
    </xf>
    <xf numFmtId="198" fontId="24" fillId="0" borderId="272" applyAlignment="1" pivotButton="0" quotePrefix="0" xfId="60307">
      <alignment horizontal="right" vertical="center" readingOrder="1"/>
    </xf>
    <xf numFmtId="167" fontId="24" fillId="0" borderId="229" applyAlignment="1" pivotButton="0" quotePrefix="0" xfId="60307">
      <alignment horizontal="right" vertical="center" readingOrder="1"/>
    </xf>
    <xf numFmtId="167" fontId="24" fillId="0" borderId="486" applyAlignment="1" pivotButton="0" quotePrefix="0" xfId="60307">
      <alignment horizontal="right" vertical="center" readingOrder="1"/>
    </xf>
    <xf numFmtId="167" fontId="24" fillId="0" borderId="29" applyAlignment="1" pivotButton="0" quotePrefix="0" xfId="60307">
      <alignment horizontal="right" vertical="center" readingOrder="1"/>
    </xf>
    <xf numFmtId="165" fontId="24" fillId="2" borderId="207" applyAlignment="1" pivotButton="0" quotePrefix="0" xfId="60307">
      <alignment horizontal="right" vertical="center" readingOrder="1"/>
    </xf>
    <xf numFmtId="165" fontId="24" fillId="0" borderId="490" applyAlignment="1" pivotButton="0" quotePrefix="0" xfId="60307">
      <alignment horizontal="right" vertical="center" readingOrder="1"/>
    </xf>
    <xf numFmtId="165" fontId="24" fillId="0" borderId="484" applyAlignment="1" pivotButton="0" quotePrefix="0" xfId="60307">
      <alignment horizontal="right" vertical="center" readingOrder="1"/>
    </xf>
    <xf numFmtId="165" fontId="24" fillId="0" borderId="206" applyAlignment="1" pivotButton="0" quotePrefix="0" xfId="60307">
      <alignment horizontal="right" vertical="center" readingOrder="1"/>
    </xf>
    <xf numFmtId="165" fontId="24" fillId="0" borderId="229" applyAlignment="1" pivotButton="0" quotePrefix="0" xfId="60307">
      <alignment horizontal="right" vertical="center" readingOrder="1"/>
    </xf>
    <xf numFmtId="165" fontId="24" fillId="0" borderId="486" applyAlignment="1" pivotButton="0" quotePrefix="0" xfId="60307">
      <alignment horizontal="right" vertical="center" readingOrder="1"/>
    </xf>
    <xf numFmtId="165" fontId="24" fillId="0" borderId="29" applyAlignment="1" pivotButton="0" quotePrefix="0" xfId="60307">
      <alignment horizontal="right" vertical="center" readingOrder="1"/>
    </xf>
    <xf numFmtId="165" fontId="24" fillId="65" borderId="211" applyAlignment="1" pivotButton="0" quotePrefix="0" xfId="60307">
      <alignment horizontal="right" vertical="center" readingOrder="1"/>
    </xf>
    <xf numFmtId="164" fontId="98" fillId="0" borderId="227" applyAlignment="1" pivotButton="0" quotePrefix="0" xfId="60307">
      <alignment horizontal="right" vertical="center" readingOrder="1"/>
    </xf>
    <xf numFmtId="164" fontId="98" fillId="0" borderId="485" applyAlignment="1" pivotButton="0" quotePrefix="0" xfId="60307">
      <alignment horizontal="right" vertical="center" readingOrder="1"/>
    </xf>
    <xf numFmtId="164" fontId="98" fillId="0" borderId="24" applyAlignment="1" pivotButton="0" quotePrefix="0" xfId="60307">
      <alignment horizontal="right" vertical="center" readingOrder="1"/>
    </xf>
    <xf numFmtId="164" fontId="98" fillId="5" borderId="180" applyAlignment="1" pivotButton="0" quotePrefix="0" xfId="60307">
      <alignment horizontal="right" vertical="center" readingOrder="1"/>
    </xf>
    <xf numFmtId="164" fontId="98" fillId="5" borderId="482" applyAlignment="1" pivotButton="0" quotePrefix="0" xfId="60307">
      <alignment horizontal="right" vertical="center" readingOrder="1"/>
    </xf>
    <xf numFmtId="164" fontId="98" fillId="5" borderId="11" applyAlignment="1" pivotButton="0" quotePrefix="0" xfId="60307">
      <alignment horizontal="right" vertical="center" readingOrder="1"/>
    </xf>
    <xf numFmtId="165" fontId="24" fillId="0" borderId="227" applyAlignment="1" pivotButton="0" quotePrefix="0" xfId="60307">
      <alignment horizontal="right" vertical="center" readingOrder="1"/>
    </xf>
    <xf numFmtId="165" fontId="24" fillId="0" borderId="485" applyAlignment="1" pivotButton="0" quotePrefix="0" xfId="60307">
      <alignment horizontal="right" vertical="center" readingOrder="1"/>
    </xf>
    <xf numFmtId="165" fontId="24" fillId="0" borderId="24" applyAlignment="1" pivotButton="0" quotePrefix="0" xfId="60307">
      <alignment horizontal="right" vertical="center" readingOrder="1"/>
    </xf>
    <xf numFmtId="165" fontId="24" fillId="0" borderId="180" applyAlignment="1" pivotButton="0" quotePrefix="0" xfId="60307">
      <alignment horizontal="right" vertical="center" readingOrder="1"/>
    </xf>
    <xf numFmtId="165" fontId="24" fillId="0" borderId="482" applyAlignment="1" pivotButton="0" quotePrefix="0" xfId="60307">
      <alignment horizontal="right" vertical="center" readingOrder="1"/>
    </xf>
    <xf numFmtId="165" fontId="24" fillId="0" borderId="11" applyAlignment="1" pivotButton="0" quotePrefix="0" xfId="60307">
      <alignment horizontal="right" vertical="center" readingOrder="1"/>
    </xf>
    <xf numFmtId="165" fontId="30" fillId="39" borderId="231" applyAlignment="1" pivotButton="0" quotePrefix="0" xfId="60307">
      <alignment horizontal="right" vertical="center" readingOrder="1"/>
    </xf>
    <xf numFmtId="165" fontId="30" fillId="39" borderId="481" applyAlignment="1" pivotButton="0" quotePrefix="0" xfId="60307">
      <alignment horizontal="right" vertical="center" readingOrder="1"/>
    </xf>
    <xf numFmtId="165" fontId="30" fillId="39" borderId="2" applyAlignment="1" pivotButton="0" quotePrefix="0" xfId="60307">
      <alignment horizontal="right" vertical="center" readingOrder="1"/>
    </xf>
    <xf numFmtId="170" fontId="37" fillId="0" borderId="0" applyAlignment="1" pivotButton="0" quotePrefix="0" xfId="60307">
      <alignment vertical="center"/>
    </xf>
    <xf numFmtId="165" fontId="0" fillId="0" borderId="0" pivotButton="0" quotePrefix="0" xfId="60307"/>
    <xf numFmtId="165" fontId="111" fillId="0" borderId="0" pivotButton="0" quotePrefix="0" xfId="60307"/>
    <xf numFmtId="165" fontId="21" fillId="0" borderId="0" pivotButton="0" quotePrefix="0" xfId="60307"/>
    <xf numFmtId="165" fontId="0" fillId="5" borderId="0" applyAlignment="1" pivotButton="0" quotePrefix="0" xfId="60307">
      <alignment horizontal="center"/>
    </xf>
    <xf numFmtId="165" fontId="21" fillId="0" borderId="0" applyAlignment="1" pivotButton="0" quotePrefix="0" xfId="60307">
      <alignment horizontal="center"/>
    </xf>
    <xf numFmtId="165" fontId="0" fillId="0" borderId="0" applyAlignment="1" pivotButton="0" quotePrefix="0" xfId="60307">
      <alignment horizontal="center"/>
    </xf>
    <xf numFmtId="165" fontId="0" fillId="48" borderId="376" applyAlignment="1" pivotButton="0" quotePrefix="0" xfId="60307">
      <alignment horizontal="center"/>
    </xf>
    <xf numFmtId="165" fontId="0" fillId="0" borderId="375" pivotButton="0" quotePrefix="0" xfId="60307"/>
    <xf numFmtId="165" fontId="110" fillId="0" borderId="0" pivotButton="0" quotePrefix="0" xfId="60307"/>
    <xf numFmtId="165" fontId="111" fillId="0" borderId="375" pivotButton="0" quotePrefix="0" xfId="60307"/>
    <xf numFmtId="165" fontId="21" fillId="5" borderId="0" applyAlignment="1" pivotButton="0" quotePrefix="0" xfId="60307">
      <alignment horizontal="center"/>
    </xf>
    <xf numFmtId="165" fontId="21" fillId="5" borderId="0" pivotButton="0" quotePrefix="0" xfId="60307"/>
    <xf numFmtId="165" fontId="112" fillId="0" borderId="375" applyAlignment="1" pivotButton="0" quotePrefix="0" xfId="60307">
      <alignment horizontal="left"/>
    </xf>
    <xf numFmtId="165" fontId="21" fillId="0" borderId="375" pivotButton="0" quotePrefix="0" xfId="60307"/>
    <xf numFmtId="210" fontId="133" fillId="0" borderId="0" applyAlignment="1" pivotButton="0" quotePrefix="0" xfId="60313">
      <alignment vertical="center"/>
    </xf>
    <xf numFmtId="210" fontId="1" fillId="0" borderId="0" applyAlignment="1" pivotButton="0" quotePrefix="0" xfId="60313">
      <alignment vertical="center"/>
    </xf>
    <xf numFmtId="210" fontId="133" fillId="2" borderId="0" applyAlignment="1" pivotButton="0" quotePrefix="0" xfId="60313">
      <alignment vertical="center"/>
    </xf>
    <xf numFmtId="211" fontId="135" fillId="54" borderId="0" applyAlignment="1" pivotButton="0" quotePrefix="0" xfId="60313">
      <alignment horizontal="center" vertical="center"/>
    </xf>
    <xf numFmtId="211" fontId="135" fillId="55" borderId="0" applyAlignment="1" pivotButton="0" quotePrefix="0" xfId="60313">
      <alignment horizontal="center" vertical="center"/>
    </xf>
    <xf numFmtId="211" fontId="135" fillId="56" borderId="0" applyAlignment="1" pivotButton="0" quotePrefix="0" xfId="60313">
      <alignment horizontal="center" vertical="center"/>
    </xf>
    <xf numFmtId="212" fontId="137" fillId="57" borderId="0" applyAlignment="1" pivotButton="0" quotePrefix="0" xfId="60313">
      <alignment horizontal="center" vertical="center"/>
    </xf>
    <xf numFmtId="211" fontId="135" fillId="58" borderId="0" applyAlignment="1" pivotButton="0" quotePrefix="0" xfId="60313">
      <alignment horizontal="center" vertical="center"/>
    </xf>
    <xf numFmtId="210" fontId="140" fillId="50" borderId="0" applyAlignment="1" pivotButton="0" quotePrefix="0" xfId="60313">
      <alignment vertical="center"/>
    </xf>
    <xf numFmtId="210" fontId="140" fillId="59" borderId="0" applyAlignment="1" pivotButton="0" quotePrefix="0" xfId="60313">
      <alignment vertical="center"/>
    </xf>
    <xf numFmtId="210" fontId="140" fillId="60" borderId="0" applyAlignment="1" pivotButton="0" quotePrefix="0" xfId="60313">
      <alignment vertical="center"/>
    </xf>
    <xf numFmtId="210" fontId="142" fillId="5" borderId="0" applyAlignment="1" pivotButton="0" quotePrefix="0" xfId="60313">
      <alignment vertical="center"/>
    </xf>
    <xf numFmtId="210" fontId="142" fillId="59" borderId="0" applyAlignment="1" pivotButton="0" quotePrefix="0" xfId="60313">
      <alignment vertical="center"/>
    </xf>
    <xf numFmtId="210" fontId="142" fillId="0" borderId="0" applyAlignment="1" pivotButton="0" quotePrefix="0" xfId="60313">
      <alignment vertical="center"/>
    </xf>
    <xf numFmtId="210" fontId="142" fillId="60" borderId="0" applyAlignment="1" pivotButton="0" quotePrefix="0" xfId="60313">
      <alignment vertical="center"/>
    </xf>
    <xf numFmtId="210" fontId="142" fillId="2" borderId="0" applyAlignment="1" pivotButton="0" quotePrefix="0" xfId="60313">
      <alignment vertical="center"/>
    </xf>
    <xf numFmtId="165" fontId="1" fillId="0" borderId="0" applyAlignment="1" pivotButton="0" quotePrefix="0" xfId="60313">
      <alignment vertical="center"/>
    </xf>
    <xf numFmtId="165" fontId="0" fillId="0" borderId="0" applyAlignment="1" pivotButton="0" quotePrefix="0" xfId="60314">
      <alignment vertical="center"/>
    </xf>
    <xf numFmtId="210" fontId="142" fillId="46" borderId="0" applyAlignment="1" pivotButton="0" quotePrefix="0" xfId="60313">
      <alignment vertical="center"/>
    </xf>
    <xf numFmtId="210" fontId="142" fillId="61" borderId="0" applyAlignment="1" pivotButton="0" quotePrefix="0" xfId="60313">
      <alignment vertical="center"/>
    </xf>
    <xf numFmtId="210" fontId="142" fillId="62" borderId="0" applyAlignment="1" pivotButton="0" quotePrefix="0" xfId="60313">
      <alignment vertical="center"/>
    </xf>
    <xf numFmtId="210" fontId="142" fillId="63" borderId="0" applyAlignment="1" pivotButton="0" quotePrefix="0" xfId="60313">
      <alignment vertical="center"/>
    </xf>
    <xf numFmtId="165" fontId="1" fillId="0" borderId="0" applyAlignment="1" pivotButton="0" quotePrefix="0" xfId="60307">
      <alignment vertical="center"/>
    </xf>
    <xf numFmtId="210" fontId="140" fillId="0" borderId="0" applyAlignment="1" pivotButton="0" quotePrefix="0" xfId="60313">
      <alignment vertical="center"/>
    </xf>
    <xf numFmtId="210" fontId="148" fillId="0" borderId="0" applyAlignment="1" pivotButton="0" quotePrefix="0" xfId="60313">
      <alignment vertical="center"/>
    </xf>
    <xf numFmtId="210" fontId="148" fillId="59" borderId="0" applyAlignment="1" pivotButton="0" quotePrefix="0" xfId="60313">
      <alignment vertical="center"/>
    </xf>
    <xf numFmtId="210" fontId="148" fillId="60" borderId="0" applyAlignment="1" pivotButton="0" quotePrefix="0" xfId="60313">
      <alignment vertical="center"/>
    </xf>
    <xf numFmtId="210" fontId="142" fillId="64" borderId="0" applyAlignment="1" pivotButton="0" quotePrefix="0" xfId="60313">
      <alignment vertical="center"/>
    </xf>
    <xf numFmtId="165" fontId="0" fillId="64" borderId="0" applyAlignment="1" pivotButton="0" quotePrefix="0" xfId="60314">
      <alignment vertical="center"/>
    </xf>
    <xf numFmtId="165" fontId="143" fillId="0" borderId="0" applyAlignment="1" pivotButton="0" quotePrefix="0" xfId="60307">
      <alignment vertical="center"/>
    </xf>
    <xf numFmtId="0" fontId="0" fillId="0" borderId="513" pivotButton="0" quotePrefix="0" xfId="0"/>
    <xf numFmtId="0" fontId="0" fillId="0" borderId="514" pivotButton="0" quotePrefix="0" xfId="0"/>
    <xf numFmtId="204" fontId="20" fillId="46" borderId="376" applyAlignment="1" pivotButton="0" quotePrefix="0" xfId="60312">
      <alignment horizontal="center" vertical="center"/>
    </xf>
    <xf numFmtId="206" fontId="105" fillId="0" borderId="378" applyAlignment="1" pivotButton="0" quotePrefix="0" xfId="0">
      <alignment horizontal="right" vertical="center" wrapText="1" readingOrder="1"/>
    </xf>
    <xf numFmtId="206" fontId="104" fillId="0" borderId="381" applyAlignment="1" pivotButton="0" quotePrefix="0" xfId="0">
      <alignment horizontal="right" vertical="center" wrapText="1" readingOrder="1"/>
    </xf>
    <xf numFmtId="205" fontId="127" fillId="0" borderId="42" applyAlignment="1" pivotButton="0" quotePrefix="0" xfId="1">
      <alignment horizontal="right" vertical="center" readingOrder="1"/>
    </xf>
    <xf numFmtId="206" fontId="131" fillId="0" borderId="187" applyAlignment="1" pivotButton="0" quotePrefix="0" xfId="1">
      <alignment horizontal="right" vertical="center" readingOrder="1"/>
    </xf>
    <xf numFmtId="206" fontId="131" fillId="0" borderId="48" applyAlignment="1" pivotButton="0" quotePrefix="0" xfId="1">
      <alignment horizontal="right" vertical="center" readingOrder="1"/>
    </xf>
    <xf numFmtId="205" fontId="128" fillId="0" borderId="56" applyAlignment="1" pivotButton="0" quotePrefix="0" xfId="1">
      <alignment horizontal="right" vertical="center" readingOrder="1"/>
    </xf>
    <xf numFmtId="206" fontId="131" fillId="0" borderId="188" applyAlignment="1" pivotButton="0" quotePrefix="0" xfId="1">
      <alignment horizontal="right" vertical="center" readingOrder="1"/>
    </xf>
    <xf numFmtId="206" fontId="131" fillId="0" borderId="55" applyAlignment="1" pivotButton="0" quotePrefix="0" xfId="1">
      <alignment horizontal="right" vertical="center" readingOrder="1"/>
    </xf>
    <xf numFmtId="205" fontId="128" fillId="0" borderId="54" applyAlignment="1" pivotButton="0" quotePrefix="0" xfId="1">
      <alignment horizontal="right" vertical="center" readingOrder="1"/>
    </xf>
    <xf numFmtId="205" fontId="129" fillId="0" borderId="54" applyAlignment="1" pivotButton="0" quotePrefix="0" xfId="1">
      <alignment horizontal="right" vertical="center" readingOrder="1"/>
    </xf>
    <xf numFmtId="206" fontId="132" fillId="0" borderId="186" applyAlignment="1" pivotButton="0" quotePrefix="0" xfId="1">
      <alignment horizontal="right" vertical="center" readingOrder="1"/>
    </xf>
    <xf numFmtId="206" fontId="132" fillId="0" borderId="8" applyAlignment="1" pivotButton="0" quotePrefix="0" xfId="1">
      <alignment horizontal="right" vertical="center" readingOrder="1"/>
    </xf>
    <xf numFmtId="206" fontId="131" fillId="0" borderId="186" applyAlignment="1" pivotButton="0" quotePrefix="0" xfId="60307">
      <alignment horizontal="right" vertical="center" readingOrder="1"/>
    </xf>
    <xf numFmtId="206" fontId="131" fillId="0" borderId="53" applyAlignment="1" pivotButton="0" quotePrefix="0" xfId="60307">
      <alignment horizontal="right" vertical="center" readingOrder="1"/>
    </xf>
    <xf numFmtId="206" fontId="131" fillId="5" borderId="186" applyAlignment="1" pivotButton="0" quotePrefix="0" xfId="1">
      <alignment horizontal="right" vertical="center" readingOrder="1"/>
    </xf>
    <xf numFmtId="206" fontId="129" fillId="5" borderId="52" applyAlignment="1" pivotButton="0" quotePrefix="0" xfId="1">
      <alignment horizontal="right" vertical="center" readingOrder="1"/>
    </xf>
    <xf numFmtId="205" fontId="127" fillId="5" borderId="42" applyAlignment="1" pivotButton="0" quotePrefix="0" xfId="1">
      <alignment horizontal="right" vertical="center" readingOrder="1"/>
    </xf>
    <xf numFmtId="0" fontId="105" fillId="3" borderId="515" applyAlignment="1" pivotButton="0" quotePrefix="0" xfId="0">
      <alignment horizontal="center" vertical="center" wrapText="1" readingOrder="1"/>
    </xf>
    <xf numFmtId="0" fontId="105" fillId="3" borderId="516" applyAlignment="1" pivotButton="0" quotePrefix="0" xfId="0">
      <alignment horizontal="center" vertical="center" wrapText="1" readingOrder="1"/>
    </xf>
    <xf numFmtId="0" fontId="0" fillId="0" borderId="282" pivotButton="0" quotePrefix="0" xfId="0"/>
    <xf numFmtId="0" fontId="0" fillId="0" borderId="391" pivotButton="0" quotePrefix="0" xfId="0"/>
    <xf numFmtId="0" fontId="0" fillId="0" borderId="390" pivotButton="0" quotePrefix="0" xfId="0"/>
    <xf numFmtId="206" fontId="105" fillId="0" borderId="392" applyAlignment="1" pivotButton="0" quotePrefix="0" xfId="0">
      <alignment horizontal="right" vertical="center" wrapText="1" readingOrder="1"/>
    </xf>
    <xf numFmtId="206" fontId="105" fillId="0" borderId="393" applyAlignment="1" pivotButton="0" quotePrefix="0" xfId="60307">
      <alignment horizontal="right" vertical="center" wrapText="1" readingOrder="1"/>
    </xf>
    <xf numFmtId="206" fontId="105" fillId="0" borderId="394" applyAlignment="1" pivotButton="0" quotePrefix="0" xfId="0">
      <alignment horizontal="right" vertical="center" wrapText="1" readingOrder="1"/>
    </xf>
    <xf numFmtId="206" fontId="105" fillId="0" borderId="397" applyAlignment="1" pivotButton="0" quotePrefix="0" xfId="0">
      <alignment horizontal="right" vertical="center" wrapText="1" readingOrder="1"/>
    </xf>
    <xf numFmtId="206" fontId="105" fillId="0" borderId="398" applyAlignment="1" pivotButton="0" quotePrefix="0" xfId="60307">
      <alignment horizontal="right" vertical="center" wrapText="1" readingOrder="1"/>
    </xf>
    <xf numFmtId="206" fontId="105" fillId="0" borderId="399" applyAlignment="1" pivotButton="0" quotePrefix="0" xfId="0">
      <alignment horizontal="right" vertical="center" wrapText="1" readingOrder="1"/>
    </xf>
    <xf numFmtId="206" fontId="105" fillId="0" borderId="402" applyAlignment="1" pivotButton="0" quotePrefix="0" xfId="0">
      <alignment horizontal="right" vertical="center" wrapText="1" readingOrder="1"/>
    </xf>
    <xf numFmtId="206" fontId="105" fillId="0" borderId="403" applyAlignment="1" pivotButton="0" quotePrefix="0" xfId="60307">
      <alignment horizontal="right" vertical="center" wrapText="1" readingOrder="1"/>
    </xf>
    <xf numFmtId="206" fontId="105" fillId="0" borderId="404" applyAlignment="1" pivotButton="0" quotePrefix="0" xfId="0">
      <alignment horizontal="right" vertical="center" wrapText="1" readingOrder="1"/>
    </xf>
    <xf numFmtId="206" fontId="120" fillId="53" borderId="406" applyAlignment="1" pivotButton="0" quotePrefix="0" xfId="0">
      <alignment horizontal="right" vertical="center" wrapText="1" readingOrder="1"/>
    </xf>
    <xf numFmtId="206" fontId="120" fillId="53" borderId="407" applyAlignment="1" pivotButton="0" quotePrefix="0" xfId="60307">
      <alignment horizontal="right" vertical="center" wrapText="1" readingOrder="1"/>
    </xf>
    <xf numFmtId="206" fontId="120" fillId="53" borderId="111" applyAlignment="1" pivotButton="0" quotePrefix="0" xfId="0">
      <alignment horizontal="right" vertical="center" wrapText="1" readingOrder="1"/>
    </xf>
    <xf numFmtId="206" fontId="105" fillId="42" borderId="406" applyAlignment="1" pivotButton="0" quotePrefix="0" xfId="0">
      <alignment horizontal="right" vertical="center" wrapText="1" readingOrder="1"/>
    </xf>
    <xf numFmtId="206" fontId="105" fillId="42" borderId="407" applyAlignment="1" pivotButton="0" quotePrefix="0" xfId="60307">
      <alignment horizontal="right" vertical="center" wrapText="1" readingOrder="1"/>
    </xf>
    <xf numFmtId="206" fontId="105" fillId="42" borderId="111" applyAlignment="1" pivotButton="0" quotePrefix="0" xfId="0">
      <alignment horizontal="right" vertical="center" wrapText="1" readingOrder="1"/>
    </xf>
    <xf numFmtId="206" fontId="105" fillId="0" borderId="406" applyAlignment="1" pivotButton="0" quotePrefix="0" xfId="0">
      <alignment horizontal="right" vertical="center" wrapText="1" readingOrder="1"/>
    </xf>
    <xf numFmtId="206" fontId="105" fillId="0" borderId="407" applyAlignment="1" pivotButton="0" quotePrefix="0" xfId="60307">
      <alignment horizontal="right" vertical="center" wrapText="1" readingOrder="1"/>
    </xf>
    <xf numFmtId="206" fontId="105" fillId="0" borderId="111" applyAlignment="1" pivotButton="0" quotePrefix="0" xfId="0">
      <alignment horizontal="right" vertical="center" wrapText="1" readingOrder="1"/>
    </xf>
    <xf numFmtId="206" fontId="105" fillId="0" borderId="409" applyAlignment="1" pivotButton="0" quotePrefix="0" xfId="0">
      <alignment horizontal="right" vertical="center" wrapText="1" readingOrder="1"/>
    </xf>
    <xf numFmtId="206" fontId="105" fillId="0" borderId="410" applyAlignment="1" pivotButton="0" quotePrefix="0" xfId="60307">
      <alignment horizontal="right" vertical="center" wrapText="1" readingOrder="1"/>
    </xf>
    <xf numFmtId="206" fontId="105" fillId="0" borderId="411" applyAlignment="1" pivotButton="0" quotePrefix="0" xfId="0">
      <alignment horizontal="right" vertical="center" wrapText="1" readingOrder="1"/>
    </xf>
    <xf numFmtId="206" fontId="105" fillId="0" borderId="413" applyAlignment="1" pivotButton="0" quotePrefix="0" xfId="0">
      <alignment horizontal="right" vertical="center" wrapText="1" readingOrder="1"/>
    </xf>
    <xf numFmtId="206" fontId="105" fillId="0" borderId="414" applyAlignment="1" pivotButton="0" quotePrefix="0" xfId="60307">
      <alignment horizontal="right" vertical="center" wrapText="1" readingOrder="1"/>
    </xf>
    <xf numFmtId="206" fontId="105" fillId="0" borderId="415" applyAlignment="1" pivotButton="0" quotePrefix="0" xfId="0">
      <alignment horizontal="right" vertical="center" wrapText="1" readingOrder="1"/>
    </xf>
    <xf numFmtId="206" fontId="104" fillId="0" borderId="418" applyAlignment="1" pivotButton="0" quotePrefix="0" xfId="0">
      <alignment horizontal="right" vertical="center" wrapText="1" readingOrder="1"/>
    </xf>
    <xf numFmtId="206" fontId="104" fillId="0" borderId="419" applyAlignment="1" pivotButton="0" quotePrefix="0" xfId="60307">
      <alignment horizontal="right" vertical="center" wrapText="1" readingOrder="1"/>
    </xf>
    <xf numFmtId="206" fontId="104" fillId="0" borderId="420" applyAlignment="1" pivotButton="0" quotePrefix="0" xfId="0">
      <alignment horizontal="right" vertical="center" wrapText="1" readingOrder="1"/>
    </xf>
    <xf numFmtId="0" fontId="0" fillId="0" borderId="275" pivotButton="0" quotePrefix="0" xfId="0"/>
    <xf numFmtId="0" fontId="0" fillId="0" borderId="421" pivotButton="0" quotePrefix="0" xfId="0"/>
    <xf numFmtId="0" fontId="0" fillId="0" borderId="423" pivotButton="0" quotePrefix="0" xfId="0"/>
    <xf numFmtId="0" fontId="0" fillId="0" borderId="424" pivotButton="0" quotePrefix="0" xfId="0"/>
    <xf numFmtId="0" fontId="105" fillId="3" borderId="416" applyAlignment="1" pivotButton="0" quotePrefix="0" xfId="0">
      <alignment horizontal="center" vertical="center" wrapText="1" readingOrder="1"/>
    </xf>
    <xf numFmtId="0" fontId="0" fillId="0" borderId="279" pivotButton="0" quotePrefix="0" xfId="0"/>
    <xf numFmtId="0" fontId="0" fillId="0" borderId="280" pivotButton="0" quotePrefix="0" xfId="0"/>
    <xf numFmtId="0" fontId="0" fillId="0" borderId="426" pivotButton="0" quotePrefix="0" xfId="0"/>
    <xf numFmtId="0" fontId="0" fillId="0" borderId="283" pivotButton="0" quotePrefix="0" xfId="0"/>
    <xf numFmtId="206" fontId="105" fillId="0" borderId="407" applyAlignment="1" pivotButton="0" quotePrefix="0" xfId="0">
      <alignment horizontal="right" vertical="center" wrapText="1" readingOrder="1"/>
    </xf>
    <xf numFmtId="206" fontId="105" fillId="0" borderId="427" applyAlignment="1" pivotButton="0" quotePrefix="0" xfId="0">
      <alignment horizontal="right" vertical="center" wrapText="1" readingOrder="1"/>
    </xf>
    <xf numFmtId="206" fontId="105" fillId="0" borderId="398" applyAlignment="1" pivotButton="0" quotePrefix="0" xfId="0">
      <alignment horizontal="right" vertical="center" wrapText="1" readingOrder="1"/>
    </xf>
    <xf numFmtId="206" fontId="105" fillId="0" borderId="428" applyAlignment="1" pivotButton="0" quotePrefix="0" xfId="0">
      <alignment horizontal="right" vertical="center" wrapText="1" readingOrder="1"/>
    </xf>
    <xf numFmtId="206" fontId="105" fillId="0" borderId="429" applyAlignment="1" pivotButton="0" quotePrefix="0" xfId="0">
      <alignment horizontal="right" vertical="center" wrapText="1" readingOrder="1"/>
    </xf>
    <xf numFmtId="206" fontId="105" fillId="43" borderId="431" applyAlignment="1" pivotButton="0" quotePrefix="0" xfId="0">
      <alignment horizontal="right" vertical="center" wrapText="1" readingOrder="1"/>
    </xf>
    <xf numFmtId="206" fontId="105" fillId="43" borderId="334" applyAlignment="1" pivotButton="0" quotePrefix="0" xfId="0">
      <alignment horizontal="right" vertical="center" wrapText="1" readingOrder="1"/>
    </xf>
    <xf numFmtId="206" fontId="105" fillId="43" borderId="432" applyAlignment="1" pivotButton="0" quotePrefix="0" xfId="0">
      <alignment horizontal="right" vertical="center" wrapText="1" readingOrder="1"/>
    </xf>
    <xf numFmtId="206" fontId="105" fillId="43" borderId="433" applyAlignment="1" pivotButton="0" quotePrefix="0" xfId="0">
      <alignment horizontal="right" vertical="center" wrapText="1" readingOrder="1"/>
    </xf>
    <xf numFmtId="206" fontId="105" fillId="43" borderId="437" applyAlignment="1" pivotButton="0" quotePrefix="0" xfId="0">
      <alignment horizontal="right" vertical="center" wrapText="1" readingOrder="1"/>
    </xf>
    <xf numFmtId="206" fontId="105" fillId="43" borderId="436" applyAlignment="1" pivotButton="0" quotePrefix="0" xfId="0">
      <alignment horizontal="right" vertical="center" wrapText="1" readingOrder="1"/>
    </xf>
    <xf numFmtId="206" fontId="105" fillId="43" borderId="385" applyAlignment="1" pivotButton="0" quotePrefix="0" xfId="0">
      <alignment horizontal="right" vertical="center" wrapText="1" readingOrder="1"/>
    </xf>
    <xf numFmtId="206" fontId="105" fillId="43" borderId="438" applyAlignment="1" pivotButton="0" quotePrefix="0" xfId="0">
      <alignment horizontal="right" vertical="center" wrapText="1" readingOrder="1"/>
    </xf>
    <xf numFmtId="206" fontId="120" fillId="43" borderId="406" applyAlignment="1" pivotButton="0" quotePrefix="0" xfId="0">
      <alignment horizontal="right" vertical="center" wrapText="1" readingOrder="1"/>
    </xf>
    <xf numFmtId="206" fontId="120" fillId="43" borderId="407" applyAlignment="1" pivotButton="0" quotePrefix="0" xfId="0">
      <alignment horizontal="right" vertical="center" wrapText="1" readingOrder="1"/>
    </xf>
    <xf numFmtId="206" fontId="120" fillId="43" borderId="378" applyAlignment="1" pivotButton="0" quotePrefix="0" xfId="0">
      <alignment horizontal="right" vertical="center" wrapText="1" readingOrder="1"/>
    </xf>
    <xf numFmtId="206" fontId="105" fillId="43" borderId="427" applyAlignment="1" pivotButton="0" quotePrefix="0" xfId="0">
      <alignment horizontal="right" vertical="center" wrapText="1" readingOrder="1"/>
    </xf>
    <xf numFmtId="206" fontId="105" fillId="43" borderId="407" applyAlignment="1" pivotButton="0" quotePrefix="0" xfId="0">
      <alignment horizontal="right" vertical="center" wrapText="1" readingOrder="1"/>
    </xf>
    <xf numFmtId="206" fontId="105" fillId="43" borderId="378" applyAlignment="1" pivotButton="0" quotePrefix="0" xfId="0">
      <alignment horizontal="right" vertical="center" wrapText="1" readingOrder="1"/>
    </xf>
    <xf numFmtId="206" fontId="104" fillId="0" borderId="439" applyAlignment="1" pivotButton="0" quotePrefix="0" xfId="0">
      <alignment horizontal="right" vertical="center" wrapText="1" readingOrder="1"/>
    </xf>
    <xf numFmtId="206" fontId="104" fillId="0" borderId="410" applyAlignment="1" pivotButton="0" quotePrefix="0" xfId="0">
      <alignment horizontal="right" vertical="center" wrapText="1" readingOrder="1"/>
    </xf>
    <xf numFmtId="206" fontId="104" fillId="0" borderId="440" applyAlignment="1" pivotButton="0" quotePrefix="0" xfId="0">
      <alignment horizontal="right" vertical="center" wrapText="1" readingOrder="1"/>
    </xf>
    <xf numFmtId="206" fontId="105" fillId="0" borderId="382" applyAlignment="1" pivotButton="0" quotePrefix="0" xfId="0">
      <alignment horizontal="right" vertical="center" wrapText="1" readingOrder="1"/>
    </xf>
    <xf numFmtId="206" fontId="105" fillId="0" borderId="383" applyAlignment="1" pivotButton="0" quotePrefix="0" xfId="0">
      <alignment horizontal="right" vertical="center" wrapText="1" readingOrder="1"/>
    </xf>
    <xf numFmtId="206" fontId="119" fillId="0" borderId="384" applyAlignment="1" pivotButton="0" quotePrefix="0" xfId="0">
      <alignment horizontal="right" vertical="center" wrapText="1" readingOrder="1"/>
    </xf>
    <xf numFmtId="206" fontId="105" fillId="0" borderId="443" applyAlignment="1" pivotButton="0" quotePrefix="0" xfId="0">
      <alignment horizontal="right" vertical="center" wrapText="1" readingOrder="1"/>
    </xf>
    <xf numFmtId="206" fontId="105" fillId="0" borderId="444" applyAlignment="1" pivotButton="0" quotePrefix="0" xfId="0">
      <alignment horizontal="right" vertical="center" wrapText="1" readingOrder="1"/>
    </xf>
    <xf numFmtId="206" fontId="119" fillId="0" borderId="445" applyAlignment="1" pivotButton="0" quotePrefix="0" xfId="0">
      <alignment horizontal="right" vertical="center" wrapText="1" readingOrder="1"/>
    </xf>
    <xf numFmtId="206" fontId="104" fillId="0" borderId="446" applyAlignment="1" pivotButton="0" quotePrefix="0" xfId="0">
      <alignment horizontal="right" vertical="center" wrapText="1" readingOrder="1"/>
    </xf>
    <xf numFmtId="206" fontId="104" fillId="0" borderId="447" applyAlignment="1" pivotButton="0" quotePrefix="0" xfId="0">
      <alignment horizontal="right" vertical="center" wrapText="1" readingOrder="1"/>
    </xf>
    <xf numFmtId="206" fontId="119" fillId="0" borderId="448" applyAlignment="1" pivotButton="0" quotePrefix="0" xfId="0">
      <alignment horizontal="right" vertical="center" wrapText="1" readingOrder="1"/>
    </xf>
    <xf numFmtId="206" fontId="104" fillId="0" borderId="384" applyAlignment="1" pivotButton="0" quotePrefix="0" xfId="0">
      <alignment horizontal="right" vertical="center" wrapText="1" readingOrder="1"/>
    </xf>
    <xf numFmtId="206" fontId="104" fillId="0" borderId="445" applyAlignment="1" pivotButton="0" quotePrefix="0" xfId="0">
      <alignment horizontal="right" vertical="center" wrapText="1" readingOrder="1"/>
    </xf>
    <xf numFmtId="206" fontId="104" fillId="0" borderId="448" applyAlignment="1" pivotButton="0" quotePrefix="0" xfId="0">
      <alignment horizontal="right" vertical="center" wrapText="1" readingOrder="1"/>
    </xf>
    <xf numFmtId="206" fontId="117" fillId="0" borderId="384" applyAlignment="1" pivotButton="0" quotePrefix="0" xfId="0">
      <alignment horizontal="right" vertical="center" wrapText="1" readingOrder="1"/>
    </xf>
    <xf numFmtId="206" fontId="104" fillId="0" borderId="449" applyAlignment="1" pivotButton="0" quotePrefix="0" xfId="0">
      <alignment horizontal="right" vertical="center" wrapText="1" readingOrder="1"/>
    </xf>
    <xf numFmtId="206" fontId="104" fillId="0" borderId="450" applyAlignment="1" pivotButton="0" quotePrefix="0" xfId="0">
      <alignment horizontal="right" vertical="center" wrapText="1" readingOrder="1"/>
    </xf>
    <xf numFmtId="206" fontId="117" fillId="0" borderId="451" applyAlignment="1" pivotButton="0" quotePrefix="0" xfId="0">
      <alignment horizontal="right" vertical="center" wrapText="1" readingOrder="1"/>
    </xf>
    <xf numFmtId="0" fontId="121" fillId="3" borderId="507" applyAlignment="1" pivotButton="0" quotePrefix="0" xfId="0">
      <alignment horizontal="center" vertical="center" wrapText="1" readingOrder="1"/>
    </xf>
    <xf numFmtId="0" fontId="0" fillId="0" borderId="274" pivotButton="0" quotePrefix="0" xfId="0"/>
    <xf numFmtId="0" fontId="121" fillId="3" borderId="511" applyAlignment="1" pivotButton="0" quotePrefix="0" xfId="0">
      <alignment horizontal="center" vertical="center" wrapText="1" readingOrder="1"/>
    </xf>
    <xf numFmtId="0" fontId="121" fillId="3" borderId="111" applyAlignment="1" pivotButton="0" quotePrefix="0" xfId="0">
      <alignment horizontal="center" vertical="center" wrapText="1" readingOrder="1"/>
    </xf>
    <xf numFmtId="0" fontId="121" fillId="3" borderId="284" applyAlignment="1" pivotButton="0" quotePrefix="0" xfId="0">
      <alignment horizontal="center" vertical="center" wrapText="1" readingOrder="1"/>
    </xf>
    <xf numFmtId="0" fontId="0" fillId="0" borderId="276" pivotButton="0" quotePrefix="0" xfId="0"/>
    <xf numFmtId="0" fontId="0" fillId="0" borderId="277" pivotButton="0" quotePrefix="0" xfId="0"/>
    <xf numFmtId="0" fontId="121" fillId="3" borderId="510" applyAlignment="1" pivotButton="0" quotePrefix="0" xfId="0">
      <alignment horizontal="center" vertical="center" wrapText="1" readingOrder="1"/>
    </xf>
    <xf numFmtId="0" fontId="0" fillId="0" borderId="293" pivotButton="0" quotePrefix="0" xfId="0"/>
    <xf numFmtId="0" fontId="0" fillId="0" borderId="286" pivotButton="0" quotePrefix="0" xfId="0"/>
    <xf numFmtId="0" fontId="0" fillId="0" borderId="278" pivotButton="0" quotePrefix="0" xfId="0"/>
    <xf numFmtId="0" fontId="0" fillId="0" borderId="287" pivotButton="0" quotePrefix="0" xfId="0"/>
    <xf numFmtId="0" fontId="122" fillId="0" borderId="507" applyAlignment="1" pivotButton="0" quotePrefix="0" xfId="0">
      <alignment horizontal="left" vertical="center" wrapText="1" readingOrder="1"/>
    </xf>
    <xf numFmtId="0" fontId="122" fillId="0" borderId="505" applyAlignment="1" pivotButton="0" quotePrefix="0" xfId="0">
      <alignment horizontal="left" vertical="center" wrapText="1" readingOrder="1"/>
    </xf>
    <xf numFmtId="0" fontId="0" fillId="0" borderId="300" pivotButton="0" quotePrefix="0" xfId="0"/>
    <xf numFmtId="0" fontId="0" fillId="0" borderId="301" pivotButton="0" quotePrefix="0" xfId="0"/>
    <xf numFmtId="207" fontId="121" fillId="0" borderId="397" applyAlignment="1" pivotButton="0" quotePrefix="0" xfId="0">
      <alignment horizontal="right" vertical="center" wrapText="1" readingOrder="1"/>
    </xf>
    <xf numFmtId="207" fontId="121" fillId="0" borderId="398" applyAlignment="1" pivotButton="0" quotePrefix="0" xfId="0">
      <alignment horizontal="right" vertical="center" wrapText="1" readingOrder="1"/>
    </xf>
    <xf numFmtId="207" fontId="121" fillId="0" borderId="302" applyAlignment="1" pivotButton="0" quotePrefix="0" xfId="0">
      <alignment horizontal="right" vertical="center" wrapText="1" readingOrder="1"/>
    </xf>
    <xf numFmtId="207" fontId="121" fillId="0" borderId="303" applyAlignment="1" pivotButton="0" quotePrefix="0" xfId="0">
      <alignment horizontal="right" vertical="center" wrapText="1" readingOrder="1"/>
    </xf>
    <xf numFmtId="207" fontId="121" fillId="0" borderId="304" applyAlignment="1" pivotButton="0" quotePrefix="0" xfId="0">
      <alignment horizontal="right" vertical="center" wrapText="1" readingOrder="1"/>
    </xf>
    <xf numFmtId="0" fontId="121" fillId="0" borderId="508" applyAlignment="1" pivotButton="0" quotePrefix="0" xfId="0">
      <alignment horizontal="left" vertical="center" wrapText="1" readingOrder="1"/>
    </xf>
    <xf numFmtId="0" fontId="0" fillId="0" borderId="366" pivotButton="0" quotePrefix="0" xfId="0"/>
    <xf numFmtId="0" fontId="0" fillId="0" borderId="367" pivotButton="0" quotePrefix="0" xfId="0"/>
    <xf numFmtId="207" fontId="121" fillId="0" borderId="431" applyAlignment="1" pivotButton="0" quotePrefix="0" xfId="0">
      <alignment horizontal="right" vertical="center" wrapText="1" readingOrder="1"/>
    </xf>
    <xf numFmtId="207" fontId="121" fillId="0" borderId="334" applyAlignment="1" pivotButton="0" quotePrefix="0" xfId="0">
      <alignment horizontal="right" vertical="center" wrapText="1" readingOrder="1"/>
    </xf>
    <xf numFmtId="207" fontId="121" fillId="0" borderId="313" applyAlignment="1" pivotButton="0" quotePrefix="0" xfId="0">
      <alignment horizontal="right" vertical="center" wrapText="1" readingOrder="1"/>
    </xf>
    <xf numFmtId="207" fontId="121" fillId="0" borderId="132" applyAlignment="1" pivotButton="0" quotePrefix="0" xfId="0">
      <alignment horizontal="right" vertical="center" wrapText="1" readingOrder="1"/>
    </xf>
    <xf numFmtId="207" fontId="121" fillId="0" borderId="314" applyAlignment="1" pivotButton="0" quotePrefix="0" xfId="0">
      <alignment horizontal="right" vertical="center" wrapText="1" readingOrder="1"/>
    </xf>
    <xf numFmtId="0" fontId="0" fillId="0" borderId="309" pivotButton="0" quotePrefix="0" xfId="0"/>
    <xf numFmtId="0" fontId="121" fillId="0" borderId="506" applyAlignment="1" pivotButton="0" quotePrefix="0" xfId="0">
      <alignment horizontal="left" vertical="center" wrapText="1" readingOrder="1"/>
    </xf>
    <xf numFmtId="0" fontId="0" fillId="0" borderId="318" pivotButton="0" quotePrefix="0" xfId="0"/>
    <xf numFmtId="0" fontId="0" fillId="0" borderId="319" pivotButton="0" quotePrefix="0" xfId="0"/>
    <xf numFmtId="207" fontId="121" fillId="0" borderId="437" applyAlignment="1" pivotButton="0" quotePrefix="0" xfId="0">
      <alignment horizontal="right" vertical="center" wrapText="1" readingOrder="1"/>
    </xf>
    <xf numFmtId="207" fontId="121" fillId="0" borderId="436" applyAlignment="1" pivotButton="0" quotePrefix="0" xfId="0">
      <alignment horizontal="right" vertical="center" wrapText="1" readingOrder="1"/>
    </xf>
    <xf numFmtId="207" fontId="121" fillId="0" borderId="320" applyAlignment="1" pivotButton="0" quotePrefix="0" xfId="0">
      <alignment horizontal="right" vertical="center" wrapText="1" readingOrder="1"/>
    </xf>
    <xf numFmtId="207" fontId="121" fillId="0" borderId="321" applyAlignment="1" pivotButton="0" quotePrefix="0" xfId="0">
      <alignment horizontal="right" vertical="center" wrapText="1" readingOrder="1"/>
    </xf>
    <xf numFmtId="207" fontId="121" fillId="0" borderId="322" applyAlignment="1" pivotButton="0" quotePrefix="0" xfId="0">
      <alignment horizontal="right" vertical="center" wrapText="1" readingOrder="1"/>
    </xf>
    <xf numFmtId="207" fontId="121" fillId="0" borderId="453" applyAlignment="1" pivotButton="0" quotePrefix="0" xfId="0">
      <alignment horizontal="right" vertical="center" wrapText="1" readingOrder="1"/>
    </xf>
    <xf numFmtId="207" fontId="121" fillId="0" borderId="454" applyAlignment="1" pivotButton="0" quotePrefix="0" xfId="0">
      <alignment horizontal="right" vertical="center" wrapText="1" readingOrder="1"/>
    </xf>
    <xf numFmtId="207" fontId="121" fillId="0" borderId="328" applyAlignment="1" pivotButton="0" quotePrefix="0" xfId="0">
      <alignment horizontal="right" vertical="center" wrapText="1" readingOrder="1"/>
    </xf>
    <xf numFmtId="207" fontId="121" fillId="0" borderId="329" applyAlignment="1" pivotButton="0" quotePrefix="0" xfId="0">
      <alignment horizontal="right" vertical="center" wrapText="1" readingOrder="1"/>
    </xf>
    <xf numFmtId="207" fontId="121" fillId="0" borderId="330" applyAlignment="1" pivotButton="0" quotePrefix="0" xfId="0">
      <alignment horizontal="right" vertical="center" wrapText="1" readingOrder="1"/>
    </xf>
    <xf numFmtId="0" fontId="0" fillId="0" borderId="326" pivotButton="0" quotePrefix="0" xfId="0"/>
    <xf numFmtId="0" fontId="121" fillId="0" borderId="509" applyAlignment="1" pivotButton="0" quotePrefix="0" xfId="0">
      <alignment horizontal="left" vertical="center" wrapText="1" readingOrder="1"/>
    </xf>
    <xf numFmtId="0" fontId="0" fillId="0" borderId="370" pivotButton="0" quotePrefix="0" xfId="0"/>
    <xf numFmtId="207" fontId="121" fillId="0" borderId="457" applyAlignment="1" pivotButton="0" quotePrefix="0" xfId="0">
      <alignment horizontal="right" vertical="center" wrapText="1" readingOrder="1"/>
    </xf>
    <xf numFmtId="207" fontId="121" fillId="0" borderId="336" applyAlignment="1" pivotButton="0" quotePrefix="0" xfId="0">
      <alignment horizontal="right" vertical="center" wrapText="1" readingOrder="1"/>
    </xf>
    <xf numFmtId="207" fontId="121" fillId="0" borderId="338" applyAlignment="1" pivotButton="0" quotePrefix="0" xfId="0">
      <alignment horizontal="right" vertical="center" wrapText="1" readingOrder="1"/>
    </xf>
    <xf numFmtId="207" fontId="121" fillId="0" borderId="122" applyAlignment="1" pivotButton="0" quotePrefix="0" xfId="0">
      <alignment horizontal="right" vertical="center" wrapText="1" readingOrder="1"/>
    </xf>
    <xf numFmtId="207" fontId="121" fillId="0" borderId="339" applyAlignment="1" pivotButton="0" quotePrefix="0" xfId="0">
      <alignment horizontal="right" vertical="center" wrapText="1" readingOrder="1"/>
    </xf>
    <xf numFmtId="0" fontId="0" fillId="0" borderId="327" pivotButton="0" quotePrefix="0" xfId="0"/>
    <xf numFmtId="207" fontId="121" fillId="0" borderId="458" applyAlignment="1" pivotButton="0" quotePrefix="0" xfId="0">
      <alignment horizontal="right" vertical="center" wrapText="1" readingOrder="1"/>
    </xf>
    <xf numFmtId="207" fontId="121" fillId="0" borderId="351" applyAlignment="1" pivotButton="0" quotePrefix="0" xfId="0">
      <alignment horizontal="right" vertical="center" wrapText="1" readingOrder="1"/>
    </xf>
    <xf numFmtId="207" fontId="121" fillId="0" borderId="343" applyAlignment="1" pivotButton="0" quotePrefix="0" xfId="0">
      <alignment horizontal="right" vertical="center" wrapText="1" readingOrder="1"/>
    </xf>
    <xf numFmtId="207" fontId="121" fillId="0" borderId="129" applyAlignment="1" pivotButton="0" quotePrefix="0" xfId="0">
      <alignment horizontal="right" vertical="center" wrapText="1" readingOrder="1"/>
    </xf>
    <xf numFmtId="207" fontId="121" fillId="0" borderId="344" applyAlignment="1" pivotButton="0" quotePrefix="0" xfId="0">
      <alignment horizontal="right" vertical="center" wrapText="1" readingOrder="1"/>
    </xf>
    <xf numFmtId="206" fontId="121" fillId="0" borderId="313" applyAlignment="1" pivotButton="0" quotePrefix="0" xfId="0">
      <alignment horizontal="right" vertical="center" wrapText="1" readingOrder="1"/>
    </xf>
    <xf numFmtId="206" fontId="121" fillId="0" borderId="132" applyAlignment="1" pivotButton="0" quotePrefix="0" xfId="0">
      <alignment horizontal="right" vertical="center" wrapText="1" readingOrder="1"/>
    </xf>
    <xf numFmtId="206" fontId="121" fillId="0" borderId="314" applyAlignment="1" pivotButton="0" quotePrefix="0" xfId="0">
      <alignment horizontal="right" vertical="center" wrapText="1" readingOrder="1"/>
    </xf>
    <xf numFmtId="206" fontId="121" fillId="0" borderId="338" applyAlignment="1" pivotButton="0" quotePrefix="0" xfId="0">
      <alignment horizontal="right" vertical="center" wrapText="1" readingOrder="1"/>
    </xf>
    <xf numFmtId="206" fontId="121" fillId="0" borderId="122" applyAlignment="1" pivotButton="0" quotePrefix="0" xfId="0">
      <alignment horizontal="right" vertical="center" wrapText="1" readingOrder="1"/>
    </xf>
    <xf numFmtId="206" fontId="121" fillId="0" borderId="339" applyAlignment="1" pivotButton="0" quotePrefix="0" xfId="0">
      <alignment horizontal="right" vertical="center" wrapText="1" readingOrder="1"/>
    </xf>
    <xf numFmtId="206" fontId="121" fillId="0" borderId="343" applyAlignment="1" pivotButton="0" quotePrefix="0" xfId="0">
      <alignment horizontal="right" vertical="center" wrapText="1" readingOrder="1"/>
    </xf>
    <xf numFmtId="206" fontId="121" fillId="0" borderId="129" applyAlignment="1" pivotButton="0" quotePrefix="0" xfId="0">
      <alignment horizontal="right" vertical="center" wrapText="1" readingOrder="1"/>
    </xf>
    <xf numFmtId="206" fontId="121" fillId="0" borderId="344" applyAlignment="1" pivotButton="0" quotePrefix="0" xfId="0">
      <alignment horizontal="right" vertical="center" wrapText="1" readingOrder="1"/>
    </xf>
    <xf numFmtId="0" fontId="121" fillId="0" borderId="403" applyAlignment="1" pivotButton="0" quotePrefix="0" xfId="0">
      <alignment horizontal="left" vertical="center" wrapText="1" readingOrder="1"/>
    </xf>
    <xf numFmtId="0" fontId="0" fillId="0" borderId="460" pivotButton="0" quotePrefix="0" xfId="0"/>
    <xf numFmtId="0" fontId="0" fillId="0" borderId="401" pivotButton="0" quotePrefix="0" xfId="0"/>
    <xf numFmtId="208" fontId="125" fillId="0" borderId="397" applyAlignment="1" pivotButton="0" quotePrefix="0" xfId="0">
      <alignment horizontal="right" vertical="center" wrapText="1" readingOrder="1"/>
    </xf>
    <xf numFmtId="208" fontId="125" fillId="0" borderId="398" applyAlignment="1" pivotButton="0" quotePrefix="0" xfId="0">
      <alignment horizontal="right" vertical="center" wrapText="1" readingOrder="1"/>
    </xf>
    <xf numFmtId="208" fontId="125" fillId="0" borderId="302" applyAlignment="1" pivotButton="0" quotePrefix="0" xfId="0">
      <alignment horizontal="right" vertical="center" wrapText="1" readingOrder="1"/>
    </xf>
    <xf numFmtId="208" fontId="125" fillId="0" borderId="303" applyAlignment="1" pivotButton="0" quotePrefix="0" xfId="0">
      <alignment horizontal="right" vertical="center" wrapText="1" readingOrder="1"/>
    </xf>
    <xf numFmtId="208" fontId="125" fillId="0" borderId="304" applyAlignment="1" pivotButton="0" quotePrefix="0" xfId="0">
      <alignment horizontal="right" vertical="center" wrapText="1" readingOrder="1"/>
    </xf>
    <xf numFmtId="208" fontId="125" fillId="0" borderId="402" applyAlignment="1" pivotButton="0" quotePrefix="0" xfId="0">
      <alignment horizontal="right" vertical="center" wrapText="1" readingOrder="1"/>
    </xf>
    <xf numFmtId="208" fontId="125" fillId="0" borderId="403" applyAlignment="1" pivotButton="0" quotePrefix="0" xfId="0">
      <alignment horizontal="right" vertical="center" wrapText="1" readingOrder="1"/>
    </xf>
    <xf numFmtId="208" fontId="125" fillId="0" borderId="357" applyAlignment="1" pivotButton="0" quotePrefix="0" xfId="0">
      <alignment horizontal="right" vertical="center" wrapText="1" readingOrder="1"/>
    </xf>
    <xf numFmtId="208" fontId="125" fillId="0" borderId="358" applyAlignment="1" pivotButton="0" quotePrefix="0" xfId="0">
      <alignment horizontal="right" vertical="center" wrapText="1" readingOrder="1"/>
    </xf>
    <xf numFmtId="208" fontId="125" fillId="0" borderId="359" applyAlignment="1" pivotButton="0" quotePrefix="0" xfId="0">
      <alignment horizontal="right" vertical="center" wrapText="1" readingOrder="1"/>
    </xf>
    <xf numFmtId="208" fontId="121" fillId="0" borderId="406" applyAlignment="1" pivotButton="0" quotePrefix="0" xfId="0">
      <alignment horizontal="right" vertical="center" wrapText="1" readingOrder="1"/>
    </xf>
    <xf numFmtId="208" fontId="121" fillId="0" borderId="407" applyAlignment="1" pivotButton="0" quotePrefix="0" xfId="0">
      <alignment horizontal="right" vertical="center" wrapText="1" readingOrder="1"/>
    </xf>
    <xf numFmtId="208" fontId="121" fillId="0" borderId="288" applyAlignment="1" pivotButton="0" quotePrefix="0" xfId="0">
      <alignment horizontal="right" vertical="center" wrapText="1" readingOrder="1"/>
    </xf>
    <xf numFmtId="208" fontId="121" fillId="0" borderId="294" applyAlignment="1" pivotButton="0" quotePrefix="0" xfId="0">
      <alignment horizontal="right" vertical="center" wrapText="1" readingOrder="1"/>
    </xf>
    <xf numFmtId="208" fontId="121" fillId="0" borderId="290" applyAlignment="1" pivotButton="0" quotePrefix="0" xfId="0">
      <alignment horizontal="right" vertical="center" wrapText="1" readingOrder="1"/>
    </xf>
    <xf numFmtId="208" fontId="122" fillId="0" borderId="406" applyAlignment="1" pivotButton="0" quotePrefix="0" xfId="0">
      <alignment horizontal="right" vertical="center" wrapText="1" readingOrder="1"/>
    </xf>
    <xf numFmtId="0" fontId="122" fillId="42" borderId="507" applyAlignment="1" pivotButton="0" quotePrefix="0" xfId="0">
      <alignment horizontal="left" vertical="center" wrapText="1" readingOrder="1"/>
    </xf>
    <xf numFmtId="207" fontId="104" fillId="42" borderId="406" applyAlignment="1" pivotButton="0" quotePrefix="0" xfId="0">
      <alignment horizontal="right" vertical="center" wrapText="1" readingOrder="1"/>
    </xf>
    <xf numFmtId="207" fontId="130" fillId="42" borderId="407" applyAlignment="1" pivotButton="0" quotePrefix="0" xfId="0">
      <alignment vertical="center" wrapText="1"/>
    </xf>
    <xf numFmtId="207" fontId="104" fillId="42" borderId="288" applyAlignment="1" pivotButton="0" quotePrefix="0" xfId="0">
      <alignment horizontal="right" vertical="center" wrapText="1" readingOrder="1"/>
    </xf>
    <xf numFmtId="207" fontId="104" fillId="42" borderId="294" applyAlignment="1" pivotButton="0" quotePrefix="0" xfId="0">
      <alignment horizontal="right" vertical="center" wrapText="1" readingOrder="1"/>
    </xf>
    <xf numFmtId="207" fontId="104" fillId="42" borderId="290" applyAlignment="1" pivotButton="0" quotePrefix="0" xfId="0">
      <alignment horizontal="right" vertical="center" wrapText="1" readingOrder="1"/>
    </xf>
    <xf numFmtId="207" fontId="104" fillId="42" borderId="407" applyAlignment="1" pivotButton="0" quotePrefix="0" xfId="0">
      <alignment horizontal="right" vertical="center" wrapText="1" readingOrder="1"/>
    </xf>
    <xf numFmtId="206" fontId="121" fillId="0" borderId="403" applyAlignment="1" pivotButton="0" quotePrefix="0" xfId="0">
      <alignment horizontal="right" vertical="center" wrapText="1" readingOrder="1"/>
    </xf>
    <xf numFmtId="206" fontId="121" fillId="0" borderId="357" applyAlignment="1" pivotButton="0" quotePrefix="0" xfId="0">
      <alignment horizontal="right" vertical="center" wrapText="1" readingOrder="1"/>
    </xf>
    <xf numFmtId="206" fontId="121" fillId="0" borderId="358" applyAlignment="1" pivotButton="0" quotePrefix="0" xfId="0">
      <alignment horizontal="right" vertical="center" wrapText="1" readingOrder="1"/>
    </xf>
    <xf numFmtId="206" fontId="121" fillId="0" borderId="359" applyAlignment="1" pivotButton="0" quotePrefix="0" xfId="0">
      <alignment horizontal="right" vertical="center" wrapText="1" readingOrder="1"/>
    </xf>
    <xf numFmtId="206" fontId="121" fillId="0" borderId="402" applyAlignment="1" pivotButton="0" quotePrefix="0" xfId="60307">
      <alignment horizontal="right" vertical="center" wrapText="1" readingOrder="1"/>
    </xf>
    <xf numFmtId="206" fontId="121" fillId="0" borderId="403" applyAlignment="1" pivotButton="0" quotePrefix="0" xfId="60307">
      <alignment horizontal="right" vertical="center" wrapText="1" readingOrder="1"/>
    </xf>
    <xf numFmtId="0" fontId="0" fillId="0" borderId="386" pivotButton="0" quotePrefix="0" xfId="0"/>
    <xf numFmtId="0" fontId="0" fillId="0" borderId="356" pivotButton="0" quotePrefix="0" xfId="0"/>
    <xf numFmtId="206" fontId="105" fillId="0" borderId="380" applyAlignment="1" pivotButton="0" quotePrefix="0" xfId="0">
      <alignment horizontal="right" vertical="center" wrapText="1" readingOrder="1"/>
    </xf>
    <xf numFmtId="206" fontId="105" fillId="0" borderId="461" applyAlignment="1" pivotButton="0" quotePrefix="0" xfId="0">
      <alignment horizontal="right" vertical="center" wrapText="1" readingOrder="1"/>
    </xf>
    <xf numFmtId="0" fontId="0" fillId="0" borderId="462" pivotButton="0" quotePrefix="0" xfId="0"/>
    <xf numFmtId="0" fontId="0" fillId="0" borderId="456" pivotButton="0" quotePrefix="0" xfId="0"/>
    <xf numFmtId="206" fontId="105" fillId="0" borderId="453" applyAlignment="1" pivotButton="0" quotePrefix="0" xfId="0">
      <alignment horizontal="right" vertical="center" wrapText="1" readingOrder="1"/>
    </xf>
    <xf numFmtId="206" fontId="105" fillId="0" borderId="454" applyAlignment="1" pivotButton="0" quotePrefix="0" xfId="0">
      <alignment horizontal="right" vertical="center" wrapText="1" readingOrder="1"/>
    </xf>
    <xf numFmtId="206" fontId="105" fillId="0" borderId="463" applyAlignment="1" pivotButton="0" quotePrefix="0" xfId="0">
      <alignment horizontal="right" vertical="center" wrapText="1" readingOrder="1"/>
    </xf>
    <xf numFmtId="206" fontId="105" fillId="0" borderId="464" applyAlignment="1" pivotButton="0" quotePrefix="0" xfId="0">
      <alignment horizontal="right" vertical="center" wrapText="1" readingOrder="1"/>
    </xf>
    <xf numFmtId="206" fontId="105" fillId="0" borderId="465" applyAlignment="1" pivotButton="0" quotePrefix="0" xfId="0">
      <alignment horizontal="right" vertical="center" wrapText="1" readingOrder="1"/>
    </xf>
    <xf numFmtId="0" fontId="0" fillId="0" borderId="347" pivotButton="0" quotePrefix="0" xfId="0"/>
    <xf numFmtId="206" fontId="105" fillId="0" borderId="431" applyAlignment="1" pivotButton="0" quotePrefix="0" xfId="0">
      <alignment horizontal="right" vertical="center" wrapText="1" readingOrder="1"/>
    </xf>
    <xf numFmtId="206" fontId="105" fillId="0" borderId="334" applyAlignment="1" pivotButton="0" quotePrefix="0" xfId="0">
      <alignment horizontal="right" vertical="center" wrapText="1" readingOrder="1"/>
    </xf>
    <xf numFmtId="206" fontId="105" fillId="0" borderId="432" applyAlignment="1" pivotButton="0" quotePrefix="0" xfId="0">
      <alignment horizontal="right" vertical="center" wrapText="1" readingOrder="1"/>
    </xf>
    <xf numFmtId="206" fontId="105" fillId="0" borderId="433" applyAlignment="1" pivotButton="0" quotePrefix="0" xfId="0">
      <alignment horizontal="right" vertical="center" wrapText="1" readingOrder="1"/>
    </xf>
    <xf numFmtId="206" fontId="105" fillId="0" borderId="467" applyAlignment="1" pivotButton="0" quotePrefix="0" xfId="0">
      <alignment horizontal="right" vertical="center" wrapText="1" readingOrder="1"/>
    </xf>
    <xf numFmtId="206" fontId="105" fillId="0" borderId="457" applyAlignment="1" pivotButton="0" quotePrefix="0" xfId="0">
      <alignment horizontal="right" vertical="center" wrapText="1" readingOrder="1"/>
    </xf>
    <xf numFmtId="206" fontId="105" fillId="0" borderId="336" applyAlignment="1" pivotButton="0" quotePrefix="0" xfId="0">
      <alignment horizontal="right" vertical="center" wrapText="1" readingOrder="1"/>
    </xf>
    <xf numFmtId="206" fontId="105" fillId="0" borderId="468" applyAlignment="1" pivotButton="0" quotePrefix="0" xfId="0">
      <alignment horizontal="right" vertical="center" wrapText="1" readingOrder="1"/>
    </xf>
    <xf numFmtId="206" fontId="105" fillId="0" borderId="469" applyAlignment="1" pivotButton="0" quotePrefix="0" xfId="0">
      <alignment horizontal="right" vertical="center" wrapText="1" readingOrder="1"/>
    </xf>
    <xf numFmtId="206" fontId="105" fillId="0" borderId="470" applyAlignment="1" pivotButton="0" quotePrefix="0" xfId="0">
      <alignment horizontal="right" vertical="center" wrapText="1" readingOrder="1"/>
    </xf>
    <xf numFmtId="0" fontId="0" fillId="0" borderId="471" pivotButton="0" quotePrefix="0" xfId="0"/>
    <xf numFmtId="0" fontId="0" fillId="0" borderId="350" pivotButton="0" quotePrefix="0" xfId="0"/>
    <xf numFmtId="0" fontId="105" fillId="0" borderId="502" applyAlignment="1" pivotButton="0" quotePrefix="0" xfId="0">
      <alignment horizontal="left" vertical="center" wrapText="1" readingOrder="1"/>
    </xf>
    <xf numFmtId="0" fontId="0" fillId="0" borderId="472" pivotButton="0" quotePrefix="0" xfId="0"/>
    <xf numFmtId="206" fontId="105" fillId="0" borderId="473" applyAlignment="1" pivotButton="0" quotePrefix="0" xfId="0">
      <alignment horizontal="right" vertical="center" wrapText="1" readingOrder="1"/>
    </xf>
    <xf numFmtId="206" fontId="105" fillId="0" borderId="351" applyAlignment="1" pivotButton="0" quotePrefix="0" xfId="0">
      <alignment horizontal="right" vertical="center" wrapText="1" readingOrder="1"/>
    </xf>
    <xf numFmtId="206" fontId="105" fillId="0" borderId="474" applyAlignment="1" pivotButton="0" quotePrefix="0" xfId="0">
      <alignment horizontal="right" vertical="center" wrapText="1" readingOrder="1"/>
    </xf>
    <xf numFmtId="206" fontId="105" fillId="0" borderId="445" applyAlignment="1" pivotButton="0" quotePrefix="0" xfId="0">
      <alignment horizontal="right" vertical="center" wrapText="1" readingOrder="1"/>
    </xf>
    <xf numFmtId="0" fontId="105" fillId="0" borderId="503" applyAlignment="1" pivotButton="0" quotePrefix="0" xfId="0">
      <alignment horizontal="left" vertical="center" wrapText="1" readingOrder="1"/>
    </xf>
    <xf numFmtId="0" fontId="0" fillId="0" borderId="475" pivotButton="0" quotePrefix="0" xfId="0"/>
    <xf numFmtId="206" fontId="105" fillId="0" borderId="476" applyAlignment="1" pivotButton="0" quotePrefix="0" xfId="0">
      <alignment horizontal="right" vertical="center" wrapText="1" readingOrder="1"/>
    </xf>
    <xf numFmtId="206" fontId="105" fillId="0" borderId="458" applyAlignment="1" pivotButton="0" quotePrefix="0" xfId="0">
      <alignment horizontal="right" vertical="center" wrapText="1" readingOrder="1"/>
    </xf>
    <xf numFmtId="0" fontId="105" fillId="0" borderId="454" applyAlignment="1" pivotButton="0" quotePrefix="0" xfId="0">
      <alignment horizontal="left" vertical="center" wrapText="1" readingOrder="1"/>
    </xf>
    <xf numFmtId="0" fontId="0" fillId="0" borderId="478" pivotButton="0" quotePrefix="0" xfId="0"/>
    <xf numFmtId="0" fontId="0" fillId="0" borderId="479" pivotButton="0" quotePrefix="0" xfId="0"/>
    <xf numFmtId="0" fontId="105" fillId="0" borderId="501" applyAlignment="1" pivotButton="0" quotePrefix="0" xfId="0">
      <alignment horizontal="left" vertical="center" wrapText="1" readingOrder="1"/>
    </xf>
    <xf numFmtId="0" fontId="0" fillId="0" borderId="435" pivotButton="0" quotePrefix="0" xfId="0"/>
    <xf numFmtId="0" fontId="105" fillId="0" borderId="436" applyAlignment="1" pivotButton="0" quotePrefix="0" xfId="0">
      <alignment horizontal="left" vertical="center" wrapText="1" readingOrder="1"/>
    </xf>
    <xf numFmtId="206" fontId="105" fillId="0" borderId="437" applyAlignment="1" pivotButton="0" quotePrefix="0" xfId="0">
      <alignment horizontal="right" vertical="center" wrapText="1" readingOrder="1"/>
    </xf>
    <xf numFmtId="206" fontId="105" fillId="0" borderId="436" applyAlignment="1" pivotButton="0" quotePrefix="0" xfId="0">
      <alignment horizontal="right" vertical="center" wrapText="1" readingOrder="1"/>
    </xf>
    <xf numFmtId="206" fontId="105" fillId="0" borderId="385" applyAlignment="1" pivotButton="0" quotePrefix="0" xfId="0">
      <alignment horizontal="right" vertical="center" wrapText="1" readingOrder="1"/>
    </xf>
    <xf numFmtId="206" fontId="105" fillId="0" borderId="438" applyAlignment="1" pivotButton="0" quotePrefix="0" xfId="0">
      <alignment horizontal="right" vertical="center" wrapText="1" readingOrder="1"/>
    </xf>
    <xf numFmtId="206" fontId="105" fillId="0" borderId="386" applyAlignment="1" pivotButton="0" quotePrefix="0" xfId="0">
      <alignment horizontal="right" vertical="center" wrapText="1" readingOrder="1"/>
    </xf>
    <xf numFmtId="206" fontId="104" fillId="42" borderId="406" applyAlignment="1" pivotButton="0" quotePrefix="0" xfId="0">
      <alignment horizontal="right" vertical="center" wrapText="1" readingOrder="1"/>
    </xf>
    <xf numFmtId="206" fontId="104" fillId="42" borderId="407" applyAlignment="1" pivotButton="0" quotePrefix="0" xfId="0">
      <alignment horizontal="right" vertical="center" wrapText="1" readingOrder="1"/>
    </xf>
    <xf numFmtId="206" fontId="104" fillId="42" borderId="378" applyAlignment="1" pivotButton="0" quotePrefix="0" xfId="0">
      <alignment horizontal="right" vertical="center" wrapText="1" readingOrder="1"/>
    </xf>
    <xf numFmtId="206" fontId="104" fillId="42" borderId="439" applyAlignment="1" pivotButton="0" quotePrefix="0" xfId="0">
      <alignment horizontal="right" vertical="center" wrapText="1" readingOrder="1"/>
    </xf>
    <xf numFmtId="206" fontId="104" fillId="42" borderId="410" applyAlignment="1" pivotButton="0" quotePrefix="0" xfId="0">
      <alignment horizontal="right" vertical="center" wrapText="1" readingOrder="1"/>
    </xf>
    <xf numFmtId="206" fontId="104" fillId="42" borderId="440" applyAlignment="1" pivotButton="0" quotePrefix="0" xfId="0">
      <alignment horizontal="right" vertical="center" wrapText="1" readingOrder="1"/>
    </xf>
    <xf numFmtId="206" fontId="117" fillId="42" borderId="380" applyAlignment="1" pivotButton="0" quotePrefix="0" xfId="0">
      <alignment horizontal="right" vertical="center" wrapText="1" readingOrder="1"/>
    </xf>
    <xf numFmtId="183" fontId="30" fillId="46" borderId="248" applyAlignment="1" pivotButton="0" quotePrefix="0" xfId="60310">
      <alignment horizontal="right" vertical="center" readingOrder="1"/>
    </xf>
    <xf numFmtId="183" fontId="30" fillId="46" borderId="117" applyAlignment="1" pivotButton="0" quotePrefix="0" xfId="60310">
      <alignment horizontal="right" vertical="center" readingOrder="1"/>
    </xf>
    <xf numFmtId="183" fontId="24" fillId="0" borderId="249" applyAlignment="1" pivotButton="0" quotePrefix="0" xfId="60310">
      <alignment horizontal="right" vertical="center" readingOrder="1"/>
    </xf>
    <xf numFmtId="183" fontId="24" fillId="0" borderId="120" applyAlignment="1" pivotButton="0" quotePrefix="0" xfId="60310">
      <alignment horizontal="right" vertical="center" readingOrder="1"/>
    </xf>
    <xf numFmtId="183" fontId="24" fillId="5" borderId="250" applyAlignment="1" pivotButton="0" quotePrefix="0" xfId="60310">
      <alignment horizontal="right" vertical="center" readingOrder="1"/>
    </xf>
    <xf numFmtId="183" fontId="24" fillId="5" borderId="254" applyAlignment="1" pivotButton="0" quotePrefix="0" xfId="60310">
      <alignment horizontal="right" vertical="center" readingOrder="1"/>
    </xf>
    <xf numFmtId="183" fontId="24" fillId="0" borderId="251" applyAlignment="1" pivotButton="0" quotePrefix="0" xfId="60310">
      <alignment horizontal="right" vertical="center" readingOrder="1"/>
    </xf>
    <xf numFmtId="183" fontId="24" fillId="0" borderId="122" applyAlignment="1" pivotButton="0" quotePrefix="0" xfId="60310">
      <alignment horizontal="right" vertical="center" readingOrder="1"/>
    </xf>
    <xf numFmtId="183" fontId="24" fillId="0" borderId="250" applyAlignment="1" pivotButton="0" quotePrefix="0" xfId="60310">
      <alignment horizontal="right" vertical="center" readingOrder="1"/>
    </xf>
    <xf numFmtId="183" fontId="24" fillId="0" borderId="254" applyAlignment="1" pivotButton="0" quotePrefix="0" xfId="60310">
      <alignment horizontal="right" vertical="center" readingOrder="1"/>
    </xf>
    <xf numFmtId="183" fontId="24" fillId="0" borderId="248" applyAlignment="1" pivotButton="0" quotePrefix="0" xfId="60310">
      <alignment horizontal="right" vertical="center" readingOrder="1"/>
    </xf>
    <xf numFmtId="183" fontId="24" fillId="0" borderId="117" applyAlignment="1" pivotButton="0" quotePrefix="0" xfId="60310">
      <alignment horizontal="right" vertical="center" readingOrder="1"/>
    </xf>
    <xf numFmtId="183" fontId="24" fillId="0" borderId="252" applyAlignment="1" pivotButton="0" quotePrefix="0" xfId="60310">
      <alignment horizontal="right" vertical="center" readingOrder="1"/>
    </xf>
    <xf numFmtId="183" fontId="24" fillId="0" borderId="168" applyAlignment="1" pivotButton="0" quotePrefix="0" xfId="60310">
      <alignment horizontal="right" vertical="center" readingOrder="1"/>
    </xf>
    <xf numFmtId="183" fontId="24" fillId="5" borderId="254" applyAlignment="1" pivotButton="0" quotePrefix="0" xfId="60307">
      <alignment horizontal="right" vertical="center" readingOrder="1"/>
    </xf>
    <xf numFmtId="183" fontId="24" fillId="0" borderId="255" applyAlignment="1" pivotButton="0" quotePrefix="0" xfId="60310">
      <alignment horizontal="right" vertical="center" readingOrder="1"/>
    </xf>
    <xf numFmtId="183" fontId="24" fillId="5" borderId="248" applyAlignment="1" pivotButton="0" quotePrefix="0" xfId="60310">
      <alignment horizontal="right" vertical="center" readingOrder="1"/>
    </xf>
    <xf numFmtId="183" fontId="24" fillId="5" borderId="117" applyAlignment="1" pivotButton="0" quotePrefix="0" xfId="60310">
      <alignment horizontal="right" vertical="center" readingOrder="1"/>
    </xf>
    <xf numFmtId="183" fontId="30" fillId="39" borderId="247" applyAlignment="1" pivotButton="0" quotePrefix="0" xfId="60310">
      <alignment horizontal="right" vertical="center" readingOrder="1"/>
    </xf>
    <xf numFmtId="183" fontId="30" fillId="39" borderId="118" applyAlignment="1" pivotButton="0" quotePrefix="0" xfId="60310">
      <alignment horizontal="right" vertical="center" readingOrder="1"/>
    </xf>
    <xf numFmtId="0" fontId="102" fillId="3" borderId="507" applyAlignment="1" pivotButton="0" quotePrefix="0" xfId="0">
      <alignment horizontal="center" vertical="center" wrapText="1" readingOrder="1"/>
    </xf>
    <xf numFmtId="0" fontId="102" fillId="3" borderId="111" applyAlignment="1" pivotButton="0" quotePrefix="0" xfId="0">
      <alignment horizontal="center" vertical="center" wrapText="1" readingOrder="1"/>
    </xf>
    <xf numFmtId="0" fontId="102" fillId="3" borderId="284" applyAlignment="1" pivotButton="0" quotePrefix="0" xfId="0">
      <alignment horizontal="center" vertical="center" wrapText="1" readingOrder="1"/>
    </xf>
    <xf numFmtId="0" fontId="0" fillId="0" borderId="289" pivotButton="0" quotePrefix="0" xfId="0"/>
    <xf numFmtId="0" fontId="103" fillId="0" borderId="507" applyAlignment="1" pivotButton="0" quotePrefix="0" xfId="0">
      <alignment horizontal="left" vertical="center" wrapText="1" readingOrder="1"/>
    </xf>
    <xf numFmtId="165" fontId="104" fillId="0" borderId="288" applyAlignment="1" pivotButton="0" quotePrefix="0" xfId="60307">
      <alignment horizontal="right" vertical="center" wrapText="1" readingOrder="1"/>
    </xf>
    <xf numFmtId="165" fontId="104" fillId="0" borderId="294" applyAlignment="1" pivotButton="0" quotePrefix="0" xfId="60307">
      <alignment horizontal="right" vertical="center" wrapText="1" readingOrder="1"/>
    </xf>
    <xf numFmtId="195" fontId="104" fillId="0" borderId="294" applyAlignment="1" pivotButton="0" quotePrefix="0" xfId="60307">
      <alignment horizontal="right" vertical="center" wrapText="1" readingOrder="1"/>
    </xf>
    <xf numFmtId="195" fontId="104" fillId="0" borderId="290" applyAlignment="1" pivotButton="0" quotePrefix="0" xfId="60307">
      <alignment horizontal="right" vertical="center" wrapText="1" readingOrder="1"/>
    </xf>
    <xf numFmtId="195" fontId="104" fillId="0" borderId="298" applyAlignment="1" pivotButton="0" quotePrefix="0" xfId="60307">
      <alignment horizontal="right" vertical="center" wrapText="1" readingOrder="1"/>
    </xf>
    <xf numFmtId="0" fontId="103" fillId="0" borderId="505" applyAlignment="1" pivotButton="0" quotePrefix="0" xfId="0">
      <alignment horizontal="left" vertical="center" wrapText="1" readingOrder="1"/>
    </xf>
    <xf numFmtId="165" fontId="105" fillId="0" borderId="302" applyAlignment="1" pivotButton="0" quotePrefix="0" xfId="60307">
      <alignment horizontal="right" vertical="center" wrapText="1" readingOrder="1"/>
    </xf>
    <xf numFmtId="165" fontId="105" fillId="0" borderId="303" applyAlignment="1" pivotButton="0" quotePrefix="0" xfId="60307">
      <alignment horizontal="right" vertical="center" wrapText="1" readingOrder="1"/>
    </xf>
    <xf numFmtId="195" fontId="105" fillId="0" borderId="303" applyAlignment="1" pivotButton="0" quotePrefix="0" xfId="60307">
      <alignment horizontal="right" vertical="center" wrapText="1" readingOrder="1"/>
    </xf>
    <xf numFmtId="195" fontId="105" fillId="0" borderId="304" applyAlignment="1" pivotButton="0" quotePrefix="0" xfId="60307">
      <alignment horizontal="right" vertical="center" wrapText="1" readingOrder="1"/>
    </xf>
    <xf numFmtId="195" fontId="105" fillId="0" borderId="305" applyAlignment="1" pivotButton="0" quotePrefix="0" xfId="60307">
      <alignment horizontal="right" vertical="center" wrapText="1" readingOrder="1"/>
    </xf>
    <xf numFmtId="0" fontId="102" fillId="0" borderId="508" applyAlignment="1" pivotButton="0" quotePrefix="0" xfId="0">
      <alignment horizontal="left" vertical="center" wrapText="1" readingOrder="1"/>
    </xf>
    <xf numFmtId="165" fontId="105" fillId="0" borderId="313" applyAlignment="1" pivotButton="0" quotePrefix="0" xfId="60307">
      <alignment horizontal="right" vertical="center" wrapText="1" readingOrder="1"/>
    </xf>
    <xf numFmtId="165" fontId="105" fillId="0" borderId="132" applyAlignment="1" pivotButton="0" quotePrefix="0" xfId="60307">
      <alignment horizontal="right" vertical="center" wrapText="1" readingOrder="1"/>
    </xf>
    <xf numFmtId="195" fontId="105" fillId="0" borderId="132" applyAlignment="1" pivotButton="0" quotePrefix="0" xfId="60307">
      <alignment horizontal="right" vertical="center" wrapText="1" readingOrder="1"/>
    </xf>
    <xf numFmtId="195" fontId="105" fillId="0" borderId="314" applyAlignment="1" pivotButton="0" quotePrefix="0" xfId="60307">
      <alignment horizontal="right" vertical="center" wrapText="1" readingOrder="1"/>
    </xf>
    <xf numFmtId="195" fontId="105" fillId="0" borderId="315" applyAlignment="1" pivotButton="0" quotePrefix="0" xfId="60307">
      <alignment horizontal="right" vertical="center" wrapText="1" readingOrder="1"/>
    </xf>
    <xf numFmtId="0" fontId="102" fillId="0" borderId="506" applyAlignment="1" pivotButton="0" quotePrefix="0" xfId="0">
      <alignment horizontal="left" vertical="center" wrapText="1" readingOrder="1"/>
    </xf>
    <xf numFmtId="165" fontId="105" fillId="0" borderId="320" applyAlignment="1" pivotButton="0" quotePrefix="0" xfId="60307">
      <alignment horizontal="right" vertical="center" wrapText="1" readingOrder="1"/>
    </xf>
    <xf numFmtId="165" fontId="105" fillId="0" borderId="321" applyAlignment="1" pivotButton="0" quotePrefix="0" xfId="60307">
      <alignment horizontal="right" vertical="center" wrapText="1" readingOrder="1"/>
    </xf>
    <xf numFmtId="195" fontId="105" fillId="0" borderId="321" applyAlignment="1" pivotButton="0" quotePrefix="0" xfId="60307">
      <alignment horizontal="right" vertical="center" wrapText="1" readingOrder="1"/>
    </xf>
    <xf numFmtId="195" fontId="105" fillId="0" borderId="322" applyAlignment="1" pivotButton="0" quotePrefix="0" xfId="60307">
      <alignment horizontal="right" vertical="center" wrapText="1" readingOrder="1"/>
    </xf>
    <xf numFmtId="195" fontId="105" fillId="0" borderId="323" applyAlignment="1" pivotButton="0" quotePrefix="0" xfId="60307">
      <alignment horizontal="right" vertical="center" wrapText="1" readingOrder="1"/>
    </xf>
    <xf numFmtId="0" fontId="102" fillId="0" borderId="505" applyAlignment="1" pivotButton="0" quotePrefix="0" xfId="0">
      <alignment horizontal="left" vertical="center" wrapText="1" readingOrder="1"/>
    </xf>
    <xf numFmtId="165" fontId="105" fillId="0" borderId="328" applyAlignment="1" pivotButton="0" quotePrefix="0" xfId="60307">
      <alignment horizontal="right" vertical="center" wrapText="1" readingOrder="1"/>
    </xf>
    <xf numFmtId="165" fontId="105" fillId="0" borderId="329" applyAlignment="1" pivotButton="0" quotePrefix="0" xfId="60307">
      <alignment horizontal="right" vertical="center" wrapText="1" readingOrder="1"/>
    </xf>
    <xf numFmtId="195" fontId="105" fillId="0" borderId="329" applyAlignment="1" pivotButton="0" quotePrefix="0" xfId="60307">
      <alignment horizontal="right" vertical="center" wrapText="1" readingOrder="1"/>
    </xf>
    <xf numFmtId="195" fontId="105" fillId="0" borderId="330" applyAlignment="1" pivotButton="0" quotePrefix="0" xfId="60307">
      <alignment horizontal="right" vertical="center" wrapText="1" readingOrder="1"/>
    </xf>
    <xf numFmtId="195" fontId="105" fillId="0" borderId="331" applyAlignment="1" pivotButton="0" quotePrefix="0" xfId="60307">
      <alignment horizontal="right" vertical="center" wrapText="1" readingOrder="1"/>
    </xf>
    <xf numFmtId="0" fontId="102" fillId="0" borderId="509" applyAlignment="1" pivotButton="0" quotePrefix="0" xfId="0">
      <alignment horizontal="left" vertical="center" wrapText="1" readingOrder="1"/>
    </xf>
    <xf numFmtId="0" fontId="0" fillId="0" borderId="369" pivotButton="0" quotePrefix="0" xfId="0"/>
    <xf numFmtId="165" fontId="105" fillId="0" borderId="338" applyAlignment="1" pivotButton="0" quotePrefix="0" xfId="60307">
      <alignment horizontal="right" vertical="center" wrapText="1" readingOrder="1"/>
    </xf>
    <xf numFmtId="165" fontId="105" fillId="0" borderId="122" applyAlignment="1" pivotButton="0" quotePrefix="0" xfId="60307">
      <alignment horizontal="right" vertical="center" wrapText="1" readingOrder="1"/>
    </xf>
    <xf numFmtId="195" fontId="105" fillId="0" borderId="122" applyAlignment="1" pivotButton="0" quotePrefix="0" xfId="60307">
      <alignment horizontal="right" vertical="center" wrapText="1" readingOrder="1"/>
    </xf>
    <xf numFmtId="195" fontId="105" fillId="0" borderId="339" applyAlignment="1" pivotButton="0" quotePrefix="0" xfId="60307">
      <alignment horizontal="right" vertical="center" wrapText="1" readingOrder="1"/>
    </xf>
    <xf numFmtId="195" fontId="105" fillId="0" borderId="340" applyAlignment="1" pivotButton="0" quotePrefix="0" xfId="60307">
      <alignment horizontal="right" vertical="center" wrapText="1" readingOrder="1"/>
    </xf>
    <xf numFmtId="165" fontId="105" fillId="0" borderId="343" applyAlignment="1" pivotButton="0" quotePrefix="0" xfId="60307">
      <alignment horizontal="right" vertical="center" wrapText="1" readingOrder="1"/>
    </xf>
    <xf numFmtId="165" fontId="105" fillId="0" borderId="129" applyAlignment="1" pivotButton="0" quotePrefix="0" xfId="60307">
      <alignment horizontal="right" vertical="center" wrapText="1" readingOrder="1"/>
    </xf>
    <xf numFmtId="195" fontId="105" fillId="0" borderId="129" applyAlignment="1" pivotButton="0" quotePrefix="0" xfId="60307">
      <alignment horizontal="right" vertical="center" wrapText="1" readingOrder="1"/>
    </xf>
    <xf numFmtId="195" fontId="105" fillId="0" borderId="344" applyAlignment="1" pivotButton="0" quotePrefix="0" xfId="60307">
      <alignment horizontal="right" vertical="center" wrapText="1" readingOrder="1"/>
    </xf>
    <xf numFmtId="195" fontId="105" fillId="0" borderId="345" applyAlignment="1" pivotButton="0" quotePrefix="0" xfId="60307">
      <alignment horizontal="right" vertical="center" wrapText="1" readingOrder="1"/>
    </xf>
    <xf numFmtId="193" fontId="105" fillId="0" borderId="132" applyAlignment="1" pivotButton="0" quotePrefix="0" xfId="60307">
      <alignment horizontal="right" vertical="center" wrapText="1" readingOrder="1"/>
    </xf>
    <xf numFmtId="193" fontId="105" fillId="0" borderId="314" applyAlignment="1" pivotButton="0" quotePrefix="0" xfId="60307">
      <alignment horizontal="right" vertical="center" wrapText="1" readingOrder="1"/>
    </xf>
    <xf numFmtId="193" fontId="105" fillId="0" borderId="315" applyAlignment="1" pivotButton="0" quotePrefix="0" xfId="60307">
      <alignment horizontal="right" vertical="center" wrapText="1" readingOrder="1"/>
    </xf>
    <xf numFmtId="193" fontId="105" fillId="0" borderId="122" applyAlignment="1" pivotButton="0" quotePrefix="0" xfId="60307">
      <alignment horizontal="right" vertical="center" wrapText="1" readingOrder="1"/>
    </xf>
    <xf numFmtId="193" fontId="105" fillId="0" borderId="339" applyAlignment="1" pivotButton="0" quotePrefix="0" xfId="60307">
      <alignment horizontal="right" vertical="center" wrapText="1" readingOrder="1"/>
    </xf>
    <xf numFmtId="193" fontId="105" fillId="0" borderId="340" applyAlignment="1" pivotButton="0" quotePrefix="0" xfId="60307">
      <alignment horizontal="right" vertical="center" wrapText="1" readingOrder="1"/>
    </xf>
    <xf numFmtId="193" fontId="105" fillId="0" borderId="129" applyAlignment="1" pivotButton="0" quotePrefix="0" xfId="60307">
      <alignment horizontal="right" vertical="center" wrapText="1" readingOrder="1"/>
    </xf>
    <xf numFmtId="193" fontId="105" fillId="0" borderId="344" applyAlignment="1" pivotButton="0" quotePrefix="0" xfId="60307">
      <alignment horizontal="right" vertical="center" wrapText="1" readingOrder="1"/>
    </xf>
    <xf numFmtId="193" fontId="105" fillId="0" borderId="345" applyAlignment="1" pivotButton="0" quotePrefix="0" xfId="60307">
      <alignment horizontal="right" vertical="center" wrapText="1" readingOrder="1"/>
    </xf>
    <xf numFmtId="0" fontId="102" fillId="0" borderId="519" applyAlignment="1" pivotButton="0" quotePrefix="0" xfId="0">
      <alignment horizontal="left" vertical="center" wrapText="1" readingOrder="1"/>
    </xf>
    <xf numFmtId="0" fontId="0" fillId="0" borderId="311" pivotButton="0" quotePrefix="0" xfId="0"/>
    <xf numFmtId="0" fontId="0" fillId="0" borderId="312" pivotButton="0" quotePrefix="0" xfId="0"/>
    <xf numFmtId="191" fontId="105" fillId="0" borderId="329" applyAlignment="1" pivotButton="0" quotePrefix="0" xfId="60307">
      <alignment horizontal="right" vertical="center" wrapText="1" readingOrder="1"/>
    </xf>
    <xf numFmtId="191" fontId="105" fillId="0" borderId="330" applyAlignment="1" pivotButton="0" quotePrefix="0" xfId="60307">
      <alignment horizontal="right" vertical="center" wrapText="1" readingOrder="1"/>
    </xf>
    <xf numFmtId="191" fontId="105" fillId="0" borderId="331" applyAlignment="1" pivotButton="0" quotePrefix="0" xfId="60307">
      <alignment horizontal="right" vertical="center" wrapText="1" readingOrder="1"/>
    </xf>
    <xf numFmtId="0" fontId="0" fillId="0" borderId="353" pivotButton="0" quotePrefix="0" xfId="0"/>
    <xf numFmtId="191" fontId="105" fillId="0" borderId="132" applyAlignment="1" pivotButton="0" quotePrefix="0" xfId="60307">
      <alignment horizontal="right" vertical="center" wrapText="1" readingOrder="1"/>
    </xf>
    <xf numFmtId="191" fontId="105" fillId="0" borderId="314" applyAlignment="1" pivotButton="0" quotePrefix="0" xfId="60307">
      <alignment horizontal="right" vertical="center" wrapText="1" readingOrder="1"/>
    </xf>
    <xf numFmtId="191" fontId="105" fillId="0" borderId="315" applyAlignment="1" pivotButton="0" quotePrefix="0" xfId="60307">
      <alignment horizontal="right" vertical="center" wrapText="1" readingOrder="1"/>
    </xf>
    <xf numFmtId="191" fontId="105" fillId="0" borderId="122" applyAlignment="1" pivotButton="0" quotePrefix="0" xfId="60307">
      <alignment horizontal="right" vertical="center" wrapText="1" readingOrder="1"/>
    </xf>
    <xf numFmtId="191" fontId="105" fillId="0" borderId="339" applyAlignment="1" pivotButton="0" quotePrefix="0" xfId="60307">
      <alignment horizontal="right" vertical="center" wrapText="1" readingOrder="1"/>
    </xf>
    <xf numFmtId="191" fontId="105" fillId="0" borderId="340" applyAlignment="1" pivotButton="0" quotePrefix="0" xfId="60307">
      <alignment horizontal="right" vertical="center" wrapText="1" readingOrder="1"/>
    </xf>
    <xf numFmtId="0" fontId="102" fillId="0" borderId="522" applyAlignment="1" pivotButton="0" quotePrefix="0" xfId="0">
      <alignment horizontal="left" vertical="center" wrapText="1" readingOrder="1"/>
    </xf>
    <xf numFmtId="0" fontId="0" fillId="0" borderId="354" pivotButton="0" quotePrefix="0" xfId="0"/>
    <xf numFmtId="0" fontId="102" fillId="0" borderId="436" applyAlignment="1" pivotButton="0" quotePrefix="0" xfId="0">
      <alignment horizontal="left" vertical="center" wrapText="1" readingOrder="1"/>
    </xf>
    <xf numFmtId="191" fontId="105" fillId="0" borderId="321" applyAlignment="1" pivotButton="0" quotePrefix="0" xfId="60307">
      <alignment horizontal="right" vertical="center" wrapText="1" readingOrder="1"/>
    </xf>
    <xf numFmtId="191" fontId="105" fillId="0" borderId="322" applyAlignment="1" pivotButton="0" quotePrefix="0" xfId="60307">
      <alignment horizontal="right" vertical="center" wrapText="1" readingOrder="1"/>
    </xf>
    <xf numFmtId="191" fontId="105" fillId="0" borderId="323" applyAlignment="1" pivotButton="0" quotePrefix="0" xfId="60307">
      <alignment horizontal="right" vertical="center" wrapText="1" readingOrder="1"/>
    </xf>
    <xf numFmtId="192" fontId="105" fillId="0" borderId="302" applyAlignment="1" pivotButton="0" quotePrefix="0" xfId="60307">
      <alignment horizontal="right" vertical="center" wrapText="1" readingOrder="1"/>
    </xf>
    <xf numFmtId="192" fontId="105" fillId="0" borderId="303" applyAlignment="1" pivotButton="0" quotePrefix="0" xfId="60307">
      <alignment horizontal="right" vertical="center" wrapText="1" readingOrder="1"/>
    </xf>
    <xf numFmtId="192" fontId="105" fillId="0" borderId="304" applyAlignment="1" pivotButton="0" quotePrefix="0" xfId="60307">
      <alignment horizontal="right" vertical="center" wrapText="1" readingOrder="1"/>
    </xf>
    <xf numFmtId="192" fontId="105" fillId="0" borderId="305" applyAlignment="1" pivotButton="0" quotePrefix="0" xfId="60307">
      <alignment horizontal="right" vertical="center" wrapText="1" readingOrder="1"/>
    </xf>
    <xf numFmtId="192" fontId="105" fillId="0" borderId="357" applyAlignment="1" pivotButton="0" quotePrefix="0" xfId="60307">
      <alignment horizontal="right" vertical="center" wrapText="1" readingOrder="1"/>
    </xf>
    <xf numFmtId="192" fontId="105" fillId="0" borderId="358" applyAlignment="1" pivotButton="0" quotePrefix="0" xfId="60307">
      <alignment horizontal="right" vertical="center" wrapText="1" readingOrder="1"/>
    </xf>
    <xf numFmtId="192" fontId="105" fillId="0" borderId="359" applyAlignment="1" pivotButton="0" quotePrefix="0" xfId="60307">
      <alignment horizontal="right" vertical="center" wrapText="1" readingOrder="1"/>
    </xf>
    <xf numFmtId="192" fontId="105" fillId="0" borderId="295" applyAlignment="1" pivotButton="0" quotePrefix="0" xfId="60307">
      <alignment horizontal="right" vertical="center" wrapText="1" readingOrder="1"/>
    </xf>
    <xf numFmtId="165" fontId="105" fillId="0" borderId="361" applyAlignment="1" pivotButton="0" quotePrefix="0" xfId="60307">
      <alignment horizontal="right" vertical="center" wrapText="1" readingOrder="1"/>
    </xf>
    <xf numFmtId="165" fontId="105" fillId="0" borderId="362" applyAlignment="1" pivotButton="0" quotePrefix="0" xfId="60307">
      <alignment horizontal="right" vertical="center" wrapText="1" readingOrder="1"/>
    </xf>
    <xf numFmtId="191" fontId="105" fillId="0" borderId="362" applyAlignment="1" pivotButton="0" quotePrefix="0" xfId="60307">
      <alignment horizontal="right" vertical="center" wrapText="1" readingOrder="1"/>
    </xf>
    <xf numFmtId="191" fontId="105" fillId="0" borderId="363" applyAlignment="1" pivotButton="0" quotePrefix="0" xfId="60307">
      <alignment horizontal="right" vertical="center" wrapText="1" readingOrder="1"/>
    </xf>
    <xf numFmtId="191" fontId="105" fillId="0" borderId="364" applyAlignment="1" pivotButton="0" quotePrefix="0" xfId="60307">
      <alignment horizontal="right" vertical="center" wrapText="1" readingOrder="1"/>
    </xf>
    <xf numFmtId="0" fontId="103" fillId="42" borderId="521" applyAlignment="1" pivotButton="0" quotePrefix="0" xfId="0">
      <alignment horizontal="left" vertical="center" wrapText="1" readingOrder="1"/>
    </xf>
    <xf numFmtId="165" fontId="104" fillId="42" borderId="320" applyAlignment="1" pivotButton="0" quotePrefix="0" xfId="60307">
      <alignment horizontal="right" vertical="center" wrapText="1" readingOrder="1"/>
    </xf>
    <xf numFmtId="165" fontId="104" fillId="42" borderId="321" applyAlignment="1" pivotButton="0" quotePrefix="0" xfId="60307">
      <alignment horizontal="right" vertical="center" wrapText="1" readingOrder="1"/>
    </xf>
    <xf numFmtId="191" fontId="104" fillId="42" borderId="321" applyAlignment="1" pivotButton="0" quotePrefix="0" xfId="60307">
      <alignment horizontal="right" vertical="center" wrapText="1" readingOrder="1"/>
    </xf>
    <xf numFmtId="191" fontId="104" fillId="42" borderId="322" applyAlignment="1" pivotButton="0" quotePrefix="0" xfId="60307">
      <alignment horizontal="right" vertical="center" wrapText="1" readingOrder="1"/>
    </xf>
    <xf numFmtId="191" fontId="104" fillId="42" borderId="323" applyAlignment="1" pivotButton="0" quotePrefix="0" xfId="60307">
      <alignment horizontal="right" vertical="center" wrapText="1" readingOrder="1"/>
    </xf>
    <xf numFmtId="194" fontId="9" fillId="0" borderId="1" applyAlignment="1" pivotButton="0" quotePrefix="0" xfId="2">
      <alignment horizontal="right" vertical="center" readingOrder="1"/>
    </xf>
    <xf numFmtId="194" fontId="9" fillId="0" borderId="5" applyAlignment="1" pivotButton="0" quotePrefix="0" xfId="2">
      <alignment horizontal="right" vertical="center" readingOrder="1"/>
    </xf>
    <xf numFmtId="194" fontId="9" fillId="0" borderId="50" applyAlignment="1" pivotButton="0" quotePrefix="0" xfId="2">
      <alignment horizontal="right" vertical="center" readingOrder="1"/>
    </xf>
    <xf numFmtId="194" fontId="9" fillId="0" borderId="8" applyAlignment="1" pivotButton="0" quotePrefix="0" xfId="2">
      <alignment horizontal="right" vertical="center" readingOrder="1"/>
    </xf>
    <xf numFmtId="194" fontId="9" fillId="0" borderId="2" applyAlignment="1" pivotButton="0" quotePrefix="0" xfId="2">
      <alignment horizontal="right" vertical="center" readingOrder="1"/>
    </xf>
    <xf numFmtId="194" fontId="9" fillId="0" borderId="23" applyAlignment="1" pivotButton="0" quotePrefix="0" xfId="2">
      <alignment horizontal="right" vertical="center" readingOrder="1"/>
    </xf>
    <xf numFmtId="194" fontId="9" fillId="0" borderId="75" applyAlignment="1" pivotButton="0" quotePrefix="0" xfId="2">
      <alignment horizontal="right" vertical="center" readingOrder="1"/>
    </xf>
    <xf numFmtId="194" fontId="9" fillId="0" borderId="81" applyAlignment="1" pivotButton="0" quotePrefix="0" xfId="2">
      <alignment horizontal="right" vertical="center" readingOrder="1"/>
    </xf>
    <xf numFmtId="194" fontId="9" fillId="0" borderId="22" applyAlignment="1" pivotButton="0" quotePrefix="0" xfId="2">
      <alignment horizontal="right" vertical="center" readingOrder="1"/>
    </xf>
    <xf numFmtId="194" fontId="6" fillId="0" borderId="21" applyAlignment="1" pivotButton="0" quotePrefix="0" xfId="2">
      <alignment horizontal="right" vertical="center" readingOrder="1"/>
    </xf>
    <xf numFmtId="194" fontId="9" fillId="0" borderId="31" applyAlignment="1" pivotButton="0" quotePrefix="0" xfId="2">
      <alignment horizontal="right" vertical="center" readingOrder="1"/>
    </xf>
    <xf numFmtId="194" fontId="9" fillId="0" borderId="76" applyAlignment="1" pivotButton="0" quotePrefix="0" xfId="2">
      <alignment horizontal="right" vertical="center" readingOrder="1"/>
    </xf>
    <xf numFmtId="194" fontId="9" fillId="0" borderId="82" applyAlignment="1" pivotButton="0" quotePrefix="0" xfId="2">
      <alignment horizontal="right" vertical="center" readingOrder="1"/>
    </xf>
    <xf numFmtId="194" fontId="9" fillId="0" borderId="33" applyAlignment="1" pivotButton="0" quotePrefix="0" xfId="2">
      <alignment horizontal="right" vertical="center" readingOrder="1"/>
    </xf>
    <xf numFmtId="194" fontId="6" fillId="0" borderId="69" applyAlignment="1" pivotButton="0" quotePrefix="0" xfId="2">
      <alignment horizontal="right" vertical="center" readingOrder="1"/>
    </xf>
    <xf numFmtId="194" fontId="9" fillId="0" borderId="15" applyAlignment="1" pivotButton="0" quotePrefix="0" xfId="2">
      <alignment horizontal="right" vertical="center" readingOrder="1"/>
    </xf>
    <xf numFmtId="194" fontId="9" fillId="0" borderId="41" applyAlignment="1" pivotButton="0" quotePrefix="0" xfId="2">
      <alignment horizontal="right" vertical="center" readingOrder="1"/>
    </xf>
    <xf numFmtId="194" fontId="9" fillId="0" borderId="83" applyAlignment="1" pivotButton="0" quotePrefix="0" xfId="2">
      <alignment horizontal="right" vertical="center" readingOrder="1"/>
    </xf>
    <xf numFmtId="194" fontId="9" fillId="0" borderId="17" applyAlignment="1" pivotButton="0" quotePrefix="0" xfId="2">
      <alignment horizontal="right" vertical="center" readingOrder="1"/>
    </xf>
    <xf numFmtId="194" fontId="6" fillId="0" borderId="16" applyAlignment="1" pivotButton="0" quotePrefix="0" xfId="2">
      <alignment horizontal="right" vertical="center" readingOrder="1"/>
    </xf>
    <xf numFmtId="194" fontId="9" fillId="0" borderId="26" applyAlignment="1" pivotButton="0" quotePrefix="0" xfId="2">
      <alignment horizontal="right" vertical="center" readingOrder="1"/>
    </xf>
    <xf numFmtId="194" fontId="9" fillId="0" borderId="40" applyAlignment="1" pivotButton="0" quotePrefix="0" xfId="2">
      <alignment vertical="center" readingOrder="1"/>
    </xf>
    <xf numFmtId="194" fontId="9" fillId="0" borderId="84" applyAlignment="1" pivotButton="0" quotePrefix="0" xfId="2">
      <alignment horizontal="right" vertical="center" readingOrder="1"/>
    </xf>
    <xf numFmtId="194" fontId="9" fillId="0" borderId="30" applyAlignment="1" pivotButton="0" quotePrefix="0" xfId="2">
      <alignment horizontal="right" vertical="center" readingOrder="1"/>
    </xf>
    <xf numFmtId="194" fontId="6" fillId="0" borderId="29" applyAlignment="1" pivotButton="0" quotePrefix="0" xfId="2">
      <alignment horizontal="right" vertical="center" readingOrder="1"/>
    </xf>
    <xf numFmtId="194" fontId="9" fillId="0" borderId="40" applyAlignment="1" pivotButton="0" quotePrefix="0" xfId="2">
      <alignment horizontal="right" vertical="center" readingOrder="1"/>
    </xf>
    <xf numFmtId="194" fontId="6" fillId="0" borderId="30" applyAlignment="1" pivotButton="0" quotePrefix="0" xfId="2">
      <alignment horizontal="right" vertical="center" readingOrder="1"/>
    </xf>
    <xf numFmtId="194" fontId="9" fillId="0" borderId="39" applyAlignment="1" pivotButton="0" quotePrefix="0" xfId="2">
      <alignment horizontal="right" vertical="center" readingOrder="1"/>
    </xf>
    <xf numFmtId="194" fontId="9" fillId="0" borderId="71" applyAlignment="1" pivotButton="0" quotePrefix="0" xfId="2">
      <alignment horizontal="right" vertical="center" readingOrder="1"/>
    </xf>
    <xf numFmtId="194" fontId="9" fillId="0" borderId="72" applyAlignment="1" pivotButton="0" quotePrefix="0" xfId="2">
      <alignment horizontal="right" vertical="center" readingOrder="1"/>
    </xf>
    <xf numFmtId="194" fontId="6" fillId="0" borderId="32" applyAlignment="1" pivotButton="0" quotePrefix="0" xfId="2">
      <alignment horizontal="right" vertical="center" readingOrder="1"/>
    </xf>
    <xf numFmtId="194" fontId="9" fillId="0" borderId="31" applyAlignment="1" pivotButton="0" quotePrefix="0" xfId="2">
      <alignment vertical="center" readingOrder="1"/>
    </xf>
    <xf numFmtId="194" fontId="9" fillId="0" borderId="76" applyAlignment="1" pivotButton="0" quotePrefix="0" xfId="2">
      <alignment vertical="center" readingOrder="1"/>
    </xf>
    <xf numFmtId="194" fontId="9" fillId="0" borderId="82" applyAlignment="1" pivotButton="0" quotePrefix="0" xfId="2">
      <alignment vertical="center" readingOrder="1"/>
    </xf>
    <xf numFmtId="194" fontId="9" fillId="0" borderId="15" applyAlignment="1" pivotButton="0" quotePrefix="0" xfId="2">
      <alignment vertical="center" readingOrder="1"/>
    </xf>
    <xf numFmtId="194" fontId="9" fillId="0" borderId="19" applyAlignment="1" pivotButton="0" quotePrefix="0" xfId="2">
      <alignment horizontal="right" vertical="center" readingOrder="1"/>
    </xf>
    <xf numFmtId="194" fontId="9" fillId="0" borderId="83" applyAlignment="1" pivotButton="0" quotePrefix="0" xfId="2">
      <alignment vertical="center" readingOrder="1"/>
    </xf>
    <xf numFmtId="194" fontId="9" fillId="0" borderId="26" applyAlignment="1" pivotButton="0" quotePrefix="0" xfId="2">
      <alignment vertical="center" readingOrder="1"/>
    </xf>
    <xf numFmtId="194" fontId="9" fillId="0" borderId="27" applyAlignment="1" pivotButton="0" quotePrefix="0" xfId="2">
      <alignment horizontal="right" vertical="center" readingOrder="1"/>
    </xf>
    <xf numFmtId="194" fontId="9" fillId="0" borderId="84" applyAlignment="1" pivotButton="0" quotePrefix="0" xfId="2">
      <alignment vertical="center" readingOrder="1"/>
    </xf>
    <xf numFmtId="194" fontId="9" fillId="0" borderId="34" applyAlignment="1" pivotButton="0" quotePrefix="0" xfId="2">
      <alignment vertical="center" readingOrder="1"/>
    </xf>
    <xf numFmtId="194" fontId="9" fillId="0" borderId="37" applyAlignment="1" pivotButton="0" quotePrefix="0" xfId="2">
      <alignment horizontal="right" vertical="center" readingOrder="1"/>
    </xf>
    <xf numFmtId="194" fontId="9" fillId="0" borderId="34" applyAlignment="1" pivotButton="0" quotePrefix="0" xfId="2">
      <alignment horizontal="right" vertical="center" readingOrder="1"/>
    </xf>
    <xf numFmtId="194" fontId="9" fillId="0" borderId="46" applyAlignment="1" pivotButton="0" quotePrefix="0" xfId="2">
      <alignment vertical="center" readingOrder="1"/>
    </xf>
    <xf numFmtId="194" fontId="9" fillId="0" borderId="36" applyAlignment="1" pivotButton="0" quotePrefix="0" xfId="2">
      <alignment horizontal="right" vertical="center" readingOrder="1"/>
    </xf>
    <xf numFmtId="194" fontId="6" fillId="0" borderId="35" applyAlignment="1" pivotButton="0" quotePrefix="0" xfId="2">
      <alignment horizontal="right" vertical="center" readingOrder="1"/>
    </xf>
    <xf numFmtId="194" fontId="9" fillId="0" borderId="78" applyAlignment="1" pivotButton="0" quotePrefix="0" xfId="2">
      <alignment horizontal="right" vertical="center" readingOrder="1"/>
    </xf>
    <xf numFmtId="194" fontId="9" fillId="0" borderId="77" applyAlignment="1" pivotButton="0" quotePrefix="0" xfId="2">
      <alignment vertical="center" readingOrder="1"/>
    </xf>
    <xf numFmtId="194" fontId="9" fillId="0" borderId="66" applyAlignment="1" pivotButton="0" quotePrefix="0" xfId="2">
      <alignment horizontal="right" vertical="center" readingOrder="1"/>
    </xf>
    <xf numFmtId="194" fontId="9" fillId="0" borderId="46" applyAlignment="1" pivotButton="0" quotePrefix="0" xfId="2">
      <alignment horizontal="right" vertical="center" readingOrder="1"/>
    </xf>
    <xf numFmtId="194" fontId="9" fillId="0" borderId="17" applyAlignment="1" pivotButton="0" quotePrefix="0" xfId="2">
      <alignment vertical="center" readingOrder="1"/>
    </xf>
    <xf numFmtId="194" fontId="6" fillId="0" borderId="16" applyAlignment="1" pivotButton="0" quotePrefix="0" xfId="2">
      <alignment vertical="center" readingOrder="1"/>
    </xf>
    <xf numFmtId="194" fontId="9" fillId="0" borderId="21" applyAlignment="1" pivotButton="0" quotePrefix="0" xfId="2">
      <alignment horizontal="right" vertical="center" readingOrder="1"/>
    </xf>
    <xf numFmtId="194" fontId="9" fillId="0" borderId="10" applyAlignment="1" pivotButton="0" quotePrefix="0" xfId="2">
      <alignment horizontal="right" vertical="center" readingOrder="1"/>
    </xf>
    <xf numFmtId="194" fontId="9" fillId="0" borderId="79" applyAlignment="1" pivotButton="0" quotePrefix="0" xfId="2">
      <alignment horizontal="right" vertical="center" readingOrder="1"/>
    </xf>
    <xf numFmtId="194" fontId="9" fillId="0" borderId="85" applyAlignment="1" pivotButton="0" quotePrefix="0" xfId="2">
      <alignment horizontal="right" vertical="center" readingOrder="1"/>
    </xf>
    <xf numFmtId="194" fontId="9" fillId="2" borderId="80" applyAlignment="1" pivotButton="0" quotePrefix="0" xfId="2">
      <alignment horizontal="right" vertical="center" readingOrder="1"/>
    </xf>
    <xf numFmtId="194" fontId="9" fillId="0" borderId="12" applyAlignment="1" pivotButton="0" quotePrefix="0" xfId="2">
      <alignment horizontal="right" vertical="center" readingOrder="1"/>
    </xf>
    <xf numFmtId="194" fontId="9" fillId="0" borderId="11" applyAlignment="1" pivotButton="0" quotePrefix="0" xfId="2">
      <alignment horizontal="right" vertical="center" readingOrder="1"/>
    </xf>
    <xf numFmtId="194" fontId="9" fillId="0" borderId="73" applyAlignment="1" pivotButton="0" quotePrefix="0" xfId="2">
      <alignment horizontal="right" vertical="center" readingOrder="1"/>
    </xf>
    <xf numFmtId="194" fontId="9" fillId="0" borderId="16" applyAlignment="1" pivotButton="0" quotePrefix="0" xfId="2">
      <alignment horizontal="right" vertical="center" readingOrder="1"/>
    </xf>
    <xf numFmtId="194" fontId="9" fillId="0" borderId="74" applyAlignment="1" pivotButton="0" quotePrefix="0" xfId="2">
      <alignment horizontal="right" vertical="center" readingOrder="1"/>
    </xf>
    <xf numFmtId="194" fontId="9" fillId="0" borderId="80" applyAlignment="1" pivotButton="0" quotePrefix="0" xfId="2">
      <alignment horizontal="right" vertical="center" readingOrder="1"/>
    </xf>
    <xf numFmtId="194" fontId="9" fillId="0" borderId="1" applyAlignment="1" pivotButton="0" quotePrefix="0" xfId="60307">
      <alignment horizontal="right" vertical="center" readingOrder="1"/>
    </xf>
    <xf numFmtId="194" fontId="9" fillId="0" borderId="86" applyAlignment="1" pivotButton="0" quotePrefix="0" xfId="2">
      <alignment horizontal="right" vertical="center" readingOrder="1"/>
    </xf>
    <xf numFmtId="194" fontId="10" fillId="0" borderId="4" applyAlignment="1" pivotButton="0" quotePrefix="0" xfId="2">
      <alignment horizontal="right" vertical="center" readingOrder="1"/>
    </xf>
    <xf numFmtId="194" fontId="9" fillId="0" borderId="3" applyAlignment="1" pivotButton="0" quotePrefix="0" xfId="2">
      <alignment horizontal="right" vertical="center" readingOrder="1"/>
    </xf>
    <xf numFmtId="0" fontId="30" fillId="0" borderId="0" applyAlignment="1" pivotButton="0" quotePrefix="0" xfId="0">
      <alignment vertical="center"/>
    </xf>
    <xf numFmtId="215" fontId="30" fillId="6" borderId="0" applyAlignment="1" pivotButton="0" quotePrefix="0" xfId="0">
      <alignment horizontal="left" vertical="center"/>
    </xf>
    <xf numFmtId="0" fontId="24" fillId="0" borderId="0" applyAlignment="1" pivotButton="0" quotePrefix="0" xfId="0">
      <alignment horizontal="right" vertical="center"/>
    </xf>
    <xf numFmtId="0" fontId="25" fillId="3" borderId="2" applyAlignment="1" pivotButton="0" quotePrefix="0" xfId="0">
      <alignment vertical="center" readingOrder="1"/>
    </xf>
    <xf numFmtId="0" fontId="25" fillId="3" borderId="186" applyAlignment="1" pivotButton="0" quotePrefix="0" xfId="0">
      <alignment horizontal="center" vertical="center" readingOrder="1"/>
    </xf>
    <xf numFmtId="0" fontId="28" fillId="3" borderId="51" applyAlignment="1" pivotButton="0" quotePrefix="0" xfId="0">
      <alignment horizontal="center" vertical="center" readingOrder="1"/>
    </xf>
    <xf numFmtId="0" fontId="25" fillId="3" borderId="42" applyAlignment="1" pivotButton="0" quotePrefix="0" xfId="0">
      <alignment horizontal="center" vertical="center" readingOrder="1"/>
    </xf>
    <xf numFmtId="0" fontId="25" fillId="3" borderId="1" applyAlignment="1" pivotButton="0" quotePrefix="0" xfId="0">
      <alignment horizontal="center" vertical="center" readingOrder="1"/>
    </xf>
    <xf numFmtId="174" fontId="24" fillId="0" borderId="0" applyAlignment="1" pivotButton="0" quotePrefix="0" xfId="0">
      <alignment vertical="center"/>
    </xf>
    <xf numFmtId="0" fontId="25" fillId="0" borderId="2" applyAlignment="1" pivotButton="0" quotePrefix="0" xfId="0">
      <alignment horizontal="left" vertical="center" readingOrder="1"/>
    </xf>
    <xf numFmtId="168" fontId="25" fillId="0" borderId="186" applyAlignment="1" pivotButton="0" quotePrefix="0" xfId="0">
      <alignment horizontal="right" vertical="center" readingOrder="1"/>
    </xf>
    <xf numFmtId="168" fontId="28" fillId="0" borderId="53" applyAlignment="1" pivotButton="0" quotePrefix="0" xfId="0">
      <alignment horizontal="right" vertical="center" readingOrder="1"/>
    </xf>
    <xf numFmtId="173" fontId="26" fillId="0" borderId="42" applyAlignment="1" pivotButton="0" quotePrefix="0" xfId="0">
      <alignment horizontal="right" vertical="center" readingOrder="1"/>
    </xf>
    <xf numFmtId="0" fontId="25" fillId="6" borderId="1" applyAlignment="1" pivotButton="0" quotePrefix="0" xfId="0">
      <alignment horizontal="left" vertical="center" readingOrder="1"/>
    </xf>
    <xf numFmtId="0" fontId="25" fillId="0" borderId="24" applyAlignment="1" pivotButton="0" quotePrefix="0" xfId="0">
      <alignment horizontal="left" vertical="center" readingOrder="1"/>
    </xf>
    <xf numFmtId="168" fontId="25" fillId="0" borderId="187" applyAlignment="1" pivotButton="0" quotePrefix="0" xfId="0">
      <alignment horizontal="right" vertical="center" readingOrder="1"/>
    </xf>
    <xf numFmtId="168" fontId="25" fillId="0" borderId="48" applyAlignment="1" pivotButton="0" quotePrefix="0" xfId="0">
      <alignment horizontal="right" vertical="center" readingOrder="1"/>
    </xf>
    <xf numFmtId="173" fontId="27" fillId="0" borderId="56" applyAlignment="1" pivotButton="0" quotePrefix="0" xfId="0">
      <alignment horizontal="right" vertical="center" readingOrder="1"/>
    </xf>
    <xf numFmtId="0" fontId="29" fillId="0" borderId="15" applyAlignment="1" pivotButton="0" quotePrefix="0" xfId="0">
      <alignment horizontal="left" vertical="center" readingOrder="1"/>
    </xf>
    <xf numFmtId="168" fontId="25" fillId="0" borderId="188" applyAlignment="1" pivotButton="0" quotePrefix="0" xfId="0">
      <alignment horizontal="right" vertical="center" readingOrder="1"/>
    </xf>
    <xf numFmtId="168" fontId="25" fillId="0" borderId="55" applyAlignment="1" pivotButton="0" quotePrefix="0" xfId="0">
      <alignment horizontal="right" vertical="center" readingOrder="1"/>
    </xf>
    <xf numFmtId="173" fontId="27" fillId="0" borderId="54" applyAlignment="1" pivotButton="0" quotePrefix="0" xfId="0">
      <alignment horizontal="right" vertical="center" readingOrder="1"/>
    </xf>
    <xf numFmtId="0" fontId="25" fillId="0" borderId="26" applyAlignment="1" pivotButton="0" quotePrefix="0" xfId="0">
      <alignment horizontal="left" vertical="center" wrapText="1" readingOrder="1"/>
    </xf>
    <xf numFmtId="0" fontId="29" fillId="0" borderId="162" applyAlignment="1" pivotButton="0" quotePrefix="0" xfId="0">
      <alignment horizontal="left" vertical="center" readingOrder="1"/>
    </xf>
    <xf numFmtId="173" fontId="28" fillId="0" borderId="54" applyAlignment="1" pivotButton="0" quotePrefix="0" xfId="0">
      <alignment horizontal="right" vertical="center" readingOrder="1"/>
    </xf>
    <xf numFmtId="0" fontId="28" fillId="0" borderId="2" applyAlignment="1" pivotButton="0" quotePrefix="0" xfId="0">
      <alignment vertical="center" readingOrder="1"/>
    </xf>
    <xf numFmtId="168" fontId="24" fillId="0" borderId="186" applyAlignment="1" pivotButton="0" quotePrefix="0" xfId="0">
      <alignment horizontal="right" vertical="center" readingOrder="1"/>
    </xf>
    <xf numFmtId="168" fontId="24" fillId="0" borderId="8" applyAlignment="1" pivotButton="0" quotePrefix="0" xfId="0">
      <alignment horizontal="right" vertical="center" readingOrder="1"/>
    </xf>
    <xf numFmtId="0" fontId="29" fillId="0" borderId="20" applyAlignment="1" pivotButton="0" quotePrefix="0" xfId="0">
      <alignment vertical="center"/>
    </xf>
    <xf numFmtId="0" fontId="25" fillId="0" borderId="2" applyAlignment="1" pivotButton="0" quotePrefix="0" xfId="0">
      <alignment vertical="center" readingOrder="1"/>
    </xf>
    <xf numFmtId="168" fontId="25" fillId="0" borderId="53" applyAlignment="1" pivotButton="0" quotePrefix="0" xfId="0">
      <alignment horizontal="right" vertical="center" readingOrder="1"/>
    </xf>
    <xf numFmtId="0" fontId="29" fillId="0" borderId="20" applyAlignment="1" pivotButton="0" quotePrefix="0" xfId="0">
      <alignment vertical="center" wrapText="1"/>
    </xf>
    <xf numFmtId="0" fontId="25" fillId="5" borderId="2" applyAlignment="1" pivotButton="0" quotePrefix="0" xfId="0">
      <alignment vertical="center" readingOrder="1"/>
    </xf>
    <xf numFmtId="168" fontId="25" fillId="5" borderId="186" applyAlignment="1" pivotButton="0" quotePrefix="0" xfId="0">
      <alignment horizontal="right" vertical="center" readingOrder="1"/>
    </xf>
    <xf numFmtId="168" fontId="28" fillId="5" borderId="52" applyAlignment="1" pivotButton="0" quotePrefix="0" xfId="0">
      <alignment horizontal="right" vertical="center" readingOrder="1"/>
    </xf>
    <xf numFmtId="173" fontId="26" fillId="5" borderId="42" applyAlignment="1" pivotButton="0" quotePrefix="0" xfId="0">
      <alignment horizontal="right" vertical="center" readingOrder="1"/>
    </xf>
    <xf numFmtId="168" fontId="24" fillId="0" borderId="0" applyAlignment="1" pivotButton="0" quotePrefix="0" xfId="0">
      <alignment vertical="center"/>
    </xf>
    <xf numFmtId="196" fontId="24" fillId="0" borderId="0" applyAlignment="1" pivotButton="0" quotePrefix="0" xfId="0">
      <alignment vertical="center"/>
    </xf>
    <xf numFmtId="197" fontId="24" fillId="0" borderId="0" applyAlignment="1" pivotButton="0" quotePrefix="0" xfId="0">
      <alignment vertical="center"/>
    </xf>
    <xf numFmtId="0" fontId="16" fillId="0" borderId="0" applyAlignment="1" pivotButton="0" quotePrefix="0" xfId="0">
      <alignment horizontal="right" vertical="center"/>
    </xf>
    <xf numFmtId="0" fontId="91" fillId="3" borderId="7" applyAlignment="1" pivotButton="0" quotePrefix="0" xfId="0">
      <alignment horizontal="center" vertical="center" readingOrder="1"/>
    </xf>
    <xf numFmtId="0" fontId="91" fillId="3" borderId="118" applyAlignment="1" pivotButton="0" quotePrefix="0" xfId="0">
      <alignment horizontal="center" vertical="center" readingOrder="1"/>
    </xf>
    <xf numFmtId="0" fontId="91" fillId="3" borderId="1" applyAlignment="1" pivotButton="0" quotePrefix="0" xfId="0">
      <alignment horizontal="center" vertical="center" readingOrder="1"/>
    </xf>
    <xf numFmtId="0" fontId="91" fillId="3" borderId="5" applyAlignment="1" pivotButton="0" quotePrefix="0" xfId="0">
      <alignment horizontal="center" vertical="center" readingOrder="1"/>
    </xf>
    <xf numFmtId="0" fontId="91" fillId="3" borderId="117" applyAlignment="1" pivotButton="0" quotePrefix="0" xfId="0">
      <alignment horizontal="center" vertical="center" readingOrder="1"/>
    </xf>
    <xf numFmtId="0" fontId="91" fillId="38" borderId="7" applyAlignment="1" pivotButton="0" quotePrefix="0" xfId="0">
      <alignment vertical="center" readingOrder="1"/>
    </xf>
    <xf numFmtId="168" fontId="91" fillId="38" borderId="1" applyAlignment="1" pivotButton="0" quotePrefix="0" xfId="0">
      <alignment horizontal="right" vertical="center" readingOrder="1"/>
    </xf>
    <xf numFmtId="168" fontId="91" fillId="39" borderId="1" applyAlignment="1" pivotButton="0" quotePrefix="0" xfId="0">
      <alignment horizontal="right" vertical="center" readingOrder="1"/>
    </xf>
    <xf numFmtId="168" fontId="91" fillId="38" borderId="118" applyAlignment="1" pivotButton="0" quotePrefix="0" xfId="0">
      <alignment horizontal="right" vertical="center" readingOrder="1"/>
    </xf>
    <xf numFmtId="0" fontId="13" fillId="0" borderId="20" applyAlignment="1" pivotButton="0" quotePrefix="0" xfId="0">
      <alignment vertical="center"/>
    </xf>
    <xf numFmtId="0" fontId="91" fillId="0" borderId="25" applyAlignment="1" pivotButton="0" quotePrefix="0" xfId="0">
      <alignment horizontal="left" vertical="center" readingOrder="1"/>
    </xf>
    <xf numFmtId="168" fontId="91" fillId="0" borderId="20" applyAlignment="1" pivotButton="0" quotePrefix="0" xfId="0">
      <alignment horizontal="right" vertical="center" readingOrder="1"/>
    </xf>
    <xf numFmtId="168" fontId="91" fillId="0" borderId="168" applyAlignment="1" pivotButton="0" quotePrefix="0" xfId="0">
      <alignment horizontal="right" vertical="center" readingOrder="1"/>
    </xf>
    <xf numFmtId="0" fontId="34" fillId="0" borderId="26" applyAlignment="1" pivotButton="0" quotePrefix="0" xfId="0">
      <alignment horizontal="left" vertical="center" readingOrder="1"/>
    </xf>
    <xf numFmtId="0" fontId="91" fillId="0" borderId="64" applyAlignment="1" pivotButton="0" quotePrefix="0" xfId="0">
      <alignment vertical="center" readingOrder="1"/>
    </xf>
    <xf numFmtId="168" fontId="91" fillId="0" borderId="169" applyAlignment="1" pivotButton="0" quotePrefix="0" xfId="0">
      <alignment horizontal="right" vertical="center" readingOrder="1"/>
    </xf>
    <xf numFmtId="168" fontId="91" fillId="0" borderId="126" applyAlignment="1" pivotButton="0" quotePrefix="0" xfId="0">
      <alignment horizontal="right" vertical="center" readingOrder="1"/>
    </xf>
    <xf numFmtId="0" fontId="91" fillId="39" borderId="64" applyAlignment="1" pivotButton="0" quotePrefix="0" xfId="0">
      <alignment vertical="center" readingOrder="1"/>
    </xf>
    <xf numFmtId="168" fontId="91" fillId="39" borderId="169" applyAlignment="1" pivotButton="0" quotePrefix="0" xfId="0">
      <alignment horizontal="right" vertical="center" readingOrder="1"/>
    </xf>
    <xf numFmtId="168" fontId="91" fillId="39" borderId="126" applyAlignment="1" pivotButton="0" quotePrefix="0" xfId="0">
      <alignment horizontal="right" vertical="center" readingOrder="1"/>
    </xf>
    <xf numFmtId="0" fontId="13" fillId="0" borderId="26" applyAlignment="1" pivotButton="0" quotePrefix="0" xfId="0">
      <alignment vertical="center"/>
    </xf>
    <xf numFmtId="0" fontId="91" fillId="5" borderId="133" applyAlignment="1" pivotButton="0" quotePrefix="0" xfId="0">
      <alignment vertical="center" readingOrder="1"/>
    </xf>
    <xf numFmtId="168" fontId="91" fillId="5" borderId="170" applyAlignment="1" pivotButton="0" quotePrefix="0" xfId="0">
      <alignment horizontal="right" vertical="center" readingOrder="1"/>
    </xf>
    <xf numFmtId="168" fontId="91" fillId="5" borderId="134" applyAlignment="1" pivotButton="0" quotePrefix="0" xfId="0">
      <alignment horizontal="right" vertical="center" readingOrder="1"/>
    </xf>
    <xf numFmtId="168" fontId="91" fillId="0" borderId="125" applyAlignment="1" pivotButton="0" quotePrefix="0" xfId="0">
      <alignment horizontal="right" vertical="center" readingOrder="1"/>
    </xf>
    <xf numFmtId="0" fontId="34" fillId="0" borderId="136" applyAlignment="1" pivotButton="0" quotePrefix="0" xfId="0">
      <alignment horizontal="left" vertical="center" readingOrder="1"/>
    </xf>
    <xf numFmtId="0" fontId="91" fillId="5" borderId="135" applyAlignment="1" pivotButton="0" quotePrefix="0" xfId="0">
      <alignment vertical="center" readingOrder="1"/>
    </xf>
    <xf numFmtId="168" fontId="91" fillId="5" borderId="162" applyAlignment="1" pivotButton="0" quotePrefix="0" xfId="0">
      <alignment horizontal="right" vertical="center" readingOrder="1"/>
    </xf>
    <xf numFmtId="0" fontId="34" fillId="0" borderId="138" applyAlignment="1" pivotButton="0" quotePrefix="0" xfId="0">
      <alignment horizontal="left" vertical="center" readingOrder="1"/>
    </xf>
    <xf numFmtId="0" fontId="91" fillId="0" borderId="139" applyAlignment="1" pivotButton="0" quotePrefix="0" xfId="0">
      <alignment vertical="center" readingOrder="1"/>
    </xf>
    <xf numFmtId="168" fontId="91" fillId="0" borderId="171" applyAlignment="1" pivotButton="0" quotePrefix="0" xfId="0">
      <alignment horizontal="right" vertical="center" readingOrder="1"/>
    </xf>
    <xf numFmtId="168" fontId="91" fillId="0" borderId="140" applyAlignment="1" pivotButton="0" quotePrefix="0" xfId="0">
      <alignment horizontal="right" vertical="center" readingOrder="1"/>
    </xf>
    <xf numFmtId="0" fontId="34" fillId="0" borderId="141" applyAlignment="1" pivotButton="0" quotePrefix="0" xfId="0">
      <alignment horizontal="left" vertical="center" readingOrder="1"/>
    </xf>
    <xf numFmtId="0" fontId="91" fillId="40" borderId="44" applyAlignment="1" pivotButton="0" quotePrefix="0" xfId="0">
      <alignment vertical="center" readingOrder="1"/>
    </xf>
    <xf numFmtId="168" fontId="91" fillId="40" borderId="172" applyAlignment="1" pivotButton="0" quotePrefix="0" xfId="0">
      <alignment horizontal="right" vertical="center" readingOrder="1"/>
    </xf>
    <xf numFmtId="168" fontId="91" fillId="40" borderId="142" applyAlignment="1" pivotButton="0" quotePrefix="0" xfId="0">
      <alignment horizontal="right" vertical="center" readingOrder="1"/>
    </xf>
    <xf numFmtId="0" fontId="91" fillId="0" borderId="1" applyAlignment="1" pivotButton="0" quotePrefix="0" xfId="0">
      <alignment horizontal="left" vertical="center" readingOrder="1"/>
    </xf>
    <xf numFmtId="165" fontId="34" fillId="0" borderId="6" applyAlignment="1" pivotButton="0" quotePrefix="0" xfId="0">
      <alignment horizontal="right" vertical="center" wrapText="1" readingOrder="1"/>
    </xf>
    <xf numFmtId="165" fontId="34" fillId="0" borderId="5" applyAlignment="1" pivotButton="0" quotePrefix="0" xfId="0">
      <alignment horizontal="right" vertical="center" wrapText="1" readingOrder="1"/>
    </xf>
    <xf numFmtId="165" fontId="34" fillId="0" borderId="1" applyAlignment="1" pivotButton="0" quotePrefix="0" xfId="0">
      <alignment horizontal="right" vertical="center" wrapText="1" readingOrder="1"/>
    </xf>
    <xf numFmtId="165" fontId="34" fillId="0" borderId="9" applyAlignment="1" pivotButton="0" quotePrefix="0" xfId="0">
      <alignment horizontal="right" vertical="center" wrapText="1" readingOrder="1"/>
    </xf>
    <xf numFmtId="165" fontId="34" fillId="0" borderId="8" applyAlignment="1" pivotButton="0" quotePrefix="0" xfId="0">
      <alignment horizontal="right" vertical="center" wrapText="1" readingOrder="1"/>
    </xf>
    <xf numFmtId="165" fontId="34" fillId="0" borderId="96" applyAlignment="1" pivotButton="0" quotePrefix="0" xfId="0">
      <alignment horizontal="right" vertical="center" wrapText="1" readingOrder="1"/>
    </xf>
    <xf numFmtId="165" fontId="34" fillId="0" borderId="179" applyAlignment="1" pivotButton="0" quotePrefix="0" xfId="0">
      <alignment horizontal="right" vertical="center" wrapText="1" readingOrder="1"/>
    </xf>
    <xf numFmtId="165" fontId="34" fillId="0" borderId="81" applyAlignment="1" pivotButton="0" quotePrefix="0" xfId="0">
      <alignment horizontal="right" vertical="center" wrapText="1" readingOrder="1"/>
    </xf>
    <xf numFmtId="165" fontId="34" fillId="0" borderId="178" applyAlignment="1" pivotButton="0" quotePrefix="0" xfId="0">
      <alignment horizontal="right" vertical="center" wrapText="1" readingOrder="1"/>
    </xf>
    <xf numFmtId="165" fontId="34" fillId="42" borderId="119" applyAlignment="1" pivotButton="0" quotePrefix="0" xfId="0">
      <alignment horizontal="right" vertical="center" wrapText="1" readingOrder="1"/>
    </xf>
    <xf numFmtId="165" fontId="34" fillId="42" borderId="16" applyAlignment="1" pivotButton="0" quotePrefix="0" xfId="0">
      <alignment horizontal="right" vertical="center" wrapText="1" readingOrder="1"/>
    </xf>
    <xf numFmtId="165" fontId="34" fillId="42" borderId="15" applyAlignment="1" pivotButton="0" quotePrefix="0" xfId="0">
      <alignment horizontal="right" vertical="center" wrapText="1" readingOrder="1"/>
    </xf>
    <xf numFmtId="165" fontId="34" fillId="42" borderId="174" applyAlignment="1" pivotButton="0" quotePrefix="0" xfId="0">
      <alignment horizontal="right" vertical="center" wrapText="1" readingOrder="1"/>
    </xf>
    <xf numFmtId="165" fontId="34" fillId="42" borderId="17" applyAlignment="1" pivotButton="0" quotePrefix="0" xfId="0">
      <alignment horizontal="right" vertical="center" wrapText="1" readingOrder="1"/>
    </xf>
    <xf numFmtId="165" fontId="34" fillId="42" borderId="181" applyAlignment="1" pivotButton="0" quotePrefix="0" xfId="0">
      <alignment horizontal="right" vertical="center" wrapText="1" readingOrder="1"/>
    </xf>
    <xf numFmtId="165" fontId="34" fillId="42" borderId="180" applyAlignment="1" pivotButton="0" quotePrefix="0" xfId="0">
      <alignment horizontal="right" vertical="center" wrapText="1" readingOrder="1"/>
    </xf>
    <xf numFmtId="165" fontId="34" fillId="42" borderId="74" applyAlignment="1" pivotButton="0" quotePrefix="0" xfId="0">
      <alignment horizontal="right" vertical="center" wrapText="1" readingOrder="1"/>
    </xf>
    <xf numFmtId="165" fontId="34" fillId="42" borderId="182" applyAlignment="1" pivotButton="0" quotePrefix="0" xfId="0">
      <alignment horizontal="right" vertical="center" wrapText="1" readingOrder="1"/>
    </xf>
    <xf numFmtId="165" fontId="34" fillId="42" borderId="177" applyAlignment="1" pivotButton="0" quotePrefix="0" xfId="0">
      <alignment horizontal="right" vertical="center" wrapText="1" readingOrder="1"/>
    </xf>
    <xf numFmtId="202" fontId="34" fillId="43" borderId="6" applyAlignment="1" pivotButton="0" quotePrefix="0" xfId="0">
      <alignment horizontal="right" vertical="center" wrapText="1" readingOrder="1"/>
    </xf>
    <xf numFmtId="202" fontId="34" fillId="43" borderId="87" applyAlignment="1" pivotButton="0" quotePrefix="0" xfId="0">
      <alignment horizontal="right" vertical="center" wrapText="1" readingOrder="1"/>
    </xf>
    <xf numFmtId="202" fontId="34" fillId="43" borderId="1" applyAlignment="1" pivotButton="0" quotePrefix="0" xfId="0">
      <alignment horizontal="right" vertical="center" wrapText="1" readingOrder="1"/>
    </xf>
    <xf numFmtId="202" fontId="34" fillId="43" borderId="9" applyAlignment="1" pivotButton="0" quotePrefix="0" xfId="0">
      <alignment horizontal="right" vertical="center" wrapText="1" readingOrder="1"/>
    </xf>
    <xf numFmtId="202" fontId="34" fillId="43" borderId="8" applyAlignment="1" pivotButton="0" quotePrefix="0" xfId="0">
      <alignment horizontal="right" vertical="center" wrapText="1" readingOrder="1"/>
    </xf>
    <xf numFmtId="165" fontId="34" fillId="0" borderId="87" applyAlignment="1" pivotButton="0" quotePrefix="0" xfId="0">
      <alignment horizontal="right" vertical="center" wrapText="1" readingOrder="1"/>
    </xf>
    <xf numFmtId="165" fontId="34" fillId="0" borderId="176" applyAlignment="1" pivotButton="0" quotePrefix="0" xfId="0">
      <alignment horizontal="right" vertical="center" wrapText="1" readingOrder="1"/>
    </xf>
    <xf numFmtId="165" fontId="34" fillId="0" borderId="183" applyAlignment="1" pivotButton="0" quotePrefix="0" xfId="0">
      <alignment horizontal="right" vertical="center" wrapText="1" readingOrder="1"/>
    </xf>
    <xf numFmtId="165" fontId="34" fillId="0" borderId="3" applyAlignment="1" pivotButton="0" quotePrefix="0" xfId="0">
      <alignment horizontal="right" vertical="center" wrapText="1" readingOrder="1"/>
    </xf>
    <xf numFmtId="0" fontId="91" fillId="0" borderId="0" applyAlignment="1" pivotButton="0" quotePrefix="0" xfId="0">
      <alignment vertical="center" readingOrder="1"/>
    </xf>
    <xf numFmtId="164" fontId="91" fillId="0" borderId="0" applyAlignment="1" pivotButton="0" quotePrefix="0" xfId="0">
      <alignment horizontal="right" vertical="center" readingOrder="1"/>
    </xf>
    <xf numFmtId="0" fontId="91" fillId="0" borderId="0" applyAlignment="1" pivotButton="0" quotePrefix="0" xfId="0">
      <alignment horizontal="left" vertical="center" readingOrder="1"/>
    </xf>
    <xf numFmtId="0" fontId="91" fillId="0" borderId="0" applyAlignment="1" pivotButton="0" quotePrefix="0" xfId="0">
      <alignment horizontal="center" vertical="center" readingOrder="1"/>
    </xf>
    <xf numFmtId="0" fontId="19" fillId="0" borderId="0" applyAlignment="1" pivotButton="0" quotePrefix="0" xfId="0">
      <alignment vertical="center"/>
    </xf>
    <xf numFmtId="0" fontId="20" fillId="6" borderId="0" applyAlignment="1" pivotButton="0" quotePrefix="0" xfId="0">
      <alignment vertical="center"/>
    </xf>
    <xf numFmtId="168" fontId="91" fillId="0" borderId="0" applyAlignment="1" pivotButton="0" quotePrefix="0" xfId="0">
      <alignment horizontal="right" vertical="center" readingOrder="1"/>
    </xf>
    <xf numFmtId="0" fontId="34" fillId="3" borderId="2" applyAlignment="1" pivotButton="0" quotePrefix="0" xfId="0">
      <alignment horizontal="center" vertical="center" readingOrder="1"/>
    </xf>
    <xf numFmtId="0" fontId="34" fillId="3" borderId="8" applyAlignment="1" pivotButton="0" quotePrefix="0" xfId="0">
      <alignment horizontal="center" vertical="center" readingOrder="1"/>
    </xf>
    <xf numFmtId="0" fontId="34" fillId="3" borderId="51" applyAlignment="1" pivotButton="0" quotePrefix="0" xfId="0">
      <alignment horizontal="center" vertical="center" readingOrder="1"/>
    </xf>
    <xf numFmtId="0" fontId="34" fillId="3" borderId="42" applyAlignment="1" pivotButton="0" quotePrefix="0" xfId="0">
      <alignment horizontal="center" vertical="center" readingOrder="1"/>
    </xf>
    <xf numFmtId="0" fontId="34" fillId="3" borderId="1" applyAlignment="1" pivotButton="0" quotePrefix="0" xfId="0">
      <alignment horizontal="center" vertical="center" readingOrder="1"/>
    </xf>
    <xf numFmtId="0" fontId="32" fillId="0" borderId="25" applyAlignment="1" pivotButton="0" quotePrefix="0" xfId="0">
      <alignment vertical="center" readingOrder="1"/>
    </xf>
    <xf numFmtId="0" fontId="34" fillId="0" borderId="57" applyAlignment="1" pivotButton="0" quotePrefix="0" xfId="0">
      <alignment vertical="center" readingOrder="1"/>
    </xf>
    <xf numFmtId="168" fontId="34" fillId="0" borderId="49" applyAlignment="1" pivotButton="0" quotePrefix="0" xfId="0">
      <alignment vertical="center" readingOrder="1"/>
    </xf>
    <xf numFmtId="168" fontId="34" fillId="0" borderId="48" applyAlignment="1" pivotButton="0" quotePrefix="0" xfId="0">
      <alignment vertical="center" readingOrder="1"/>
    </xf>
    <xf numFmtId="201" fontId="93" fillId="0" borderId="56" applyAlignment="1" pivotButton="0" quotePrefix="0" xfId="0">
      <alignment vertical="center" readingOrder="1"/>
    </xf>
    <xf numFmtId="0" fontId="15" fillId="0" borderId="20" applyAlignment="1" pivotButton="0" quotePrefix="0" xfId="0">
      <alignment horizontal="left" vertical="center" readingOrder="1"/>
    </xf>
    <xf numFmtId="0" fontId="20" fillId="0" borderId="0" applyAlignment="1" pivotButton="0" quotePrefix="0" xfId="0">
      <alignment vertical="center"/>
    </xf>
    <xf numFmtId="0" fontId="32" fillId="0" borderId="0" applyAlignment="1" pivotButton="0" quotePrefix="0" xfId="0">
      <alignment vertical="center" readingOrder="1"/>
    </xf>
    <xf numFmtId="0" fontId="34" fillId="0" borderId="66" applyAlignment="1" pivotButton="0" quotePrefix="0" xfId="0">
      <alignment vertical="center" readingOrder="1"/>
    </xf>
    <xf numFmtId="168" fontId="34" fillId="0" borderId="36" applyAlignment="1" pivotButton="0" quotePrefix="0" xfId="0">
      <alignment vertical="center" readingOrder="1"/>
    </xf>
    <xf numFmtId="168" fontId="34" fillId="0" borderId="47" applyAlignment="1" pivotButton="0" quotePrefix="0" xfId="0">
      <alignment vertical="center" readingOrder="1"/>
    </xf>
    <xf numFmtId="201" fontId="35" fillId="0" borderId="65" applyAlignment="1" pivotButton="0" quotePrefix="0" xfId="0">
      <alignment vertical="center" readingOrder="1"/>
    </xf>
    <xf numFmtId="0" fontId="15" fillId="0" borderId="257" applyAlignment="1" pivotButton="0" quotePrefix="0" xfId="0">
      <alignment horizontal="left" vertical="center" readingOrder="1"/>
    </xf>
    <xf numFmtId="0" fontId="0" fillId="0" borderId="221" pivotButton="0" quotePrefix="0" xfId="0"/>
    <xf numFmtId="0" fontId="34" fillId="0" borderId="40" applyAlignment="1" pivotButton="0" quotePrefix="0" xfId="0">
      <alignment vertical="center" readingOrder="1"/>
    </xf>
    <xf numFmtId="168" fontId="34" fillId="0" borderId="30" applyAlignment="1" pivotButton="0" quotePrefix="0" xfId="0">
      <alignment vertical="center" readingOrder="1"/>
    </xf>
    <xf numFmtId="168" fontId="34" fillId="0" borderId="55" applyAlignment="1" pivotButton="0" quotePrefix="0" xfId="0">
      <alignment vertical="center" readingOrder="1"/>
    </xf>
    <xf numFmtId="201" fontId="38" fillId="0" borderId="54" applyAlignment="1" pivotButton="0" quotePrefix="0" xfId="0">
      <alignment vertical="center" readingOrder="1"/>
    </xf>
    <xf numFmtId="0" fontId="15" fillId="0" borderId="26" applyAlignment="1" pivotButton="0" quotePrefix="0" xfId="0">
      <alignment horizontal="left" vertical="center" readingOrder="1"/>
    </xf>
    <xf numFmtId="201" fontId="38" fillId="0" borderId="65" applyAlignment="1" pivotButton="0" quotePrefix="0" xfId="0">
      <alignment vertical="center" readingOrder="1"/>
    </xf>
    <xf numFmtId="0" fontId="32" fillId="0" borderId="11" applyAlignment="1" pivotButton="0" quotePrefix="0" xfId="0">
      <alignment horizontal="right" vertical="center" readingOrder="1"/>
    </xf>
    <xf numFmtId="168" fontId="32" fillId="0" borderId="12" applyAlignment="1" pivotButton="0" quotePrefix="0" xfId="0">
      <alignment horizontal="right" vertical="center" readingOrder="1"/>
    </xf>
    <xf numFmtId="168" fontId="36" fillId="0" borderId="67" applyAlignment="1" pivotButton="0" quotePrefix="0" xfId="0">
      <alignment horizontal="right" vertical="center" readingOrder="1"/>
    </xf>
    <xf numFmtId="201" fontId="93" fillId="0" borderId="59" applyAlignment="1" pivotButton="0" quotePrefix="0" xfId="0">
      <alignment horizontal="right" vertical="center" readingOrder="1"/>
    </xf>
    <xf numFmtId="0" fontId="107" fillId="0" borderId="10" applyAlignment="1" pivotButton="0" quotePrefix="0" xfId="0">
      <alignment horizontal="left" vertical="center"/>
    </xf>
    <xf numFmtId="0" fontId="34" fillId="0" borderId="57" applyAlignment="1" pivotButton="0" quotePrefix="0" xfId="0">
      <alignment horizontal="left" vertical="center" readingOrder="1"/>
    </xf>
    <xf numFmtId="168" fontId="34" fillId="0" borderId="49" applyAlignment="1" pivotButton="0" quotePrefix="0" xfId="0">
      <alignment horizontal="right" vertical="center" readingOrder="1"/>
    </xf>
    <xf numFmtId="168" fontId="33" fillId="0" borderId="48" applyAlignment="1" pivotButton="0" quotePrefix="0" xfId="0">
      <alignment horizontal="right" vertical="center" readingOrder="1"/>
    </xf>
    <xf numFmtId="201" fontId="97" fillId="0" borderId="56" applyAlignment="1" pivotButton="0" quotePrefix="0" xfId="0">
      <alignment horizontal="right" vertical="center" readingOrder="1"/>
    </xf>
    <xf numFmtId="0" fontId="107" fillId="0" borderId="20" applyAlignment="1" pivotButton="0" quotePrefix="0" xfId="0">
      <alignment horizontal="left" vertical="center"/>
    </xf>
    <xf numFmtId="0" fontId="34" fillId="0" borderId="66" applyAlignment="1" pivotButton="0" quotePrefix="0" xfId="0">
      <alignment horizontal="left" vertical="center" readingOrder="1"/>
    </xf>
    <xf numFmtId="168" fontId="34" fillId="0" borderId="36" applyAlignment="1" pivotButton="0" quotePrefix="0" xfId="0">
      <alignment horizontal="right" vertical="center" readingOrder="1"/>
    </xf>
    <xf numFmtId="168" fontId="33" fillId="0" borderId="47" applyAlignment="1" pivotButton="0" quotePrefix="0" xfId="0">
      <alignment horizontal="right" vertical="center" readingOrder="1"/>
    </xf>
    <xf numFmtId="201" fontId="97" fillId="0" borderId="65" applyAlignment="1" pivotButton="0" quotePrefix="0" xfId="0">
      <alignment horizontal="right" vertical="center" readingOrder="1"/>
    </xf>
    <xf numFmtId="0" fontId="107" fillId="0" borderId="26" applyAlignment="1" pivotButton="0" quotePrefix="0" xfId="0">
      <alignment horizontal="left" vertical="center"/>
    </xf>
    <xf numFmtId="0" fontId="32" fillId="0" borderId="58" applyAlignment="1" pivotButton="0" quotePrefix="0" xfId="0">
      <alignment horizontal="left" vertical="center" readingOrder="1"/>
    </xf>
    <xf numFmtId="201" fontId="93" fillId="0" borderId="56" applyAlignment="1" pivotButton="0" quotePrefix="0" xfId="0">
      <alignment horizontal="right" vertical="center" readingOrder="1"/>
    </xf>
    <xf numFmtId="0" fontId="32" fillId="0" borderId="28" applyAlignment="1" pivotButton="0" quotePrefix="0" xfId="0">
      <alignment horizontal="left" vertical="center" readingOrder="1"/>
    </xf>
    <xf numFmtId="201" fontId="35" fillId="0" borderId="65" applyAlignment="1" pivotButton="0" quotePrefix="0" xfId="0">
      <alignment horizontal="right" vertical="center" readingOrder="1"/>
    </xf>
    <xf numFmtId="0" fontId="32" fillId="0" borderId="63" applyAlignment="1" pivotButton="0" quotePrefix="0" xfId="0">
      <alignment horizontal="right" vertical="center" readingOrder="1"/>
    </xf>
    <xf numFmtId="168" fontId="32" fillId="0" borderId="68" applyAlignment="1" pivotButton="0" quotePrefix="0" xfId="0">
      <alignment horizontal="right" vertical="center" readingOrder="1"/>
    </xf>
    <xf numFmtId="168" fontId="36" fillId="0" borderId="184" applyAlignment="1" pivotButton="0" quotePrefix="0" xfId="0">
      <alignment horizontal="right" vertical="center" readingOrder="1"/>
    </xf>
    <xf numFmtId="201" fontId="93" fillId="0" borderId="62" applyAlignment="1" pivotButton="0" quotePrefix="0" xfId="0">
      <alignment horizontal="right" vertical="center" readingOrder="1"/>
    </xf>
    <xf numFmtId="0" fontId="34" fillId="3" borderId="11" applyAlignment="1" pivotButton="0" quotePrefix="0" xfId="0">
      <alignment horizontal="right" vertical="center" readingOrder="1"/>
    </xf>
    <xf numFmtId="176" fontId="34" fillId="3" borderId="12" applyAlignment="1" pivotButton="0" quotePrefix="0" xfId="0">
      <alignment horizontal="right" vertical="center" readingOrder="1"/>
    </xf>
    <xf numFmtId="176" fontId="33" fillId="3" borderId="60" applyAlignment="1" pivotButton="0" quotePrefix="0" xfId="0">
      <alignment horizontal="right" vertical="center" readingOrder="1"/>
    </xf>
    <xf numFmtId="175" fontId="32" fillId="3" borderId="59" applyAlignment="1" pivotButton="0" quotePrefix="0" xfId="0">
      <alignment horizontal="right" vertical="center" readingOrder="1"/>
    </xf>
    <xf numFmtId="0" fontId="107" fillId="48" borderId="1" applyAlignment="1" pivotButton="0" quotePrefix="0" xfId="0">
      <alignment horizontal="left" vertical="center"/>
    </xf>
    <xf numFmtId="165" fontId="16" fillId="0" borderId="0" applyAlignment="1" pivotButton="0" quotePrefix="0" xfId="0">
      <alignment vertical="center"/>
    </xf>
    <xf numFmtId="167" fontId="16" fillId="0" borderId="0" applyAlignment="1" pivotButton="0" quotePrefix="0" xfId="0">
      <alignment vertical="center"/>
    </xf>
  </cellXfs>
  <cellStyles count="1">
    <cellStyle name="표준" xfId="0" builtinId="0"/>
  </cellStyles>
  <dxfs count="48"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externalLink" Target="/xl/externalLinks/externalLink1.xml" Id="rId9"/><Relationship Type="http://schemas.openxmlformats.org/officeDocument/2006/relationships/externalLink" Target="/xl/externalLinks/externalLink2.xml" Id="rId10"/><Relationship Type="http://schemas.openxmlformats.org/officeDocument/2006/relationships/externalLink" Target="/xl/externalLinks/externalLink3.xml" Id="rId11"/><Relationship Type="http://schemas.openxmlformats.org/officeDocument/2006/relationships/externalLink" Target="/xl/externalLinks/externalLink4.xml" Id="rId12"/><Relationship Type="http://schemas.openxmlformats.org/officeDocument/2006/relationships/externalLink" Target="/xl/externalLinks/externalLink5.xml" Id="rId13"/><Relationship Type="http://schemas.openxmlformats.org/officeDocument/2006/relationships/externalLink" Target="/xl/externalLinks/externalLink6.xml" Id="rId14"/><Relationship Type="http://schemas.openxmlformats.org/officeDocument/2006/relationships/externalLink" Target="/xl/externalLinks/externalLink7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IJH</author>
  </authors>
  <commentList>
    <comment ref="J27" authorId="0" shapeId="0">
      <text>
        <t>IJH:
카탈리스터 
미국법인 출자금
($5,000)</t>
      </text>
    </comment>
    <comment ref="M27" authorId="0" shapeId="0">
      <text>
        <t>IJH:
에이탑유니버스
- 버추얼아이돌 육성 pjt
투자금</t>
      </text>
    </comment>
    <comment ref="V43" authorId="0" shapeId="0">
      <text>
        <t>IJH:
정기예금 3억 만기해지</t>
      </text>
    </comment>
  </commentList>
</comments>
</file>

<file path=xl/comments/comment2.xml><?xml version="1.0" encoding="utf-8"?>
<comments xmlns="http://schemas.openxmlformats.org/spreadsheetml/2006/main">
  <authors>
    <author>IJH</author>
  </authors>
  <commentList>
    <comment ref="I1" authorId="0" shapeId="0">
      <text>
        <t>IJH:
전월말일 최초매매기준율</t>
      </text>
    </comment>
  </commentList>
</comments>
</file>

<file path=xl/comments/comment3.xml><?xml version="1.0" encoding="utf-8"?>
<comments xmlns="http://schemas.openxmlformats.org/spreadsheetml/2006/main">
  <authors>
    <author>IJH</author>
  </authors>
  <commentList>
    <comment ref="L13" authorId="0" shapeId="0">
      <text>
        <t>IJH:
- 2022-23 단체상해보험료 환급금: 4.3백만
- 25년 1기 부가세 환급금 2백만</t>
      </text>
    </comment>
    <comment ref="M13" authorId="0" shapeId="0">
      <text>
        <t>IJH:
정기예금 만기해지 이자, 결산이자 등 입금: 7백만</t>
      </text>
    </comment>
    <comment ref="O13" authorId="0" shapeId="0">
      <text>
        <t>IJH:
1기 확정 부가세 환급
(+2.3백만원)</t>
      </text>
    </comment>
    <comment ref="P13" authorId="0" shapeId="0">
      <text>
        <t>IJH:
정기예금 3억원
만기해지 이자 3.6백만원</t>
      </text>
    </comment>
    <comment ref="Q13" authorId="0" shapeId="0">
      <text>
        <t>IJH:
- 24년 임직원 보험료 
정산 환급금 2.2백만
(DB손해보험)</t>
      </text>
    </comment>
    <comment ref="R13" authorId="0" shapeId="0">
      <text>
        <t>IJH:
- 25년 2기 예정 부가세 환급: 2.1백만</t>
      </text>
    </comment>
  </commentList>
</comments>
</file>

<file path=xl/comments/comment4.xml><?xml version="1.0" encoding="utf-8"?>
<comments xmlns="http://schemas.openxmlformats.org/spreadsheetml/2006/main">
  <authors>
    <author>IJH</author>
  </authors>
  <commentList>
    <comment ref="I13" authorId="0" shapeId="0">
      <text>
        <t>IJH:
25년 2기 확정 부가세 환급금 1.3백만 등</t>
      </text>
    </comment>
    <comment ref="K13" authorId="0" shapeId="0">
      <text>
        <t>IJH:
'25년도 법인세 환급금 
:15백만</t>
      </text>
    </comment>
    <comment ref="M13" authorId="0" shapeId="0">
      <text>
        <t>IJH:
- 정기예금 만기해지 이자, 결산이자 등 입금: 6.4백만</t>
      </text>
    </comment>
    <comment ref="O13" authorId="0" shapeId="0">
      <text>
        <t>IJH:
26년1기 확정 부가세 환급금 
(약 2.1백만)</t>
      </text>
    </comment>
    <comment ref="K14" authorId="0" shapeId="0">
      <text>
        <t>IJH:
에이탑유니버스
자산양수도대금 15.4백만</t>
      </text>
    </comment>
    <comment ref="L14" authorId="0" shapeId="0">
      <text>
        <t>IJH:
노후장비 판매</t>
      </text>
    </comment>
    <comment ref="J18" authorId="0" shapeId="0">
      <text>
        <t xml:space="preserve">IJH:
원천징수 환급세액 발생
약 1천만원
-&gt; 익월 납부금액과 상계
</t>
      </text>
    </comment>
    <comment ref="P23" authorId="0" shapeId="0">
      <text>
        <t>IJH:
임직원 명절 상품권 0.6백만</t>
      </text>
    </comment>
    <comment ref="I33" authorId="0" shapeId="0">
      <text>
        <t xml:space="preserve">IJH:
카탈리스터 미국법인 출자금($5,000)
</t>
      </text>
    </comment>
    <comment ref="J33" authorId="0" shapeId="0">
      <text>
        <t>IJH:
ATOP UNIVERSE
신주인수대금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9</col>
      <colOff>85725</colOff>
      <row>1</row>
      <rowOff>57150</rowOff>
    </from>
    <ext cx="1904762" cy="5019048"/>
    <pic>
      <nvPicPr>
        <cNvPr id="2" name="그림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6943725" y="266700"/>
          <a:ext cx="1904762" cy="501904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file:///\\&#50577;&#48393;&#44592;\&#44592;&#54925;-&#44608;&#52264;&#51109;\dummy.xls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file:///\\&#50577;&#48393;&#44592;\&#44592;&#54925;-&#44608;&#44284;&#51109;\dummy.xls" TargetMode="External" Id="rId1"/></Relationships>
</file>

<file path=xl/externalLinks/_rels/externalLink3.xml.rels><Relationships xmlns="http://schemas.openxmlformats.org/package/2006/relationships"><Relationship Type="http://schemas.openxmlformats.org/officeDocument/2006/relationships/externalLinkPath" Target="file:///\\&#44053;&#51221;&#51060;\2003&#51221;&#51060;\&#45796;&#53328;&#45796;&#53328;\&#49900;&#49324;&#48516;&#49437;&#54217;&#44032;\2001&#45380;\200107\&#52509;&#44292;\&#47560;&#49828;&#53552;&#53596;&#54540;&#47532;&#53944;2.xls" TargetMode="External" Id="rId1"/></Relationships>
</file>

<file path=xl/externalLinks/_rels/externalLink4.xml.rels><Relationships xmlns="http://schemas.openxmlformats.org/package/2006/relationships"><Relationship Type="http://schemas.openxmlformats.org/officeDocument/2006/relationships/externalLinkPath" Target="file:///\\&#54924;&#44228;&#54016;&#44277;&#50857;\&#54924;&#44228;&#54016;&#47928;&#49436;&#44277;\My%20Documents\dummy.xls" TargetMode="External" Id="rId1"/></Relationships>
</file>

<file path=xl/externalLinks/_rels/externalLink5.xml.rels><Relationships xmlns="http://schemas.openxmlformats.org/package/2006/relationships"><Relationship Type="http://schemas.openxmlformats.org/officeDocument/2006/relationships/externalLinkPath" Target="file:///\\&#50976;&#53468;&#50864;\&#50900;&#48372;7&#50900;\7&#50900;&#50836;&#44552;&#44288;&#47532;&#50900;&#48372;(&#45208;&#49688;&#50676;).xls" TargetMode="External" Id="rId1"/></Relationships>
</file>

<file path=xl/externalLinks/_rels/externalLink6.xml.rels><Relationships xmlns="http://schemas.openxmlformats.org/package/2006/relationships"><Relationship Type="http://schemas.openxmlformats.org/officeDocument/2006/relationships/externalLinkPath" Target="file:///\\&#49900;&#51456;&#51068;\&#44277;&#50976;\My%20Document\&#44620;&#52824;\KIECO%20Model_Updated_Sim_simulation.xls" TargetMode="External" Id="rId1"/></Relationships>
</file>

<file path=xl/externalLinks/_rels/externalLink7.xml.rels><Relationships xmlns="http://schemas.openxmlformats.org/package/2006/relationships"><Relationship Type="http://schemas.openxmlformats.org/officeDocument/2006/relationships/externalLinkPath" Target="file:///\\&#50976;&#53468;&#50864;\&#50900;&#48372;7&#50900;\&#45796;&#53328;&#45796;&#53328;\&#49900;&#49324;&#48516;&#49437;&#54217;&#44032;\2001&#45380;\200107\&#52509;&#44292;\&#47560;&#49828;&#53552;&#53596;&#54540;&#47532;&#53944;2.xls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ummy"/>
      <sheetName val="Sheet2"/>
      <sheetName val="Sheet3"/>
      <sheetName val="ST"/>
      <sheetName val="#REF"/>
      <sheetName val="Disclaimer"/>
      <sheetName val="Sheet1"/>
      <sheetName val="Actual_Source_Data"/>
      <sheetName val="Summary"/>
      <sheetName val="Actual_Kor"/>
      <sheetName val="Flash_report"/>
      <sheetName val="Budget_Kor"/>
      <sheetName val="Budget_Source"/>
      <sheetName val="Data02"/>
      <sheetName val="FX_Int"/>
      <sheetName val="Budget_US"/>
      <sheetName val="Actual_US"/>
      <sheetName val="Budget_KR"/>
      <sheetName val="Actual_KR"/>
      <sheetName val="Actual_Source"/>
      <sheetName val="Income_report"/>
      <sheetName val="Operation_report"/>
      <sheetName val="Monthly Details"/>
      <sheetName val="해외_HPS"/>
      <sheetName val="2005년"/>
      <sheetName val="Laying"/>
      <sheetName val="Rearing"/>
      <sheetName val="US Codes"/>
      <sheetName val="Inv "/>
      <sheetName val="Ref"/>
      <sheetName val="재무상태표"/>
      <sheetName val="손익계산서"/>
      <sheetName val="상품입고집계"/>
      <sheetName val="함수기준"/>
      <sheetName val="J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ummy"/>
      <sheetName val="ST"/>
      <sheetName val="#REF"/>
      <sheetName val="Disclaimer"/>
      <sheetName val="Sheet1"/>
      <sheetName val="Sheet2"/>
      <sheetName val="Sheet3"/>
      <sheetName val="회계"/>
      <sheetName val="CFO"/>
      <sheetName val="금융"/>
      <sheetName val="기획"/>
      <sheetName val="구매자재"/>
      <sheetName val="운영부문장"/>
      <sheetName val="판관비_월별"/>
      <sheetName val="Actual_Source_Data"/>
      <sheetName val="Summary"/>
      <sheetName val="Actual_Kor"/>
      <sheetName val="Flash_report"/>
      <sheetName val="Budget_Kor"/>
      <sheetName val="Budget_Source"/>
      <sheetName val="Data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Condition"/>
      <sheetName val="Origin"/>
      <sheetName val="Report"/>
      <sheetName val="Report (백만)"/>
      <sheetName val="Report (변고정)"/>
      <sheetName val="Report (변고정) (백만)"/>
      <sheetName val="Report (변고정) (PT)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  <sheetName val="#REF"/>
      <sheetName val="현금흐름표"/>
      <sheetName val="YOEMAGUM"/>
      <sheetName val="A1"/>
      <sheetName val="Adj(Actual_Summary_July)"/>
      <sheetName val="ST"/>
      <sheetName val="dummy"/>
      <sheetName val="CF_Current_Detail(July)"/>
      <sheetName val="공통"/>
      <sheetName val="상품입고집계"/>
      <sheetName val="고액조정리스트(나)"/>
      <sheetName val="US Codes"/>
      <sheetName val="복비"/>
      <sheetName val="매장리스트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청구일반(나)"/>
      <sheetName val="지사역무별청구(나)"/>
      <sheetName val="당월청구미발행리스트(나)"/>
      <sheetName val="청구건수확인(나 )"/>
      <sheetName val="SO별청구현황(나 )"/>
      <sheetName val="요금조정현황(나 )"/>
      <sheetName val="고액조정리스트(나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isclaimer"/>
      <sheetName val="assump"/>
      <sheetName val="drawdown"/>
      <sheetName val="esc"/>
      <sheetName val="output"/>
      <sheetName val="revenue"/>
      <sheetName val="fixedexp"/>
      <sheetName val="varexp"/>
      <sheetName val="debt"/>
      <sheetName val="debtmonth"/>
      <sheetName val="Syndication"/>
      <sheetName val="refina"/>
      <sheetName val="deprec"/>
      <sheetName val="reserves"/>
      <sheetName val="cash"/>
      <sheetName val="semi"/>
      <sheetName val="profit"/>
      <sheetName val="bal"/>
      <sheetName val="new invest"/>
      <sheetName val="return"/>
      <sheetName val="pri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Condition"/>
      <sheetName val="Origin"/>
      <sheetName val="Report"/>
      <sheetName val="Report (백만)"/>
      <sheetName val="Report (변고정)"/>
      <sheetName val="Report (변고정) (백만)"/>
      <sheetName val="Report (변고정) (PT)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I31"/>
  <sheetViews>
    <sheetView workbookViewId="0">
      <selection activeCell="A1" sqref="A1"/>
    </sheetView>
  </sheetViews>
  <sheetFormatPr baseColWidth="8" defaultRowHeight="15"/>
  <cols>
    <col width="1.875" customWidth="1" min="1" max="1"/>
    <col width="26" customWidth="1" min="3" max="3"/>
    <col width="12.5" customWidth="1" min="4" max="4"/>
    <col width="57.625" customWidth="1" min="7" max="7"/>
    <col width="2.5" customWidth="1" min="8" max="8"/>
    <col width="23.5" customWidth="1" min="9" max="9"/>
    <col width="8.625" customWidth="1" min="10" max="10"/>
    <col width="9.5" customWidth="1" min="11" max="11"/>
    <col width="8.625" customWidth="1" min="12" max="12"/>
  </cols>
  <sheetData>
    <row r="1"/>
    <row r="2">
      <c r="B2" s="3073" t="inlineStr">
        <is>
          <t>1. 9월 자금수지(Flow)</t>
        </is>
      </c>
      <c r="D2" s="3074">
        <f>TEXT(ROUND(E13,1),"#,##0.0")&amp;"백만"&amp;" ("&amp; "기초 " &amp;TEXT(ROUND(E6,1),"#,###.0")&amp;"백만"&amp;" +  자금수지차 "&amp;TEXT(ROUND(E11,1),"#,###.0")&amp;"백만"&amp;IF(E2=0,""," +"&amp;" 자금조달 "&amp;ROUND(E12,1)&amp;"백만")&amp;"  = 기말 "&amp;TEXT(ROUND(E13,1),"#,##0.0")&amp;"백만)"</f>
        <v/>
      </c>
    </row>
    <row r="3"/>
    <row r="4">
      <c r="G4" s="3075" t="inlineStr">
        <is>
          <t>(단위 : 백만원)</t>
        </is>
      </c>
    </row>
    <row r="5">
      <c r="C5" s="3076" t="inlineStr">
        <is>
          <t>구분</t>
        </is>
      </c>
      <c r="D5" s="3077" t="inlineStr">
        <is>
          <t>8월(a)</t>
        </is>
      </c>
      <c r="E5" s="3078" t="inlineStr">
        <is>
          <t>9월(b)</t>
        </is>
      </c>
      <c r="F5" s="3079" t="inlineStr">
        <is>
          <t>b - a</t>
        </is>
      </c>
      <c r="G5" s="3080" t="inlineStr">
        <is>
          <t>비고</t>
        </is>
      </c>
      <c r="I5" s="3081" t="n"/>
    </row>
    <row r="6">
      <c r="C6" s="3082" t="inlineStr">
        <is>
          <t xml:space="preserve"> A. 기초잔고</t>
        </is>
      </c>
      <c r="D6" s="3083" t="n">
        <v>2421.357313</v>
      </c>
      <c r="E6" s="3084">
        <f>D13</f>
        <v/>
      </c>
      <c r="F6" s="3085">
        <f>E6-D6</f>
        <v/>
      </c>
      <c r="G6" s="3086">
        <f>_xlfn.CONCAT("○ 기초잔고: 유동자금 ",TEXT(유동자금세부!L6,"#,##0.0"),"백만, ","운용자금 ",TEXT(요약2!J6,"#,##0"),"백만")</f>
        <v/>
      </c>
    </row>
    <row r="7">
      <c r="C7" s="3087" t="inlineStr">
        <is>
          <t xml:space="preserve"> B. 수입</t>
        </is>
      </c>
      <c r="D7" s="3088">
        <f>유동자금세부!I8</f>
        <v/>
      </c>
      <c r="E7" s="3089">
        <f>유동자금세부!L8</f>
        <v/>
      </c>
      <c r="F7" s="3090">
        <f>E7-D7</f>
        <v/>
      </c>
      <c r="G7" s="3091" t="inlineStr">
        <is>
          <t xml:space="preserve">● 8월 : </t>
        </is>
      </c>
    </row>
    <row r="8">
      <c r="C8" s="1846" t="n"/>
      <c r="D8" s="3092" t="n"/>
      <c r="E8" s="3093" t="n"/>
      <c r="F8" s="3094" t="n"/>
      <c r="G8" s="3095" t="inlineStr">
        <is>
          <t>● 9월 :캐릭터 개발 용역수익 11백만 등</t>
        </is>
      </c>
    </row>
    <row r="9">
      <c r="C9" s="3087" t="inlineStr">
        <is>
          <t xml:space="preserve"> C. 지출</t>
        </is>
      </c>
      <c r="D9" s="3088">
        <f>유동자금세부!I13</f>
        <v/>
      </c>
      <c r="E9" s="3089">
        <f>유동자금세부!L13</f>
        <v/>
      </c>
      <c r="F9" s="3090">
        <f>E9-D9</f>
        <v/>
      </c>
      <c r="G9" s="3096" t="inlineStr">
        <is>
          <t>● 8월 :급여 15백만 등</t>
        </is>
      </c>
    </row>
    <row r="10" ht="27" customHeight="1">
      <c r="C10" s="1846" t="n"/>
      <c r="D10" s="3092" t="n"/>
      <c r="E10" s="3093" t="n"/>
      <c r="F10" s="3097" t="n"/>
      <c r="G10" s="3095" t="inlineStr">
        <is>
          <t>● 9월 :급여 15백만 등</t>
        </is>
      </c>
    </row>
    <row r="11">
      <c r="C11" s="3098" t="inlineStr">
        <is>
          <t xml:space="preserve"> D. 자금수지차 (=B-C)</t>
        </is>
      </c>
      <c r="D11" s="3099">
        <f>D7-D9</f>
        <v/>
      </c>
      <c r="E11" s="3100">
        <f>E7-E9</f>
        <v/>
      </c>
      <c r="F11" s="3085">
        <f>E11-D11</f>
        <v/>
      </c>
      <c r="G11" s="3101" t="n"/>
    </row>
    <row r="12">
      <c r="C12" s="3102" t="inlineStr">
        <is>
          <t xml:space="preserve"> E. 자금조달</t>
        </is>
      </c>
      <c r="D12" s="3083">
        <f>유동자금세부!G45</f>
        <v/>
      </c>
      <c r="E12" s="3103">
        <f>유동자금세부!H45</f>
        <v/>
      </c>
      <c r="F12" s="3085">
        <f>E12-D12</f>
        <v/>
      </c>
      <c r="G12" s="3104" t="n"/>
    </row>
    <row r="13">
      <c r="C13" s="3105" t="inlineStr">
        <is>
          <t xml:space="preserve"> G. 기말잔고 (=A+D+E)</t>
        </is>
      </c>
      <c r="D13" s="3106">
        <f>D6+D11+D12</f>
        <v/>
      </c>
      <c r="E13" s="3107">
        <f>IF((E6+E11+E12)=요약2!F30,(E6+E11+E12),요약2!F30)</f>
        <v/>
      </c>
      <c r="F13" s="3108">
        <f>E13-D13</f>
        <v/>
      </c>
      <c r="G13" s="3086">
        <f>_xlfn.CONCAT("○ 기말잔고: 유동자금 ",TEXT(유동자금세부!L49,"#,##0.0"),"백만, ","운용자금 ",TEXT(요약2!J12,"#,##0"),"백만")</f>
        <v/>
      </c>
    </row>
    <row r="14">
      <c r="E14" s="3109" t="n"/>
      <c r="G14" s="3109" t="n"/>
    </row>
    <row r="15">
      <c r="D15" s="3081">
        <f>유동자금세부!G49+2100</f>
        <v/>
      </c>
      <c r="E15" s="3081">
        <f>유동자금세부!L49+2100</f>
        <v/>
      </c>
      <c r="F15" s="3081" t="n"/>
      <c r="G15" s="3081" t="n"/>
    </row>
    <row r="16">
      <c r="D16" s="3110">
        <f>D15=D13</f>
        <v/>
      </c>
      <c r="E16" s="3111">
        <f>E15=E13</f>
        <v/>
      </c>
      <c r="F16" s="3109" t="n"/>
      <c r="G16" s="3111" t="n"/>
    </row>
    <row r="17"/>
    <row r="18"/>
    <row r="19">
      <c r="B19" s="3073" t="inlineStr">
        <is>
          <t>2. 유동자금 계획</t>
        </is>
      </c>
    </row>
    <row r="20">
      <c r="G20" s="3112" t="inlineStr">
        <is>
          <t>(단위 : 백만원, 천$)</t>
        </is>
      </c>
    </row>
    <row r="21">
      <c r="C21" s="3113" t="inlineStr">
        <is>
          <t xml:space="preserve"> 구분 </t>
        </is>
      </c>
      <c r="D21" s="3114" t="inlineStr">
        <is>
          <t>9월 계획</t>
        </is>
      </c>
      <c r="E21" s="1864" t="n"/>
      <c r="F21" s="1865" t="n"/>
      <c r="G21" s="3115" t="inlineStr">
        <is>
          <t>비고</t>
        </is>
      </c>
    </row>
    <row r="22">
      <c r="C22" s="1866" t="n"/>
      <c r="D22" s="3115" t="inlineStr">
        <is>
          <t>원화</t>
        </is>
      </c>
      <c r="E22" s="3116" t="inlineStr">
        <is>
          <t>외화($)</t>
        </is>
      </c>
      <c r="F22" s="3117" t="inlineStr">
        <is>
          <t>환산 계</t>
        </is>
      </c>
      <c r="G22" s="1867" t="n"/>
    </row>
    <row r="23">
      <c r="C23" s="3118" t="inlineStr">
        <is>
          <t>A. 기초 유동잔고</t>
        </is>
      </c>
      <c r="D23" s="3119">
        <f>유동자금세부!J6</f>
        <v/>
      </c>
      <c r="E23" s="3120">
        <f>유동자금세부!K6/1000</f>
        <v/>
      </c>
      <c r="F23" s="3121">
        <f>유동자금세부!L6</f>
        <v/>
      </c>
      <c r="G23" s="3122" t="n"/>
    </row>
    <row r="24">
      <c r="C24" s="3123" t="inlineStr">
        <is>
          <t xml:space="preserve">B. 수입 </t>
        </is>
      </c>
      <c r="D24" s="3124">
        <f>유동자금세부!J8</f>
        <v/>
      </c>
      <c r="E24" s="3124">
        <f>유동자금세부!K7/1000</f>
        <v/>
      </c>
      <c r="F24" s="3125">
        <f>유동자금세부!L8</f>
        <v/>
      </c>
      <c r="G24" s="3126" t="n"/>
    </row>
    <row r="25">
      <c r="C25" s="3127" t="inlineStr">
        <is>
          <t>C. 지출</t>
        </is>
      </c>
      <c r="D25" s="3128">
        <f>유동자금세부!J13</f>
        <v/>
      </c>
      <c r="E25" s="3128">
        <f>유동자금세부!K13/1000</f>
        <v/>
      </c>
      <c r="F25" s="3129">
        <f>유동자금세부!L13</f>
        <v/>
      </c>
      <c r="G25" s="3126" t="n"/>
    </row>
    <row r="26">
      <c r="C26" s="3130" t="inlineStr">
        <is>
          <t>D. 자금수지차 (=B-C)</t>
        </is>
      </c>
      <c r="D26" s="3131">
        <f>D24-D25</f>
        <v/>
      </c>
      <c r="E26" s="3131">
        <f>E24-E25</f>
        <v/>
      </c>
      <c r="F26" s="3132">
        <f>F24-F25</f>
        <v/>
      </c>
      <c r="G26" s="3133" t="n"/>
    </row>
    <row r="27">
      <c r="C27" s="3134" t="inlineStr">
        <is>
          <t xml:space="preserve">E. 자금과부족 (=A+D) </t>
        </is>
      </c>
      <c r="D27" s="3135">
        <f>D23+D26</f>
        <v/>
      </c>
      <c r="E27" s="3135">
        <f>E23+E26</f>
        <v/>
      </c>
      <c r="F27" s="3136">
        <f>F23+F26</f>
        <v/>
      </c>
      <c r="G27" s="3133" t="n"/>
    </row>
    <row r="28">
      <c r="C28" s="3127" t="inlineStr">
        <is>
          <t>F. 운용자금 활용(해지)</t>
        </is>
      </c>
      <c r="D28" s="3128">
        <f>유동자금세부!L40</f>
        <v/>
      </c>
      <c r="E28" s="3128">
        <f>유동자금세부!K45/1000</f>
        <v/>
      </c>
      <c r="F28" s="3137">
        <f>D28</f>
        <v/>
      </c>
      <c r="G28" s="3138" t="n"/>
    </row>
    <row r="29">
      <c r="C29" s="3139" t="inlineStr">
        <is>
          <t>G. 예치 전 기말 유동잔고(=E+F)</t>
        </is>
      </c>
      <c r="D29" s="3140">
        <f>D27+D28</f>
        <v/>
      </c>
      <c r="E29" s="3140">
        <f>E27+E28</f>
        <v/>
      </c>
      <c r="F29" s="3140">
        <f>F27+F28</f>
        <v/>
      </c>
      <c r="G29" s="3141" t="n"/>
    </row>
    <row r="30">
      <c r="C30" s="3142" t="inlineStr">
        <is>
          <t>H. 예치 자금(=G-K)</t>
        </is>
      </c>
      <c r="D30" s="3143">
        <f>유동자금세부!J41</f>
        <v/>
      </c>
      <c r="E30" s="3143">
        <f>유동자금세부!K41/1000</f>
        <v/>
      </c>
      <c r="F30" s="3144">
        <f>유동자금세부!L41</f>
        <v/>
      </c>
      <c r="G30" s="3145" t="n"/>
    </row>
    <row r="31">
      <c r="C31" s="3146" t="inlineStr">
        <is>
          <t>I. 기말 유동잔고</t>
        </is>
      </c>
      <c r="D31" s="3147">
        <f>유동자금세부!J49</f>
        <v/>
      </c>
      <c r="E31" s="3147">
        <f>유동자금세부!K49/1000</f>
        <v/>
      </c>
      <c r="F31" s="3148">
        <f>유동자금세부!L49</f>
        <v/>
      </c>
      <c r="G31" s="3149" t="n"/>
    </row>
  </sheetData>
  <mergeCells count="6">
    <mergeCell ref="C9:C10"/>
    <mergeCell ref="C7:C8"/>
    <mergeCell ref="C21:C22"/>
    <mergeCell ref="G21:G22"/>
    <mergeCell ref="D21:F21"/>
    <mergeCell ref="D2:G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54"/>
  <sheetViews>
    <sheetView workbookViewId="0">
      <selection activeCell="A1" sqref="A1"/>
    </sheetView>
  </sheetViews>
  <sheetFormatPr baseColWidth="8" defaultRowHeight="15"/>
  <cols>
    <col width="1.875" customWidth="1" min="1" max="1"/>
    <col width="21" customWidth="1" min="3" max="3"/>
    <col width="10.125" customWidth="1" min="4" max="4"/>
    <col width="11.125" customWidth="1" min="5" max="5"/>
    <col width="14.25" customWidth="1" min="11" max="11"/>
    <col width="8.625" customWidth="1" min="12" max="12"/>
  </cols>
  <sheetData>
    <row r="1"/>
    <row r="2">
      <c r="B2" s="3073" t="inlineStr">
        <is>
          <t>3. 운용자금 계획</t>
        </is>
      </c>
    </row>
    <row r="3">
      <c r="G3" s="3112" t="n"/>
      <c r="K3" s="3112" t="inlineStr">
        <is>
          <t>(단위 : 백만원, 천$)</t>
        </is>
      </c>
    </row>
    <row r="4">
      <c r="C4" s="1928" t="inlineStr">
        <is>
          <t>구분</t>
        </is>
      </c>
      <c r="D4" s="1929" t="n"/>
      <c r="E4" s="1634" t="inlineStr">
        <is>
          <t>8월 실적</t>
        </is>
      </c>
      <c r="F4" s="1864" t="n"/>
      <c r="G4" s="1864" t="n"/>
      <c r="H4" s="1930" t="inlineStr">
        <is>
          <t>9월 계획</t>
        </is>
      </c>
      <c r="I4" s="1931" t="n"/>
      <c r="J4" s="1932" t="n"/>
      <c r="K4" s="1933" t="inlineStr">
        <is>
          <t>비고</t>
        </is>
      </c>
    </row>
    <row r="5">
      <c r="C5" s="1866" t="n"/>
      <c r="D5" s="1934" t="n"/>
      <c r="E5" s="328" t="inlineStr">
        <is>
          <t>원화</t>
        </is>
      </c>
      <c r="F5" s="329" t="inlineStr">
        <is>
          <t>외화($)</t>
        </is>
      </c>
      <c r="G5" s="342" t="inlineStr">
        <is>
          <t>환산 계</t>
        </is>
      </c>
      <c r="H5" s="331" t="inlineStr">
        <is>
          <t>원화</t>
        </is>
      </c>
      <c r="I5" s="329" t="inlineStr">
        <is>
          <t>외화($)</t>
        </is>
      </c>
      <c r="J5" s="330" t="inlineStr">
        <is>
          <t>환산 계</t>
        </is>
      </c>
      <c r="K5" s="1935" t="n"/>
    </row>
    <row r="6">
      <c r="C6" s="1626" t="inlineStr">
        <is>
          <t>A. 기초자금</t>
        </is>
      </c>
      <c r="D6" s="1865" t="n"/>
      <c r="E6" s="3150" t="n">
        <v>2100</v>
      </c>
      <c r="F6" s="3151" t="n">
        <v>0</v>
      </c>
      <c r="G6" s="3152">
        <f>E6+F6*실적월!$I$1</f>
        <v/>
      </c>
      <c r="H6" s="3153">
        <f>E12</f>
        <v/>
      </c>
      <c r="I6" s="3151" t="n">
        <v>0</v>
      </c>
      <c r="J6" s="3154">
        <f>G12</f>
        <v/>
      </c>
      <c r="K6" s="332" t="n"/>
    </row>
    <row r="7">
      <c r="C7" s="1626" t="inlineStr">
        <is>
          <t>B. 해지(감소)</t>
        </is>
      </c>
      <c r="D7" s="1865" t="n"/>
      <c r="E7" s="3150">
        <f>유동자금세부!G40</f>
        <v/>
      </c>
      <c r="F7" s="3151">
        <f>유동자금세부!H40</f>
        <v/>
      </c>
      <c r="G7" s="3152">
        <f>유동자금세부!I40</f>
        <v/>
      </c>
      <c r="H7" s="3153">
        <f>유동자금세부!J40</f>
        <v/>
      </c>
      <c r="I7" s="3151">
        <f>유동자금세부!K40</f>
        <v/>
      </c>
      <c r="J7" s="3154">
        <f>유동자금세부!L40</f>
        <v/>
      </c>
      <c r="K7" s="333" t="inlineStr">
        <is>
          <t xml:space="preserve"> </t>
        </is>
      </c>
    </row>
    <row r="8">
      <c r="C8" s="1627" t="inlineStr">
        <is>
          <t>C. 금융기관예치</t>
        </is>
      </c>
      <c r="D8" s="1941" t="n"/>
      <c r="E8" s="3155">
        <f>IF(SUM(E9:E10)=유동자금세부!G41,유동자금세부!G41,"불일치")</f>
        <v/>
      </c>
      <c r="F8" s="3156">
        <f>IF(SUM(F9:F10)=유동자금세부!H41,유동자금세부!H41,"불일치")</f>
        <v/>
      </c>
      <c r="G8" s="3155">
        <f>SUM(G9:G10)</f>
        <v/>
      </c>
      <c r="H8" s="3157">
        <f>SUM(H9:H10)</f>
        <v/>
      </c>
      <c r="I8" s="3156">
        <f>SUM(I9:I10)</f>
        <v/>
      </c>
      <c r="J8" s="3158">
        <f>SUM(J9:J10)</f>
        <v/>
      </c>
      <c r="K8" s="334" t="inlineStr">
        <is>
          <t xml:space="preserve">　　</t>
        </is>
      </c>
    </row>
    <row r="9" ht="23.25" customHeight="1">
      <c r="C9" s="335" t="n"/>
      <c r="D9" s="336" t="inlineStr">
        <is>
          <t>재예치</t>
        </is>
      </c>
      <c r="E9" s="3159" t="n">
        <v>0</v>
      </c>
      <c r="F9" s="3160" t="n">
        <v>0</v>
      </c>
      <c r="G9" s="3161">
        <f>E9</f>
        <v/>
      </c>
      <c r="H9" s="3162" t="n"/>
      <c r="I9" s="3160" t="n">
        <v>0</v>
      </c>
      <c r="J9" s="3163">
        <f>유동자금세부!L41</f>
        <v/>
      </c>
      <c r="K9" s="337" t="n"/>
    </row>
    <row r="10" ht="23.25" customHeight="1">
      <c r="C10" s="338" t="n"/>
      <c r="D10" s="341" t="inlineStr">
        <is>
          <t>신규예치</t>
        </is>
      </c>
      <c r="E10" s="3164" t="n">
        <v>0</v>
      </c>
      <c r="F10" s="3165">
        <f>유동자금세부!H41/100</f>
        <v/>
      </c>
      <c r="G10" s="3166">
        <f>E10</f>
        <v/>
      </c>
      <c r="H10" s="3167" t="n">
        <v>0</v>
      </c>
      <c r="I10" s="3165">
        <f>유동자금세부!K41/100</f>
        <v/>
      </c>
      <c r="J10" s="3168">
        <f>0</f>
        <v/>
      </c>
      <c r="K10" s="339" t="n"/>
    </row>
    <row r="11">
      <c r="C11" s="1629" t="inlineStr">
        <is>
          <t>D. 운용자금 증감 (=C-B)</t>
        </is>
      </c>
      <c r="D11" s="1865" t="n"/>
      <c r="E11" s="3169">
        <f>E8-E7</f>
        <v/>
      </c>
      <c r="F11" s="3170">
        <f>F8-F7</f>
        <v/>
      </c>
      <c r="G11" s="3171">
        <f>G8-G7</f>
        <v/>
      </c>
      <c r="H11" s="3172">
        <f>H8-H7</f>
        <v/>
      </c>
      <c r="I11" s="3170">
        <f>I8-I7</f>
        <v/>
      </c>
      <c r="J11" s="3173">
        <f>J8-J7</f>
        <v/>
      </c>
      <c r="K11" s="1961" t="n"/>
    </row>
    <row r="12" ht="23.25" customHeight="1">
      <c r="C12" s="1626" t="inlineStr">
        <is>
          <t>E. 기말자금 (=A+D)</t>
        </is>
      </c>
      <c r="D12" s="1865" t="n"/>
      <c r="E12" s="3150">
        <f>E6+E11</f>
        <v/>
      </c>
      <c r="F12" s="3174">
        <f>F6+F11</f>
        <v/>
      </c>
      <c r="G12" s="3152">
        <f>G6+G11</f>
        <v/>
      </c>
      <c r="H12" s="3175">
        <f>H6+H11</f>
        <v/>
      </c>
      <c r="I12" s="3176">
        <f>I6+I11</f>
        <v/>
      </c>
      <c r="J12" s="3177">
        <f>J6+J11</f>
        <v/>
      </c>
      <c r="K12" s="340" t="n"/>
    </row>
    <row r="13">
      <c r="C13" s="3178" t="n"/>
      <c r="D13" s="3179" t="n"/>
      <c r="E13" s="3179" t="n"/>
      <c r="F13" s="3179" t="n"/>
      <c r="G13" s="3180" t="n"/>
    </row>
    <row r="14">
      <c r="C14" s="3180" t="n"/>
      <c r="D14" s="3179" t="n"/>
      <c r="E14" s="3179" t="n"/>
      <c r="F14" s="3179" t="n"/>
      <c r="G14" s="3180" t="n"/>
    </row>
    <row r="15"/>
    <row r="16">
      <c r="C16" s="3178" t="n"/>
      <c r="D16" s="3181" t="n"/>
      <c r="G16" s="3181" t="n"/>
    </row>
    <row r="17">
      <c r="C17" s="3178" t="n"/>
      <c r="D17" s="3181" t="n"/>
      <c r="E17" s="3181" t="n"/>
      <c r="F17" s="3181" t="n"/>
    </row>
    <row r="18" ht="17.25" customHeight="1">
      <c r="B18" s="3182" t="inlineStr">
        <is>
          <t>4. 9월 말 자금(stock) :</t>
        </is>
      </c>
      <c r="C18" s="3178" t="n"/>
      <c r="D18" s="3183">
        <f>TEXT(ROUND(F28,1),"#,##0.0")&amp;"백만 (전월 대비 "&amp;ROUND(G30,1)&amp;"백만) = 유동자금 "&amp;ROUND(F24,1)&amp;"백만 ("&amp;TEXT(ROUND(G24,1),"+#,##0.0;-#,##0.0;0")&amp;"백만) + 운용자금 "&amp;TEXT(ROUND(F27,1),"#,##0")&amp;"백만 ("&amp;TEXT(ROUND(G27,1),"+#,##0;-#,##0;0")&amp;"백만)"</f>
        <v/>
      </c>
      <c r="E18" s="3184" t="n"/>
      <c r="G18" s="3183" t="n"/>
      <c r="H18" s="3183" t="n"/>
      <c r="I18" s="3183" t="n"/>
    </row>
    <row r="19">
      <c r="C19" s="3185" t="inlineStr">
        <is>
          <t>구분</t>
        </is>
      </c>
      <c r="D19" s="1865" t="n"/>
      <c r="E19" s="3186" t="inlineStr">
        <is>
          <t>8월(a)</t>
        </is>
      </c>
      <c r="F19" s="3187" t="inlineStr">
        <is>
          <t>9월(b)</t>
        </is>
      </c>
      <c r="G19" s="3188" t="inlineStr">
        <is>
          <t>b – a</t>
        </is>
      </c>
      <c r="H19" s="3189" t="inlineStr">
        <is>
          <t>비고</t>
        </is>
      </c>
      <c r="I19" s="1864" t="n"/>
      <c r="J19" s="1864" t="n"/>
      <c r="K19" s="1864" t="n"/>
    </row>
    <row r="20">
      <c r="C20" s="3190" t="inlineStr">
        <is>
          <t>A. 유동자금</t>
        </is>
      </c>
      <c r="D20" s="3191" t="inlineStr">
        <is>
          <t>원화</t>
        </is>
      </c>
      <c r="E20" s="3192">
        <f>유동자금세부!G49</f>
        <v/>
      </c>
      <c r="F20" s="3193">
        <f>유동자금세부!J49</f>
        <v/>
      </c>
      <c r="G20" s="3194">
        <f>ROUND(F20-E20,2)</f>
        <v/>
      </c>
      <c r="H20" s="3195">
        <f>M20</f>
        <v/>
      </c>
      <c r="I20" s="1941" t="n"/>
      <c r="J20" s="1941" t="n"/>
      <c r="K20" s="1941" t="n"/>
      <c r="M20" s="3196">
        <f>_xlfn.CONCAT(" ① 원화 : ",TEXT(G20, "+#,##0.0;-#,##0.0;0"),"백만"," (= 수지차",TEXT(유동자금세부!J7, "+#,##0.0;-#,##0.0;0"),"백만 ","+ 운용자금 만기해지 +",유동자금세부!J40,"백만)")</f>
        <v/>
      </c>
    </row>
    <row r="21">
      <c r="C21" s="3197" t="n"/>
      <c r="D21" s="3198" t="inlineStr">
        <is>
          <t>외화($)</t>
        </is>
      </c>
      <c r="E21" s="3199">
        <f>유동자금세부!H49/1000</f>
        <v/>
      </c>
      <c r="F21" s="3200">
        <f>유동자금세부!K49</f>
        <v/>
      </c>
      <c r="G21" s="3201">
        <f>F21-E21</f>
        <v/>
      </c>
      <c r="H21" s="3202" t="inlineStr">
        <is>
          <t xml:space="preserve"> ② 외화 : $ -천</t>
        </is>
      </c>
      <c r="I21" s="3203" t="n"/>
      <c r="J21" s="3203" t="n"/>
      <c r="K21" s="3203" t="n"/>
    </row>
    <row r="22">
      <c r="C22" s="3197" t="n"/>
      <c r="D22" s="3204" t="n"/>
      <c r="E22" s="3205" t="n"/>
      <c r="F22" s="3206" t="n"/>
      <c r="G22" s="3207" t="n"/>
      <c r="H22" s="3208" t="inlineStr">
        <is>
          <t xml:space="preserve">    · 수입 : -</t>
        </is>
      </c>
    </row>
    <row r="23">
      <c r="C23" s="3197" t="n"/>
      <c r="D23" s="3198" t="n"/>
      <c r="E23" s="3199" t="n"/>
      <c r="F23" s="3200" t="n"/>
      <c r="G23" s="3209" t="n"/>
      <c r="H23" s="3202" t="inlineStr">
        <is>
          <t xml:space="preserve">    · 지출 : -</t>
        </is>
      </c>
      <c r="I23" s="3203" t="n"/>
      <c r="J23" s="3203" t="n"/>
      <c r="K23" s="3203" t="n"/>
    </row>
    <row r="24">
      <c r="C24" s="3210" t="inlineStr">
        <is>
          <t>환산 계</t>
        </is>
      </c>
      <c r="D24" s="1934" t="n"/>
      <c r="E24" s="3211">
        <f>유동자금세부!I49</f>
        <v/>
      </c>
      <c r="F24" s="3212">
        <f>유동자금세부!L49</f>
        <v/>
      </c>
      <c r="G24" s="3213">
        <f>ROUND(F24-E24,2)</f>
        <v/>
      </c>
      <c r="H24" s="3214" t="n"/>
      <c r="I24" s="1866" t="n"/>
      <c r="J24" s="1866" t="n"/>
      <c r="K24" s="1866" t="n"/>
    </row>
    <row r="25">
      <c r="C25" s="3190" t="inlineStr">
        <is>
          <t>B. 운용자금</t>
        </is>
      </c>
      <c r="D25" s="3215" t="inlineStr">
        <is>
          <t>원화</t>
        </is>
      </c>
      <c r="E25" s="3216">
        <f>요약2!E12</f>
        <v/>
      </c>
      <c r="F25" s="3217">
        <f>요약2!H12</f>
        <v/>
      </c>
      <c r="G25" s="3218">
        <f>F25-E25</f>
        <v/>
      </c>
      <c r="H25" s="3219" t="n"/>
      <c r="I25" s="1941" t="n"/>
      <c r="J25" s="1941" t="n"/>
      <c r="K25" s="1941" t="n"/>
    </row>
    <row r="26">
      <c r="C26" s="3197" t="n"/>
      <c r="D26" s="3220" t="inlineStr">
        <is>
          <t>외화($)</t>
        </is>
      </c>
      <c r="E26" s="3221">
        <f>요약2!F12</f>
        <v/>
      </c>
      <c r="F26" s="3222">
        <f>요약2!I12</f>
        <v/>
      </c>
      <c r="G26" s="3223">
        <f>F26-E26</f>
        <v/>
      </c>
      <c r="H26" s="3224" t="n"/>
    </row>
    <row r="27">
      <c r="C27" s="3210" t="inlineStr">
        <is>
          <t>환산 계</t>
        </is>
      </c>
      <c r="D27" s="1934" t="n"/>
      <c r="E27" s="3221">
        <f>요약2!G12</f>
        <v/>
      </c>
      <c r="F27" s="3222">
        <f>요약2!J12</f>
        <v/>
      </c>
      <c r="G27" s="3223">
        <f>F27-E27</f>
        <v/>
      </c>
      <c r="H27" s="3214" t="n"/>
      <c r="I27" s="1866" t="n"/>
      <c r="J27" s="1866" t="n"/>
      <c r="K27" s="1866" t="n"/>
    </row>
    <row r="28">
      <c r="C28" s="3225" t="inlineStr">
        <is>
          <t>C. 기말자금</t>
        </is>
      </c>
      <c r="D28" s="3215" t="inlineStr">
        <is>
          <t>원화</t>
        </is>
      </c>
      <c r="E28" s="3216">
        <f>E20+E25</f>
        <v/>
      </c>
      <c r="F28" s="3217">
        <f>F20+F25</f>
        <v/>
      </c>
      <c r="G28" s="3226">
        <f>F28-E28</f>
        <v/>
      </c>
      <c r="H28" s="3219" t="n"/>
      <c r="I28" s="1941" t="n"/>
      <c r="J28" s="1941" t="n"/>
      <c r="K28" s="1941" t="n"/>
    </row>
    <row r="29">
      <c r="C29" s="3227" t="inlineStr">
        <is>
          <t xml:space="preserve">   (A+B)</t>
        </is>
      </c>
      <c r="D29" s="3220" t="inlineStr">
        <is>
          <t>외화($)</t>
        </is>
      </c>
      <c r="E29" s="3221">
        <f>E21+E26</f>
        <v/>
      </c>
      <c r="F29" s="3222">
        <f>F21+F26</f>
        <v/>
      </c>
      <c r="G29" s="3228">
        <f>F29-E29</f>
        <v/>
      </c>
      <c r="H29" s="3224" t="n"/>
    </row>
    <row r="30" ht="17.25" customHeight="1">
      <c r="C30" s="3229" t="inlineStr">
        <is>
          <t xml:space="preserve"> 　환산 계</t>
        </is>
      </c>
      <c r="D30" s="1990" t="n"/>
      <c r="E30" s="3230">
        <f>E24+E27</f>
        <v/>
      </c>
      <c r="F30" s="3231">
        <f>F24+F27</f>
        <v/>
      </c>
      <c r="G30" s="3232">
        <f>F30-E30</f>
        <v/>
      </c>
      <c r="H30" s="3214" t="n"/>
      <c r="I30" s="1866" t="n"/>
      <c r="J30" s="1866" t="n"/>
      <c r="K30" s="1866" t="n"/>
    </row>
    <row r="31" ht="17.25" customHeight="1">
      <c r="C31" s="3233" t="inlineStr">
        <is>
          <t>달러화 비율</t>
        </is>
      </c>
      <c r="D31" s="1934" t="n"/>
      <c r="E31" s="3234">
        <f>1-(E28/E30)</f>
        <v/>
      </c>
      <c r="F31" s="3235">
        <f>1-(F28/F30)</f>
        <v/>
      </c>
      <c r="G31" s="3236" t="n"/>
      <c r="H31" s="3237" t="n"/>
      <c r="I31" s="1864" t="n"/>
      <c r="J31" s="1864" t="n"/>
      <c r="K31" s="1864" t="n"/>
    </row>
    <row r="32">
      <c r="C32" s="3178" t="n"/>
    </row>
    <row r="33"/>
    <row r="34"/>
    <row r="35"/>
    <row r="36"/>
    <row r="37"/>
    <row r="38"/>
    <row r="39"/>
    <row r="40"/>
    <row r="41"/>
    <row r="42"/>
    <row r="43"/>
    <row r="44"/>
    <row r="45"/>
    <row r="46">
      <c r="D46" s="3238" t="n"/>
      <c r="E46" s="3239" t="n"/>
      <c r="F46" s="3238" t="n"/>
    </row>
    <row r="47">
      <c r="D47" s="3238" t="n"/>
      <c r="E47" s="3239" t="n"/>
      <c r="F47" s="3238" t="n"/>
    </row>
    <row r="48">
      <c r="D48" s="3238" t="n"/>
      <c r="E48" s="3239" t="n"/>
      <c r="F48" s="3238" t="n"/>
    </row>
    <row r="49">
      <c r="D49" s="3238" t="n"/>
      <c r="E49" s="3239" t="n"/>
      <c r="F49" s="3238" t="n"/>
    </row>
    <row r="50">
      <c r="D50" s="3238" t="n"/>
      <c r="E50" s="3239" t="n"/>
      <c r="F50" s="3238" t="n"/>
    </row>
    <row r="51">
      <c r="D51" s="3238" t="n"/>
      <c r="E51" s="3239" t="n"/>
      <c r="F51" s="3238" t="n"/>
    </row>
    <row r="52">
      <c r="D52" s="3238" t="n"/>
      <c r="E52" s="3239" t="n"/>
      <c r="F52" s="3238" t="n"/>
    </row>
    <row r="53">
      <c r="D53" s="3238" t="n"/>
      <c r="E53" s="3239" t="n"/>
      <c r="F53" s="3238" t="n"/>
    </row>
    <row r="54">
      <c r="D54" s="3238" t="n"/>
      <c r="E54" s="3239" t="n"/>
      <c r="F54" s="3238" t="n"/>
    </row>
  </sheetData>
  <mergeCells count="29">
    <mergeCell ref="H28:K28"/>
    <mergeCell ref="H22:K22"/>
    <mergeCell ref="C6:D6"/>
    <mergeCell ref="C30:D30"/>
    <mergeCell ref="C24:D24"/>
    <mergeCell ref="H27:K27"/>
    <mergeCell ref="H24:K24"/>
    <mergeCell ref="D16:F16"/>
    <mergeCell ref="H23:K23"/>
    <mergeCell ref="H30:K30"/>
    <mergeCell ref="H26:K26"/>
    <mergeCell ref="H20:K20"/>
    <mergeCell ref="H29:K29"/>
    <mergeCell ref="C31:D31"/>
    <mergeCell ref="C12:D12"/>
    <mergeCell ref="H31:K31"/>
    <mergeCell ref="C11:D11"/>
    <mergeCell ref="C27:D27"/>
    <mergeCell ref="H25:K25"/>
    <mergeCell ref="K4:K5"/>
    <mergeCell ref="H21:K21"/>
    <mergeCell ref="G16:G17"/>
    <mergeCell ref="C8:D8"/>
    <mergeCell ref="C4:D5"/>
    <mergeCell ref="C7:D7"/>
    <mergeCell ref="C19:D19"/>
    <mergeCell ref="H4:J4"/>
    <mergeCell ref="E4:G4"/>
    <mergeCell ref="H19:K19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theme="8" tint="0.3999755851924192"/>
    <outlinePr summaryBelow="1" summaryRight="1"/>
    <pageSetUpPr fitToPage="1"/>
  </sheetPr>
  <dimension ref="A1:R57"/>
  <sheetViews>
    <sheetView showGridLines="0" view="pageBreakPreview" zoomScale="150" zoomScaleNormal="150" zoomScaleSheetLayoutView="150" workbookViewId="0">
      <selection activeCell="A1" sqref="A1"/>
    </sheetView>
  </sheetViews>
  <sheetFormatPr baseColWidth="8" defaultColWidth="8.625" defaultRowHeight="9.75" outlineLevelRow="2"/>
  <cols>
    <col width="0.625" customWidth="1" style="1" min="1" max="1"/>
    <col width="1.875" customWidth="1" style="1" min="2" max="2"/>
    <col width="1.125" customWidth="1" style="1" min="3" max="5"/>
    <col width="15.375" customWidth="1" style="1" min="6" max="6"/>
    <col width="7.125" customWidth="1" style="1" min="7" max="13"/>
    <col width="49.875" customWidth="1" style="1" min="14" max="14"/>
    <col width="3.625" customWidth="1" style="1" min="15" max="15"/>
    <col outlineLevel="1" width="8.625" customWidth="1" style="1997" min="16" max="16"/>
    <col width="10.125" bestFit="1" customWidth="1" style="1" min="17" max="17"/>
    <col width="17" bestFit="1" customWidth="1" style="1" min="18" max="18"/>
    <col width="8.875" bestFit="1" customWidth="1" style="1" min="19" max="19"/>
    <col width="8.625" customWidth="1" style="1" min="20" max="16384"/>
    <col width="8.625" customWidth="1" min="21" max="21"/>
  </cols>
  <sheetData>
    <row r="1"/>
    <row r="2" ht="12" customFormat="1" customHeight="1" s="153">
      <c r="A2" s="153" t="inlineStr">
        <is>
          <t>Ⅱ. 유동자금 계획 세부 내역</t>
        </is>
      </c>
      <c r="I2" s="1998" t="n">
        <v>784638</v>
      </c>
      <c r="P2" s="1999" t="n"/>
    </row>
    <row r="3" ht="10.5" customHeight="1" thickBot="1">
      <c r="G3" s="2000" t="n"/>
      <c r="N3" s="59" t="inlineStr">
        <is>
          <t>(단위 : 백만원, 천$)</t>
        </is>
      </c>
    </row>
    <row r="4" ht="12.75" customHeight="1">
      <c r="C4" s="2001" t="inlineStr">
        <is>
          <t>구분</t>
        </is>
      </c>
      <c r="D4" s="1941" t="n"/>
      <c r="E4" s="1941" t="n"/>
      <c r="F4" s="1929" t="n"/>
      <c r="G4" s="1599" t="inlineStr">
        <is>
          <t>8월(실적)</t>
        </is>
      </c>
      <c r="H4" s="1864" t="n"/>
      <c r="I4" s="1864" t="n"/>
      <c r="J4" s="2002" t="inlineStr">
        <is>
          <t>9월(계획)</t>
        </is>
      </c>
      <c r="K4" s="1931" t="n"/>
      <c r="L4" s="1932" t="n"/>
      <c r="M4" s="54" t="inlineStr">
        <is>
          <t>b-a</t>
        </is>
      </c>
      <c r="N4" s="1599" t="inlineStr">
        <is>
          <t>비고</t>
        </is>
      </c>
      <c r="P4" s="2003" t="n">
        <v>0</v>
      </c>
    </row>
    <row r="5" ht="12.75" customHeight="1">
      <c r="C5" s="1866" t="n"/>
      <c r="D5" s="1866" t="n"/>
      <c r="E5" s="1866" t="n"/>
      <c r="F5" s="1934" t="n"/>
      <c r="G5" s="57" t="inlineStr">
        <is>
          <t>원화</t>
        </is>
      </c>
      <c r="H5" s="54" t="inlineStr">
        <is>
          <t>외화($)</t>
        </is>
      </c>
      <c r="I5" s="1607" t="inlineStr">
        <is>
          <t>환산계(a)</t>
        </is>
      </c>
      <c r="J5" s="55" t="inlineStr">
        <is>
          <t>원화</t>
        </is>
      </c>
      <c r="K5" s="54" t="inlineStr">
        <is>
          <t>외화($)</t>
        </is>
      </c>
      <c r="L5" s="53" t="inlineStr">
        <is>
          <t>환산계(b)</t>
        </is>
      </c>
      <c r="M5" s="1934" t="n"/>
      <c r="N5" s="1867" t="n"/>
    </row>
    <row r="6" ht="12.75" customHeight="1">
      <c r="C6" s="11" t="inlineStr">
        <is>
          <t>A. 기초유동잔고</t>
        </is>
      </c>
      <c r="D6" s="11" t="n"/>
      <c r="E6" s="11" t="n"/>
      <c r="F6" s="11" t="n"/>
      <c r="G6" s="2004" t="n">
        <v>321.357313</v>
      </c>
      <c r="H6" s="2005" t="n">
        <v>0</v>
      </c>
      <c r="I6" s="2004">
        <f>G6+H6*$P$4/1000</f>
        <v/>
      </c>
      <c r="J6" s="2006">
        <f>G49</f>
        <v/>
      </c>
      <c r="K6" s="2005">
        <f>H49</f>
        <v/>
      </c>
      <c r="L6" s="2007">
        <f>J6+K6*$P$4/1000</f>
        <v/>
      </c>
      <c r="M6" s="2008">
        <f>L6-I6</f>
        <v/>
      </c>
      <c r="N6" s="12" t="n"/>
      <c r="O6" s="6" t="n"/>
    </row>
    <row r="7" ht="12.75" customHeight="1">
      <c r="C7" s="30" t="inlineStr">
        <is>
          <t>B. 수지차(=수입-지출)</t>
        </is>
      </c>
      <c r="D7" s="30" t="n"/>
      <c r="E7" s="30" t="n"/>
      <c r="F7" s="29" t="n"/>
      <c r="G7" s="2009">
        <f>G8-G13</f>
        <v/>
      </c>
      <c r="H7" s="2010">
        <f>H8-H13</f>
        <v/>
      </c>
      <c r="I7" s="2009">
        <f>I8-I13</f>
        <v/>
      </c>
      <c r="J7" s="2011">
        <f>J8-J13</f>
        <v/>
      </c>
      <c r="K7" s="2010">
        <f>K8-K13</f>
        <v/>
      </c>
      <c r="L7" s="2012">
        <f>L8-L13</f>
        <v/>
      </c>
      <c r="M7" s="2013">
        <f>-(L7-I7)</f>
        <v/>
      </c>
      <c r="N7" s="28" t="n"/>
      <c r="O7" s="6" t="n"/>
    </row>
    <row r="8" ht="12.75" customHeight="1">
      <c r="C8" s="52" t="n"/>
      <c r="D8" s="26" t="inlineStr">
        <is>
          <t>수입</t>
        </is>
      </c>
      <c r="E8" s="18" t="n"/>
      <c r="F8" s="40" t="n"/>
      <c r="G8" s="2014">
        <f>SUM(G9:G12)</f>
        <v/>
      </c>
      <c r="H8" s="2015">
        <f>SUM(H9:H12)</f>
        <v/>
      </c>
      <c r="I8" s="2014">
        <f>SUM(I9:I12)</f>
        <v/>
      </c>
      <c r="J8" s="2016">
        <f>SUM(J9:J12)</f>
        <v/>
      </c>
      <c r="K8" s="2015">
        <f>SUM(K9:K12)</f>
        <v/>
      </c>
      <c r="L8" s="2017">
        <f>SUM(L9:L12)</f>
        <v/>
      </c>
      <c r="M8" s="2018">
        <f>SUM(M9:M12)</f>
        <v/>
      </c>
      <c r="N8" s="35" t="n"/>
      <c r="O8" s="6" t="n"/>
    </row>
    <row r="9" ht="12.75" customHeight="1">
      <c r="C9" s="52" t="n"/>
      <c r="D9" s="37" t="n"/>
      <c r="E9" s="26" t="inlineStr">
        <is>
          <t>매출</t>
        </is>
      </c>
      <c r="F9" s="40" t="n"/>
      <c r="G9" s="2019">
        <f>SUMIFS('실적월'!$E:$E,'실적월'!$A:$A,"외상매출금",'실적월'!$D:$D,"KRW")/1000000</f>
        <v/>
      </c>
      <c r="H9" s="2020">
        <f>SUMIFS('실적월'!$E:$E,'실적월'!$A:$A,"외상매출금",'실적월'!$D:$D,"USD")/1000</f>
        <v/>
      </c>
      <c r="I9" s="2019">
        <f>G9+H9*$P$4/1000</f>
        <v/>
      </c>
      <c r="J9" s="2021">
        <f>SUMIFS('계획월'!$E:$E,'계획월'!$A:$A,"외상매출금",'계획월'!$D:$D,"KRW")/1000000</f>
        <v/>
      </c>
      <c r="K9" s="2020">
        <f>SUMIFS('계획월'!$E:$E,'계획월'!$A:$A,"외상매출금",'계획월'!$D:$D,"USD")/1000</f>
        <v/>
      </c>
      <c r="L9" s="2022">
        <f>J9+K9*$P$4/1000</f>
        <v/>
      </c>
      <c r="M9" s="2023">
        <f>L9-I9</f>
        <v/>
      </c>
      <c r="N9" s="160" t="inlineStr">
        <is>
          <t>∙8월 : 매출 0.2백만
∙9월 : 매출 11백만</t>
        </is>
      </c>
      <c r="O9" s="6" t="n"/>
    </row>
    <row r="10" ht="12.75" customHeight="1">
      <c r="C10" s="52" t="n"/>
      <c r="D10" s="37" t="n"/>
      <c r="E10" s="37" t="inlineStr">
        <is>
          <t>세금환급</t>
        </is>
      </c>
      <c r="F10" s="44" t="n"/>
      <c r="G10" s="2024">
        <f>SUMIFS('실적월'!$E:$E,'실적월'!$A:$A,"세금환급",'실적월'!$D:$D,"KRW")/1000000</f>
        <v/>
      </c>
      <c r="H10" s="2025">
        <f>SUMIFS('실적월'!$E:$E,'실적월'!$A:$A,"세금환급",'실적월'!$D:$D,"USD")/1000</f>
        <v/>
      </c>
      <c r="I10" s="2024">
        <f>G10+H10*$P$4/1000</f>
        <v/>
      </c>
      <c r="J10" s="2026">
        <f>SUMIFS('계획월'!$E:$E,'계획월'!$A:$A,"세금환급",'계획월'!$D:$D,"KRW")/1000000</f>
        <v/>
      </c>
      <c r="K10" s="2025">
        <f>SUMIFS('계획월'!$E:$E,'계획월'!$A:$A,"세금환급",'계획월'!$D:$D,"USD")/1000</f>
        <v/>
      </c>
      <c r="L10" s="2027">
        <f>J10+K10*$P$4/1000</f>
        <v/>
      </c>
      <c r="M10" s="2028">
        <f>L10-I10</f>
        <v/>
      </c>
      <c r="N10" s="50" t="n"/>
      <c r="O10" s="6" t="n"/>
    </row>
    <row r="11" ht="12.75" customHeight="1">
      <c r="C11" s="52" t="n"/>
      <c r="D11" s="37" t="n"/>
      <c r="E11" s="37" t="inlineStr">
        <is>
          <t>이자수익</t>
        </is>
      </c>
      <c r="F11" s="44" t="n"/>
      <c r="G11" s="2024">
        <f>SUMIFS('실적월'!$E:$E,'실적월'!$A:$A,"이자수익",'실적월'!$D:$D,"KRW")/1000000</f>
        <v/>
      </c>
      <c r="H11" s="2029">
        <f>SUMIFS('실적월'!$E:$E,'실적월'!$A:$A,"이자수익",'실적월'!$D:$D,"USD")/1000</f>
        <v/>
      </c>
      <c r="I11" s="2024">
        <f>G11+H11*$P$4/1000</f>
        <v/>
      </c>
      <c r="J11" s="2026">
        <f>SUMIFS('계획월'!$E:$E,'계획월'!$A:$A,"이자수익",'계획월'!$D:$D,"KRW")/1000000</f>
        <v/>
      </c>
      <c r="K11" s="2029">
        <f>SUMIFS('계획월'!$E:$E,'계획월'!$A:$A,"이자수익",'계획월'!$D:$D,"USD")/1000</f>
        <v/>
      </c>
      <c r="L11" s="2030">
        <f>J11+K11*$P$4/1000</f>
        <v/>
      </c>
      <c r="M11" s="2028">
        <f>L11-I11</f>
        <v/>
      </c>
      <c r="N11" s="50" t="n"/>
      <c r="O11" s="6" t="n"/>
    </row>
    <row r="12" ht="12.75" customHeight="1">
      <c r="C12" s="52" t="n"/>
      <c r="D12" s="37" t="n"/>
      <c r="E12" s="37" t="inlineStr">
        <is>
          <t>기타</t>
        </is>
      </c>
      <c r="F12" s="44" t="n"/>
      <c r="G12" s="2024">
        <f>SUMIFS('실적월'!$E:$E,'실적월'!$A:$A,"기타입금",'실적월'!$D:$D,"KRW")/1000000+SUMIFS('실적월'!$E:$E,'실적월'!$A:$A,"수입임대료",'실적월'!$D:$D,"KRW")/1000000</f>
        <v/>
      </c>
      <c r="H12" s="2031">
        <f>SUMIFS('실적월'!$E:$E,'실적월'!$A:$A,"기타입금",'실적월'!$D:$D,"USD")/1000+SUMIFS('실적월'!$E:$E,'실적월'!$A:$A,"수입임대료",'실적월'!$D:$D,"USD")/1000</f>
        <v/>
      </c>
      <c r="I12" s="2024">
        <f>G12+H12*$P$4/1000</f>
        <v/>
      </c>
      <c r="J12" s="2026">
        <f>SUMIFS('계획월'!$E:$E,'계획월'!$A:$A,"기타입금",'계획월'!$D:$D,"KRW")/1000000+SUMIFS('계획월'!$E:$E,'계획월'!$A:$A,"수입임대료",'계획월'!$D:$D,"KRW")/1000000</f>
        <v/>
      </c>
      <c r="K12" s="2031">
        <f>SUMIFS('계획월'!$E:$E,'계획월'!$A:$A,"기타입금",'계획월'!$D:$D,"USD")/1000+SUMIFS('계획월'!$E:$E,'계획월'!$A:$A,"수입임대료",'계획월'!$D:$D,"USD")/1000</f>
        <v/>
      </c>
      <c r="L12" s="2027">
        <f>J12+K12*$P$4/1000</f>
        <v/>
      </c>
      <c r="M12" s="2028">
        <f>L12-I12</f>
        <v/>
      </c>
      <c r="N12" s="50" t="n"/>
      <c r="O12" s="6" t="n"/>
    </row>
    <row r="13" ht="12.75" customHeight="1">
      <c r="C13" s="51" t="n"/>
      <c r="D13" s="26" t="inlineStr">
        <is>
          <t>지출</t>
        </is>
      </c>
      <c r="E13" s="18" t="n"/>
      <c r="F13" s="18" t="n"/>
      <c r="G13" s="2032">
        <f>SUM(G14,G19,G20,G25:G28)</f>
        <v/>
      </c>
      <c r="H13" s="2015">
        <f>SUM(H14,H19,H20,H25:H28)</f>
        <v/>
      </c>
      <c r="I13" s="2032">
        <f>SUM(I14,I19,I20,I25:I28)</f>
        <v/>
      </c>
      <c r="J13" s="2016">
        <f>SUM(J14,J19,J20,J25:J28)</f>
        <v/>
      </c>
      <c r="K13" s="2015">
        <f>SUM(K14,K19,K20,K25:K28)</f>
        <v/>
      </c>
      <c r="L13" s="2033">
        <f>SUM(L14,L19,L20,L25:L28)</f>
        <v/>
      </c>
      <c r="M13" s="2034">
        <f>L13-I13</f>
        <v/>
      </c>
      <c r="N13" s="50" t="n"/>
      <c r="O13" s="6" t="n"/>
    </row>
    <row r="14" ht="12.75" customHeight="1">
      <c r="C14" s="34" t="n"/>
      <c r="D14" s="33" t="n"/>
      <c r="E14" s="26" t="inlineStr">
        <is>
          <t>인건비</t>
        </is>
      </c>
      <c r="F14" s="40" t="n"/>
      <c r="G14" s="2035">
        <f>SUM(G15:G18)</f>
        <v/>
      </c>
      <c r="H14" s="2036">
        <f>SUM(H15:H18)</f>
        <v/>
      </c>
      <c r="I14" s="2014">
        <f>SUM(I15:I18)</f>
        <v/>
      </c>
      <c r="J14" s="2037">
        <f>SUM(J15:J18)</f>
        <v/>
      </c>
      <c r="K14" s="2036">
        <f>SUM(K15:K18)</f>
        <v/>
      </c>
      <c r="L14" s="2017">
        <f>SUM(L15:L18)</f>
        <v/>
      </c>
      <c r="M14" s="2034">
        <f>L14-I14</f>
        <v/>
      </c>
      <c r="N14" s="50" t="n"/>
      <c r="O14" s="6" t="n"/>
      <c r="Q14" s="1997" t="n"/>
    </row>
    <row r="15" outlineLevel="1" ht="12.75" customHeight="1">
      <c r="C15" s="34" t="n"/>
      <c r="D15" s="33" t="n"/>
      <c r="E15" s="37" t="n"/>
      <c r="F15" s="26" t="inlineStr">
        <is>
          <t>급여</t>
        </is>
      </c>
      <c r="G15" s="2038">
        <f>SUMIFS('실적월'!$F:$F,'실적월'!$A:$A,"급여",'실적월'!$D:$D,"KRW")/1000000</f>
        <v/>
      </c>
      <c r="H15" s="2039">
        <f>SUMIFS('실적월'!$F:$F,'실적월'!$A:$A,"급여",'실적월'!$D:$D,"USD")/1000</f>
        <v/>
      </c>
      <c r="I15" s="2019">
        <f>G15+H15*$P$4/1000</f>
        <v/>
      </c>
      <c r="J15" s="2040">
        <f>SUMIFS('계획월'!$F:$F,'계획월'!$A:$A,"급여",'계획월'!$D:$D,"KRW")/1000000</f>
        <v/>
      </c>
      <c r="K15" s="2039">
        <f>SUMIFS('계획월'!$F:$F,'계획월'!$A:$A,"급여",'계획월'!$D:$D,"USD")/1000</f>
        <v/>
      </c>
      <c r="L15" s="2022">
        <f>J15+K15*$P$4/1000</f>
        <v/>
      </c>
      <c r="M15" s="2023">
        <f>L15-I15</f>
        <v/>
      </c>
      <c r="N15" s="50" t="inlineStr">
        <is>
          <t>∙8월 : 급여 14.8백만
∙9월 : 급여 15백만</t>
        </is>
      </c>
      <c r="O15" s="6" t="n"/>
      <c r="Q15" s="1997" t="n"/>
    </row>
    <row r="16" outlineLevel="1" ht="12.75" customHeight="1">
      <c r="C16" s="34" t="n"/>
      <c r="D16" s="33" t="n"/>
      <c r="E16" s="37" t="n"/>
      <c r="F16" s="37" t="inlineStr">
        <is>
          <t>상여</t>
        </is>
      </c>
      <c r="G16" s="2041">
        <f>SUMIFS('실적월'!$F:$F,'실적월'!$A:$A,"상여",'실적월'!$D:$D,"KRW")/1000000</f>
        <v/>
      </c>
      <c r="H16" s="2042">
        <f>SUMIFS('실적월'!$F:$F,'실적월'!$A:$A,"상여",'실적월'!$D:$D,"USD")/1000</f>
        <v/>
      </c>
      <c r="I16" s="2024">
        <f>G16+H16*$P$4/1000</f>
        <v/>
      </c>
      <c r="J16" s="2043">
        <f>SUMIFS('계획월'!$F:$F,'계획월'!$A:$A,"상여",'계획월'!$D:$D,"KRW")/1000000</f>
        <v/>
      </c>
      <c r="K16" s="2042">
        <f>SUMIFS('계획월'!$F:$F,'계획월'!$A:$A,"상여",'계획월'!$D:$D,"USD")/1000</f>
        <v/>
      </c>
      <c r="L16" s="2027">
        <f>J16+K16*$P$4/1000</f>
        <v/>
      </c>
      <c r="M16" s="2028">
        <f>L16-I16</f>
        <v/>
      </c>
      <c r="N16" s="50" t="n"/>
      <c r="O16" s="6" t="n"/>
      <c r="P16" s="2044" t="n"/>
      <c r="Q16" s="1997" t="n"/>
    </row>
    <row r="17" outlineLevel="1" ht="12.75" customHeight="1">
      <c r="C17" s="34" t="n"/>
      <c r="D17" s="33" t="n"/>
      <c r="E17" s="37" t="n"/>
      <c r="F17" s="37" t="inlineStr">
        <is>
          <t>퇴직연금</t>
        </is>
      </c>
      <c r="G17" s="2041">
        <f>SUMIFS('실적월'!$F:$F,'실적월'!$A:$A,"퇴직연금",'실적월'!$D:$D,"KRW")/1000000</f>
        <v/>
      </c>
      <c r="H17" s="2042">
        <f>SUMIFS('실적월'!$F:$F,'실적월'!$A:$A,"퇴직연금",'실적월'!$D:$D,"USD")/1000</f>
        <v/>
      </c>
      <c r="I17" s="2024">
        <f>G17+H17*$P$4/1000</f>
        <v/>
      </c>
      <c r="J17" s="2043">
        <f>SUMIFS('계획월'!$F:$F,'계획월'!$A:$A,"퇴직연금",'계획월'!$D:$D,"KRW")/1000000</f>
        <v/>
      </c>
      <c r="K17" s="2042">
        <f>SUMIFS('계획월'!$F:$F,'계획월'!$A:$A,"퇴직연금",'계획월'!$D:$D,"USD")/1000</f>
        <v/>
      </c>
      <c r="L17" s="2027">
        <f>J17+K17*$P$4/1000</f>
        <v/>
      </c>
      <c r="M17" s="2028">
        <f>L17-I17</f>
        <v/>
      </c>
      <c r="N17" s="50" t="inlineStr">
        <is>
          <t>∙8월 : 퇴직연금 1.9백만
∙9월 : 퇴직연금 1.9백만</t>
        </is>
      </c>
      <c r="O17" s="6" t="n"/>
      <c r="Q17" s="1997" t="n"/>
    </row>
    <row r="18" outlineLevel="1" ht="12.75" customHeight="1">
      <c r="C18" s="34" t="n"/>
      <c r="D18" s="33" t="n"/>
      <c r="E18" s="42" t="n"/>
      <c r="F18" s="42" t="inlineStr">
        <is>
          <t>4대보험료</t>
        </is>
      </c>
      <c r="G18" s="2045">
        <f>SUMIFS('실적월'!$F:$F,'실적월'!$A:$A,"4대보험",'실적월'!$D:$D,"KRW")/1000000</f>
        <v/>
      </c>
      <c r="H18" s="2046">
        <f>SUMIFS('실적월'!$F:$F,'실적월'!$A:$A,"4대보험",'실적월'!$D:$D,"USD")/1000</f>
        <v/>
      </c>
      <c r="I18" s="2047">
        <f>G18+H18*$P$4/1000</f>
        <v/>
      </c>
      <c r="J18" s="2048">
        <f>SUMIFS('계획월'!$F:$F,'계획월'!$A:$A,"4대보험",'계획월'!$D:$D,"KRW")/1000000</f>
        <v/>
      </c>
      <c r="K18" s="2046">
        <f>SUMIFS('계획월'!$F:$F,'계획월'!$A:$A,"4대보험",'계획월'!$D:$D,"USD")/1000</f>
        <v/>
      </c>
      <c r="L18" s="2049">
        <f>J18+K18*$P$4/1000</f>
        <v/>
      </c>
      <c r="M18" s="2050">
        <f>L18-I18</f>
        <v/>
      </c>
      <c r="N18" s="50" t="inlineStr">
        <is>
          <t>∙8월 : 4대보험료 3백만
∙9월 : 4대보험료 3백만</t>
        </is>
      </c>
      <c r="O18" s="6" t="n"/>
      <c r="P18" s="2044" t="n"/>
      <c r="Q18" s="1997" t="n"/>
    </row>
    <row r="19" ht="12.75" customHeight="1">
      <c r="C19" s="34" t="n"/>
      <c r="D19" s="33" t="n"/>
      <c r="E19" s="37" t="inlineStr">
        <is>
          <t>마케팅비</t>
        </is>
      </c>
      <c r="F19" s="44" t="n"/>
      <c r="G19" s="2019">
        <f>SUMIFS('실적월'!$F:$F,'실적월'!$A:$A,"광고판촉비",'실적월'!$D:$D,"KRW")/1000000</f>
        <v/>
      </c>
      <c r="H19" s="2051">
        <f>SUMIFS('실적월'!$F:$F,'실적월'!$A:$A,"광고판촉비",'실적월'!$D:$D,"USD")/1000</f>
        <v/>
      </c>
      <c r="I19" s="2019">
        <f>G19+H19*$P$4/1000</f>
        <v/>
      </c>
      <c r="J19" s="2021">
        <f>SUMIFS('계획월'!$F:$F,'계획월'!$A:$A,"광고판촉비",'계획월'!$D:$D,"KRW")/1000000</f>
        <v/>
      </c>
      <c r="K19" s="2051">
        <f>SUMIFS('계획월'!$F:$F,'계획월'!$A:$A,"광고판촉비",'계획월'!$D:$D,"USD")/1000</f>
        <v/>
      </c>
      <c r="L19" s="2022">
        <f>J19+K19*$P$4/1000</f>
        <v/>
      </c>
      <c r="M19" s="2023">
        <f>L19-I19</f>
        <v/>
      </c>
      <c r="N19" s="2052" t="n"/>
      <c r="O19" s="6" t="n"/>
      <c r="P19" s="2044" t="n"/>
    </row>
    <row r="20" ht="12.75" customHeight="1">
      <c r="C20" s="34" t="n"/>
      <c r="D20" s="33" t="n"/>
      <c r="E20" s="37" t="inlineStr">
        <is>
          <t>제세공과금</t>
        </is>
      </c>
      <c r="F20" s="44" t="n"/>
      <c r="G20" s="2045">
        <f>SUM(G21:G24)</f>
        <v/>
      </c>
      <c r="H20" s="2053">
        <f>SUM(H21:H24)</f>
        <v/>
      </c>
      <c r="I20" s="2047">
        <f>SUM(I21:I24)</f>
        <v/>
      </c>
      <c r="J20" s="2048">
        <f>SUM(J21:J24)</f>
        <v/>
      </c>
      <c r="K20" s="2053">
        <f>SUM(K21:K24)</f>
        <v/>
      </c>
      <c r="L20" s="2049">
        <f>SUM(L21:L24)</f>
        <v/>
      </c>
      <c r="M20" s="2050">
        <f>L20-I20</f>
        <v/>
      </c>
      <c r="N20" s="48" t="n"/>
      <c r="O20" s="6" t="n"/>
    </row>
    <row r="21" outlineLevel="1" ht="12.75" customHeight="1">
      <c r="C21" s="34" t="n"/>
      <c r="D21" s="33" t="n"/>
      <c r="E21" s="37" t="n"/>
      <c r="F21" s="26" t="inlineStr">
        <is>
          <t>법인세</t>
        </is>
      </c>
      <c r="G21" s="2041">
        <f>SUMIFS('실적월'!$F:$F,'실적월'!$A:$A,"법인세",'실적월'!$D:$D,"KRW")/1000000</f>
        <v/>
      </c>
      <c r="H21" s="2029">
        <f>SUMIFS('실적월'!$F:$F,'실적월'!$A:$A,"법인세",'실적월'!$D:$D,"USD")/1000</f>
        <v/>
      </c>
      <c r="I21" s="2019">
        <f>G21+H21*$P$4/1000</f>
        <v/>
      </c>
      <c r="J21" s="2043">
        <f>SUMIFS('계획월'!$F:$F,'계획월'!$A:$A,"법인세",'계획월'!$D:$D,"KRW")/1000000</f>
        <v/>
      </c>
      <c r="K21" s="2029">
        <f>SUMIFS('계획월'!$F:$F,'계획월'!$A:$A,"법인세",'계획월'!$D:$D,"USD")/1000</f>
        <v/>
      </c>
      <c r="L21" s="2022">
        <f>J21+K21*$P$4/1000</f>
        <v/>
      </c>
      <c r="M21" s="2023">
        <f>L21-I21</f>
        <v/>
      </c>
      <c r="N21" s="48" t="n"/>
      <c r="O21" s="6" t="n"/>
    </row>
    <row r="22" outlineLevel="1" ht="12.75" customHeight="1">
      <c r="C22" s="34" t="n"/>
      <c r="D22" s="33" t="n"/>
      <c r="E22" s="37" t="n"/>
      <c r="F22" s="37" t="inlineStr">
        <is>
          <t>부가가치세</t>
        </is>
      </c>
      <c r="G22" s="2041">
        <f>SUMIFS('실적월'!$F:$F,'실적월'!$A:$A,"부가가치세",'실적월'!$D:$D,"KRW")/1000000</f>
        <v/>
      </c>
      <c r="H22" s="2029">
        <f>SUMIFS('실적월'!$F:$F,'실적월'!$A:$A,"부가가치세",'실적월'!$D:$D,"USD")/1000</f>
        <v/>
      </c>
      <c r="I22" s="2024">
        <f>G22+H22*$P$4/1000</f>
        <v/>
      </c>
      <c r="J22" s="2043">
        <f>SUMIFS('계획월'!$F:$F,'계획월'!$A:$A,"부가가치세",'계획월'!$D:$D,"KRW")/1000000</f>
        <v/>
      </c>
      <c r="K22" s="2029">
        <f>SUMIFS('계획월'!$F:$F,'계획월'!$A:$A,"부가가치세",'계획월'!$D:$D,"USD")/1000</f>
        <v/>
      </c>
      <c r="L22" s="2027">
        <f>J22+K22*$P$4/1000</f>
        <v/>
      </c>
      <c r="M22" s="2028">
        <f>L22-I22</f>
        <v/>
      </c>
      <c r="N22" s="50" t="n"/>
      <c r="O22" s="6" t="n"/>
    </row>
    <row r="23" outlineLevel="1" ht="12.75" customHeight="1">
      <c r="C23" s="34" t="n"/>
      <c r="D23" s="33" t="n"/>
      <c r="E23" s="37" t="n"/>
      <c r="F23" s="37" t="inlineStr">
        <is>
          <t>원천세</t>
        </is>
      </c>
      <c r="G23" s="2041">
        <f>SUMIFS('실적월'!$F:$F,'실적월'!$A:$A,"원천세",'실적월'!$D:$D,"KRW")/1000000</f>
        <v/>
      </c>
      <c r="H23" s="2029">
        <f>SUMIFS('실적월'!$F:$F,'실적월'!$A:$A,"원천세",'실적월'!$D:$D,"USD")/1000</f>
        <v/>
      </c>
      <c r="I23" s="2024">
        <f>G23+H23*$P$4/1000</f>
        <v/>
      </c>
      <c r="J23" s="2043">
        <f>SUMIFS('계획월'!$F:$F,'계획월'!$A:$A,"원천세",'계획월'!$D:$D,"KRW")/1000000</f>
        <v/>
      </c>
      <c r="K23" s="2029">
        <f>SUMIFS('계획월'!$F:$F,'계획월'!$A:$A,"원천세",'계획월'!$D:$D,"USD")/1000</f>
        <v/>
      </c>
      <c r="L23" s="2027">
        <f>J23+K23*$P$4/1000</f>
        <v/>
      </c>
      <c r="M23" s="2028">
        <f>L23-I23</f>
        <v/>
      </c>
      <c r="N23" s="50" t="inlineStr">
        <is>
          <t>∙8월 : 원천세 3.9백만
∙9월 : 원천세 4백만</t>
        </is>
      </c>
      <c r="O23" s="6" t="n"/>
    </row>
    <row r="24" outlineLevel="1" ht="12.75" customHeight="1">
      <c r="C24" s="34" t="n"/>
      <c r="D24" s="33" t="n"/>
      <c r="E24" s="42" t="n"/>
      <c r="F24" s="42" t="inlineStr">
        <is>
          <t>기타제세공과금</t>
        </is>
      </c>
      <c r="G24" s="2045">
        <f>SUMIFS('실적월'!$F:$F,'실적월'!$A:$A,"기타제세공과금",'실적월'!$D:$D,"KRW")/1000000</f>
        <v/>
      </c>
      <c r="H24" s="2054">
        <f>SUMIFS('실적월'!$F:$F,'실적월'!$A:$A,"기타제세공과금",'실적월'!$D:$D,"USD")/1000</f>
        <v/>
      </c>
      <c r="I24" s="2047">
        <f>G24+H24*$P$4/1000</f>
        <v/>
      </c>
      <c r="J24" s="2048">
        <f>SUMIFS('계획월'!$F:$F,'계획월'!$A:$A,"기타제세공과금",'계획월'!$D:$D,"KRW")/1000000</f>
        <v/>
      </c>
      <c r="K24" s="2054">
        <f>SUMIFS('계획월'!$F:$F,'계획월'!$A:$A,"기타제세공과금",'계획월'!$D:$D,"USD")/1000</f>
        <v/>
      </c>
      <c r="L24" s="2049">
        <f>J24+K24*$P$4/1000</f>
        <v/>
      </c>
      <c r="M24" s="2050">
        <f>L24-I24</f>
        <v/>
      </c>
      <c r="N24" s="48" t="inlineStr">
        <is>
          <t>∙8월 : 기타제세공과금 0.2백만</t>
        </is>
      </c>
      <c r="O24" s="6" t="n"/>
    </row>
    <row r="25" ht="12.75" customHeight="1">
      <c r="C25" s="34" t="n"/>
      <c r="D25" s="33" t="n"/>
      <c r="E25" s="37" t="inlineStr">
        <is>
          <t>지급이자</t>
        </is>
      </c>
      <c r="F25" s="44" t="n"/>
      <c r="G25" s="2024">
        <f>SUMIFS('실적월'!$F:$F,'실적월'!$A:$A,"지급이자",'실적월'!$D:$D,"KRW")/1000000</f>
        <v/>
      </c>
      <c r="H25" s="2029">
        <f>SUMIFS('실적월'!$F:$F,'실적월'!$A:$A,"지급이자",'실적월'!$D:$D,"USD")/1000</f>
        <v/>
      </c>
      <c r="I25" s="2024">
        <f>G25+H25*$P$4/1000</f>
        <v/>
      </c>
      <c r="J25" s="2026">
        <f>SUMIFS('계획월'!$F:$F,'계획월'!$A:$A,"지급이자",'계획월'!$D:$D,"KRW")/1000000</f>
        <v/>
      </c>
      <c r="K25" s="2029">
        <f>SUMIFS('계획월'!$F:$F,'계획월'!$A:$A,"지급이자",'계획월'!$D:$D,"USD")/1000</f>
        <v/>
      </c>
      <c r="L25" s="2027">
        <f>J25+K25*$P$4/1000</f>
        <v/>
      </c>
      <c r="M25" s="2028">
        <f>L25-I25</f>
        <v/>
      </c>
      <c r="N25" s="48" t="n"/>
      <c r="O25" s="6" t="n"/>
      <c r="R25" s="2055" t="n"/>
    </row>
    <row r="26" ht="12.75" customHeight="1">
      <c r="C26" s="34" t="n"/>
      <c r="D26" s="33" t="n"/>
      <c r="E26" s="37" t="inlineStr">
        <is>
          <t>자산매입</t>
        </is>
      </c>
      <c r="F26" s="44" t="n"/>
      <c r="G26" s="2024">
        <f>SUMIFS('실적월'!$F:$F,'실적월'!$A:$A,"H/W",'실적월'!$D:$D,"KRW")/1000000+SUMIFS('실적월'!$F:$F,'실적월'!$A:$A,"S/W",'실적월'!$D:$D,"KRW")/1000000+SUMIFS('실적월'!$F:$F,'실적월'!$A:$A,"시설장치",'실적월'!$D:$D,"KRW")/1000000+SUMIFS('실적월'!$F:$F,'실적월'!$A:$A,"차량",'실적월'!$D:$D,"KRW")/1000000</f>
        <v/>
      </c>
      <c r="H26" s="2031">
        <f>SUMIFS('실적월'!$F:$F,'실적월'!$A:$A,"H/W",'실적월'!$D:$D,"USD")/1000+SUMIFS('실적월'!$F:$F,'실적월'!$A:$A,"S/W",'실적월'!$D:$D,"USD")/1000+SUMIFS('실적월'!$F:$F,'실적월'!$A:$A,"시설장치",'실적월'!$D:$D,"USD")/1000+SUMIFS('실적월'!$F:$F,'실적월'!$A:$A,"차량",'실적월'!$D:$D,"USD")/1000</f>
        <v/>
      </c>
      <c r="I26" s="2024">
        <f>G26+H26*$P$4/1000</f>
        <v/>
      </c>
      <c r="J26" s="2026">
        <f>SUMIFS('계획월'!$F:$F,'계획월'!$A:$A,"H/W",'계획월'!$D:$D,"KRW")/1000000+SUMIFS('계획월'!$F:$F,'계획월'!$A:$A,"S/W",'계획월'!$D:$D,"KRW")/1000000+SUMIFS('계획월'!$F:$F,'계획월'!$A:$A,"시설장치",'계획월'!$D:$D,"KRW")/1000000+SUMIFS('계획월'!$F:$F,'계획월'!$A:$A,"차량",'계획월'!$D:$D,"KRW")/1000000</f>
        <v/>
      </c>
      <c r="K26" s="2031">
        <f>SUMIFS('계획월'!$F:$F,'계획월'!$A:$A,"H/W",'계획월'!$D:$D,"USD")/1000+SUMIFS('계획월'!$F:$F,'계획월'!$A:$A,"S/W",'계획월'!$D:$D,"USD")/1000+SUMIFS('계획월'!$F:$F,'계획월'!$A:$A,"시설장치",'계획월'!$D:$D,"USD")/1000+SUMIFS('계획월'!$F:$F,'계획월'!$A:$A,"차량",'계획월'!$D:$D,"USD")/1000</f>
        <v/>
      </c>
      <c r="L26" s="2027">
        <f>J26+K26*$P$4/1000</f>
        <v/>
      </c>
      <c r="M26" s="2028">
        <f>L26-I26</f>
        <v/>
      </c>
      <c r="N26" s="50" t="n"/>
      <c r="O26" s="6" t="n"/>
      <c r="R26" s="2055" t="n"/>
    </row>
    <row r="27" outlineLevel="1" ht="12.75" customHeight="1">
      <c r="C27" s="34" t="n"/>
      <c r="D27" s="33" t="n"/>
      <c r="E27" s="37" t="inlineStr">
        <is>
          <t>투자금</t>
        </is>
      </c>
      <c r="F27" s="37" t="n"/>
      <c r="G27" s="2024">
        <f>SUMIFS('실적월'!$F:$F,'실적월'!$A:$A,"지분투자",'실적월'!$D:$D,"KRW")/1000000+SUMIFS('실적월'!$F:$F,'실적월'!$A:$A,"투자금",'실적월'!$D:$D,"KRW")/1000000</f>
        <v/>
      </c>
      <c r="H27" s="2031">
        <f>SUMIFS('실적월'!$F:$F,'실적월'!$A:$A,"지분투자",'실적월'!$D:$D,"USD")/1000+SUMIFS('실적월'!$F:$F,'실적월'!$A:$A,"투자금",'실적월'!$D:$D,"USD")/1000</f>
        <v/>
      </c>
      <c r="I27" s="2041">
        <f>G27+H27*$P$4/1000</f>
        <v/>
      </c>
      <c r="J27" s="2026">
        <f>SUMIFS('계획월'!$F:$F,'계획월'!$A:$A,"지분투자",'계획월'!$D:$D,"KRW")/1000000+SUMIFS('계획월'!$F:$F,'계획월'!$A:$A,"투자금",'계획월'!$D:$D,"KRW")/1000000</f>
        <v/>
      </c>
      <c r="K27" s="2031">
        <f>SUMIFS('계획월'!$F:$F,'계획월'!$A:$A,"지분투자",'계획월'!$D:$D,"USD")/1000+SUMIFS('계획월'!$F:$F,'계획월'!$A:$A,"투자금",'계획월'!$D:$D,"USD")/1000</f>
        <v/>
      </c>
      <c r="L27" s="2027">
        <f>J27+K27*$P$4/1000</f>
        <v/>
      </c>
      <c r="M27" s="2028">
        <f>L27-I27</f>
        <v/>
      </c>
      <c r="N27" s="50" t="n"/>
      <c r="O27" s="6" t="n"/>
      <c r="P27" s="2056" t="n"/>
    </row>
    <row r="28" ht="12.75" customHeight="1">
      <c r="C28" s="34" t="n"/>
      <c r="D28" s="33" t="n"/>
      <c r="E28" s="37" t="inlineStr">
        <is>
          <t>기타</t>
        </is>
      </c>
      <c r="F28" s="44" t="n"/>
      <c r="G28" s="2047">
        <f>SUM(G29:G32)</f>
        <v/>
      </c>
      <c r="H28" s="2054">
        <f>SUM(H29:H32)</f>
        <v/>
      </c>
      <c r="I28" s="2047">
        <f>SUM(I29:I32)</f>
        <v/>
      </c>
      <c r="J28" s="2057">
        <f>SUM(J29:J32)</f>
        <v/>
      </c>
      <c r="K28" s="2054">
        <f>SUM(K29:K32)</f>
        <v/>
      </c>
      <c r="L28" s="2049">
        <f>SUM(L29:L32)</f>
        <v/>
      </c>
      <c r="M28" s="2050">
        <f>L28-I28</f>
        <v/>
      </c>
      <c r="N28" s="50" t="n"/>
      <c r="O28" s="6" t="n"/>
      <c r="R28" s="2058" t="n"/>
    </row>
    <row r="29" outlineLevel="1" ht="12.75" customHeight="1">
      <c r="C29" s="34" t="n"/>
      <c r="D29" s="33" t="n"/>
      <c r="E29" s="33" t="n"/>
      <c r="F29" s="26" t="inlineStr">
        <is>
          <t>전산관련지출</t>
        </is>
      </c>
      <c r="G29" s="2024">
        <f>SUMIFS('실적월'!$F:$F,'실적월'!$A:$A,"전산관련지출",'실적월'!$D:$D,"KRW")/1000000+SUMIFS('실적월'!$F:$F,'실적월'!$A:$A,"전산유지비",'실적월'!$D:$D,"KRW")/1000000</f>
        <v/>
      </c>
      <c r="H29" s="2031">
        <f>SUMIFS('실적월'!$F:$F,'실적월'!$A:$A,"전산관련지출",'실적월'!$D:$D,"USD")/1000+SUMIFS('실적월'!$F:$F,'실적월'!$A:$A,"전산유지비",'실적월'!$D:$D,"USD")/1000</f>
        <v/>
      </c>
      <c r="I29" s="2038">
        <f>G29+H29*$P$4/1000</f>
        <v/>
      </c>
      <c r="J29" s="2026">
        <f>SUMIFS('계획월'!$F:$F,'계획월'!$A:$A,"전산관련지출",'계획월'!$D:$D,"KRW")/1000000+SUMIFS('계획월'!$F:$F,'계획월'!$A:$A,"전산유지비",'계획월'!$D:$D,"KRW")/1000000</f>
        <v/>
      </c>
      <c r="K29" s="2031">
        <f>SUMIFS('계획월'!$F:$F,'계획월'!$A:$A,"전산관련지출",'계획월'!$D:$D,"USD")/1000+SUMIFS('계획월'!$F:$F,'계획월'!$A:$A,"전산유지비",'계획월'!$D:$D,"USD")/1000</f>
        <v/>
      </c>
      <c r="L29" s="2059">
        <f>J29+K29*$P$4/1000</f>
        <v/>
      </c>
      <c r="M29" s="2060">
        <f>L29-I29</f>
        <v/>
      </c>
      <c r="N29" s="45" t="inlineStr">
        <is>
          <t>∙8월 : 전산관련지출 0.8백만
∙9월 : 전산관련지출 1백만</t>
        </is>
      </c>
      <c r="O29" s="6" t="n"/>
    </row>
    <row r="30" outlineLevel="1" ht="12.75" customHeight="1">
      <c r="C30" s="34" t="n"/>
      <c r="D30" s="33" t="n"/>
      <c r="E30" s="33" t="n"/>
      <c r="F30" s="37" t="inlineStr">
        <is>
          <t>개발 외주용역비</t>
        </is>
      </c>
      <c r="G30" s="2024">
        <f>SUMIFS('실적월'!$F:$F,'실적월'!$A:$A,"외주용역비",'실적월'!$D:$D,"KRW")/1000000</f>
        <v/>
      </c>
      <c r="H30" s="2031">
        <f>SUMIFS('실적월'!$F:$F,'실적월'!$A:$A,"외주용역비",'실적월'!$D:$D,"USD")/1000</f>
        <v/>
      </c>
      <c r="I30" s="2041">
        <f>G30+H30*$P$4/1000</f>
        <v/>
      </c>
      <c r="J30" s="2026">
        <f>SUMIFS('계획월'!$F:$F,'계획월'!$A:$A,"외주용역비",'계획월'!$D:$D,"KRW")/1000000</f>
        <v/>
      </c>
      <c r="K30" s="2031">
        <f>SUMIFS('계획월'!$F:$F,'계획월'!$A:$A,"외주용역비",'계획월'!$D:$D,"USD")/1000</f>
        <v/>
      </c>
      <c r="L30" s="2027">
        <f>J30+K30*$P$4/1000</f>
        <v/>
      </c>
      <c r="M30" s="2028">
        <f>L30-I30</f>
        <v/>
      </c>
      <c r="N30" s="45" t="n"/>
      <c r="O30" s="6" t="n"/>
      <c r="P30" s="2056" t="n"/>
    </row>
    <row r="31" outlineLevel="1" ht="12.75" customHeight="1">
      <c r="C31" s="34" t="n"/>
      <c r="D31" s="33" t="n"/>
      <c r="E31" s="33" t="n"/>
      <c r="F31" s="37" t="inlineStr">
        <is>
          <t>경영, 업무지원, 운영용역비</t>
        </is>
      </c>
      <c r="G31" s="2024">
        <f>SUMIFS('실적월'!$F:$F,'실적월'!$A:$A,"경영지원용역비",'실적월'!$D:$D,"KRW")/1000000</f>
        <v/>
      </c>
      <c r="H31" s="2031">
        <f>SUMIFS('실적월'!$F:$F,'실적월'!$A:$A,"경영지원용역비",'실적월'!$D:$D,"USD")/1000</f>
        <v/>
      </c>
      <c r="I31" s="2041">
        <f>G31+H31*$P$4/1000</f>
        <v/>
      </c>
      <c r="J31" s="2026">
        <f>SUMIFS('계획월'!$F:$F,'계획월'!$A:$A,"경영지원용역비",'계획월'!$D:$D,"KRW")/1000000</f>
        <v/>
      </c>
      <c r="K31" s="2031">
        <f>SUMIFS('계획월'!$F:$F,'계획월'!$A:$A,"경영지원용역비",'계획월'!$D:$D,"USD")/1000</f>
        <v/>
      </c>
      <c r="L31" s="2027">
        <f>J31+K31*$P$4/1000</f>
        <v/>
      </c>
      <c r="M31" s="2028">
        <f>L31-I31</f>
        <v/>
      </c>
      <c r="N31" s="50" t="n"/>
      <c r="O31" s="6" t="n"/>
      <c r="P31" s="2056" t="n"/>
    </row>
    <row r="32" outlineLevel="1" ht="12.75" customHeight="1">
      <c r="C32" s="34" t="n"/>
      <c r="D32" s="33" t="n"/>
      <c r="E32" s="33" t="n"/>
      <c r="F32" s="37" t="inlineStr">
        <is>
          <t>기타</t>
        </is>
      </c>
      <c r="G32" s="2024">
        <f>SUMIFS('실적월'!$F:$F,'실적월'!$A:$A,"기타지출",'실적월'!$D:$D,"KRW")/1000000+SUMIFS('실적월'!$F:$F,'실적월'!$A:$A,"지급임차료",'실적월'!$D:$D,"KRW")/1000000+SUMIFS('실적월'!$F:$F,'실적월'!$A:$A,"지급수수료",'실적월'!$D:$D,"KRW")/1000000+SUMIFS('실적월'!$F:$F,'실적월'!$A:$A,"복리후생비",'실적월'!$D:$D,"KRW")/1000000+SUMIFS('실적월'!$F:$F,'실적월'!$A:$A,"식당운영비",'실적월'!$D:$D,"KRW")/1000000+SUMIFS('실적월'!$F:$F,'실적월'!$A:$A,"직원비용",'실적월'!$D:$D,"KRW")/1000000</f>
        <v/>
      </c>
      <c r="H32" s="2031">
        <f>SUMIFS('실적월'!$F:$F,'실적월'!$A:$A,"기타",'실적월'!$D:$D,"USD")/1000</f>
        <v/>
      </c>
      <c r="I32" s="2041">
        <f>G32+H32*$P$4/1000</f>
        <v/>
      </c>
      <c r="J32" s="2026">
        <f>SUMIFS('계획월'!$F:$F,'계획월'!$A:$A,"기타지출",'계획월'!$D:$D,"KRW")/1000000+SUMIFS('계획월'!$F:$F,'계획월'!$A:$A,"지급임차료",'계획월'!$D:$D,"KRW")/1000000+SUMIFS('계획월'!$F:$F,'계획월'!$A:$A,"지급수수료",'계획월'!$D:$D,"KRW")/1000000+SUMIFS('계획월'!$F:$F,'계획월'!$A:$A,"복리후생비",'계획월'!$D:$D,"KRW")/1000000+SUMIFS('계획월'!$F:$F,'계획월'!$A:$A,"식당운영비",'계획월'!$D:$D,"KRW")/1000000+SUMIFS('계획월'!$F:$F,'계획월'!$A:$A,"직원비용",'계획월'!$D:$D,"KRW")/1000000</f>
        <v/>
      </c>
      <c r="K32" s="2031">
        <f>SUMIFS('계획월'!$F:$F,'계획월'!$A:$A,"기타",'계획월'!$D:$D,"USD")/1000</f>
        <v/>
      </c>
      <c r="L32" s="2027">
        <f>J32+K32*$P$4/1000</f>
        <v/>
      </c>
      <c r="M32" s="2028">
        <f>L32-I32</f>
        <v/>
      </c>
      <c r="N32" s="45" t="n"/>
      <c r="O32" s="6" t="n"/>
    </row>
    <row r="33" outlineLevel="2" ht="12.75" customHeight="1">
      <c r="C33" s="34" t="n"/>
      <c r="D33" s="33" t="n"/>
      <c r="E33" s="33" t="n"/>
      <c r="F33" s="26" t="inlineStr">
        <is>
          <t>복리후생비</t>
        </is>
      </c>
      <c r="G33" s="2019">
        <f>SUMIFS('실적월'!$F:$F,'실적월'!$A:$A,"복리후생비",'실적월'!$D:$D,"KRW")/1000000</f>
        <v/>
      </c>
      <c r="H33" s="2020">
        <f>SUMIFS('실적월'!$F:$F,'실적월'!$A:$A,"복리후생비",'실적월'!$D:$D,"USD")/1000</f>
        <v/>
      </c>
      <c r="I33" s="2059">
        <f>G33+H33*$P$4/1000</f>
        <v/>
      </c>
      <c r="J33" s="2021">
        <f>SUMIFS('계획월'!$F:$F,'계획월'!$A:$A,"복리후생비",'계획월'!$D:$D,"KRW")/1000000</f>
        <v/>
      </c>
      <c r="K33" s="2039">
        <f>SUMIFS('계획월'!$F:$F,'계획월'!$A:$A,"복리후생비",'계획월'!$D:$D,"USD")/1000</f>
        <v/>
      </c>
      <c r="L33" s="2022">
        <f>J33+K33*$P$4/1000</f>
        <v/>
      </c>
      <c r="M33" s="2023">
        <f>L33-I33</f>
        <v/>
      </c>
      <c r="N33" s="45" t="n"/>
      <c r="O33" s="6" t="n"/>
    </row>
    <row r="34" outlineLevel="2" ht="12.75" customHeight="1">
      <c r="C34" s="34" t="n"/>
      <c r="D34" s="33" t="n"/>
      <c r="E34" s="33" t="n"/>
      <c r="F34" s="37" t="inlineStr">
        <is>
          <t>식당, 카페 등 운영비</t>
        </is>
      </c>
      <c r="G34" s="2024">
        <f>SUMIFS('실적월'!$F:$F,'실적월'!$A:$A,"식당운영비",'실적월'!$D:$D,"KRW")/1000000</f>
        <v/>
      </c>
      <c r="H34" s="2029">
        <f>SUMIFS('실적월'!$F:$F,'실적월'!$A:$A,"식당운영비",'실적월'!$D:$D,"USD")/1000</f>
        <v/>
      </c>
      <c r="I34" s="2041">
        <f>G34+H34*$P$4/1000</f>
        <v/>
      </c>
      <c r="J34" s="2026">
        <f>SUMIFS('계획월'!$F:$F,'계획월'!$A:$A,"식당운영비",'계획월'!$D:$D,"KRW")/1000000</f>
        <v/>
      </c>
      <c r="K34" s="2042">
        <f>SUMIFS('계획월'!$F:$F,'계획월'!$A:$A,"식당운영비",'계획월'!$D:$D,"USD")/1000</f>
        <v/>
      </c>
      <c r="L34" s="2027">
        <f>J34+K34*$P$4/1000</f>
        <v/>
      </c>
      <c r="M34" s="2028">
        <f>L34-I34</f>
        <v/>
      </c>
      <c r="N34" s="45" t="n"/>
      <c r="O34" s="6" t="n"/>
    </row>
    <row r="35" outlineLevel="2" ht="12.75" customHeight="1">
      <c r="C35" s="34" t="n"/>
      <c r="D35" s="33" t="n"/>
      <c r="E35" s="33" t="n"/>
      <c r="F35" s="37" t="inlineStr">
        <is>
          <t>직원비용, 복지포인트</t>
        </is>
      </c>
      <c r="G35" s="2024">
        <f>SUMIFS('실적월'!$F:$F,'실적월'!$A:$A,"직원비용",'실적월'!$D:$D,"KRW")/1000000</f>
        <v/>
      </c>
      <c r="H35" s="2029">
        <f>SUMIFS('실적월'!$F:$F,'실적월'!$A:$A,"직원비용",'실적월'!$D:$D,"USD")/1000</f>
        <v/>
      </c>
      <c r="I35" s="2041">
        <f>G35+H35*$P$4/1000</f>
        <v/>
      </c>
      <c r="J35" s="2026">
        <f>SUMIFS('계획월'!$F:$F,'계획월'!$A:$A,"직원비용",'계획월'!$D:$D,"KRW")/1000000</f>
        <v/>
      </c>
      <c r="K35" s="2042">
        <f>SUMIFS('계획월'!$F:$F,'계획월'!$A:$A,"직원비용",'계획월'!$D:$D,"USD")/1000</f>
        <v/>
      </c>
      <c r="L35" s="2027">
        <f>J35+K35*$P$4/1000</f>
        <v/>
      </c>
      <c r="M35" s="2028">
        <f>L35-I35</f>
        <v/>
      </c>
      <c r="N35" s="50" t="n"/>
      <c r="O35" s="6" t="n"/>
    </row>
    <row r="36" outlineLevel="2" ht="12.75" customHeight="1">
      <c r="C36" s="34" t="n"/>
      <c r="D36" s="33" t="n"/>
      <c r="E36" s="33" t="n"/>
      <c r="F36" s="37" t="inlineStr">
        <is>
          <t>임차료, 관리비</t>
        </is>
      </c>
      <c r="G36" s="2024">
        <f>SUMIFS('실적월'!$F:$F,'실적월'!$A:$A,"지급임차료",'실적월'!$D:$D,"KRW")/1000000</f>
        <v/>
      </c>
      <c r="H36" s="2029">
        <f>SUMIFS('실적월'!$F:$F,'실적월'!$A:$A,"지급임차료",'실적월'!$D:$D,"USD")/1000</f>
        <v/>
      </c>
      <c r="I36" s="2041">
        <f>G36+H36*$P$4/1000</f>
        <v/>
      </c>
      <c r="J36" s="2026">
        <f>SUMIFS('계획월'!$F:$F,'계획월'!$A:$A,"지급임차료",'계획월'!$D:$D,"KRW")/1000000</f>
        <v/>
      </c>
      <c r="K36" s="2042">
        <f>SUMIFS('계획월'!$F:$F,'계획월'!$A:$A,"지급임차료",'계획월'!$D:$D,"USD")/1000</f>
        <v/>
      </c>
      <c r="L36" s="2027">
        <f>J36+K36*$P$4/1000</f>
        <v/>
      </c>
      <c r="M36" s="2028">
        <f>L36-I36</f>
        <v/>
      </c>
      <c r="N36" s="2061" t="n"/>
      <c r="O36" s="6" t="n"/>
    </row>
    <row r="37" outlineLevel="2" ht="12.75" customHeight="1">
      <c r="C37" s="34" t="n"/>
      <c r="D37" s="33" t="n"/>
      <c r="E37" s="33" t="n"/>
      <c r="F37" s="37" t="inlineStr">
        <is>
          <t>지급수수료</t>
        </is>
      </c>
      <c r="G37" s="2024">
        <f>SUMIFS('실적월'!$F:$F,'실적월'!$A:$A,"지급수수료",'실적월'!$D:$D,"KRW")/1000000</f>
        <v/>
      </c>
      <c r="H37" s="2029">
        <f>SUMIFS('실적월'!$F:$F,'실적월'!$A:$A,"지급수수료",'실적월'!$D:$D,"USD")/1000</f>
        <v/>
      </c>
      <c r="I37" s="2041">
        <f>G37+H37*$P$4/1000</f>
        <v/>
      </c>
      <c r="J37" s="2026">
        <f>SUMIFS('계획월'!$F:$F,'계획월'!$A:$A,"지급수수료",'계획월'!$D:$D,"KRW")/1000000</f>
        <v/>
      </c>
      <c r="K37" s="2042">
        <f>SUMIFS('계획월'!$F:$F,'계획월'!$A:$A,"지급수수료",'계획월'!$D:$D,"USD")/1000</f>
        <v/>
      </c>
      <c r="L37" s="2027">
        <f>J37+K37*$P$4/1000</f>
        <v/>
      </c>
      <c r="M37" s="2028">
        <f>L37-I37</f>
        <v/>
      </c>
      <c r="N37" s="50" t="n"/>
      <c r="O37" s="6" t="n"/>
    </row>
    <row r="38" outlineLevel="2" ht="12.75" customHeight="1">
      <c r="C38" s="34" t="n"/>
      <c r="D38" s="33" t="n"/>
      <c r="E38" s="32" t="n"/>
      <c r="F38" s="16" t="inlineStr">
        <is>
          <t>통신비등</t>
        </is>
      </c>
      <c r="G38" s="2062">
        <f>SUMIFS('실적월'!$F:$F,'실적월'!$A:$A,"기타지출",'실적월'!$D:$D,"KRW")/1000000</f>
        <v/>
      </c>
      <c r="H38" s="2063">
        <f>SUMIFS('실적월'!$F:$F,'실적월'!$A:$A,"기타지출",'실적월'!$D:$D,"USD")/1000</f>
        <v/>
      </c>
      <c r="I38" s="2041">
        <f>G38+H38*$P$4/1000</f>
        <v/>
      </c>
      <c r="J38" s="2064">
        <f>SUMIFS('계획월'!$F:$F,'계획월'!$A:$A,"기타지출",'계획월'!$D:$D,"KRW")/1000000</f>
        <v/>
      </c>
      <c r="K38" s="2065">
        <f>SUMIFS('계획월'!$F:$F,'계획월'!$A:$A,"기타지출",'계획월'!$D:$D,"USD")/1000</f>
        <v/>
      </c>
      <c r="L38" s="2066">
        <f>J38+K38*$P$4/1000</f>
        <v/>
      </c>
      <c r="M38" s="2067">
        <f>L38-I38</f>
        <v/>
      </c>
      <c r="N38" s="50" t="n"/>
      <c r="O38" s="6" t="n"/>
      <c r="Q38" s="2055" t="n"/>
    </row>
    <row r="39" ht="12.75" customHeight="1">
      <c r="C39" s="30" t="inlineStr">
        <is>
          <t>C. 운용자금 입지출(=해지-예치)</t>
        </is>
      </c>
      <c r="D39" s="30" t="n"/>
      <c r="E39" s="30" t="n"/>
      <c r="F39" s="29" t="n"/>
      <c r="G39" s="2009">
        <f>G40-G41</f>
        <v/>
      </c>
      <c r="H39" s="2010">
        <f>H40-H41</f>
        <v/>
      </c>
      <c r="I39" s="2009">
        <f>I40-I41</f>
        <v/>
      </c>
      <c r="J39" s="2011">
        <f>J40-J41</f>
        <v/>
      </c>
      <c r="K39" s="2010">
        <f>K40-K41</f>
        <v/>
      </c>
      <c r="L39" s="2012">
        <f>L40-L41</f>
        <v/>
      </c>
      <c r="M39" s="2068">
        <f>L39-I39</f>
        <v/>
      </c>
      <c r="N39" s="28" t="n"/>
      <c r="O39" s="6" t="n"/>
    </row>
    <row r="40" ht="12.75" customHeight="1">
      <c r="C40" s="19" t="n"/>
      <c r="D40" s="26" t="inlineStr">
        <is>
          <t>해지(입금)</t>
        </is>
      </c>
      <c r="E40" s="18" t="n"/>
      <c r="F40" s="18" t="n"/>
      <c r="G40" s="2019">
        <f>SUMIFS('실적월'!$E:$E,'실적월'!$A:$A,"금융상품",'실적월'!$D:$D,"KRW")/1000000</f>
        <v/>
      </c>
      <c r="H40" s="2020">
        <f>SUMIFS('실적월'!$E:$E,'실적월'!$A:$A,"금융상품",'실적월'!$D:$D,"USD")/1000</f>
        <v/>
      </c>
      <c r="I40" s="2019">
        <f>G40+H40*$P$4/1000</f>
        <v/>
      </c>
      <c r="J40" s="2021">
        <f>SUMIFS('계획월'!$E:$E,'계획월'!$A:$A,"금융상품",'계획월'!$D:$D,"KRW")/1000000</f>
        <v/>
      </c>
      <c r="K40" s="2020">
        <f>SUMIFS('계획월'!$E:$E,'계획월'!$A:$A,"금융상품",'계획월'!$D:$D,"USD")/1000</f>
        <v/>
      </c>
      <c r="L40" s="2022">
        <f>J40+K40*$P$4/1000</f>
        <v/>
      </c>
      <c r="M40" s="2023">
        <f>L40-I40</f>
        <v/>
      </c>
      <c r="N40" s="161" t="n"/>
      <c r="O40" s="6" t="n"/>
    </row>
    <row r="41" ht="12.75" customHeight="1">
      <c r="C41" s="15" t="n"/>
      <c r="D41" s="16" t="inlineStr">
        <is>
          <t>예치(지출)</t>
        </is>
      </c>
      <c r="E41" s="15" t="n"/>
      <c r="F41" s="15" t="n"/>
      <c r="G41" s="2062">
        <f>SUMIFS('실적월'!$F:$F,'실적월'!$A:$A,"금융상품",'실적월'!$D:$D,"KRW")/1000000</f>
        <v/>
      </c>
      <c r="H41" s="2069">
        <f>SUMIFS('실적월'!$F:$F,'실적월'!$A:$A,"금융상품",'실적월'!$D:$D,"USD")/1000</f>
        <v/>
      </c>
      <c r="I41" s="2062">
        <f>G41+H41*$P$4/1000</f>
        <v/>
      </c>
      <c r="J41" s="2064">
        <f>SUMIFS('계획월'!$F:$F,'계획월'!$A:$A,"금융상품",'계획월'!$D:$D,"KRW")/1000000</f>
        <v/>
      </c>
      <c r="K41" s="2070">
        <f>SUMIFS('계획월'!$F:$F,'계획월'!$A:$A,"금융상품",'계획월'!$D:$D,"USD")/1000</f>
        <v/>
      </c>
      <c r="L41" s="2066">
        <f>J41+K41*$P$4/1000</f>
        <v/>
      </c>
      <c r="M41" s="2071">
        <f>L41-I41</f>
        <v/>
      </c>
      <c r="N41" s="27" t="n"/>
      <c r="O41" s="6" t="n"/>
    </row>
    <row r="42" ht="12.75" customHeight="1">
      <c r="C42" s="24" t="inlineStr">
        <is>
          <t>D. FX</t>
        </is>
      </c>
      <c r="D42" s="24" t="n"/>
      <c r="E42" s="23" t="n"/>
      <c r="F42" s="22" t="n"/>
      <c r="G42" s="2009">
        <f>G43-G44</f>
        <v/>
      </c>
      <c r="H42" s="2010">
        <f>H43-H44</f>
        <v/>
      </c>
      <c r="I42" s="2009">
        <f>I43-I44</f>
        <v/>
      </c>
      <c r="J42" s="2011">
        <f>J43-J44</f>
        <v/>
      </c>
      <c r="K42" s="2010">
        <f>K43-K44</f>
        <v/>
      </c>
      <c r="L42" s="2012">
        <f>L43-L44</f>
        <v/>
      </c>
      <c r="M42" s="2068">
        <f>L42-I42</f>
        <v/>
      </c>
      <c r="N42" s="162" t="n"/>
      <c r="O42" s="6" t="n"/>
    </row>
    <row r="43" ht="12.75" customHeight="1">
      <c r="C43" s="19" t="n"/>
      <c r="D43" s="26" t="inlineStr">
        <is>
          <t>입금</t>
        </is>
      </c>
      <c r="E43" s="18" t="n"/>
      <c r="F43" s="18" t="n"/>
      <c r="G43" s="2072">
        <f>SUMIFS('실적월'!$E:$E,'실적월'!$A:$A,"외환매도",'실적월'!$D:$D,"KRW")/1000000</f>
        <v/>
      </c>
      <c r="H43" s="2020">
        <f>SUMIFS('실적월'!$E:$E,'실적월'!$A:$A,"외환매도",'실적월'!$D:$D,"USD")/1000</f>
        <v/>
      </c>
      <c r="I43" s="2019">
        <f>G43+H43*$P$4/1000</f>
        <v/>
      </c>
      <c r="J43" s="2021">
        <f>SUMIFS('계획월'!$E:$E,'계획월'!$A:$A,"외환매도",'계획월'!$D:$D,"KRW")/1000000</f>
        <v/>
      </c>
      <c r="K43" s="2020">
        <f>SUMIFS('계획월'!$E:$E,'계획월'!$A:$A,"외환매도",'계획월'!$D:$D,"USD")/1000</f>
        <v/>
      </c>
      <c r="L43" s="2022">
        <f>J43+K43*$P$4/1000</f>
        <v/>
      </c>
      <c r="M43" s="2073">
        <f>L43-I43</f>
        <v/>
      </c>
      <c r="N43" s="25" t="n"/>
      <c r="O43" s="6" t="n"/>
    </row>
    <row r="44" ht="12.75" customHeight="1">
      <c r="C44" s="15" t="n"/>
      <c r="D44" s="16" t="inlineStr">
        <is>
          <t>출금</t>
        </is>
      </c>
      <c r="E44" s="15" t="n"/>
      <c r="F44" s="15" t="n"/>
      <c r="G44" s="2074">
        <f>SUMIFS('실적월'!$F:$F,'실적월'!$A:$A,"외환매입",'실적월'!$D:$D,"KRW")/1000000</f>
        <v/>
      </c>
      <c r="H44" s="2063">
        <f>SUMIFS('실적월'!$F:$F,'실적월'!$A:$A,"외환매입",'실적월'!$D:$D,"USD")/1000</f>
        <v/>
      </c>
      <c r="I44" s="2062">
        <f>G44+(H44*$P$4/1000)</f>
        <v/>
      </c>
      <c r="J44" s="2064">
        <f>SUMIFS('계획월'!$F:$F,'계획월'!$A:$A,"외환매입",'계획월'!$D:$D,"KRW")/1000000</f>
        <v/>
      </c>
      <c r="K44" s="2063">
        <f>SUMIFS('계획월'!$F:$F,'계획월'!$A:$A,"외환매입",'계획월'!$D:$D,"USD")/1000</f>
        <v/>
      </c>
      <c r="L44" s="2066">
        <f>J44+K44*$P$4/1000</f>
        <v/>
      </c>
      <c r="M44" s="2071">
        <f>L44-I44</f>
        <v/>
      </c>
      <c r="N44" s="163" t="n"/>
      <c r="O44" s="6" t="n"/>
    </row>
    <row r="45" ht="12.75" customHeight="1">
      <c r="C45" s="24" t="inlineStr">
        <is>
          <t>E. 조달</t>
        </is>
      </c>
      <c r="D45" s="24" t="n"/>
      <c r="E45" s="23" t="n"/>
      <c r="F45" s="22" t="n"/>
      <c r="G45" s="2009">
        <f>G46-G47</f>
        <v/>
      </c>
      <c r="H45" s="2010">
        <f>H46-H47</f>
        <v/>
      </c>
      <c r="I45" s="2009">
        <f>I46-I47</f>
        <v/>
      </c>
      <c r="J45" s="2011">
        <f>J46-J47</f>
        <v/>
      </c>
      <c r="K45" s="2010">
        <f>K46-K47</f>
        <v/>
      </c>
      <c r="L45" s="2012">
        <f>L46-L47</f>
        <v/>
      </c>
      <c r="M45" s="2068">
        <f>L45-I45</f>
        <v/>
      </c>
      <c r="N45" s="20" t="n"/>
      <c r="O45" s="6" t="n"/>
    </row>
    <row r="46" ht="12.75" customHeight="1">
      <c r="C46" s="19" t="n"/>
      <c r="D46" s="651" t="inlineStr">
        <is>
          <t>입금</t>
        </is>
      </c>
      <c r="E46" s="18" t="n"/>
      <c r="F46" s="18" t="n"/>
      <c r="G46" s="2072">
        <f>SUMIFS('실적월'!$E:$E,'실적월'!$A:$A,"차입금",'실적월'!$D:$D,"KRW")/1000000+SUMIFS('실적월'!$E:$E,'실적월'!$A:$A,"투자금",'실적월'!$D:$D,"KRW")/1000000</f>
        <v/>
      </c>
      <c r="H46" s="2020">
        <f>SUMIFS('실적월'!$E:$E,'실적월'!$A:$A,"차입금",'실적월'!$D:$D,"USD")/1000+SUMIFS('실적월'!$E:$E,'실적월'!$A:$A,"투자금",'실적월'!$D:$D,"USD")/1000</f>
        <v/>
      </c>
      <c r="I46" s="2019">
        <f>G46+H46*$P$4/1000</f>
        <v/>
      </c>
      <c r="J46" s="2021">
        <f>SUMIFS('계획월'!$E:$E,'계획월'!$A:$A,"차입금",'계획월'!$D:$D,"KRW")/1000000+SUMIFS('계획월'!$E:$E,'계획월'!$A:$A,"투자금",'계획월'!$D:$D,"KRW")/1000000</f>
        <v/>
      </c>
      <c r="K46" s="2020">
        <f>SUMIFS('계획월'!$E:$E,'계획월'!$A:$A,"차입금",'계획월'!$D:$D,"USD")/1000+SUMIFS('계획월'!$E:$E,'계획월'!$A:$A,"투자금",'계획월'!$D:$D,"USD")/1000</f>
        <v/>
      </c>
      <c r="L46" s="2022">
        <f>J46+K46*$P$4/1000</f>
        <v/>
      </c>
      <c r="M46" s="2073">
        <f>L46-I46</f>
        <v/>
      </c>
      <c r="N46" s="45" t="n"/>
      <c r="O46" s="6" t="n"/>
    </row>
    <row r="47" ht="12.75" customHeight="1">
      <c r="C47" s="15" t="n"/>
      <c r="D47" s="16" t="inlineStr">
        <is>
          <t>출금</t>
        </is>
      </c>
      <c r="E47" s="15" t="n"/>
      <c r="F47" s="15" t="n"/>
      <c r="G47" s="2074">
        <f>SUMIFS('실적월'!$F:$F,'실적월'!$A:$A,"차입금상환",'실적월'!$D:$D,"KRW")/1000000</f>
        <v/>
      </c>
      <c r="H47" s="2063">
        <f>SUMIFS('실적월'!$F:$F,'실적월'!$A:$A,"차입금상환",'실적월'!$D:$D,"USD")/1000</f>
        <v/>
      </c>
      <c r="I47" s="2062">
        <f>G47+(H47*$P$4/1000)</f>
        <v/>
      </c>
      <c r="J47" s="2064">
        <f>SUMIFS('계획월'!$F:$F,'계획월'!$A:$A,"차입금상환",'계획월'!$D:$D,"KRW")/1000000</f>
        <v/>
      </c>
      <c r="K47" s="2063">
        <f>SUMIFS('계획월'!$F:$F,'계획월'!$A:$A,"차입금상환",'계획월'!$D:$D,"USD")/1000</f>
        <v/>
      </c>
      <c r="L47" s="2066">
        <f>J47+K47*$P$4/1000</f>
        <v/>
      </c>
      <c r="M47" s="2071">
        <f>L47-I47</f>
        <v/>
      </c>
      <c r="N47" s="13" t="n"/>
      <c r="O47" s="6" t="n"/>
    </row>
    <row r="48" ht="12.75" customHeight="1">
      <c r="C48" s="11" t="inlineStr">
        <is>
          <t>F. 유동자금 증감(=B+C+D+E)</t>
        </is>
      </c>
      <c r="D48" s="11" t="n"/>
      <c r="E48" s="11" t="n"/>
      <c r="F48" s="10" t="n"/>
      <c r="G48" s="2004">
        <f>G7+G39+G42+G45</f>
        <v/>
      </c>
      <c r="H48" s="2005">
        <f>H7+H39+H42+H45</f>
        <v/>
      </c>
      <c r="I48" s="2004">
        <f>I7+I39+I42+I45</f>
        <v/>
      </c>
      <c r="J48" s="2006">
        <f>J7+J39+J42+J45</f>
        <v/>
      </c>
      <c r="K48" s="2005">
        <f>K7+K39+K42+K45</f>
        <v/>
      </c>
      <c r="L48" s="2007">
        <f>L7+L39+L42+L45</f>
        <v/>
      </c>
      <c r="M48" s="2008">
        <f>L48-I48</f>
        <v/>
      </c>
      <c r="N48" s="12" t="n"/>
      <c r="O48" s="6" t="n"/>
    </row>
    <row r="49" ht="12.75" customFormat="1" customHeight="1" s="153" thickBot="1">
      <c r="C49" s="1589" t="inlineStr">
        <is>
          <t>G. 기말유동잔고(=A+F)</t>
        </is>
      </c>
      <c r="D49" s="1589" t="n"/>
      <c r="E49" s="1589" t="n"/>
      <c r="F49" s="1590" t="n"/>
      <c r="G49" s="2075">
        <f>G6+G48</f>
        <v/>
      </c>
      <c r="H49" s="2076">
        <f>H6+H48</f>
        <v/>
      </c>
      <c r="I49" s="2077">
        <f>I6+I48</f>
        <v/>
      </c>
      <c r="J49" s="2078">
        <f>J6+J48</f>
        <v/>
      </c>
      <c r="K49" s="2079">
        <f>K6+K48</f>
        <v/>
      </c>
      <c r="L49" s="2080">
        <f>L6+L48</f>
        <v/>
      </c>
      <c r="M49" s="2081">
        <f>L49-I49</f>
        <v/>
      </c>
      <c r="N49" s="1597" t="n"/>
      <c r="O49" s="1598" t="n"/>
      <c r="P49" s="1999" t="n"/>
    </row>
    <row r="50" ht="12.75" customHeight="1">
      <c r="G50" s="2082" t="n"/>
      <c r="R50" s="2083" t="n"/>
    </row>
    <row r="51">
      <c r="G51" s="2084" t="n"/>
      <c r="H51" s="2085" t="n"/>
      <c r="J51" s="1997" t="n"/>
      <c r="M51" s="2086" t="n"/>
      <c r="N51" s="2087" t="n"/>
    </row>
    <row r="52">
      <c r="H52" s="2085" t="n"/>
      <c r="N52" s="2087" t="n"/>
    </row>
    <row r="53">
      <c r="J53" s="2058" t="n"/>
      <c r="L53" s="2088" t="n"/>
      <c r="N53" s="2089" t="n"/>
    </row>
    <row r="54"/>
    <row r="55"/>
    <row r="56"/>
    <row r="57">
      <c r="G57" s="1997" t="n"/>
    </row>
  </sheetData>
  <mergeCells count="5">
    <mergeCell ref="M4:M5"/>
    <mergeCell ref="C4:F5"/>
    <mergeCell ref="N4:N5"/>
    <mergeCell ref="G4:I4"/>
    <mergeCell ref="J4:L4"/>
  </mergeCells>
  <conditionalFormatting sqref="F6:M12 G13:M49">
    <cfRule type="cellIs" priority="1" operator="equal" dxfId="0">
      <formula>0</formula>
    </cfRule>
  </conditionalFormatting>
  <conditionalFormatting sqref="M12">
    <cfRule type="cellIs" priority="47" operator="equal" dxfId="0">
      <formula>0</formula>
    </cfRule>
  </conditionalFormatting>
  <printOptions horizontalCentered="1"/>
  <pageMargins left="0.2755905511811024" right="0.2362204724409449" top="0.3937007874015748" bottom="0.4330708661417323" header="0.3149606299212598" footer="0.3149606299212598"/>
  <pageSetup orientation="landscape" paperSize="9" scale="8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W52"/>
  <sheetViews>
    <sheetView showGridLines="0" view="pageBreakPreview" zoomScale="145" zoomScaleNormal="150" zoomScaleSheetLayoutView="145" workbookViewId="0">
      <pane xSplit="6" topLeftCell="L1" activePane="topRight" state="frozen"/>
      <selection pane="topRight" activeCell="Y9" sqref="Y9:AA32"/>
    </sheetView>
  </sheetViews>
  <sheetFormatPr baseColWidth="8" defaultColWidth="8.625" defaultRowHeight="9.75" outlineLevelRow="1"/>
  <cols>
    <col width="0.625" customWidth="1" style="1" min="1" max="1"/>
    <col width="1.875" customWidth="1" style="1" min="2" max="2"/>
    <col width="1.125" customWidth="1" style="1" min="3" max="5"/>
    <col width="15.375" customWidth="1" style="1" min="6" max="6"/>
    <col width="7.125" customWidth="1" style="1" min="7" max="18"/>
    <col collapsed="1" width="7.125" customWidth="1" style="1" min="19" max="19"/>
    <col width="7.125" customWidth="1" style="1" min="20" max="24"/>
    <col collapsed="1" width="7.125" customWidth="1" style="1" min="25" max="25"/>
    <col width="7.125" customWidth="1" style="1" min="26" max="48"/>
    <col width="8.625" customWidth="1" style="1" min="49" max="16384"/>
    <col width="8.625" customWidth="1" min="50" max="50"/>
  </cols>
  <sheetData>
    <row r="1"/>
    <row r="2" ht="12" customFormat="1" customHeight="1" s="153">
      <c r="A2" s="153" t="inlineStr">
        <is>
          <t>Ⅱ. 연간 자금수지</t>
        </is>
      </c>
      <c r="I2" s="1998" t="n"/>
      <c r="O2" s="1998" t="n">
        <v>771398</v>
      </c>
    </row>
    <row r="3">
      <c r="R3" s="59" t="n"/>
      <c r="U3" s="59" t="n"/>
      <c r="V3" s="59" t="n"/>
      <c r="W3" s="59" t="n"/>
      <c r="AA3" s="59" t="n"/>
      <c r="AB3" s="59" t="n"/>
      <c r="AC3" s="59" t="n"/>
      <c r="AE3" s="59" t="n"/>
      <c r="AF3" s="59" t="n"/>
      <c r="AG3" s="59" t="n"/>
      <c r="AH3" s="59" t="n"/>
      <c r="AI3" s="59" t="n"/>
      <c r="AJ3" s="59" t="n"/>
      <c r="AK3" s="59" t="n"/>
      <c r="AL3" s="59" t="n"/>
      <c r="AM3" s="59" t="n"/>
      <c r="AV3" s="59" t="inlineStr">
        <is>
          <t>(단위 : 백만원, 천$)</t>
        </is>
      </c>
      <c r="AW3" s="1" t="n">
        <v>12</v>
      </c>
    </row>
    <row r="4" ht="12.75" customHeight="1">
      <c r="C4" s="2001" t="inlineStr">
        <is>
          <t>구분</t>
        </is>
      </c>
      <c r="D4" s="1941" t="n"/>
      <c r="E4" s="1941" t="n"/>
      <c r="F4" s="1929" t="n"/>
      <c r="G4" s="1599" t="inlineStr">
        <is>
          <t>1월</t>
        </is>
      </c>
      <c r="H4" s="1864" t="n"/>
      <c r="I4" s="1864" t="n"/>
      <c r="J4" s="2090" t="inlineStr">
        <is>
          <t>2월</t>
        </is>
      </c>
      <c r="K4" s="2091" t="n"/>
      <c r="L4" s="2092" t="n"/>
      <c r="M4" s="1600" t="inlineStr">
        <is>
          <t>3월</t>
        </is>
      </c>
      <c r="N4" s="1864" t="n"/>
      <c r="O4" s="1864" t="n"/>
      <c r="P4" s="2090" t="inlineStr">
        <is>
          <t>4월</t>
        </is>
      </c>
      <c r="Q4" s="2091" t="n"/>
      <c r="R4" s="2092" t="n"/>
      <c r="S4" s="2090" t="inlineStr">
        <is>
          <t>5월</t>
        </is>
      </c>
      <c r="T4" s="2091" t="n"/>
      <c r="U4" s="2092" t="n"/>
      <c r="V4" s="2090" t="inlineStr">
        <is>
          <t>6월</t>
        </is>
      </c>
      <c r="W4" s="2091" t="n"/>
      <c r="X4" s="2092" t="n"/>
      <c r="Y4" s="2090" t="inlineStr">
        <is>
          <t>7월</t>
        </is>
      </c>
      <c r="Z4" s="2091" t="n"/>
      <c r="AA4" s="2092" t="n"/>
      <c r="AB4" s="2090" t="inlineStr">
        <is>
          <t>8월</t>
        </is>
      </c>
      <c r="AC4" s="2091" t="n"/>
      <c r="AD4" s="2092" t="n"/>
      <c r="AE4" s="2090" t="inlineStr">
        <is>
          <t>9월</t>
        </is>
      </c>
      <c r="AF4" s="2091" t="n"/>
      <c r="AG4" s="2092" t="n"/>
      <c r="AH4" s="2090" t="inlineStr">
        <is>
          <t>10월</t>
        </is>
      </c>
      <c r="AI4" s="2091" t="n"/>
      <c r="AJ4" s="2092" t="n"/>
      <c r="AK4" s="2090" t="inlineStr">
        <is>
          <t>11월</t>
        </is>
      </c>
      <c r="AL4" s="2091" t="n"/>
      <c r="AM4" s="2092" t="n"/>
      <c r="AN4" s="2090" t="inlineStr">
        <is>
          <t>12월</t>
        </is>
      </c>
      <c r="AO4" s="2091" t="n"/>
      <c r="AP4" s="2092" t="n"/>
      <c r="AQ4" s="2090" t="inlineStr">
        <is>
          <t>합계</t>
        </is>
      </c>
      <c r="AR4" s="2091" t="n"/>
      <c r="AS4" s="2092" t="n"/>
      <c r="AT4" s="2090" t="inlineStr">
        <is>
          <t>평균</t>
        </is>
      </c>
      <c r="AU4" s="2091" t="n"/>
      <c r="AV4" s="2092" t="n"/>
    </row>
    <row r="5" ht="12.75" customHeight="1">
      <c r="C5" s="1866" t="n"/>
      <c r="D5" s="1866" t="n"/>
      <c r="E5" s="1866" t="n"/>
      <c r="F5" s="1934" t="n"/>
      <c r="G5" s="57" t="inlineStr">
        <is>
          <t>원화</t>
        </is>
      </c>
      <c r="H5" s="54" t="inlineStr">
        <is>
          <t>외화($)</t>
        </is>
      </c>
      <c r="I5" s="1607" t="inlineStr">
        <is>
          <t>환산계(a)</t>
        </is>
      </c>
      <c r="J5" s="198" t="inlineStr">
        <is>
          <t>원화</t>
        </is>
      </c>
      <c r="K5" s="54" t="inlineStr">
        <is>
          <t>외화($)</t>
        </is>
      </c>
      <c r="L5" s="199" t="inlineStr">
        <is>
          <t>환산계(b)</t>
        </is>
      </c>
      <c r="M5" s="189" t="inlineStr">
        <is>
          <t>원화</t>
        </is>
      </c>
      <c r="N5" s="54" t="inlineStr">
        <is>
          <t>외화($)</t>
        </is>
      </c>
      <c r="O5" s="1607" t="inlineStr">
        <is>
          <t>환산계(a)</t>
        </is>
      </c>
      <c r="P5" s="198" t="inlineStr">
        <is>
          <t>원화</t>
        </is>
      </c>
      <c r="Q5" s="54" t="inlineStr">
        <is>
          <t>외화($)</t>
        </is>
      </c>
      <c r="R5" s="199" t="inlineStr">
        <is>
          <t>환산계(b)</t>
        </is>
      </c>
      <c r="S5" s="198" t="inlineStr">
        <is>
          <t>원화</t>
        </is>
      </c>
      <c r="T5" s="54" t="inlineStr">
        <is>
          <t>외화($)</t>
        </is>
      </c>
      <c r="U5" s="199" t="inlineStr">
        <is>
          <t>환산계(b)</t>
        </is>
      </c>
      <c r="V5" s="198" t="inlineStr">
        <is>
          <t>원화</t>
        </is>
      </c>
      <c r="W5" s="54" t="inlineStr">
        <is>
          <t>외화($)</t>
        </is>
      </c>
      <c r="X5" s="199" t="inlineStr">
        <is>
          <t>환산계(b)</t>
        </is>
      </c>
      <c r="Y5" s="198" t="inlineStr">
        <is>
          <t>원화</t>
        </is>
      </c>
      <c r="Z5" s="54" t="inlineStr">
        <is>
          <t>외화($)</t>
        </is>
      </c>
      <c r="AA5" s="199" t="inlineStr">
        <is>
          <t>환산계(b)</t>
        </is>
      </c>
      <c r="AB5" s="198" t="inlineStr">
        <is>
          <t>원화</t>
        </is>
      </c>
      <c r="AC5" s="54" t="inlineStr">
        <is>
          <t>외화($)</t>
        </is>
      </c>
      <c r="AD5" s="199" t="inlineStr">
        <is>
          <t>환산계(b)</t>
        </is>
      </c>
      <c r="AE5" s="198" t="inlineStr">
        <is>
          <t>원화</t>
        </is>
      </c>
      <c r="AF5" s="54" t="inlineStr">
        <is>
          <t>외화($)</t>
        </is>
      </c>
      <c r="AG5" s="199" t="inlineStr">
        <is>
          <t>환산계(b)</t>
        </is>
      </c>
      <c r="AH5" s="198" t="inlineStr">
        <is>
          <t>원화</t>
        </is>
      </c>
      <c r="AI5" s="54" t="inlineStr">
        <is>
          <t>외화($)</t>
        </is>
      </c>
      <c r="AJ5" s="199" t="inlineStr">
        <is>
          <t>환산계(b)</t>
        </is>
      </c>
      <c r="AK5" s="198" t="inlineStr">
        <is>
          <t>원화</t>
        </is>
      </c>
      <c r="AL5" s="54" t="inlineStr">
        <is>
          <t>외화($)</t>
        </is>
      </c>
      <c r="AM5" s="199" t="inlineStr">
        <is>
          <t>환산계(b)</t>
        </is>
      </c>
      <c r="AN5" s="198" t="inlineStr">
        <is>
          <t>원화</t>
        </is>
      </c>
      <c r="AO5" s="54" t="inlineStr">
        <is>
          <t>외화($)</t>
        </is>
      </c>
      <c r="AP5" s="199" t="inlineStr">
        <is>
          <t>환산계(b)</t>
        </is>
      </c>
      <c r="AQ5" s="198" t="inlineStr">
        <is>
          <t>원화</t>
        </is>
      </c>
      <c r="AR5" s="54" t="inlineStr">
        <is>
          <t>외화($)</t>
        </is>
      </c>
      <c r="AS5" s="199" t="inlineStr">
        <is>
          <t>환산계(b)</t>
        </is>
      </c>
      <c r="AT5" s="198" t="inlineStr">
        <is>
          <t>원화</t>
        </is>
      </c>
      <c r="AU5" s="54" t="inlineStr">
        <is>
          <t>외화($)</t>
        </is>
      </c>
      <c r="AV5" s="199" t="inlineStr">
        <is>
          <t>환산계(b)</t>
        </is>
      </c>
    </row>
    <row r="6" ht="12.75" customHeight="1">
      <c r="C6" s="11" t="inlineStr">
        <is>
          <t>A. 기초잔고</t>
        </is>
      </c>
      <c r="D6" s="11" t="n"/>
      <c r="E6" s="11" t="n"/>
      <c r="F6" s="11" t="n"/>
      <c r="G6" s="2093" t="n">
        <v>3607.089792</v>
      </c>
      <c r="H6" s="2094" t="n">
        <v>0</v>
      </c>
      <c r="I6" s="2093">
        <f>G6+H6*$R$46/1000</f>
        <v/>
      </c>
      <c r="J6" s="2095">
        <f>G44</f>
        <v/>
      </c>
      <c r="K6" s="2094">
        <f>H44</f>
        <v/>
      </c>
      <c r="L6" s="2096">
        <f>J6+K6*$R$46/1000</f>
        <v/>
      </c>
      <c r="M6" s="2097">
        <f>J44</f>
        <v/>
      </c>
      <c r="N6" s="2094" t="n">
        <v>0</v>
      </c>
      <c r="O6" s="2093">
        <f>M6+N6*$R$46/1000</f>
        <v/>
      </c>
      <c r="P6" s="2095">
        <f>M44</f>
        <v/>
      </c>
      <c r="Q6" s="2094" t="n">
        <v>0</v>
      </c>
      <c r="R6" s="2096">
        <f>P6+Q6*$R$46/1000</f>
        <v/>
      </c>
      <c r="S6" s="2095">
        <f>P44</f>
        <v/>
      </c>
      <c r="T6" s="2094">
        <f>Q44</f>
        <v/>
      </c>
      <c r="U6" s="2096">
        <f>S6+T6*U46/1000</f>
        <v/>
      </c>
      <c r="V6" s="2095">
        <f>S44</f>
        <v/>
      </c>
      <c r="W6" s="2094">
        <f>Q44</f>
        <v/>
      </c>
      <c r="X6" s="2096">
        <f>V6+W6*X46/1000</f>
        <v/>
      </c>
      <c r="Y6" s="2095">
        <f>V44</f>
        <v/>
      </c>
      <c r="Z6" s="2094">
        <f>T44</f>
        <v/>
      </c>
      <c r="AA6" s="2096">
        <f>Y6+Z6*AA46/1000</f>
        <v/>
      </c>
      <c r="AB6" s="2095" t="n">
        <v>2421.357313</v>
      </c>
      <c r="AC6" s="2094" t="n">
        <v>0</v>
      </c>
      <c r="AD6" s="2096">
        <f>AB6+AC6*AD46/1000</f>
        <v/>
      </c>
      <c r="AE6" s="2095">
        <f>AB44</f>
        <v/>
      </c>
      <c r="AF6" s="2094">
        <f>T44</f>
        <v/>
      </c>
      <c r="AG6" s="2096">
        <f>AE6+AF6*AG46/1000</f>
        <v/>
      </c>
      <c r="AH6" s="2095">
        <f>AE44</f>
        <v/>
      </c>
      <c r="AI6" s="2094">
        <f>T44</f>
        <v/>
      </c>
      <c r="AJ6" s="2096">
        <f>AH6+AI6*AJ46/1000</f>
        <v/>
      </c>
      <c r="AK6" s="2095">
        <f>AH44</f>
        <v/>
      </c>
      <c r="AL6" s="2094">
        <f>T44</f>
        <v/>
      </c>
      <c r="AM6" s="2096">
        <f>AK6+AL6*AM46/1000</f>
        <v/>
      </c>
      <c r="AN6" s="2095">
        <f>AK44</f>
        <v/>
      </c>
      <c r="AO6" s="2094">
        <f>W44</f>
        <v/>
      </c>
      <c r="AP6" s="2096">
        <f>AN6+AO6*AP46/1000</f>
        <v/>
      </c>
      <c r="AQ6" s="2095">
        <f>G6</f>
        <v/>
      </c>
      <c r="AR6" s="2094">
        <f>Z44</f>
        <v/>
      </c>
      <c r="AS6" s="2096">
        <f>AQ6+AR6*AS46/1000</f>
        <v/>
      </c>
      <c r="AT6" s="2095" t="n"/>
      <c r="AU6" s="2094">
        <f>AC44</f>
        <v/>
      </c>
      <c r="AV6" s="2096">
        <f>AT6+AU6*AV46/1000</f>
        <v/>
      </c>
    </row>
    <row r="7" ht="12.75" customHeight="1">
      <c r="C7" s="30" t="inlineStr">
        <is>
          <t>B. 수지차(=수입-지출)</t>
        </is>
      </c>
      <c r="D7" s="30" t="n"/>
      <c r="E7" s="30" t="n"/>
      <c r="F7" s="29" t="n"/>
      <c r="G7" s="2098">
        <f>G8-G13</f>
        <v/>
      </c>
      <c r="H7" s="2099">
        <f>H8-H13</f>
        <v/>
      </c>
      <c r="I7" s="2098">
        <f>I8-I13</f>
        <v/>
      </c>
      <c r="J7" s="2100">
        <f>J8-J13</f>
        <v/>
      </c>
      <c r="K7" s="2099">
        <f>K8-K13</f>
        <v/>
      </c>
      <c r="L7" s="2101">
        <f>L8-L13</f>
        <v/>
      </c>
      <c r="M7" s="2102">
        <f>M8-M13</f>
        <v/>
      </c>
      <c r="N7" s="2099">
        <f>N8-N13</f>
        <v/>
      </c>
      <c r="O7" s="2098">
        <f>O8-O13</f>
        <v/>
      </c>
      <c r="P7" s="2100">
        <f>P8-P13</f>
        <v/>
      </c>
      <c r="Q7" s="2099">
        <f>Q8-Q13</f>
        <v/>
      </c>
      <c r="R7" s="2101">
        <f>R8-R13</f>
        <v/>
      </c>
      <c r="S7" s="2100">
        <f>S8-S13</f>
        <v/>
      </c>
      <c r="T7" s="2099">
        <f>T8-T13</f>
        <v/>
      </c>
      <c r="U7" s="2101">
        <f>U8-U13</f>
        <v/>
      </c>
      <c r="V7" s="2100">
        <f>V8-V13</f>
        <v/>
      </c>
      <c r="W7" s="2099">
        <f>W8-W13</f>
        <v/>
      </c>
      <c r="X7" s="2101">
        <f>X8-X13</f>
        <v/>
      </c>
      <c r="Y7" s="2100">
        <f>Y8-Y13</f>
        <v/>
      </c>
      <c r="Z7" s="2099">
        <f>Z8-Z13</f>
        <v/>
      </c>
      <c r="AA7" s="2101">
        <f>AA8-AA13</f>
        <v/>
      </c>
      <c r="AB7" s="2100">
        <f>AB8-AB13</f>
        <v/>
      </c>
      <c r="AC7" s="2099">
        <f>AC8-AC13</f>
        <v/>
      </c>
      <c r="AD7" s="2101">
        <f>AD8-AD13</f>
        <v/>
      </c>
      <c r="AE7" s="2100">
        <f>AE8-AE13</f>
        <v/>
      </c>
      <c r="AF7" s="2099">
        <f>AF8-AF13</f>
        <v/>
      </c>
      <c r="AG7" s="2101">
        <f>AG8-AG13</f>
        <v/>
      </c>
      <c r="AH7" s="2100">
        <f>AH8-AH13</f>
        <v/>
      </c>
      <c r="AI7" s="2099">
        <f>AI8-AI13</f>
        <v/>
      </c>
      <c r="AJ7" s="2101">
        <f>AJ8-AJ13</f>
        <v/>
      </c>
      <c r="AK7" s="2100">
        <f>AK8-AK13</f>
        <v/>
      </c>
      <c r="AL7" s="2099">
        <f>AL8-AL13</f>
        <v/>
      </c>
      <c r="AM7" s="2101">
        <f>AM8-AM13</f>
        <v/>
      </c>
      <c r="AN7" s="2100">
        <f>AN8-AN13</f>
        <v/>
      </c>
      <c r="AO7" s="2099">
        <f>AO8-AO13</f>
        <v/>
      </c>
      <c r="AP7" s="2101">
        <f>AP8-AP13</f>
        <v/>
      </c>
      <c r="AQ7" s="2100">
        <f>AQ8-AQ13</f>
        <v/>
      </c>
      <c r="AR7" s="2099">
        <f>AR8-AR13</f>
        <v/>
      </c>
      <c r="AS7" s="2101">
        <f>AS8-AS13</f>
        <v/>
      </c>
      <c r="AT7" s="2100">
        <f>AT8-AT13</f>
        <v/>
      </c>
      <c r="AU7" s="2099">
        <f>AU8-AU13</f>
        <v/>
      </c>
      <c r="AV7" s="2101">
        <f>AV8-AV13</f>
        <v/>
      </c>
    </row>
    <row r="8" ht="12.75" customHeight="1">
      <c r="C8" s="52" t="n"/>
      <c r="D8" s="26" t="inlineStr">
        <is>
          <t>수입</t>
        </is>
      </c>
      <c r="E8" s="18" t="n"/>
      <c r="F8" s="40" t="n"/>
      <c r="G8" s="2103">
        <f>SUM(G9:G12)</f>
        <v/>
      </c>
      <c r="H8" s="2104">
        <f>SUM(H9:H12)</f>
        <v/>
      </c>
      <c r="I8" s="2103">
        <f>SUM(I9:I12)</f>
        <v/>
      </c>
      <c r="J8" s="2105">
        <f>SUM(J9:J12)</f>
        <v/>
      </c>
      <c r="K8" s="2104">
        <f>SUM(K9:K12)</f>
        <v/>
      </c>
      <c r="L8" s="2106">
        <f>SUM(L9:L12)</f>
        <v/>
      </c>
      <c r="M8" s="2107">
        <f>SUM(M9:M12)</f>
        <v/>
      </c>
      <c r="N8" s="2104">
        <f>SUM(N9:N12)</f>
        <v/>
      </c>
      <c r="O8" s="2103">
        <f>SUM(O9:O12)</f>
        <v/>
      </c>
      <c r="P8" s="2105">
        <f>SUM(P9:P12)</f>
        <v/>
      </c>
      <c r="Q8" s="2104">
        <f>SUM(Q9:Q12)</f>
        <v/>
      </c>
      <c r="R8" s="2106">
        <f>SUM(R9:R12)</f>
        <v/>
      </c>
      <c r="S8" s="2105">
        <f>SUM(S9:S12)</f>
        <v/>
      </c>
      <c r="T8" s="2104">
        <f>SUM(T9:T12)</f>
        <v/>
      </c>
      <c r="U8" s="2106">
        <f>SUM(U9:U12)</f>
        <v/>
      </c>
      <c r="V8" s="2105">
        <f>SUM(V9:V12)</f>
        <v/>
      </c>
      <c r="W8" s="2104">
        <f>SUM(W9:W12)</f>
        <v/>
      </c>
      <c r="X8" s="2106">
        <f>SUM(X9:X12)</f>
        <v/>
      </c>
      <c r="Y8" s="2105">
        <f>SUM(Y9:Y12)</f>
        <v/>
      </c>
      <c r="Z8" s="2104">
        <f>SUM(Z9:Z12)</f>
        <v/>
      </c>
      <c r="AA8" s="2106">
        <f>SUM(AA9:AA12)</f>
        <v/>
      </c>
      <c r="AB8" s="2105">
        <f>SUM(AB9:AB12)</f>
        <v/>
      </c>
      <c r="AC8" s="2104">
        <f>SUM(AC9:AC12)</f>
        <v/>
      </c>
      <c r="AD8" s="2106">
        <f>SUM(AD9:AD12)</f>
        <v/>
      </c>
      <c r="AE8" s="2105">
        <f>SUM(AE9:AE12)</f>
        <v/>
      </c>
      <c r="AF8" s="2104">
        <f>SUM(AF9:AF12)</f>
        <v/>
      </c>
      <c r="AG8" s="2106">
        <f>SUM(AG9:AG12)</f>
        <v/>
      </c>
      <c r="AH8" s="2105">
        <f>SUM(AH9:AH12)</f>
        <v/>
      </c>
      <c r="AI8" s="2104">
        <f>SUM(AI9:AI12)</f>
        <v/>
      </c>
      <c r="AJ8" s="2106">
        <f>SUM(AJ9:AJ12)</f>
        <v/>
      </c>
      <c r="AK8" s="2105">
        <f>SUM(AK9:AK12)</f>
        <v/>
      </c>
      <c r="AL8" s="2104">
        <f>SUM(AL9:AL12)</f>
        <v/>
      </c>
      <c r="AM8" s="2106">
        <f>SUM(AM9:AM12)</f>
        <v/>
      </c>
      <c r="AN8" s="2105">
        <f>SUM(AN9:AN12)</f>
        <v/>
      </c>
      <c r="AO8" s="2104">
        <f>SUM(AO9:AO12)</f>
        <v/>
      </c>
      <c r="AP8" s="2106">
        <f>SUM(AP9:AP12)</f>
        <v/>
      </c>
      <c r="AQ8" s="2105">
        <f>SUM(AQ9:AQ12)</f>
        <v/>
      </c>
      <c r="AR8" s="2104">
        <f>SUM(AR9:AR12)</f>
        <v/>
      </c>
      <c r="AS8" s="2106">
        <f>SUM(AS9:AS12)</f>
        <v/>
      </c>
      <c r="AT8" s="2105">
        <f>SUM(AT9:AT12)</f>
        <v/>
      </c>
      <c r="AU8" s="2104">
        <f>SUM(AU9:AU12)</f>
        <v/>
      </c>
      <c r="AV8" s="2106">
        <f>SUM(AV9:AV12)</f>
        <v/>
      </c>
    </row>
    <row r="9" ht="12.75" customHeight="1">
      <c r="C9" s="52" t="n"/>
      <c r="D9" s="37" t="n"/>
      <c r="E9" s="26" t="inlineStr">
        <is>
          <t>매출</t>
        </is>
      </c>
      <c r="F9" s="40" t="n"/>
      <c r="G9" s="2108" t="n">
        <v>0</v>
      </c>
      <c r="H9" s="2109" t="n">
        <v>0</v>
      </c>
      <c r="I9" s="2110">
        <f>G9+H9*$R$46/1000</f>
        <v/>
      </c>
      <c r="J9" s="2108" t="n">
        <v>0</v>
      </c>
      <c r="K9" s="2109" t="n">
        <v>0</v>
      </c>
      <c r="L9" s="2111">
        <f>J9+K9*$R$46/1000</f>
        <v/>
      </c>
      <c r="M9" s="2108" t="n">
        <v>0.09209000000000001</v>
      </c>
      <c r="N9" s="2109" t="n">
        <v>0</v>
      </c>
      <c r="O9" s="2110">
        <f>M9+N9*$R$46/1000</f>
        <v/>
      </c>
      <c r="P9" s="2112" t="n">
        <v>0</v>
      </c>
      <c r="Q9" s="2020" t="n">
        <v>0</v>
      </c>
      <c r="R9" s="2111">
        <f>P9+Q9*$R$46/1000</f>
        <v/>
      </c>
      <c r="S9" s="2112" t="n">
        <v>0</v>
      </c>
      <c r="T9" s="2020" t="n">
        <v>0</v>
      </c>
      <c r="U9" s="2111">
        <f>S9+T9*U46/1000</f>
        <v/>
      </c>
      <c r="V9" s="2112" t="n">
        <v>0.05181</v>
      </c>
      <c r="W9" s="2020" t="n">
        <v>0</v>
      </c>
      <c r="X9" s="2111">
        <f>V9+W9*X46/1000</f>
        <v/>
      </c>
      <c r="Y9" s="2112" t="n">
        <v>0.05181</v>
      </c>
      <c r="Z9" s="2020" t="n">
        <v>0</v>
      </c>
      <c r="AA9" s="2111">
        <f>Y9+Z9*AA46/1000</f>
        <v/>
      </c>
      <c r="AB9" s="2112" t="n">
        <v>0.168355</v>
      </c>
      <c r="AC9" s="2020" t="n">
        <v>0</v>
      </c>
      <c r="AD9" s="2111">
        <f>AB9+AC9*AD46/1000</f>
        <v/>
      </c>
      <c r="AE9" s="2112" t="n">
        <v>11</v>
      </c>
      <c r="AF9" s="2020" t="n">
        <v>0</v>
      </c>
      <c r="AG9" s="2111">
        <f>AE9+AF9*AG46/1000</f>
        <v/>
      </c>
      <c r="AH9" s="2112" t="n"/>
      <c r="AI9" s="2020" t="n"/>
      <c r="AJ9" s="2111">
        <f>AH9+AI9*AJ46/1000</f>
        <v/>
      </c>
      <c r="AK9" s="2112" t="n"/>
      <c r="AL9" s="2020" t="n"/>
      <c r="AM9" s="2111">
        <f>AK9+AL9*AM46/1000</f>
        <v/>
      </c>
      <c r="AN9" s="2112" t="n"/>
      <c r="AO9" s="2020" t="n"/>
      <c r="AP9" s="2111">
        <f>AN9+AO9*AP46/1000</f>
        <v/>
      </c>
      <c r="AQ9" s="2113" t="n"/>
      <c r="AR9" s="2114" t="n"/>
      <c r="AS9" s="2111">
        <f>AQ9+AR9*AS46/1000</f>
        <v/>
      </c>
      <c r="AT9" s="2113">
        <f>AQ9/$AW$3</f>
        <v/>
      </c>
      <c r="AU9" s="2114">
        <f>SUM(K9,N9,Q9,T9,W9,Z9,AC9,AF9,AI9,AL9,AO9,AR9)</f>
        <v/>
      </c>
      <c r="AV9" s="2111">
        <f>AT9+AU9*AV46/1000</f>
        <v/>
      </c>
    </row>
    <row r="10" ht="12.75" customHeight="1">
      <c r="C10" s="52" t="n"/>
      <c r="D10" s="37" t="n"/>
      <c r="E10" s="37" t="inlineStr">
        <is>
          <t>세금 환급</t>
        </is>
      </c>
      <c r="F10" s="44" t="n"/>
      <c r="G10" s="2115" t="n">
        <v>0</v>
      </c>
      <c r="H10" s="2116" t="n">
        <v>0</v>
      </c>
      <c r="I10" s="2117">
        <f>G10+H10*$R$46/1000</f>
        <v/>
      </c>
      <c r="J10" s="2115" t="n">
        <v>1.27178</v>
      </c>
      <c r="K10" s="2116" t="n">
        <v>0</v>
      </c>
      <c r="L10" s="2118">
        <f>J10+K10*$R$46/1000</f>
        <v/>
      </c>
      <c r="M10" s="2115" t="n">
        <v>0</v>
      </c>
      <c r="N10" s="2116" t="n">
        <v>0</v>
      </c>
      <c r="O10" s="2117">
        <f>M10+N10*$R$46/1000</f>
        <v/>
      </c>
      <c r="P10" s="2119" t="n">
        <v>14.97952</v>
      </c>
      <c r="Q10" s="2120" t="n">
        <v>0</v>
      </c>
      <c r="R10" s="2118">
        <f>P10+Q10*$R$46/1000</f>
        <v/>
      </c>
      <c r="S10" s="2119" t="n">
        <v>1.49789</v>
      </c>
      <c r="T10" s="2120" t="n">
        <v>0</v>
      </c>
      <c r="U10" s="2118">
        <f>S10+T10*U46/1000</f>
        <v/>
      </c>
      <c r="V10" s="2119" t="n">
        <v>0</v>
      </c>
      <c r="W10" s="2120" t="n">
        <v>0</v>
      </c>
      <c r="X10" s="2118">
        <f>V10+W10*X46/1000</f>
        <v/>
      </c>
      <c r="Y10" s="2119" t="n">
        <v>0</v>
      </c>
      <c r="Z10" s="2120" t="n">
        <v>0</v>
      </c>
      <c r="AA10" s="2118">
        <f>Y10+Z10*AA46/1000</f>
        <v/>
      </c>
      <c r="AB10" s="2119" t="n">
        <v>0</v>
      </c>
      <c r="AC10" s="2120" t="n">
        <v>0</v>
      </c>
      <c r="AD10" s="2118">
        <f>AB10+AC10*AD46/1000</f>
        <v/>
      </c>
      <c r="AE10" s="2119" t="n">
        <v>0</v>
      </c>
      <c r="AF10" s="2120" t="n">
        <v>0</v>
      </c>
      <c r="AG10" s="2118">
        <f>AE10+AF10*AG48/1000</f>
        <v/>
      </c>
      <c r="AH10" s="2119" t="n"/>
      <c r="AI10" s="2120" t="n"/>
      <c r="AJ10" s="2118">
        <f>AH10+AI10*AJ46/1000</f>
        <v/>
      </c>
      <c r="AK10" s="2119" t="n"/>
      <c r="AL10" s="2120" t="n"/>
      <c r="AM10" s="2118">
        <f>AK10+AL10*AM46/1000</f>
        <v/>
      </c>
      <c r="AN10" s="2119" t="n"/>
      <c r="AO10" s="2120" t="n"/>
      <c r="AP10" s="2118">
        <f>AN10+AO10*AP46/1000</f>
        <v/>
      </c>
      <c r="AQ10" s="2121" t="n"/>
      <c r="AR10" s="2122" t="n"/>
      <c r="AS10" s="2118">
        <f>AQ10+AR10*AS46/1000</f>
        <v/>
      </c>
      <c r="AT10" s="2121">
        <f>AQ10/$AW$3</f>
        <v/>
      </c>
      <c r="AU10" s="2122">
        <f>SUM(K10,N10,Q10,T10,W10,Z10,AC10,AF10,AI10,AL10,AO10,AR10)</f>
        <v/>
      </c>
      <c r="AV10" s="2118">
        <f>AT10+AU10*AV46/1000</f>
        <v/>
      </c>
    </row>
    <row r="11" ht="12.75" customHeight="1">
      <c r="C11" s="52" t="n"/>
      <c r="D11" s="37" t="n"/>
      <c r="E11" s="37" t="inlineStr">
        <is>
          <t>이자수익</t>
        </is>
      </c>
      <c r="F11" s="44" t="n"/>
      <c r="G11" s="2115" t="n">
        <v>14.92319</v>
      </c>
      <c r="H11" s="2116" t="n">
        <v>0</v>
      </c>
      <c r="I11" s="2117">
        <f>G11+H11*$R$46/1000</f>
        <v/>
      </c>
      <c r="J11" s="2115" t="n">
        <v>0</v>
      </c>
      <c r="K11" s="2116" t="n">
        <v>0</v>
      </c>
      <c r="L11" s="2123">
        <f>J11+K11*$R$46/1000</f>
        <v/>
      </c>
      <c r="M11" s="2115" t="n">
        <v>0.540622</v>
      </c>
      <c r="N11" s="2116" t="n">
        <v>0</v>
      </c>
      <c r="O11" s="2117">
        <f>M11+N11*$R$46/1000</f>
        <v/>
      </c>
      <c r="P11" s="2119" t="n">
        <v>0</v>
      </c>
      <c r="Q11" s="2124" t="n">
        <v>0</v>
      </c>
      <c r="R11" s="2123">
        <f>P11+Q11*$R$46/1000</f>
        <v/>
      </c>
      <c r="S11" s="2119" t="n">
        <v>0</v>
      </c>
      <c r="T11" s="2124" t="n">
        <v>0</v>
      </c>
      <c r="U11" s="2123">
        <f>S11+T11*$U46/1000</f>
        <v/>
      </c>
      <c r="V11" s="2119" t="n">
        <v>6.483723</v>
      </c>
      <c r="W11" s="2124" t="n">
        <v>0</v>
      </c>
      <c r="X11" s="2123">
        <f>V11+W11*$U46/1000</f>
        <v/>
      </c>
      <c r="Y11" s="2119" t="n">
        <v>0</v>
      </c>
      <c r="Z11" s="2124" t="n">
        <v>0</v>
      </c>
      <c r="AA11" s="2123">
        <f>Y11+Z11*$U46/1000</f>
        <v/>
      </c>
      <c r="AB11" s="2119" t="n">
        <v>0</v>
      </c>
      <c r="AC11" s="2124" t="n">
        <v>0</v>
      </c>
      <c r="AD11" s="2123">
        <f>AB11+AC11*$U46/1000</f>
        <v/>
      </c>
      <c r="AE11" s="2119" t="n">
        <v>0</v>
      </c>
      <c r="AF11" s="2124" t="n">
        <v>0</v>
      </c>
      <c r="AG11" s="2123">
        <f>AE11+AF11*$U46/1000</f>
        <v/>
      </c>
      <c r="AH11" s="2119" t="n"/>
      <c r="AI11" s="2124" t="n"/>
      <c r="AJ11" s="2123">
        <f>AH11+AI11*$U46/1000</f>
        <v/>
      </c>
      <c r="AK11" s="2119" t="n"/>
      <c r="AL11" s="2124" t="n"/>
      <c r="AM11" s="2123">
        <f>AK11+AL11*$U46/1000</f>
        <v/>
      </c>
      <c r="AN11" s="2119" t="n"/>
      <c r="AO11" s="2124" t="n"/>
      <c r="AP11" s="2123">
        <f>AN11+AO11*$U46/1000</f>
        <v/>
      </c>
      <c r="AQ11" s="2121" t="n"/>
      <c r="AR11" s="2122" t="n"/>
      <c r="AS11" s="2123">
        <f>AQ11+AR11*$U46/1000</f>
        <v/>
      </c>
      <c r="AT11" s="2121">
        <f>AQ11/$AW$3</f>
        <v/>
      </c>
      <c r="AU11" s="2122">
        <f>SUM(K11,N11,Q11,T11,W11,Z11,AC11,AF11,AI11,AL11,AO11,AR11)</f>
        <v/>
      </c>
      <c r="AV11" s="2123">
        <f>AT11+AU11*$U46/1000</f>
        <v/>
      </c>
    </row>
    <row r="12" ht="12.75" customHeight="1">
      <c r="C12" s="52" t="n"/>
      <c r="D12" s="37" t="n"/>
      <c r="E12" s="42" t="inlineStr">
        <is>
          <t>기타</t>
        </is>
      </c>
      <c r="F12" s="47" t="n"/>
      <c r="G12" s="2125" t="n">
        <v>1.803179</v>
      </c>
      <c r="H12" s="2126" t="n">
        <v>0</v>
      </c>
      <c r="I12" s="2127">
        <f>G12+H12*$R$46/1000</f>
        <v/>
      </c>
      <c r="J12" s="2125" t="n">
        <v>0.140959</v>
      </c>
      <c r="K12" s="2126" t="n">
        <v>0</v>
      </c>
      <c r="L12" s="2128">
        <f>J12+K12*$R$46/1000</f>
        <v/>
      </c>
      <c r="M12" s="2125" t="n">
        <v>0</v>
      </c>
      <c r="N12" s="2126" t="n">
        <v>0</v>
      </c>
      <c r="O12" s="2127">
        <f>M12+N12*$R$46/1000</f>
        <v/>
      </c>
      <c r="P12" s="2129">
        <f>15.37848+0.130058</f>
        <v/>
      </c>
      <c r="Q12" s="2130" t="n">
        <v>0</v>
      </c>
      <c r="R12" s="2128">
        <f>P12+Q12*$R$46/1000</f>
        <v/>
      </c>
      <c r="S12" s="2131" t="n">
        <v>51.185792</v>
      </c>
      <c r="T12" s="2130" t="n">
        <v>0</v>
      </c>
      <c r="U12" s="2128">
        <f>S12+T12*U46/1000</f>
        <v/>
      </c>
      <c r="V12" s="2131" t="n">
        <v>0</v>
      </c>
      <c r="W12" s="2130" t="n">
        <v>0</v>
      </c>
      <c r="X12" s="2128">
        <f>V12+W12*X46/1000</f>
        <v/>
      </c>
      <c r="Y12" s="2131" t="n">
        <v>0.07802000000000001</v>
      </c>
      <c r="Z12" s="2130" t="n">
        <v>0</v>
      </c>
      <c r="AA12" s="2128">
        <f>Y12+Z12*AA46/1000</f>
        <v/>
      </c>
      <c r="AB12" s="2131" t="n">
        <v>0</v>
      </c>
      <c r="AC12" s="2130" t="n">
        <v>0</v>
      </c>
      <c r="AD12" s="2128">
        <f>AB12+AC12*AD46/1000</f>
        <v/>
      </c>
      <c r="AE12" s="2131" t="n">
        <v>0</v>
      </c>
      <c r="AF12" s="2130" t="n">
        <v>0</v>
      </c>
      <c r="AG12" s="2128">
        <f>AE12+AF12*AG46/1000</f>
        <v/>
      </c>
      <c r="AH12" s="2131" t="n"/>
      <c r="AI12" s="2130" t="n"/>
      <c r="AJ12" s="2128">
        <f>AH12+AI12*AJ46/1000</f>
        <v/>
      </c>
      <c r="AK12" s="2131" t="n"/>
      <c r="AL12" s="2130" t="n"/>
      <c r="AM12" s="2128">
        <f>AK12+AL12*AM46/1000</f>
        <v/>
      </c>
      <c r="AN12" s="2131" t="n"/>
      <c r="AO12" s="2130" t="n"/>
      <c r="AP12" s="2128">
        <f>AN12+AO12*AP46/1000</f>
        <v/>
      </c>
      <c r="AQ12" s="2132" t="n"/>
      <c r="AR12" s="2133" t="n"/>
      <c r="AS12" s="2128">
        <f>AQ12+AR12*AS46/1000</f>
        <v/>
      </c>
      <c r="AT12" s="2132">
        <f>AQ12/$AW$3</f>
        <v/>
      </c>
      <c r="AU12" s="2133">
        <f>SUM(K12,N12,Q12,T12,W12,Z12,AC12,AF12,AI12,AL12,AO12,AR12)</f>
        <v/>
      </c>
      <c r="AV12" s="2128">
        <f>AT12+AU12*AV46/1000</f>
        <v/>
      </c>
    </row>
    <row r="13" ht="12.75" customHeight="1">
      <c r="C13" s="51" t="n"/>
      <c r="D13" s="26" t="inlineStr">
        <is>
          <t>지출</t>
        </is>
      </c>
      <c r="E13" s="18" t="n"/>
      <c r="F13" s="18" t="n"/>
      <c r="G13" s="2105">
        <f>SUM(G14,G19,G20,G25:G28)</f>
        <v/>
      </c>
      <c r="H13" s="2104">
        <f>SUM(H14,H19,H20,H25:H28)</f>
        <v/>
      </c>
      <c r="I13" s="2105">
        <f>SUM(I14,I19,I20,I25:I28)</f>
        <v/>
      </c>
      <c r="J13" s="2105">
        <f>SUM(J14,J19,J20,J25:J28)</f>
        <v/>
      </c>
      <c r="K13" s="2104">
        <f>SUM(K14,K19,K20,K25:K28)</f>
        <v/>
      </c>
      <c r="L13" s="2134">
        <f>SUM(L14,L19,L20,L25:L28)</f>
        <v/>
      </c>
      <c r="M13" s="2107">
        <f>SUM(M14,M19,M20,M25:M28)</f>
        <v/>
      </c>
      <c r="N13" s="2104">
        <f>SUM(N14,N19,N20,N25:N28)</f>
        <v/>
      </c>
      <c r="O13" s="2105">
        <f>SUM(O14,O19,O20,O25:O28)</f>
        <v/>
      </c>
      <c r="P13" s="2105">
        <f>SUM(P14,P19,P20,P25:P28)</f>
        <v/>
      </c>
      <c r="Q13" s="2104">
        <f>SUM(Q14,Q19,Q20,Q25:Q28)</f>
        <v/>
      </c>
      <c r="R13" s="2134">
        <f>SUM(R14,R19,R20,R25:R28)</f>
        <v/>
      </c>
      <c r="S13" s="2105">
        <f>SUM(S14,S19,S20,S25:S28)</f>
        <v/>
      </c>
      <c r="T13" s="2104">
        <f>SUM(T14,T19,T20,T25:T28)</f>
        <v/>
      </c>
      <c r="U13" s="2134">
        <f>SUM(U14,U19,U20,U25:U28)</f>
        <v/>
      </c>
      <c r="V13" s="2105">
        <f>SUM(V14,V19,V20,V25:V28)</f>
        <v/>
      </c>
      <c r="W13" s="2104">
        <f>SUM(W14,W19,W20,W25:W28)</f>
        <v/>
      </c>
      <c r="X13" s="2134">
        <f>SUM(X14,X19,X20,X25:X28)</f>
        <v/>
      </c>
      <c r="Y13" s="2105">
        <f>SUM(Y14,Y19,Y20,Y25:Y28)</f>
        <v/>
      </c>
      <c r="Z13" s="2104">
        <f>SUM(Z14,Z19,Z20,Z25:Z28)</f>
        <v/>
      </c>
      <c r="AA13" s="2134">
        <f>SUM(AA14,AA19,AA20,AA25:AA28)</f>
        <v/>
      </c>
      <c r="AB13" s="2105">
        <f>SUM(AB14,AB19,AB20,AB25:AB28)</f>
        <v/>
      </c>
      <c r="AC13" s="2104">
        <f>SUM(AC14,AC19,AC20,AC25:AC28)</f>
        <v/>
      </c>
      <c r="AD13" s="2134">
        <f>SUM(AD14,AD19,AD20,AD25:AD28)</f>
        <v/>
      </c>
      <c r="AE13" s="2105">
        <f>SUM(AE14,AE19,AE20,AE25:AE28)</f>
        <v/>
      </c>
      <c r="AF13" s="2104">
        <f>SUM(AF14,AF19,AF20,AF25:AF28)</f>
        <v/>
      </c>
      <c r="AG13" s="2134">
        <f>SUM(AG14,AG19,AG20,AG25:AG28)</f>
        <v/>
      </c>
      <c r="AH13" s="2105">
        <f>SUM(AH14,AH19,AH20,AH25:AH28)</f>
        <v/>
      </c>
      <c r="AI13" s="2104">
        <f>SUM(AI14,AI19,AI20,AI25:AI28)</f>
        <v/>
      </c>
      <c r="AJ13" s="2134">
        <f>SUM(AJ14,AJ19,AJ20,AJ25:AJ28)</f>
        <v/>
      </c>
      <c r="AK13" s="2105">
        <f>SUM(AK14,AK19,AK20,AK25:AK28)</f>
        <v/>
      </c>
      <c r="AL13" s="2104">
        <f>SUM(AL14,AL19,AL20,AL25:AL28)</f>
        <v/>
      </c>
      <c r="AM13" s="2134">
        <f>SUM(AM14,AM19,AM20,AM25:AM28)</f>
        <v/>
      </c>
      <c r="AN13" s="2105">
        <f>SUM(AN14,AN19,AN20,AN25:AN28)</f>
        <v/>
      </c>
      <c r="AO13" s="2104">
        <f>SUM(AO14,AO19,AO20,AO25:AO28)</f>
        <v/>
      </c>
      <c r="AP13" s="2134">
        <f>SUM(AP14,AP19,AP20,AP25:AP28)</f>
        <v/>
      </c>
      <c r="AQ13" s="2105">
        <f>SUM(AQ14,AQ19,AQ20,AQ25:AQ28)</f>
        <v/>
      </c>
      <c r="AR13" s="2104">
        <f>SUM(AR14,AR19,AR20,AR25:AR28)</f>
        <v/>
      </c>
      <c r="AS13" s="2134">
        <f>SUM(AS14,AS19,AS20,AS25:AS28)</f>
        <v/>
      </c>
      <c r="AT13" s="2105">
        <f>SUM(AT14,AT19,AT20,AT25:AT28)</f>
        <v/>
      </c>
      <c r="AU13" s="2104">
        <f>SUM(AU14,AU19,AU20,AU25:AU28)</f>
        <v/>
      </c>
      <c r="AV13" s="2134">
        <f>SUM(AV14,AV19,AV20,AV25:AV28)</f>
        <v/>
      </c>
    </row>
    <row r="14" ht="12.75" customHeight="1">
      <c r="C14" s="34" t="n"/>
      <c r="D14" s="33" t="n"/>
      <c r="E14" s="26" t="inlineStr">
        <is>
          <t>인건비</t>
        </is>
      </c>
      <c r="F14" s="40" t="n"/>
      <c r="G14" s="2135">
        <f>SUM(G15:G18)</f>
        <v/>
      </c>
      <c r="H14" s="2136">
        <f>SUM(H15:H18)</f>
        <v/>
      </c>
      <c r="I14" s="2103">
        <f>SUM(I15:I18)</f>
        <v/>
      </c>
      <c r="J14" s="2137">
        <f>SUM(J15:J18)</f>
        <v/>
      </c>
      <c r="K14" s="2136">
        <f>SUM(K15:K18)</f>
        <v/>
      </c>
      <c r="L14" s="2106">
        <f>SUM(L15:L18)</f>
        <v/>
      </c>
      <c r="M14" s="2138">
        <f>SUM(M15:M18)</f>
        <v/>
      </c>
      <c r="N14" s="2136">
        <f>SUM(N15:N18)</f>
        <v/>
      </c>
      <c r="O14" s="2103">
        <f>SUM(O15:O18)</f>
        <v/>
      </c>
      <c r="P14" s="2137">
        <f>SUM(P15:P18)</f>
        <v/>
      </c>
      <c r="Q14" s="2136">
        <f>SUM(Q15:Q18)</f>
        <v/>
      </c>
      <c r="R14" s="2106">
        <f>SUM(R15:R18)</f>
        <v/>
      </c>
      <c r="S14" s="2137">
        <f>SUM(S15:S18)</f>
        <v/>
      </c>
      <c r="T14" s="2136">
        <f>SUM(T15:T18)</f>
        <v/>
      </c>
      <c r="U14" s="2106">
        <f>SUM(U15:U18)</f>
        <v/>
      </c>
      <c r="V14" s="2137">
        <f>SUM(V15:V18)</f>
        <v/>
      </c>
      <c r="W14" s="2136">
        <f>SUM(W15:W18)</f>
        <v/>
      </c>
      <c r="X14" s="2106">
        <f>SUM(X15:X18)</f>
        <v/>
      </c>
      <c r="Y14" s="2137">
        <f>SUM(Y15:Y18)</f>
        <v/>
      </c>
      <c r="Z14" s="2136">
        <f>SUM(Z15:Z18)</f>
        <v/>
      </c>
      <c r="AA14" s="2106">
        <f>SUM(AA15:AA18)</f>
        <v/>
      </c>
      <c r="AB14" s="2137">
        <f>SUM(AB15:AB18)</f>
        <v/>
      </c>
      <c r="AC14" s="2136">
        <f>SUM(AC15:AC18)</f>
        <v/>
      </c>
      <c r="AD14" s="2106">
        <f>SUM(AD15:AD18)</f>
        <v/>
      </c>
      <c r="AE14" s="2137">
        <f>SUM(AE15:AE18)</f>
        <v/>
      </c>
      <c r="AF14" s="2136">
        <f>SUM(AF15:AF18)</f>
        <v/>
      </c>
      <c r="AG14" s="2106">
        <f>SUM(AG15:AG18)</f>
        <v/>
      </c>
      <c r="AH14" s="2137">
        <f>SUM(AH15:AH18)</f>
        <v/>
      </c>
      <c r="AI14" s="2136">
        <f>SUM(AI15:AI18)</f>
        <v/>
      </c>
      <c r="AJ14" s="2106">
        <f>SUM(AJ15:AJ18)</f>
        <v/>
      </c>
      <c r="AK14" s="2137">
        <f>SUM(AK15:AK18)</f>
        <v/>
      </c>
      <c r="AL14" s="2136">
        <f>SUM(AL15:AL18)</f>
        <v/>
      </c>
      <c r="AM14" s="2106">
        <f>SUM(AM15:AM18)</f>
        <v/>
      </c>
      <c r="AN14" s="2137">
        <f>SUM(AN15:AN18)</f>
        <v/>
      </c>
      <c r="AO14" s="2136">
        <f>SUM(AO15:AO18)</f>
        <v/>
      </c>
      <c r="AP14" s="2106">
        <f>SUM(AP15:AP18)</f>
        <v/>
      </c>
      <c r="AQ14" s="2137">
        <f>SUM(AQ15:AQ18)</f>
        <v/>
      </c>
      <c r="AR14" s="2136">
        <f>SUM(AR15:AR18)</f>
        <v/>
      </c>
      <c r="AS14" s="2106">
        <f>SUM(AS15:AS18)</f>
        <v/>
      </c>
      <c r="AT14" s="2137">
        <f>SUM(AT15:AT18)</f>
        <v/>
      </c>
      <c r="AU14" s="2136">
        <f>SUM(AU15:AU18)</f>
        <v/>
      </c>
      <c r="AV14" s="2106">
        <f>SUM(AV15:AV18)</f>
        <v/>
      </c>
    </row>
    <row r="15" outlineLevel="1" ht="12.75" customHeight="1">
      <c r="C15" s="34" t="n"/>
      <c r="D15" s="33" t="n"/>
      <c r="E15" s="37" t="n"/>
      <c r="F15" s="26" t="inlineStr">
        <is>
          <t>급여</t>
        </is>
      </c>
      <c r="G15" s="2108" t="n">
        <v>39.30703</v>
      </c>
      <c r="H15" s="2109" t="n">
        <v>0</v>
      </c>
      <c r="I15" s="2110">
        <f>G15+H15*$R$46/1000</f>
        <v/>
      </c>
      <c r="J15" s="2108" t="n">
        <v>31.66514</v>
      </c>
      <c r="K15" s="2109" t="n">
        <v>0</v>
      </c>
      <c r="L15" s="2111">
        <f>J15+K15*$R$46/1000</f>
        <v/>
      </c>
      <c r="M15" s="2108" t="n">
        <v>14.831917</v>
      </c>
      <c r="N15" s="2109" t="n">
        <v>0</v>
      </c>
      <c r="O15" s="2139">
        <f>M15+N15*$R$46/1000</f>
        <v/>
      </c>
      <c r="P15" s="2140" t="n">
        <v>15.263567</v>
      </c>
      <c r="Q15" s="2109" t="n">
        <v>0</v>
      </c>
      <c r="R15" s="2111">
        <f>P15+Q15*$R$46/1000</f>
        <v/>
      </c>
      <c r="S15" s="2141" t="n">
        <v>14.856137</v>
      </c>
      <c r="T15" s="2109" t="n">
        <v>0</v>
      </c>
      <c r="U15" s="2111">
        <f>S15+T15*U46/1000</f>
        <v/>
      </c>
      <c r="V15" s="2141" t="n">
        <v>14.855137</v>
      </c>
      <c r="W15" s="2109" t="n">
        <v>0</v>
      </c>
      <c r="X15" s="2111">
        <f>V15+W15*X46/1000</f>
        <v/>
      </c>
      <c r="Y15" s="2141" t="n">
        <v>15</v>
      </c>
      <c r="Z15" s="2109" t="n">
        <v>0</v>
      </c>
      <c r="AA15" s="2111">
        <f>Y15+Z15*AA46/1000</f>
        <v/>
      </c>
      <c r="AB15" s="2141" t="n">
        <v>14.809777</v>
      </c>
      <c r="AC15" s="2142" t="n">
        <v>0</v>
      </c>
      <c r="AD15" s="2111">
        <f>AB15+AC15*AD46/1000</f>
        <v/>
      </c>
      <c r="AE15" s="2141" t="n">
        <v>15</v>
      </c>
      <c r="AF15" s="2142" t="n">
        <v>0</v>
      </c>
      <c r="AG15" s="2111">
        <f>AE15+AF15*AG46/1000</f>
        <v/>
      </c>
      <c r="AH15" s="2141" t="n"/>
      <c r="AI15" s="2142" t="n"/>
      <c r="AJ15" s="2111">
        <f>AH15+AI15*AJ46/1000</f>
        <v/>
      </c>
      <c r="AK15" s="2141" t="n"/>
      <c r="AL15" s="2142" t="n"/>
      <c r="AM15" s="2111">
        <f>AK15+AL15*AM46/1000</f>
        <v/>
      </c>
      <c r="AN15" s="2141" t="n"/>
      <c r="AO15" s="2142" t="n"/>
      <c r="AP15" s="2111">
        <f>AN15+AO15*AP46/1000</f>
        <v/>
      </c>
      <c r="AQ15" s="2143" t="n"/>
      <c r="AR15" s="2144" t="n"/>
      <c r="AS15" s="2111">
        <f>AQ15+AR15*AS46/1000</f>
        <v/>
      </c>
      <c r="AT15" s="2143">
        <f>AQ15/$AW$3</f>
        <v/>
      </c>
      <c r="AU15" s="2144">
        <f>SUM(K15,N15,Q15,T15,W15,Z15,AC15,AF15,AI15,AL15,AO15,AR15)</f>
        <v/>
      </c>
      <c r="AV15" s="2111">
        <f>AT15+AU15*AV46/1000</f>
        <v/>
      </c>
    </row>
    <row r="16" outlineLevel="1" ht="12.75" customHeight="1">
      <c r="C16" s="34" t="n"/>
      <c r="D16" s="33" t="n"/>
      <c r="E16" s="37" t="n"/>
      <c r="F16" s="37" t="inlineStr">
        <is>
          <t>상여</t>
        </is>
      </c>
      <c r="G16" s="2115" t="n">
        <v>0</v>
      </c>
      <c r="H16" s="2116" t="n">
        <v>0</v>
      </c>
      <c r="I16" s="2117">
        <f>G16+H16*$R$46/1000</f>
        <v/>
      </c>
      <c r="J16" s="2115" t="n">
        <v>0</v>
      </c>
      <c r="K16" s="2116" t="n">
        <v>0</v>
      </c>
      <c r="L16" s="2118">
        <f>J16+K16*$R$46/1000</f>
        <v/>
      </c>
      <c r="M16" s="2115" t="n">
        <v>0</v>
      </c>
      <c r="N16" s="2116" t="n">
        <v>0</v>
      </c>
      <c r="O16" s="2117">
        <f>M16+N16*$R$46/1000</f>
        <v/>
      </c>
      <c r="P16" s="2145" t="n">
        <v>0</v>
      </c>
      <c r="Q16" s="2116" t="n">
        <v>0</v>
      </c>
      <c r="R16" s="2118">
        <f>P16+Q16*$R$46/1000</f>
        <v/>
      </c>
      <c r="S16" s="2145" t="n">
        <v>0</v>
      </c>
      <c r="T16" s="2116" t="n">
        <v>0</v>
      </c>
      <c r="U16" s="2118">
        <f>S16+T16*U46/1000</f>
        <v/>
      </c>
      <c r="V16" s="2145" t="n">
        <v>0</v>
      </c>
      <c r="W16" s="2116" t="n">
        <v>0</v>
      </c>
      <c r="X16" s="2118">
        <f>V16+W16*X46/1000</f>
        <v/>
      </c>
      <c r="Y16" s="2145" t="n">
        <v>0</v>
      </c>
      <c r="Z16" s="2116" t="n">
        <v>0</v>
      </c>
      <c r="AA16" s="2118">
        <f>Y16+Z16*AA46/1000</f>
        <v/>
      </c>
      <c r="AB16" s="2145" t="n">
        <v>0</v>
      </c>
      <c r="AC16" s="2124" t="n">
        <v>0</v>
      </c>
      <c r="AD16" s="2118">
        <f>AB16+AC16*AD46/1000</f>
        <v/>
      </c>
      <c r="AE16" s="2145" t="n">
        <v>0</v>
      </c>
      <c r="AF16" s="2124" t="n">
        <v>0</v>
      </c>
      <c r="AG16" s="2118">
        <f>AE16+AF16*AG46/1000</f>
        <v/>
      </c>
      <c r="AH16" s="2145" t="n"/>
      <c r="AI16" s="2124" t="n"/>
      <c r="AJ16" s="2118">
        <f>AH16+AI16*AJ46/1000</f>
        <v/>
      </c>
      <c r="AK16" s="2145" t="n"/>
      <c r="AL16" s="2124" t="n"/>
      <c r="AM16" s="2118">
        <f>AK16+AL16*AM46/1000</f>
        <v/>
      </c>
      <c r="AN16" s="2145" t="n"/>
      <c r="AO16" s="2124" t="n"/>
      <c r="AP16" s="2118">
        <f>AN16+AO16*AP46/1000</f>
        <v/>
      </c>
      <c r="AQ16" s="2146" t="n"/>
      <c r="AR16" s="2147" t="n"/>
      <c r="AS16" s="2118">
        <f>AQ16+AR16*AS46/1000</f>
        <v/>
      </c>
      <c r="AT16" s="2146">
        <f>AQ16/$AW$3</f>
        <v/>
      </c>
      <c r="AU16" s="2147">
        <f>SUM(K16,N16,Q16,T16,W16,Z16,AC16,AF16,AI16,AL16,AO16,AR16)</f>
        <v/>
      </c>
      <c r="AV16" s="2118">
        <f>AT16+AU16*AV46/1000</f>
        <v/>
      </c>
    </row>
    <row r="17" outlineLevel="1" ht="12.75" customHeight="1">
      <c r="C17" s="34" t="n"/>
      <c r="D17" s="33" t="n"/>
      <c r="E17" s="37" t="n"/>
      <c r="F17" s="37" t="inlineStr">
        <is>
          <t>퇴직연금</t>
        </is>
      </c>
      <c r="G17" s="2115" t="n">
        <v>0</v>
      </c>
      <c r="H17" s="2116" t="n">
        <v>0</v>
      </c>
      <c r="I17" s="2117">
        <f>G17+H17*$R$46/1000</f>
        <v/>
      </c>
      <c r="J17" s="2115" t="n">
        <v>2.86999</v>
      </c>
      <c r="K17" s="2116" t="n">
        <v>0</v>
      </c>
      <c r="L17" s="2118">
        <f>J17+K17*$R$46/1000</f>
        <v/>
      </c>
      <c r="M17" s="2115" t="n">
        <v>1.91806</v>
      </c>
      <c r="N17" s="2116" t="n">
        <v>0</v>
      </c>
      <c r="O17" s="2117">
        <f>M17+N17*$R$46/1000</f>
        <v/>
      </c>
      <c r="P17" s="2145" t="n">
        <v>1.92848</v>
      </c>
      <c r="Q17" s="2116" t="n">
        <v>0</v>
      </c>
      <c r="R17" s="2118">
        <f>P17+Q17*$R$46/1000</f>
        <v/>
      </c>
      <c r="S17" s="2145" t="n">
        <v>1.92848</v>
      </c>
      <c r="T17" s="2116" t="n">
        <v>0</v>
      </c>
      <c r="U17" s="2118">
        <f>S17+T17*U46/1000</f>
        <v/>
      </c>
      <c r="V17" s="2145" t="n">
        <v>1.92848</v>
      </c>
      <c r="W17" s="2116" t="n">
        <v>0</v>
      </c>
      <c r="X17" s="2118">
        <f>V17+W17*X46/1000</f>
        <v/>
      </c>
      <c r="Y17" s="2145" t="n">
        <v>1.92848</v>
      </c>
      <c r="Z17" s="2116" t="n">
        <v>0</v>
      </c>
      <c r="AA17" s="2118">
        <f>Y17+Z17*AA46/1000</f>
        <v/>
      </c>
      <c r="AB17" s="2145" t="n">
        <v>1.92848</v>
      </c>
      <c r="AC17" s="2124" t="n">
        <v>0</v>
      </c>
      <c r="AD17" s="2118">
        <f>AB17+AC17*AD46/1000</f>
        <v/>
      </c>
      <c r="AE17" s="2145" t="n">
        <v>1.92848</v>
      </c>
      <c r="AF17" s="2124" t="n">
        <v>0</v>
      </c>
      <c r="AG17" s="2118">
        <f>AE17+AF17*AG46/1000</f>
        <v/>
      </c>
      <c r="AH17" s="2145" t="n"/>
      <c r="AI17" s="2124" t="n"/>
      <c r="AJ17" s="2118">
        <f>AH17+AI17*AJ46/1000</f>
        <v/>
      </c>
      <c r="AK17" s="2145" t="n"/>
      <c r="AL17" s="2124" t="n"/>
      <c r="AM17" s="2118">
        <f>AK17+AL17*AM46/1000</f>
        <v/>
      </c>
      <c r="AN17" s="2145" t="n"/>
      <c r="AO17" s="2124" t="n"/>
      <c r="AP17" s="2118">
        <f>AN17+AO17*AP46/1000</f>
        <v/>
      </c>
      <c r="AQ17" s="2146" t="n"/>
      <c r="AR17" s="2147" t="n"/>
      <c r="AS17" s="2118">
        <f>AQ17+AR17*AS46/1000</f>
        <v/>
      </c>
      <c r="AT17" s="2146">
        <f>AQ17/$AW$3</f>
        <v/>
      </c>
      <c r="AU17" s="2147">
        <f>SUM(K17,N17,Q17,T17,W17,Z17,AC17,AF17,AI17,AL17,AO17,AR17)</f>
        <v/>
      </c>
      <c r="AV17" s="2118">
        <f>AT17+AU17*AV46/1000</f>
        <v/>
      </c>
    </row>
    <row r="18" outlineLevel="1" ht="12.75" customHeight="1">
      <c r="C18" s="34" t="n"/>
      <c r="D18" s="33" t="n"/>
      <c r="E18" s="42" t="n"/>
      <c r="F18" s="42" t="inlineStr">
        <is>
          <t>4대보험료</t>
        </is>
      </c>
      <c r="G18" s="2125" t="n">
        <v>4.3279</v>
      </c>
      <c r="H18" s="2126" t="n">
        <v>0</v>
      </c>
      <c r="I18" s="2127">
        <f>G18+H18*$R$46/1000</f>
        <v/>
      </c>
      <c r="J18" s="2125" t="n">
        <v>4.4573</v>
      </c>
      <c r="K18" s="2126" t="n">
        <v>0</v>
      </c>
      <c r="L18" s="2128">
        <f>J18+K18*$R$46/1000</f>
        <v/>
      </c>
      <c r="M18" s="2125" t="n">
        <v>3.49646</v>
      </c>
      <c r="N18" s="2126" t="n">
        <v>0</v>
      </c>
      <c r="O18" s="2127">
        <f>M18+N18*$R$46/1000</f>
        <v/>
      </c>
      <c r="P18" s="2148" t="n">
        <v>2.94166</v>
      </c>
      <c r="Q18" s="2126" t="n">
        <v>0</v>
      </c>
      <c r="R18" s="2128">
        <f>P18+Q18*$R$46/1000</f>
        <v/>
      </c>
      <c r="S18" s="2148" t="n">
        <v>2.20456</v>
      </c>
      <c r="T18" s="2126" t="n">
        <v>0</v>
      </c>
      <c r="U18" s="2128">
        <f>S18+T18*U46/1000</f>
        <v/>
      </c>
      <c r="V18" s="2148" t="n">
        <v>3.02442</v>
      </c>
      <c r="W18" s="2126" t="n">
        <v>0</v>
      </c>
      <c r="X18" s="2128">
        <f>V18+W18*X46/1000</f>
        <v/>
      </c>
      <c r="Y18" s="2148" t="n">
        <v>2.92517</v>
      </c>
      <c r="Z18" s="2126" t="n">
        <v>0</v>
      </c>
      <c r="AA18" s="2128">
        <f>Y18+Z18*AA46/1000</f>
        <v/>
      </c>
      <c r="AB18" s="2148" t="n">
        <v>3.00399</v>
      </c>
      <c r="AC18" s="2149" t="n">
        <v>0</v>
      </c>
      <c r="AD18" s="2128">
        <f>AB18+AC18*AD46/1000</f>
        <v/>
      </c>
      <c r="AE18" s="2148" t="n">
        <v>3.00449</v>
      </c>
      <c r="AF18" s="2149" t="n">
        <v>0</v>
      </c>
      <c r="AG18" s="2128">
        <f>AE18+AF18*AG46/1000</f>
        <v/>
      </c>
      <c r="AH18" s="2148" t="n"/>
      <c r="AI18" s="2149" t="n"/>
      <c r="AJ18" s="2128">
        <f>AH18+AI18*AJ46/1000</f>
        <v/>
      </c>
      <c r="AK18" s="2148" t="n"/>
      <c r="AL18" s="2149" t="n"/>
      <c r="AM18" s="2128">
        <f>AK18+AL18*AM46/1000</f>
        <v/>
      </c>
      <c r="AN18" s="2148" t="n"/>
      <c r="AO18" s="2149" t="n"/>
      <c r="AP18" s="2128">
        <f>AN18+AO18*AP46/1000</f>
        <v/>
      </c>
      <c r="AQ18" s="2150" t="n"/>
      <c r="AR18" s="2151" t="n"/>
      <c r="AS18" s="2128">
        <f>AQ18+AR18*AS46/1000</f>
        <v/>
      </c>
      <c r="AT18" s="2150">
        <f>AQ18/$AW$3</f>
        <v/>
      </c>
      <c r="AU18" s="2151">
        <f>SUM(K18,N18,Q18,T18,W18,Z18,AC18,AF18,AI18,AL18,AO18,AR18)</f>
        <v/>
      </c>
      <c r="AV18" s="2128">
        <f>AT18+AU18*AV46/1000</f>
        <v/>
      </c>
    </row>
    <row r="19" ht="12.75" customHeight="1">
      <c r="C19" s="34" t="n"/>
      <c r="D19" s="33" t="n"/>
      <c r="E19" s="37" t="inlineStr">
        <is>
          <t>마케팅비</t>
        </is>
      </c>
      <c r="F19" s="44" t="n"/>
      <c r="G19" s="2152" t="n">
        <v>0</v>
      </c>
      <c r="H19" s="2153" t="n">
        <v>0</v>
      </c>
      <c r="I19" s="2110">
        <f>G19+H19*$R$46/1000</f>
        <v/>
      </c>
      <c r="J19" s="2154" t="n">
        <v>0</v>
      </c>
      <c r="K19" s="2153" t="n">
        <v>0</v>
      </c>
      <c r="L19" s="2111">
        <f>J19+K19*$R$46/1000</f>
        <v/>
      </c>
      <c r="M19" s="2155" t="n">
        <v>0</v>
      </c>
      <c r="N19" s="2153" t="n">
        <v>0</v>
      </c>
      <c r="O19" s="2110">
        <f>M19+N19*$R$46/1000</f>
        <v/>
      </c>
      <c r="P19" s="2154" t="n">
        <v>0</v>
      </c>
      <c r="Q19" s="2153" t="n">
        <v>0</v>
      </c>
      <c r="R19" s="2111">
        <f>P19+Q19*$R$46/1000</f>
        <v/>
      </c>
      <c r="S19" s="2154" t="n">
        <v>0</v>
      </c>
      <c r="T19" s="2153" t="n">
        <v>0</v>
      </c>
      <c r="U19" s="2111">
        <f>S19+T19*U46/1000</f>
        <v/>
      </c>
      <c r="V19" s="2154" t="n">
        <v>0</v>
      </c>
      <c r="W19" s="2153" t="n">
        <v>0</v>
      </c>
      <c r="X19" s="2111">
        <f>V19+W19*X46/1000</f>
        <v/>
      </c>
      <c r="Y19" s="2154" t="n">
        <v>0</v>
      </c>
      <c r="Z19" s="2153" t="n">
        <v>0</v>
      </c>
      <c r="AA19" s="2111">
        <f>Y19+Z19*AA46/1000</f>
        <v/>
      </c>
      <c r="AB19" s="2154" t="n">
        <v>0</v>
      </c>
      <c r="AC19" s="2153" t="n">
        <v>0</v>
      </c>
      <c r="AD19" s="2111">
        <f>AB19+AC19*AD46/1000</f>
        <v/>
      </c>
      <c r="AE19" s="2154" t="n">
        <v>0</v>
      </c>
      <c r="AF19" s="2153" t="n">
        <v>0</v>
      </c>
      <c r="AG19" s="2111">
        <f>AE19+AF19*AG46/1000</f>
        <v/>
      </c>
      <c r="AH19" s="2154" t="n">
        <v>0</v>
      </c>
      <c r="AI19" s="2153" t="n">
        <v>0</v>
      </c>
      <c r="AJ19" s="2111">
        <f>AH19+AI19*AJ46/1000</f>
        <v/>
      </c>
      <c r="AK19" s="2154" t="n">
        <v>0</v>
      </c>
      <c r="AL19" s="2153" t="n">
        <v>0</v>
      </c>
      <c r="AM19" s="2111">
        <f>AK19+AL19*AM46/1000</f>
        <v/>
      </c>
      <c r="AN19" s="2154" t="n">
        <v>0</v>
      </c>
      <c r="AO19" s="2153" t="n">
        <v>0</v>
      </c>
      <c r="AP19" s="2111">
        <f>AN19+AO19*AP46/1000</f>
        <v/>
      </c>
      <c r="AQ19" s="2154">
        <f>SUM(G19,J19,M19,P19,S19,V19,Y19,AB19,AE19,AH19,AK19,AN19)</f>
        <v/>
      </c>
      <c r="AR19" s="2153">
        <f>SUM(H19,K19,N19,Q19,T19,W19,Z19,AC19,AF19,AI19,AL19,AO19)</f>
        <v/>
      </c>
      <c r="AS19" s="2111">
        <f>AQ19+AR19*AS46/1000</f>
        <v/>
      </c>
      <c r="AT19" s="2154">
        <f>AQ19/$AW$3</f>
        <v/>
      </c>
      <c r="AU19" s="2153">
        <f>SUM(K19,N19,Q19,T19,W19,Z19,AC19,AF19,AI19,AL19,AO19,AR19)</f>
        <v/>
      </c>
      <c r="AV19" s="2111">
        <f>AT19+AU19*AV46/1000</f>
        <v/>
      </c>
    </row>
    <row r="20" ht="12.75" customHeight="1">
      <c r="C20" s="34" t="n"/>
      <c r="D20" s="33" t="n"/>
      <c r="E20" s="37" t="inlineStr">
        <is>
          <t>제세공과금</t>
        </is>
      </c>
      <c r="F20" s="44" t="n"/>
      <c r="G20" s="2125">
        <f>SUM(G21:G24)</f>
        <v/>
      </c>
      <c r="H20" s="2156">
        <f>SUM(H21:H24)</f>
        <v/>
      </c>
      <c r="I20" s="2127">
        <f>SUM(I21:I24)</f>
        <v/>
      </c>
      <c r="J20" s="2148">
        <f>SUM(J21:J24)</f>
        <v/>
      </c>
      <c r="K20" s="2156">
        <f>SUM(K21:K24)</f>
        <v/>
      </c>
      <c r="L20" s="2128">
        <f>SUM(L21:L24)</f>
        <v/>
      </c>
      <c r="M20" s="2157">
        <f>SUM(M21:M24)</f>
        <v/>
      </c>
      <c r="N20" s="2156">
        <f>SUM(N21:N24)</f>
        <v/>
      </c>
      <c r="O20" s="2127">
        <f>SUM(O21:O24)</f>
        <v/>
      </c>
      <c r="P20" s="2148">
        <f>SUM(P21:P24)</f>
        <v/>
      </c>
      <c r="Q20" s="2156">
        <f>SUM(Q21:Q24)</f>
        <v/>
      </c>
      <c r="R20" s="2128">
        <f>SUM(R21:R24)</f>
        <v/>
      </c>
      <c r="S20" s="2148">
        <f>SUM(S21:S24)</f>
        <v/>
      </c>
      <c r="T20" s="2156">
        <f>SUM(T21:T24)</f>
        <v/>
      </c>
      <c r="U20" s="2128">
        <f>SUM(U21:U24)</f>
        <v/>
      </c>
      <c r="V20" s="2148">
        <f>SUM(V21:V24)</f>
        <v/>
      </c>
      <c r="W20" s="2156">
        <f>SUM(W21:W24)</f>
        <v/>
      </c>
      <c r="X20" s="2128">
        <f>SUM(X21:X24)</f>
        <v/>
      </c>
      <c r="Y20" s="2148">
        <f>SUM(Y21:Y24)</f>
        <v/>
      </c>
      <c r="Z20" s="2156">
        <f>SUM(Z21:Z24)</f>
        <v/>
      </c>
      <c r="AA20" s="2128">
        <f>SUM(AA21:AA24)</f>
        <v/>
      </c>
      <c r="AB20" s="2148">
        <f>SUM(AB21:AB24)</f>
        <v/>
      </c>
      <c r="AC20" s="2156">
        <f>SUM(AC21:AC24)</f>
        <v/>
      </c>
      <c r="AD20" s="2128">
        <f>SUM(AD21:AD24)</f>
        <v/>
      </c>
      <c r="AE20" s="2148">
        <f>SUM(AE21:AE24)</f>
        <v/>
      </c>
      <c r="AF20" s="2156">
        <f>SUM(AF21:AF24)</f>
        <v/>
      </c>
      <c r="AG20" s="2128">
        <f>SUM(AG21:AG24)</f>
        <v/>
      </c>
      <c r="AH20" s="2148">
        <f>SUM(AH21:AH24)</f>
        <v/>
      </c>
      <c r="AI20" s="2156">
        <f>SUM(AI21:AI24)</f>
        <v/>
      </c>
      <c r="AJ20" s="2128">
        <f>SUM(AJ21:AJ24)</f>
        <v/>
      </c>
      <c r="AK20" s="2148">
        <f>SUM(AK21:AK24)</f>
        <v/>
      </c>
      <c r="AL20" s="2156">
        <f>SUM(AL21:AL24)</f>
        <v/>
      </c>
      <c r="AM20" s="2128">
        <f>SUM(AM21:AM24)</f>
        <v/>
      </c>
      <c r="AN20" s="2148">
        <f>SUM(AN21:AN24)</f>
        <v/>
      </c>
      <c r="AO20" s="2156" t="n"/>
      <c r="AP20" s="2128">
        <f>SUM(AP21:AP24)</f>
        <v/>
      </c>
      <c r="AQ20" s="2148">
        <f>SUM(AQ21:AQ24)</f>
        <v/>
      </c>
      <c r="AR20" s="2156" t="n"/>
      <c r="AS20" s="2128">
        <f>SUM(AS21:AS24)</f>
        <v/>
      </c>
      <c r="AT20" s="2148">
        <f>SUM(AT21:AT24)</f>
        <v/>
      </c>
      <c r="AU20" s="2156" t="n"/>
      <c r="AV20" s="2128">
        <f>SUM(AV21:AV24)</f>
        <v/>
      </c>
    </row>
    <row r="21" outlineLevel="1" ht="12.75" customHeight="1">
      <c r="C21" s="34" t="n"/>
      <c r="D21" s="33" t="n"/>
      <c r="E21" s="37" t="n"/>
      <c r="F21" s="26" t="inlineStr">
        <is>
          <t>법인세</t>
        </is>
      </c>
      <c r="G21" s="2108" t="n">
        <v>0</v>
      </c>
      <c r="H21" s="2109" t="n">
        <v>0</v>
      </c>
      <c r="I21" s="2110">
        <f>G21+H21*$R$46/1000</f>
        <v/>
      </c>
      <c r="J21" s="2108" t="n">
        <v>0</v>
      </c>
      <c r="K21" s="2109" t="n">
        <v>0</v>
      </c>
      <c r="L21" s="2111">
        <f>J21+K21*$R$46/1000</f>
        <v/>
      </c>
      <c r="M21" s="2108" t="n">
        <v>0</v>
      </c>
      <c r="N21" s="2109" t="n">
        <v>0</v>
      </c>
      <c r="O21" s="2110">
        <f>M21+N21*$R$46/1000</f>
        <v/>
      </c>
      <c r="P21" s="2141" t="n">
        <v>0</v>
      </c>
      <c r="Q21" s="2109" t="n"/>
      <c r="R21" s="2111">
        <f>P21+Q21*$R$46/1000</f>
        <v/>
      </c>
      <c r="S21" s="2141" t="n">
        <v>0</v>
      </c>
      <c r="T21" s="2109" t="n">
        <v>0</v>
      </c>
      <c r="U21" s="2111">
        <f>S21+T21*U46/1000</f>
        <v/>
      </c>
      <c r="V21" s="2141" t="n">
        <v>0</v>
      </c>
      <c r="W21" s="2109" t="n">
        <v>0</v>
      </c>
      <c r="X21" s="2111">
        <f>V21+W21*X46/1000</f>
        <v/>
      </c>
      <c r="Y21" s="2141" t="n">
        <v>0</v>
      </c>
      <c r="Z21" s="2109" t="n">
        <v>0</v>
      </c>
      <c r="AA21" s="2111">
        <f>Y21+Z21*AA46/1000</f>
        <v/>
      </c>
      <c r="AB21" s="2141" t="n">
        <v>0</v>
      </c>
      <c r="AC21" s="2109" t="n">
        <v>0</v>
      </c>
      <c r="AD21" s="2111">
        <f>AB21+AC21*AD46/1000</f>
        <v/>
      </c>
      <c r="AE21" s="2141" t="n">
        <v>0</v>
      </c>
      <c r="AF21" s="2109" t="n">
        <v>0</v>
      </c>
      <c r="AG21" s="2111">
        <f>AE21+AF21*AG46/1000</f>
        <v/>
      </c>
      <c r="AH21" s="2141" t="n"/>
      <c r="AI21" s="2109" t="n"/>
      <c r="AJ21" s="2111">
        <f>AH21+AI21*AJ46/1000</f>
        <v/>
      </c>
      <c r="AK21" s="2141" t="n"/>
      <c r="AL21" s="2109" t="n"/>
      <c r="AM21" s="2111">
        <f>AK21+AL21*AM46/1000</f>
        <v/>
      </c>
      <c r="AN21" s="2141" t="n"/>
      <c r="AO21" s="2109" t="n"/>
      <c r="AP21" s="2111">
        <f>AN21+AO21*AP46/1000</f>
        <v/>
      </c>
      <c r="AQ21" s="2141" t="n"/>
      <c r="AR21" s="2109" t="n"/>
      <c r="AS21" s="2111">
        <f>AQ21+AR21*AS46/1000</f>
        <v/>
      </c>
      <c r="AT21" s="2141">
        <f>AQ21/$AW$3</f>
        <v/>
      </c>
      <c r="AU21" s="2142">
        <f>SUM(K21,N21,Q21,T21,W21,Z21,AC21,AF21,AI21,AL21,AO21,AR21)</f>
        <v/>
      </c>
      <c r="AV21" s="2111">
        <f>AT21+AU21*AV46/1000</f>
        <v/>
      </c>
    </row>
    <row r="22" outlineLevel="1" ht="12.75" customHeight="1">
      <c r="C22" s="34" t="n"/>
      <c r="D22" s="33" t="n"/>
      <c r="E22" s="37" t="n"/>
      <c r="F22" s="37" t="inlineStr">
        <is>
          <t>부가가치세</t>
        </is>
      </c>
      <c r="G22" s="2115" t="n">
        <v>0</v>
      </c>
      <c r="H22" s="2116" t="n">
        <v>0</v>
      </c>
      <c r="I22" s="2117">
        <f>G22+H22*$R$46/1000</f>
        <v/>
      </c>
      <c r="J22" s="2115" t="n">
        <v>0</v>
      </c>
      <c r="K22" s="2116" t="n">
        <v>0</v>
      </c>
      <c r="L22" s="2118">
        <f>J22+K22*$R$46/1000</f>
        <v/>
      </c>
      <c r="M22" s="2115" t="n">
        <v>0</v>
      </c>
      <c r="N22" s="2116" t="n">
        <v>0</v>
      </c>
      <c r="O22" s="2117">
        <f>M22+N22*$R$46/1000</f>
        <v/>
      </c>
      <c r="P22" s="2145" t="n">
        <v>0</v>
      </c>
      <c r="Q22" s="2116" t="n"/>
      <c r="R22" s="2118">
        <f>P22+Q22*$R$46/1000</f>
        <v/>
      </c>
      <c r="S22" s="2145" t="n">
        <v>0</v>
      </c>
      <c r="T22" s="2116" t="n">
        <v>0</v>
      </c>
      <c r="U22" s="2118">
        <f>S22+T22*$U46/1000</f>
        <v/>
      </c>
      <c r="V22" s="2145" t="n">
        <v>0</v>
      </c>
      <c r="W22" s="2116" t="n">
        <v>0</v>
      </c>
      <c r="X22" s="2118">
        <f>V22+W22*$U46/1000</f>
        <v/>
      </c>
      <c r="Y22" s="2145" t="n">
        <v>5.274219</v>
      </c>
      <c r="Z22" s="2116" t="n">
        <v>0</v>
      </c>
      <c r="AA22" s="2118">
        <f>Y22+Z22*$U46/1000</f>
        <v/>
      </c>
      <c r="AB22" s="2145" t="n">
        <v>0</v>
      </c>
      <c r="AC22" s="2116" t="n">
        <v>0</v>
      </c>
      <c r="AD22" s="2118">
        <f>AB22+AC22*$U46/1000</f>
        <v/>
      </c>
      <c r="AE22" s="2145" t="n">
        <v>0</v>
      </c>
      <c r="AF22" s="2116" t="n">
        <v>0</v>
      </c>
      <c r="AG22" s="2118">
        <f>AE22+AF22*$U46/1000</f>
        <v/>
      </c>
      <c r="AH22" s="2145" t="n"/>
      <c r="AI22" s="2116" t="n"/>
      <c r="AJ22" s="2118">
        <f>AH22+AI22*$U46/1000</f>
        <v/>
      </c>
      <c r="AK22" s="2145" t="n"/>
      <c r="AL22" s="2116" t="n"/>
      <c r="AM22" s="2118">
        <f>AK22+AL22*$U46/1000</f>
        <v/>
      </c>
      <c r="AN22" s="2145" t="n"/>
      <c r="AO22" s="2116" t="n"/>
      <c r="AP22" s="2118">
        <f>AN22+AO22*$U46/1000</f>
        <v/>
      </c>
      <c r="AQ22" s="2145" t="n"/>
      <c r="AR22" s="2116" t="n"/>
      <c r="AS22" s="2118">
        <f>AQ22+AR22*$U46/1000</f>
        <v/>
      </c>
      <c r="AT22" s="2158">
        <f>AQ22/$AW$3</f>
        <v/>
      </c>
      <c r="AU22" s="2124">
        <f>SUM(K22,N22,Q22,T22,W22,Z22,AC22,AF22,AI22,AL22,AO22,AR22)</f>
        <v/>
      </c>
      <c r="AV22" s="2118">
        <f>AT22+AU22*$U46/1000</f>
        <v/>
      </c>
    </row>
    <row r="23" outlineLevel="1" ht="12.75" customHeight="1">
      <c r="C23" s="34" t="n"/>
      <c r="D23" s="33" t="n"/>
      <c r="E23" s="37" t="n"/>
      <c r="F23" s="37" t="inlineStr">
        <is>
          <t>원천세</t>
        </is>
      </c>
      <c r="G23" s="2115" t="n">
        <v>4.93922</v>
      </c>
      <c r="H23" s="2116" t="n">
        <v>0</v>
      </c>
      <c r="I23" s="2117">
        <f>G23+H23*$R$46/1000</f>
        <v/>
      </c>
      <c r="J23" s="2115" t="n">
        <v>5.2613</v>
      </c>
      <c r="K23" s="2116" t="n">
        <v>0</v>
      </c>
      <c r="L23" s="2118">
        <f>J23+K23*$R$46/1000</f>
        <v/>
      </c>
      <c r="M23" s="2115" t="n">
        <v>0</v>
      </c>
      <c r="N23" s="2116" t="n">
        <v>0</v>
      </c>
      <c r="O23" s="2117">
        <f>M23+N23*$R$46/1000</f>
        <v/>
      </c>
      <c r="P23" s="2145" t="n">
        <v>0</v>
      </c>
      <c r="Q23" s="2116" t="n"/>
      <c r="R23" s="2118">
        <f>P23+Q23*$R$46/1000</f>
        <v/>
      </c>
      <c r="S23" s="2145" t="n"/>
      <c r="T23" s="2116" t="n">
        <v>0</v>
      </c>
      <c r="U23" s="2118">
        <f>S23+T23*U46/1000</f>
        <v/>
      </c>
      <c r="V23" s="2145" t="n">
        <v>1.75016</v>
      </c>
      <c r="W23" s="2116" t="n">
        <v>0</v>
      </c>
      <c r="X23" s="2118">
        <f>V23+W23*X46/1000</f>
        <v/>
      </c>
      <c r="Y23" s="2145" t="n">
        <v>4</v>
      </c>
      <c r="Z23" s="2116" t="n">
        <v>0</v>
      </c>
      <c r="AA23" s="2118">
        <f>Y23+Z23*AA46/1000</f>
        <v/>
      </c>
      <c r="AB23" s="2145" t="n">
        <v>3.92024</v>
      </c>
      <c r="AC23" s="2116" t="n">
        <v>0</v>
      </c>
      <c r="AD23" s="2118">
        <f>AB23+AC23*AD46/1000</f>
        <v/>
      </c>
      <c r="AE23" s="2145" t="n">
        <v>4</v>
      </c>
      <c r="AF23" s="2116" t="n">
        <v>0</v>
      </c>
      <c r="AG23" s="2118">
        <f>AE23+AF23*AG46/1000</f>
        <v/>
      </c>
      <c r="AH23" s="2145" t="n"/>
      <c r="AI23" s="2116" t="n"/>
      <c r="AJ23" s="2118">
        <f>AH23+AI23*AJ46/1000</f>
        <v/>
      </c>
      <c r="AK23" s="2145" t="n"/>
      <c r="AL23" s="2116" t="n"/>
      <c r="AM23" s="2118">
        <f>AK23+AL23*AM46/1000</f>
        <v/>
      </c>
      <c r="AN23" s="2145" t="n"/>
      <c r="AO23" s="2116" t="n"/>
      <c r="AP23" s="2118">
        <f>AN23+AO23*AP46/1000</f>
        <v/>
      </c>
      <c r="AQ23" s="2145" t="n"/>
      <c r="AR23" s="2116" t="n"/>
      <c r="AS23" s="2118">
        <f>AQ23+AR23*AS46/1000</f>
        <v/>
      </c>
      <c r="AT23" s="2158">
        <f>AQ23/$AW$3</f>
        <v/>
      </c>
      <c r="AU23" s="2124">
        <f>SUM(K23,N23,Q23,T23,W23,Z23,AC23,AF23,AI23,AL23,AO23,AR23)</f>
        <v/>
      </c>
      <c r="AV23" s="2118">
        <f>AT23+AU23*AV46/1000</f>
        <v/>
      </c>
    </row>
    <row r="24" outlineLevel="1" ht="12.75" customHeight="1">
      <c r="C24" s="34" t="n"/>
      <c r="D24" s="33" t="n"/>
      <c r="E24" s="42" t="n"/>
      <c r="F24" s="42" t="inlineStr">
        <is>
          <t>기타제세공과금</t>
        </is>
      </c>
      <c r="G24" s="2125" t="n">
        <v>0</v>
      </c>
      <c r="H24" s="2126" t="n">
        <v>0</v>
      </c>
      <c r="I24" s="2127">
        <f>G24+H24*$R$46/1000</f>
        <v/>
      </c>
      <c r="J24" s="2125" t="n">
        <v>0</v>
      </c>
      <c r="K24" s="2126" t="n">
        <v>0</v>
      </c>
      <c r="L24" s="2128">
        <f>J24+K24*$R$46/1000</f>
        <v/>
      </c>
      <c r="M24" s="2125" t="n">
        <v>0</v>
      </c>
      <c r="N24" s="2126" t="n">
        <v>0</v>
      </c>
      <c r="O24" s="2127">
        <f>M24+N24*$R$46/1000</f>
        <v/>
      </c>
      <c r="P24" s="2148" t="n">
        <v>0</v>
      </c>
      <c r="Q24" s="2126" t="n"/>
      <c r="R24" s="2128">
        <f>P24+Q24*$R$46/1000</f>
        <v/>
      </c>
      <c r="S24" s="2148" t="n">
        <v>0</v>
      </c>
      <c r="T24" s="2126" t="n">
        <v>0</v>
      </c>
      <c r="U24" s="2128">
        <f>S24+T24*U46/1000</f>
        <v/>
      </c>
      <c r="V24" s="2148" t="n">
        <v>0</v>
      </c>
      <c r="W24" s="2126" t="n">
        <v>0</v>
      </c>
      <c r="X24" s="2128">
        <f>V24+W24*X46/1000</f>
        <v/>
      </c>
      <c r="Y24" s="2148" t="n">
        <v>0</v>
      </c>
      <c r="Z24" s="2126" t="n">
        <v>0</v>
      </c>
      <c r="AA24" s="2128">
        <f>Y24+Z24*AA46/1000</f>
        <v/>
      </c>
      <c r="AB24" s="2148" t="n">
        <v>0.25</v>
      </c>
      <c r="AC24" s="2126" t="n">
        <v>0</v>
      </c>
      <c r="AD24" s="2128">
        <f>AB24+AC24*AD46/1000</f>
        <v/>
      </c>
      <c r="AE24" s="2148" t="n">
        <v>0</v>
      </c>
      <c r="AF24" s="2126" t="n">
        <v>0</v>
      </c>
      <c r="AG24" s="2128">
        <f>AE24+AF24*AG46/1000</f>
        <v/>
      </c>
      <c r="AH24" s="2148" t="n"/>
      <c r="AI24" s="2126" t="n"/>
      <c r="AJ24" s="2128">
        <f>AH24+AI24*AJ46/1000</f>
        <v/>
      </c>
      <c r="AK24" s="2148" t="n"/>
      <c r="AL24" s="2126" t="n"/>
      <c r="AM24" s="2128">
        <f>AK24+AL24*AM46/1000</f>
        <v/>
      </c>
      <c r="AN24" s="2148" t="n"/>
      <c r="AO24" s="2126" t="n"/>
      <c r="AP24" s="2128">
        <f>AN24+AO24*AP46/1000</f>
        <v/>
      </c>
      <c r="AQ24" s="2159" t="n"/>
      <c r="AR24" s="2126" t="n"/>
      <c r="AS24" s="2128">
        <f>AQ24+AR24*AS46/1000</f>
        <v/>
      </c>
      <c r="AT24" s="2160">
        <f>AQ24/$AW$3</f>
        <v/>
      </c>
      <c r="AU24" s="2149">
        <f>SUM(K24,N24,Q24,T24,W24,Z24,AC24,AF24,AI24,AL24,AO24,AR24)</f>
        <v/>
      </c>
      <c r="AV24" s="2128">
        <f>AT24+AU24*AV46/1000</f>
        <v/>
      </c>
    </row>
    <row r="25" ht="12.75" customHeight="1">
      <c r="C25" s="34" t="n"/>
      <c r="D25" s="33" t="n"/>
      <c r="E25" s="37" t="inlineStr">
        <is>
          <t>지급이자</t>
        </is>
      </c>
      <c r="F25" s="44" t="n"/>
      <c r="G25" s="2161" t="n">
        <v>0</v>
      </c>
      <c r="H25" s="2124" t="n">
        <v>0</v>
      </c>
      <c r="I25" s="2117">
        <f>G25+H25*$R$46/1000</f>
        <v/>
      </c>
      <c r="J25" s="2119" t="n">
        <v>0</v>
      </c>
      <c r="K25" s="2124" t="n">
        <v>0</v>
      </c>
      <c r="L25" s="2118">
        <f>J25+K25*$R$46/1000</f>
        <v/>
      </c>
      <c r="M25" s="2162" t="n">
        <v>0</v>
      </c>
      <c r="N25" s="2124" t="n">
        <v>0</v>
      </c>
      <c r="O25" s="2117">
        <f>M25+N25*$R$46/1000</f>
        <v/>
      </c>
      <c r="P25" s="2119" t="n">
        <v>0</v>
      </c>
      <c r="Q25" s="2124" t="n">
        <v>0</v>
      </c>
      <c r="R25" s="2118">
        <f>P25+Q25*$R$46/1000</f>
        <v/>
      </c>
      <c r="S25" s="2119" t="n">
        <v>0</v>
      </c>
      <c r="T25" s="2124" t="n">
        <v>0</v>
      </c>
      <c r="U25" s="2118">
        <f>S25+T25*U46/1000</f>
        <v/>
      </c>
      <c r="V25" s="2119" t="n">
        <v>0</v>
      </c>
      <c r="W25" s="2124" t="n">
        <v>0</v>
      </c>
      <c r="X25" s="2118">
        <f>V25+W25*X46/1000</f>
        <v/>
      </c>
      <c r="Y25" s="2119" t="n">
        <v>0</v>
      </c>
      <c r="Z25" s="2124" t="n">
        <v>0</v>
      </c>
      <c r="AA25" s="2118">
        <f>Y25+Z25*AA46/1000</f>
        <v/>
      </c>
      <c r="AB25" s="2119" t="n">
        <v>0</v>
      </c>
      <c r="AC25" s="2124" t="n">
        <v>0</v>
      </c>
      <c r="AD25" s="2118">
        <f>AB25+AC25*AD46/1000</f>
        <v/>
      </c>
      <c r="AE25" s="2119" t="n">
        <v>0</v>
      </c>
      <c r="AF25" s="2124" t="n">
        <v>0</v>
      </c>
      <c r="AG25" s="2118">
        <f>AE25+AF25*AG46/1000</f>
        <v/>
      </c>
      <c r="AH25" s="2119" t="n">
        <v>0</v>
      </c>
      <c r="AI25" s="2124" t="n">
        <v>0</v>
      </c>
      <c r="AJ25" s="2118">
        <f>AH25+AI25*AJ46/1000</f>
        <v/>
      </c>
      <c r="AK25" s="2119" t="n">
        <v>0</v>
      </c>
      <c r="AL25" s="2124" t="n">
        <v>0</v>
      </c>
      <c r="AM25" s="2118">
        <f>AK25+AL25*AM46/1000</f>
        <v/>
      </c>
      <c r="AN25" s="2119" t="n">
        <v>0</v>
      </c>
      <c r="AO25" s="2124" t="n">
        <v>0</v>
      </c>
      <c r="AP25" s="2118">
        <f>AN25+AO25*AP46/1000</f>
        <v/>
      </c>
      <c r="AQ25" s="2119">
        <f>SUM(G25,J25,M25,P25,S25,V25,Y25,AB25,AE25,AH25,AK25,AN25)</f>
        <v/>
      </c>
      <c r="AR25" s="2124">
        <f>SUM(H25,K25,N25,Q25,T25,W25,Z25,AC25,AF25,AI25,AL25,AO25)</f>
        <v/>
      </c>
      <c r="AS25" s="2118">
        <f>AQ25+AR25*AS46/1000</f>
        <v/>
      </c>
      <c r="AT25" s="2163">
        <f>AQ25/$AW$3</f>
        <v/>
      </c>
      <c r="AU25" s="2124">
        <f>SUM(K25,N25,Q25,T25,W25,Z25,AC25,AF25,AI25,AL25,AO25,AR25)</f>
        <v/>
      </c>
      <c r="AV25" s="2118">
        <f>AT25+AU25*AV46/1000</f>
        <v/>
      </c>
    </row>
    <row r="26" ht="12.75" customHeight="1">
      <c r="C26" s="34" t="n"/>
      <c r="D26" s="33" t="n"/>
      <c r="E26" s="37" t="inlineStr">
        <is>
          <t>자산매입</t>
        </is>
      </c>
      <c r="F26" s="44" t="n"/>
      <c r="G26" s="2161" t="n">
        <v>0</v>
      </c>
      <c r="H26" s="2164" t="n">
        <v>0</v>
      </c>
      <c r="I26" s="2117">
        <f>G26+H26*$R$46/1000</f>
        <v/>
      </c>
      <c r="J26" s="2119" t="n">
        <v>0</v>
      </c>
      <c r="K26" s="2164" t="n">
        <v>0</v>
      </c>
      <c r="L26" s="2118">
        <f>J26+K26*$R$46/1000</f>
        <v/>
      </c>
      <c r="M26" s="2162" t="n">
        <v>0</v>
      </c>
      <c r="N26" s="2164" t="n">
        <v>0</v>
      </c>
      <c r="O26" s="2117">
        <f>M26+N26*$R$46/1000</f>
        <v/>
      </c>
      <c r="P26" s="2119" t="n">
        <v>0</v>
      </c>
      <c r="Q26" s="2164" t="n">
        <v>0</v>
      </c>
      <c r="R26" s="2118">
        <f>P26+Q26*$R$46/1000</f>
        <v/>
      </c>
      <c r="S26" s="2119" t="n">
        <v>0</v>
      </c>
      <c r="T26" s="2164" t="n">
        <v>0</v>
      </c>
      <c r="U26" s="2118">
        <f>S26+T26*U46/1000</f>
        <v/>
      </c>
      <c r="V26" s="2119" t="n"/>
      <c r="W26" s="2164" t="n">
        <v>0</v>
      </c>
      <c r="X26" s="2118">
        <f>V26+W26*X46/1000</f>
        <v/>
      </c>
      <c r="Y26" s="2119" t="n">
        <v>0</v>
      </c>
      <c r="Z26" s="2164" t="n">
        <v>0</v>
      </c>
      <c r="AA26" s="2118">
        <f>Y26+Z26*AA46/1000</f>
        <v/>
      </c>
      <c r="AB26" s="2119" t="n">
        <v>0</v>
      </c>
      <c r="AC26" s="2164" t="n">
        <v>0</v>
      </c>
      <c r="AD26" s="2118">
        <f>AB26+AC26*AD46/1000</f>
        <v/>
      </c>
      <c r="AE26" s="2119" t="n">
        <v>0.000825</v>
      </c>
      <c r="AF26" s="2164" t="n">
        <v>0</v>
      </c>
      <c r="AG26" s="2118">
        <f>AE26+AF26*AG46/1000</f>
        <v/>
      </c>
      <c r="AH26" s="2119" t="n">
        <v>0</v>
      </c>
      <c r="AI26" s="2164" t="n">
        <v>0</v>
      </c>
      <c r="AJ26" s="2118">
        <f>AH26+AI26*AJ46/1000</f>
        <v/>
      </c>
      <c r="AK26" s="2119" t="n">
        <v>0</v>
      </c>
      <c r="AL26" s="2164" t="n">
        <v>0</v>
      </c>
      <c r="AM26" s="2118">
        <f>AK26+AL26*AM46/1000</f>
        <v/>
      </c>
      <c r="AN26" s="2119" t="n">
        <v>0</v>
      </c>
      <c r="AO26" s="2164" t="n">
        <v>0</v>
      </c>
      <c r="AP26" s="2118">
        <f>AN26+AO26*AP46/1000</f>
        <v/>
      </c>
      <c r="AQ26" s="2119">
        <f>SUM(G26,J26,M26,P26,S26,V26,Y26,AB26,AE26,AH26,AK26,AN26)</f>
        <v/>
      </c>
      <c r="AR26" s="2164">
        <f>SUM(H26,K26,N26,Q26,T26,W26,Z26,AC26,AF26,AI26,AL26,AO26)</f>
        <v/>
      </c>
      <c r="AS26" s="2118">
        <f>AQ26+AR26*AS46/1000</f>
        <v/>
      </c>
      <c r="AT26" s="2158">
        <f>AQ26/$AW$3</f>
        <v/>
      </c>
      <c r="AU26" s="2164">
        <f>SUM(K26,N26,Q26,T26,W26,Z26,AC26,AF26,AI26,AL26,AO26,AR26)</f>
        <v/>
      </c>
      <c r="AV26" s="2118">
        <f>AT26+AU26*AV46/1000</f>
        <v/>
      </c>
    </row>
    <row r="27" ht="12.75" customHeight="1">
      <c r="C27" s="34" t="n"/>
      <c r="D27" s="33" t="n"/>
      <c r="E27" s="37" t="inlineStr">
        <is>
          <t>투자금</t>
        </is>
      </c>
      <c r="F27" s="44" t="n"/>
      <c r="G27" s="2161" t="n">
        <v>0</v>
      </c>
      <c r="H27" s="2165" t="n">
        <v>0</v>
      </c>
      <c r="I27" s="2117">
        <f>G27+H27*$R$46/1000</f>
        <v/>
      </c>
      <c r="J27" s="2166" t="n">
        <v>7.13645</v>
      </c>
      <c r="K27" s="2165" t="n">
        <v>0</v>
      </c>
      <c r="L27" s="2118">
        <f>J27+K27*$R$46/1000</f>
        <v/>
      </c>
      <c r="M27" s="2166" t="n">
        <v>999.99</v>
      </c>
      <c r="N27" s="2165" t="n">
        <v>0</v>
      </c>
      <c r="O27" s="2117">
        <f>M27+N27*$R$46/1000</f>
        <v/>
      </c>
      <c r="P27" s="2119" t="n">
        <v>0</v>
      </c>
      <c r="Q27" s="2165" t="n">
        <v>0</v>
      </c>
      <c r="R27" s="2118">
        <f>P27+Q27*$R$46/1000</f>
        <v/>
      </c>
      <c r="S27" s="2119" t="n">
        <v>0</v>
      </c>
      <c r="T27" s="2165" t="n">
        <v>0</v>
      </c>
      <c r="U27" s="2118">
        <f>S27+T27*U47/1000</f>
        <v/>
      </c>
      <c r="V27" s="2119" t="n"/>
      <c r="W27" s="2165" t="n">
        <v>0</v>
      </c>
      <c r="X27" s="2118">
        <f>V27+W27*X47/1000</f>
        <v/>
      </c>
      <c r="Y27" s="2119" t="n">
        <v>0</v>
      </c>
      <c r="Z27" s="2165" t="n">
        <v>0</v>
      </c>
      <c r="AA27" s="2118">
        <f>Y27+Z27*AA47/1000</f>
        <v/>
      </c>
      <c r="AB27" s="2119" t="n">
        <v>0</v>
      </c>
      <c r="AC27" s="2165" t="n">
        <v>0</v>
      </c>
      <c r="AD27" s="2118">
        <f>AB27+AC27*AD47/1000</f>
        <v/>
      </c>
      <c r="AE27" s="2119" t="n">
        <v>0</v>
      </c>
      <c r="AF27" s="2165" t="n">
        <v>0</v>
      </c>
      <c r="AG27" s="2118">
        <f>AE27+AF27*AG47/1000</f>
        <v/>
      </c>
      <c r="AH27" s="2119" t="n">
        <v>0</v>
      </c>
      <c r="AI27" s="2165" t="n">
        <v>0</v>
      </c>
      <c r="AJ27" s="2118">
        <f>AH27+AI27*AJ47/1000</f>
        <v/>
      </c>
      <c r="AK27" s="2119" t="n">
        <v>0</v>
      </c>
      <c r="AL27" s="2165" t="n">
        <v>0</v>
      </c>
      <c r="AM27" s="2118">
        <f>AK27+AL27*AM47/1000</f>
        <v/>
      </c>
      <c r="AN27" s="2119" t="n">
        <v>0</v>
      </c>
      <c r="AO27" s="2165" t="n">
        <v>0</v>
      </c>
      <c r="AP27" s="2118">
        <f>AN27+AO27*AP47/1000</f>
        <v/>
      </c>
      <c r="AQ27" s="2119">
        <f>SUM(G27,J27,M27,P27,S27,V27,Y27,AB27,AE27,AH27,AK27,AN27)</f>
        <v/>
      </c>
      <c r="AR27" s="2165">
        <f>SUM(H27,K27,N27,Q27,T27,W27,Z27,AC27,AF27,AI27,AL27,AO27)</f>
        <v/>
      </c>
      <c r="AS27" s="2118">
        <f>AQ27+AR27*AS47/1000</f>
        <v/>
      </c>
      <c r="AT27" s="2145">
        <f>AQ27/$AW$3</f>
        <v/>
      </c>
      <c r="AU27" s="2165">
        <f>SUM(K27,N27,Q27,T27,W27,Z27,AC27,AF27,AI27,AL27,AO27,AR27)</f>
        <v/>
      </c>
      <c r="AV27" s="2118">
        <f>AT27+AU27*AV47/1000</f>
        <v/>
      </c>
    </row>
    <row r="28" ht="12.75" customHeight="1">
      <c r="C28" s="34" t="n"/>
      <c r="D28" s="33" t="n"/>
      <c r="E28" s="37" t="inlineStr">
        <is>
          <t>기타</t>
        </is>
      </c>
      <c r="F28" s="44" t="n"/>
      <c r="G28" s="2127">
        <f>SUM(G29:G32)</f>
        <v/>
      </c>
      <c r="H28" s="2149">
        <f>SUM(H29:H32)</f>
        <v/>
      </c>
      <c r="I28" s="2127">
        <f>SUM(I29:I32)</f>
        <v/>
      </c>
      <c r="J28" s="2167">
        <f>SUM(J29:J32)</f>
        <v/>
      </c>
      <c r="K28" s="2149">
        <f>SUM(K29:K32)</f>
        <v/>
      </c>
      <c r="L28" s="2128">
        <f>SUM(L29:L32)</f>
        <v/>
      </c>
      <c r="M28" s="2168" t="n">
        <v>6.6807455</v>
      </c>
      <c r="N28" s="2149" t="n">
        <v>0</v>
      </c>
      <c r="O28" s="2127">
        <f>SUM(O29:O32)</f>
        <v/>
      </c>
      <c r="P28" s="2167">
        <f>SUM(P29:P32)</f>
        <v/>
      </c>
      <c r="Q28" s="2149">
        <f>SUM(Q29:Q32)</f>
        <v/>
      </c>
      <c r="R28" s="2128">
        <f>SUM(R29:R32)</f>
        <v/>
      </c>
      <c r="S28" s="2167">
        <f>SUM(S29:S32)</f>
        <v/>
      </c>
      <c r="T28" s="2149">
        <f>SUM(T29:T32)</f>
        <v/>
      </c>
      <c r="U28" s="2128">
        <f>SUM(U29:U32)</f>
        <v/>
      </c>
      <c r="V28" s="2167">
        <f>SUM(V29:V32)</f>
        <v/>
      </c>
      <c r="W28" s="2149">
        <f>SUM(W29:W32)</f>
        <v/>
      </c>
      <c r="X28" s="2128">
        <f>SUM(X29:X32)</f>
        <v/>
      </c>
      <c r="Y28" s="2167">
        <f>SUM(Y29:Y32)</f>
        <v/>
      </c>
      <c r="Z28" s="2149" t="n">
        <v>0</v>
      </c>
      <c r="AA28" s="2128">
        <f>SUM(AA29:AA32)</f>
        <v/>
      </c>
      <c r="AB28" s="2167">
        <f>SUM(AB29:AB32)</f>
        <v/>
      </c>
      <c r="AC28" s="2149">
        <f>SUM(AC29:AC32)</f>
        <v/>
      </c>
      <c r="AD28" s="2128">
        <f>SUM(AD29:AD32)</f>
        <v/>
      </c>
      <c r="AE28" s="2167">
        <f>SUM(AE29:AE32)</f>
        <v/>
      </c>
      <c r="AF28" s="2149">
        <f>SUM(AF29:AF32)</f>
        <v/>
      </c>
      <c r="AG28" s="2128">
        <f>SUM(AG29:AG32)</f>
        <v/>
      </c>
      <c r="AH28" s="2167">
        <f>SUM(AH29:AH32)</f>
        <v/>
      </c>
      <c r="AI28" s="2149">
        <f>SUM(AI29:AI32)</f>
        <v/>
      </c>
      <c r="AJ28" s="2128">
        <f>SUM(AJ29:AJ32)</f>
        <v/>
      </c>
      <c r="AK28" s="2167">
        <f>SUM(AK29:AK32)</f>
        <v/>
      </c>
      <c r="AL28" s="2149">
        <f>SUM(AL29:AL32)</f>
        <v/>
      </c>
      <c r="AM28" s="2128">
        <f>SUM(AM29:AM32)</f>
        <v/>
      </c>
      <c r="AN28" s="2167">
        <f>SUM(AN29:AN32)</f>
        <v/>
      </c>
      <c r="AO28" s="2149">
        <f>SUM(AO29:AO32)</f>
        <v/>
      </c>
      <c r="AP28" s="2128">
        <f>SUM(AP29:AP32)</f>
        <v/>
      </c>
      <c r="AQ28" s="2167">
        <f>SUM(AQ29:AQ32)</f>
        <v/>
      </c>
      <c r="AR28" s="2149">
        <f>SUM(AR29:AR32)</f>
        <v/>
      </c>
      <c r="AS28" s="2128">
        <f>SUM(AS29:AS32)</f>
        <v/>
      </c>
      <c r="AT28" s="2167">
        <f>SUM(AT29:AT32)</f>
        <v/>
      </c>
      <c r="AU28" s="2149">
        <f>SUM(AU29:AU32)</f>
        <v/>
      </c>
      <c r="AV28" s="2128">
        <f>SUM(AV29:AV32)</f>
        <v/>
      </c>
    </row>
    <row r="29" outlineLevel="1" ht="12.75" customHeight="1">
      <c r="C29" s="34" t="n"/>
      <c r="D29" s="33" t="n"/>
      <c r="E29" s="33" t="n"/>
      <c r="F29" s="26" t="inlineStr">
        <is>
          <t>전산관련지출</t>
        </is>
      </c>
      <c r="G29" s="2108" t="n">
        <v>0.78595</v>
      </c>
      <c r="H29" s="2109" t="n">
        <v>0</v>
      </c>
      <c r="I29" s="2108">
        <f>G29+H29*$R$46/1000</f>
        <v/>
      </c>
      <c r="J29" s="2108" t="n">
        <v>2.840809</v>
      </c>
      <c r="K29" s="2109" t="n">
        <v>0</v>
      </c>
      <c r="L29" s="2169">
        <f>J29+K29*$R$46/1000</f>
        <v/>
      </c>
      <c r="M29" s="2108" t="n">
        <v>0.9103059999999999</v>
      </c>
      <c r="N29" s="2109" t="n">
        <v>0</v>
      </c>
      <c r="O29" s="2108">
        <f>M29+N29*$R$46/1000</f>
        <v/>
      </c>
      <c r="P29" s="2141" t="n">
        <v>0.7082039999999999</v>
      </c>
      <c r="Q29" s="2109" t="n">
        <v>0</v>
      </c>
      <c r="R29" s="2169">
        <f>P29+Q29*$R$46/1000</f>
        <v/>
      </c>
      <c r="S29" s="2141" t="n">
        <v>0.826483</v>
      </c>
      <c r="T29" s="2109" t="n">
        <v>0</v>
      </c>
      <c r="U29" s="2169">
        <f>S29+T29*U46/1000</f>
        <v/>
      </c>
      <c r="V29" s="2141" t="n">
        <v>1.41149</v>
      </c>
      <c r="W29" s="2109" t="n">
        <v>0</v>
      </c>
      <c r="X29" s="2169">
        <f>V29+W29*X46/1000</f>
        <v/>
      </c>
      <c r="Y29" s="2141" t="n">
        <v>0.826925</v>
      </c>
      <c r="Z29" s="2109" t="n">
        <v>0</v>
      </c>
      <c r="AA29" s="2169">
        <f>Y29+Z29*AA46/1000</f>
        <v/>
      </c>
      <c r="AB29" s="2141" t="n">
        <v>0.8494429999999999</v>
      </c>
      <c r="AC29" s="2109" t="n">
        <v>0</v>
      </c>
      <c r="AD29" s="2169">
        <f>AB29+AC29*AD50/1000</f>
        <v/>
      </c>
      <c r="AE29" s="2141" t="n">
        <v>0.9735</v>
      </c>
      <c r="AF29" s="2109" t="n">
        <v>0</v>
      </c>
      <c r="AG29" s="2169">
        <f>AE29+AF29*AG46/1000</f>
        <v/>
      </c>
      <c r="AH29" s="2141" t="n"/>
      <c r="AI29" s="2109" t="n"/>
      <c r="AJ29" s="2169">
        <f>AH29+AI29*AJ46/1000</f>
        <v/>
      </c>
      <c r="AK29" s="2141" t="n"/>
      <c r="AL29" s="2109" t="n"/>
      <c r="AM29" s="2169">
        <f>AK29+AL29*AM46/1000</f>
        <v/>
      </c>
      <c r="AN29" s="2141" t="n"/>
      <c r="AO29" s="2124" t="n"/>
      <c r="AP29" s="2169">
        <f>AN29+AO29*AP46/1000</f>
        <v/>
      </c>
      <c r="AQ29" s="2141" t="n"/>
      <c r="AR29" s="2124" t="n"/>
      <c r="AS29" s="2169">
        <f>AQ29+AR29*AS46/1000</f>
        <v/>
      </c>
      <c r="AT29" s="2163">
        <f>AQ29/$AW$3</f>
        <v/>
      </c>
      <c r="AU29" s="2124">
        <f>SUM(K29,N29,Q29,T29,W29,Z29,AC29,AF29,AI29,AL29,AO29,AR29)</f>
        <v/>
      </c>
      <c r="AV29" s="2169">
        <f>AT29+AU29*AV46/1000</f>
        <v/>
      </c>
    </row>
    <row r="30" outlineLevel="1" ht="12.75" customHeight="1">
      <c r="C30" s="34" t="n"/>
      <c r="D30" s="33" t="n"/>
      <c r="E30" s="33" t="n"/>
      <c r="F30" s="37" t="inlineStr">
        <is>
          <t>개발 외주용역비</t>
        </is>
      </c>
      <c r="G30" s="2115" t="n">
        <v>0</v>
      </c>
      <c r="H30" s="2116" t="n">
        <v>0</v>
      </c>
      <c r="I30" s="2115">
        <f>G30+H30*$R$46/1000</f>
        <v/>
      </c>
      <c r="J30" s="2115" t="n">
        <v>0</v>
      </c>
      <c r="K30" s="2116" t="n">
        <v>0</v>
      </c>
      <c r="L30" s="2118">
        <f>J30+K30*$R$46/1000</f>
        <v/>
      </c>
      <c r="M30" s="2115" t="n">
        <v>0</v>
      </c>
      <c r="N30" s="2116" t="n">
        <v>0</v>
      </c>
      <c r="O30" s="2115">
        <f>M30+N30*$R$46/1000</f>
        <v/>
      </c>
      <c r="P30" s="2145" t="n">
        <v>0</v>
      </c>
      <c r="Q30" s="2116" t="n">
        <v>0</v>
      </c>
      <c r="R30" s="2118">
        <f>P30+Q30*$R$46/1000</f>
        <v/>
      </c>
      <c r="S30" s="2145" t="n">
        <v>0</v>
      </c>
      <c r="T30" s="2116" t="n">
        <v>0</v>
      </c>
      <c r="U30" s="2118">
        <f>S30+T30*U46/1000</f>
        <v/>
      </c>
      <c r="V30" s="2145" t="n">
        <v>0</v>
      </c>
      <c r="W30" s="2116" t="n">
        <v>0</v>
      </c>
      <c r="X30" s="2118">
        <f>V30+W30*X46/1000</f>
        <v/>
      </c>
      <c r="Y30" s="2145" t="n">
        <v>0</v>
      </c>
      <c r="Z30" s="2116" t="n">
        <v>0</v>
      </c>
      <c r="AA30" s="2118">
        <f>Y30+Z30*AA46/1000</f>
        <v/>
      </c>
      <c r="AB30" s="2145" t="n">
        <v>0</v>
      </c>
      <c r="AC30" s="2116" t="n">
        <v>0</v>
      </c>
      <c r="AD30" s="2118">
        <f>AB30+AC30*AD51/1000</f>
        <v/>
      </c>
      <c r="AE30" s="2145" t="n">
        <v>0</v>
      </c>
      <c r="AF30" s="2116" t="n">
        <v>0</v>
      </c>
      <c r="AG30" s="2118">
        <f>AE30+AF30*AG46/1000</f>
        <v/>
      </c>
      <c r="AH30" s="2145" t="n"/>
      <c r="AI30" s="2116" t="n"/>
      <c r="AJ30" s="2118">
        <f>AH30+AI30*AJ46/1000</f>
        <v/>
      </c>
      <c r="AK30" s="2145" t="n"/>
      <c r="AL30" s="2116" t="n"/>
      <c r="AM30" s="2118">
        <f>AK30+AL30*AM46/1000</f>
        <v/>
      </c>
      <c r="AN30" s="2145" t="n"/>
      <c r="AO30" s="2124" t="n"/>
      <c r="AP30" s="2118">
        <f>AN30+AO30*AP46/1000</f>
        <v/>
      </c>
      <c r="AQ30" s="2145" t="n"/>
      <c r="AR30" s="2124" t="n"/>
      <c r="AS30" s="2118">
        <f>AQ30+AR30*AS46/1000</f>
        <v/>
      </c>
      <c r="AT30" s="2158">
        <f>AQ30/$AW$3</f>
        <v/>
      </c>
      <c r="AU30" s="2124">
        <f>SUM(K30,N30,Q30,T30,W30,Z30,AC30,AF30,AI30,AL30,AO30,AR30)</f>
        <v/>
      </c>
      <c r="AV30" s="2118">
        <f>AT30+AU30*AV46/1000</f>
        <v/>
      </c>
    </row>
    <row r="31" outlineLevel="1" ht="12.75" customHeight="1">
      <c r="C31" s="34" t="n"/>
      <c r="D31" s="33" t="n"/>
      <c r="E31" s="33" t="n"/>
      <c r="F31" s="37" t="inlineStr">
        <is>
          <t>경영, 업무지원, 운영용역비</t>
        </is>
      </c>
      <c r="G31" s="2115" t="n">
        <v>3.557324</v>
      </c>
      <c r="H31" s="2116" t="n">
        <v>0</v>
      </c>
      <c r="I31" s="2115">
        <f>G31+H31*$R$46/1000</f>
        <v/>
      </c>
      <c r="J31" s="2115" t="n">
        <v>0.061712</v>
      </c>
      <c r="K31" s="2116" t="n">
        <v>0</v>
      </c>
      <c r="L31" s="2118">
        <f>J31+K31*$R$46/1000</f>
        <v/>
      </c>
      <c r="M31" s="2115" t="n">
        <v>0.04229</v>
      </c>
      <c r="N31" s="2116" t="n">
        <v>0</v>
      </c>
      <c r="O31" s="2115">
        <f>M31+N31*$R$46/1000</f>
        <v/>
      </c>
      <c r="P31" s="2145" t="n">
        <v>3.349059</v>
      </c>
      <c r="Q31" s="2116" t="n">
        <v>0</v>
      </c>
      <c r="R31" s="2118">
        <f>P31+Q31*$R$46/1000</f>
        <v/>
      </c>
      <c r="S31" s="2145" t="n">
        <v>0.044597</v>
      </c>
      <c r="T31" s="2116" t="n">
        <v>0</v>
      </c>
      <c r="U31" s="2118">
        <f>S31+T31*U46/1000</f>
        <v/>
      </c>
      <c r="V31" s="2145" t="n">
        <v>0.044976</v>
      </c>
      <c r="W31" s="2116" t="n">
        <v>0</v>
      </c>
      <c r="X31" s="2118">
        <f>V31+W31*X46/1000</f>
        <v/>
      </c>
      <c r="Y31" s="2145" t="n">
        <v>3.365196</v>
      </c>
      <c r="Z31" s="2116" t="n">
        <v>0</v>
      </c>
      <c r="AA31" s="2118">
        <f>Y31+Z31*AA46/1000</f>
        <v/>
      </c>
      <c r="AB31" s="2145" t="n">
        <v>0.043689</v>
      </c>
      <c r="AC31" s="2116" t="n">
        <v>0</v>
      </c>
      <c r="AD31" s="2118">
        <f>AB31+AC31*AD52/1000</f>
        <v/>
      </c>
      <c r="AE31" s="2145" t="n">
        <v>0.043689</v>
      </c>
      <c r="AF31" s="2116" t="n">
        <v>0</v>
      </c>
      <c r="AG31" s="2118">
        <f>AE31+AF31*AG46/1000</f>
        <v/>
      </c>
      <c r="AH31" s="2145" t="n"/>
      <c r="AI31" s="2116" t="n"/>
      <c r="AJ31" s="2118">
        <f>AH31+AI31*AJ46/1000</f>
        <v/>
      </c>
      <c r="AK31" s="2145" t="n"/>
      <c r="AL31" s="2116" t="n"/>
      <c r="AM31" s="2118">
        <f>AK31+AL31*AM46/1000</f>
        <v/>
      </c>
      <c r="AN31" s="2145" t="n"/>
      <c r="AO31" s="2124" t="n"/>
      <c r="AP31" s="2118">
        <f>AN31+AO31*AP46/1000</f>
        <v/>
      </c>
      <c r="AQ31" s="2145" t="n"/>
      <c r="AR31" s="2124" t="n"/>
      <c r="AS31" s="2118">
        <f>AQ31+AR31*AS46/1000</f>
        <v/>
      </c>
      <c r="AT31" s="2158">
        <f>AQ31/$AW$3</f>
        <v/>
      </c>
      <c r="AU31" s="2124">
        <f>SUM(K31,N31,Q31,T31,W31,Z31,AC31,AF31,AI31,AL31,AO31,AR31)</f>
        <v/>
      </c>
      <c r="AV31" s="2118">
        <f>AT31+AU31*AV46/1000</f>
        <v/>
      </c>
    </row>
    <row r="32" outlineLevel="1" ht="12.75" customHeight="1">
      <c r="C32" s="34" t="n"/>
      <c r="D32" s="33" t="n"/>
      <c r="E32" s="32" t="n"/>
      <c r="F32" s="16" t="inlineStr">
        <is>
          <t>기타</t>
        </is>
      </c>
      <c r="G32" s="2125" t="n">
        <v>9.823585</v>
      </c>
      <c r="H32" s="2126" t="n">
        <v>0</v>
      </c>
      <c r="I32" s="2170">
        <f>G32+H32*$R$46/1000</f>
        <v/>
      </c>
      <c r="J32" s="2125" t="n">
        <v>10.717108</v>
      </c>
      <c r="K32" s="2126" t="n">
        <v>0</v>
      </c>
      <c r="L32" s="2171">
        <f>J32+K32*$R$46/1000</f>
        <v/>
      </c>
      <c r="M32" s="2125" t="n">
        <v>5.55748</v>
      </c>
      <c r="N32" s="2126" t="n">
        <v>0</v>
      </c>
      <c r="O32" s="2170">
        <f>M32+N32*$R$46/1000</f>
        <v/>
      </c>
      <c r="P32" s="2148" t="n">
        <v>7.353326</v>
      </c>
      <c r="Q32" s="2126" t="n">
        <v>0</v>
      </c>
      <c r="R32" s="2171">
        <f>P32+Q32*$R$46/1000</f>
        <v/>
      </c>
      <c r="S32" s="2148" t="n">
        <v>14.374141</v>
      </c>
      <c r="T32" s="2126" t="n">
        <v>0</v>
      </c>
      <c r="U32" s="2171">
        <f>S32+T32*U46/1000</f>
        <v/>
      </c>
      <c r="V32" s="2148" t="n">
        <v>9.782315000000001</v>
      </c>
      <c r="W32" s="2126" t="n">
        <v>0</v>
      </c>
      <c r="X32" s="2171">
        <f>V32+W32*X46/1000</f>
        <v/>
      </c>
      <c r="Y32" s="2148" t="n">
        <v>10.4441392</v>
      </c>
      <c r="Z32" s="2126" t="n">
        <v>0</v>
      </c>
      <c r="AA32" s="2171">
        <f>Y32+Z32*AA46/1000</f>
        <v/>
      </c>
      <c r="AB32" s="2148" t="n">
        <v>6.234977</v>
      </c>
      <c r="AC32" s="2126" t="n">
        <v>0</v>
      </c>
      <c r="AD32" s="2171">
        <f>AB32+AC32*AD53/1000</f>
        <v/>
      </c>
      <c r="AE32" s="2148" t="n">
        <v>9.899909899999999</v>
      </c>
      <c r="AF32" s="2126" t="n">
        <v>0</v>
      </c>
      <c r="AG32" s="2171">
        <f>AE32+AF32*AG46/1000</f>
        <v/>
      </c>
      <c r="AH32" s="2148" t="n"/>
      <c r="AI32" s="2126" t="n"/>
      <c r="AJ32" s="2171">
        <f>AH32+AI32*AJ46/1000</f>
        <v/>
      </c>
      <c r="AK32" s="2148" t="n"/>
      <c r="AL32" s="2126" t="n"/>
      <c r="AM32" s="2171">
        <f>AK32+AL32*AM46/1000</f>
        <v/>
      </c>
      <c r="AN32" s="2148" t="n"/>
      <c r="AO32" s="2124" t="n"/>
      <c r="AP32" s="2171">
        <f>AN32+AO32*AP46/1000</f>
        <v/>
      </c>
      <c r="AQ32" s="2148" t="n"/>
      <c r="AR32" s="2124" t="n"/>
      <c r="AS32" s="2171">
        <f>AQ32+AR32*AS46/1000</f>
        <v/>
      </c>
      <c r="AT32" s="2172">
        <f>AQ32/$AW$3</f>
        <v/>
      </c>
      <c r="AU32" s="2124">
        <f>SUM(K32,N32,Q32,T32,W32,Z32,AC32,AF32,AI32,AL32,AO32,AR32)</f>
        <v/>
      </c>
      <c r="AV32" s="2171">
        <f>AT32+AU32*AV46/1000</f>
        <v/>
      </c>
    </row>
    <row r="33" ht="12.75" customHeight="1">
      <c r="C33" s="30" t="inlineStr">
        <is>
          <t>C. 운용자금 입지출(=해지-예치)</t>
        </is>
      </c>
      <c r="D33" s="30" t="n"/>
      <c r="E33" s="30" t="n"/>
      <c r="F33" s="29" t="n"/>
      <c r="G33" s="2098">
        <f>G34-G35</f>
        <v/>
      </c>
      <c r="H33" s="2099">
        <f>H34-H35</f>
        <v/>
      </c>
      <c r="I33" s="2098">
        <f>I34-I35</f>
        <v/>
      </c>
      <c r="J33" s="2100">
        <f>J34-J35</f>
        <v/>
      </c>
      <c r="K33" s="2099">
        <f>K34-K35</f>
        <v/>
      </c>
      <c r="L33" s="2101">
        <f>L34-L35</f>
        <v/>
      </c>
      <c r="M33" s="2102">
        <f>M34-M35</f>
        <v/>
      </c>
      <c r="N33" s="2099">
        <f>N34-N35</f>
        <v/>
      </c>
      <c r="O33" s="2173">
        <f>O34-O35</f>
        <v/>
      </c>
      <c r="P33" s="2102">
        <f>P34-P35</f>
        <v/>
      </c>
      <c r="Q33" s="2099">
        <f>Q34-Q35</f>
        <v/>
      </c>
      <c r="R33" s="2101">
        <f>R34-R35</f>
        <v/>
      </c>
      <c r="S33" s="2100">
        <f>S34-S35</f>
        <v/>
      </c>
      <c r="T33" s="2099">
        <f>T34-T35</f>
        <v/>
      </c>
      <c r="U33" s="2101">
        <f>U34-U35</f>
        <v/>
      </c>
      <c r="V33" s="2100">
        <f>V34-V35</f>
        <v/>
      </c>
      <c r="W33" s="2099">
        <f>W34-W35</f>
        <v/>
      </c>
      <c r="X33" s="2101">
        <f>X34-X35</f>
        <v/>
      </c>
      <c r="Y33" s="2100">
        <f>Y34-Y35</f>
        <v/>
      </c>
      <c r="Z33" s="2099">
        <f>Z34-Z35</f>
        <v/>
      </c>
      <c r="AA33" s="2101">
        <f>AA34-AA35</f>
        <v/>
      </c>
      <c r="AB33" s="2100">
        <f>AB34-AB35</f>
        <v/>
      </c>
      <c r="AC33" s="2099">
        <f>AC34-AC35</f>
        <v/>
      </c>
      <c r="AD33" s="2101">
        <f>AD34-AD35</f>
        <v/>
      </c>
      <c r="AE33" s="2100">
        <f>AE34-AE35</f>
        <v/>
      </c>
      <c r="AF33" s="2099">
        <f>AF34-AF35</f>
        <v/>
      </c>
      <c r="AG33" s="2101">
        <f>AG34-AG35</f>
        <v/>
      </c>
      <c r="AH33" s="2100">
        <f>AH34-AH35</f>
        <v/>
      </c>
      <c r="AI33" s="2099">
        <f>AI34-AI35</f>
        <v/>
      </c>
      <c r="AJ33" s="2101">
        <f>AJ34-AJ35</f>
        <v/>
      </c>
      <c r="AK33" s="2100">
        <f>AK34-AK35</f>
        <v/>
      </c>
      <c r="AL33" s="2099">
        <f>AL34-AL35</f>
        <v/>
      </c>
      <c r="AM33" s="2101">
        <f>AM34-AM35</f>
        <v/>
      </c>
      <c r="AN33" s="2100">
        <f>AN34-AN35</f>
        <v/>
      </c>
      <c r="AO33" s="2099">
        <f>AO34-AO35</f>
        <v/>
      </c>
      <c r="AP33" s="2101">
        <f>AP34-AP35</f>
        <v/>
      </c>
      <c r="AQ33" s="2100">
        <f>AQ34-AQ35</f>
        <v/>
      </c>
      <c r="AR33" s="2099">
        <f>AR34-AR35</f>
        <v/>
      </c>
      <c r="AS33" s="2101">
        <f>AS34-AS35</f>
        <v/>
      </c>
      <c r="AT33" s="2100">
        <f>AT34-AT35</f>
        <v/>
      </c>
      <c r="AU33" s="2099">
        <f>AU34-AU35</f>
        <v/>
      </c>
      <c r="AV33" s="2101">
        <f>AV34-AV35</f>
        <v/>
      </c>
    </row>
    <row r="34" ht="12.75" customHeight="1">
      <c r="C34" s="19" t="n"/>
      <c r="D34" s="26" t="inlineStr">
        <is>
          <t>해지(입금)</t>
        </is>
      </c>
      <c r="E34" s="18" t="n"/>
      <c r="F34" s="18" t="n"/>
      <c r="G34" s="2152" t="n">
        <v>900</v>
      </c>
      <c r="H34" s="2142">
        <f>SUMIFS('실적월'!$E:$E,'실적월'!$A:$A,"금융상품",'실적월'!$D:$D,"USD")/1000</f>
        <v/>
      </c>
      <c r="I34" s="2139">
        <f>G34+H34*$R$46/1000</f>
        <v/>
      </c>
      <c r="J34" s="2155" t="n">
        <v>0</v>
      </c>
      <c r="K34" s="2142">
        <f>SUMIFS('계획월'!$E:$E,'계획월'!$A:$A,"금융상품",'계획월'!$D:$D,"USD")/1000</f>
        <v/>
      </c>
      <c r="L34" s="2111">
        <f>J34+K34*$R$46/1000</f>
        <v/>
      </c>
      <c r="M34" s="2155" t="n"/>
      <c r="N34" s="2142">
        <f>SUMIFS('실적월'!$E:$E,'실적월'!$A:$A,"금융상품",'실적월'!$D:$D,"USD")/1000</f>
        <v/>
      </c>
      <c r="O34" s="2139">
        <f>M34+N34*$R$46/1000</f>
        <v/>
      </c>
      <c r="P34" s="2155" t="n">
        <v>0</v>
      </c>
      <c r="Q34" s="2142">
        <f>SUMIFS('계획월'!$E:$E,'계획월'!$A:$A,"금융상품",'계획월'!$D:$D,"USD")/1000</f>
        <v/>
      </c>
      <c r="R34" s="2111">
        <f>P34+Q34*$R$46/1000</f>
        <v/>
      </c>
      <c r="S34" s="2155" t="n">
        <v>0</v>
      </c>
      <c r="T34" s="2142">
        <f>SUMIFS('계획월'!$E:$E,'계획월'!$A:$A,"금융상품",'계획월'!$D:$D,"USD")/1000</f>
        <v/>
      </c>
      <c r="U34" s="2111">
        <f>S34+T34*U46/1000</f>
        <v/>
      </c>
      <c r="V34" s="2155" t="n">
        <v>300</v>
      </c>
      <c r="W34" s="2142" t="n">
        <v>0</v>
      </c>
      <c r="X34" s="2111">
        <f>V34+W34*X46/1000</f>
        <v/>
      </c>
      <c r="Y34" s="2155" t="n">
        <v>0</v>
      </c>
      <c r="Z34" s="2142">
        <f>SUMIFS('계획월'!$E:$E,'계획월'!$A:$A,"금융상품",'계획월'!$D:$D,"USD")/1000</f>
        <v/>
      </c>
      <c r="AA34" s="2111">
        <f>Y34+Z34*AA46/1000</f>
        <v/>
      </c>
      <c r="AB34" s="2155" t="n">
        <v>0</v>
      </c>
      <c r="AC34" s="2142" t="n">
        <v>0</v>
      </c>
      <c r="AD34" s="2111">
        <f>AB34+AC34*AD46/1000</f>
        <v/>
      </c>
      <c r="AE34" s="2155" t="n">
        <v>0</v>
      </c>
      <c r="AF34" s="2142" t="n">
        <v>0</v>
      </c>
      <c r="AG34" s="2111">
        <f>AE34+AF34*AG46/1000</f>
        <v/>
      </c>
      <c r="AH34" s="2155" t="n">
        <v>0</v>
      </c>
      <c r="AI34" s="2142" t="n">
        <v>0</v>
      </c>
      <c r="AJ34" s="2111">
        <f>AH34+AI34*AJ46/1000</f>
        <v/>
      </c>
      <c r="AK34" s="2155" t="n">
        <v>0</v>
      </c>
      <c r="AL34" s="2142">
        <f>SUMIFS('계획월'!$E:$E,'계획월'!$A:$A,"금융상품",'계획월'!$D:$D,"USD")/1000</f>
        <v/>
      </c>
      <c r="AM34" s="2111">
        <f>AK34+AL34*AM46/1000</f>
        <v/>
      </c>
      <c r="AN34" s="2155" t="n">
        <v>0</v>
      </c>
      <c r="AO34" s="2142">
        <f>SUMIFS('계획월'!$E:$E,'계획월'!$A:$A,"금융상품",'계획월'!$D:$D,"USD")/1000</f>
        <v/>
      </c>
      <c r="AP34" s="2111">
        <f>AN34+AO34*AP46/1000</f>
        <v/>
      </c>
      <c r="AQ34" s="2174">
        <f>SUM(G34,J34,M34,P34,S34,V34,Y34,AB34,AE34,AH34,AK34,AN34)</f>
        <v/>
      </c>
      <c r="AR34" s="2142">
        <f>SUM(H34,K34,N34,Q34,T34,W34,Z34,AC34,AF34,AI34,AL34,AO34)</f>
        <v/>
      </c>
      <c r="AS34" s="2111">
        <f>AQ34+AR34*AS46/1000</f>
        <v/>
      </c>
      <c r="AT34" s="2174">
        <f>AQ34/AW3</f>
        <v/>
      </c>
      <c r="AU34" s="2142">
        <f>SUM(K34,N34,Q34,T34,W34,Z34,AC34,AF34,AI34,AL34,AO34,AR34)</f>
        <v/>
      </c>
      <c r="AV34" s="2111">
        <f>AT34+AU34*AV46/1000</f>
        <v/>
      </c>
    </row>
    <row r="35" ht="12.75" customHeight="1">
      <c r="C35" s="15" t="n"/>
      <c r="D35" s="16" t="inlineStr">
        <is>
          <t>예치(지출)</t>
        </is>
      </c>
      <c r="E35" s="15" t="n"/>
      <c r="F35" s="15" t="n"/>
      <c r="G35" s="2175" t="n">
        <v>0</v>
      </c>
      <c r="H35" s="2176">
        <f>SUMIFS('실적월'!$F:$F,'실적월'!$A:$A,"금융상품",'실적월'!$D:$D,"USD")/1000</f>
        <v/>
      </c>
      <c r="I35" s="2177">
        <f>G35+H35*$R$46/1000</f>
        <v/>
      </c>
      <c r="J35" s="2178" t="n">
        <v>0</v>
      </c>
      <c r="K35" s="2179">
        <f>SUMIFS('계획월'!$F:$F,'계획월'!$A:$A,"금융상품",'계획월'!$D:$D,"USD")/1000</f>
        <v/>
      </c>
      <c r="L35" s="2171">
        <f>J35+K35*$R$46/1000</f>
        <v/>
      </c>
      <c r="M35" s="2180" t="n"/>
      <c r="N35" s="2176">
        <f>SUMIFS('실적월'!$F:$F,'실적월'!$A:$A,"금융상품",'실적월'!$D:$D,"USD")/1000</f>
        <v/>
      </c>
      <c r="O35" s="2177">
        <f>M35+N35*$R$46/1000</f>
        <v/>
      </c>
      <c r="P35" s="2178" t="n">
        <v>0</v>
      </c>
      <c r="Q35" s="2179">
        <f>SUMIFS('계획월'!$F:$F,'계획월'!$A:$A,"금융상품",'계획월'!$D:$D,"USD")/1000</f>
        <v/>
      </c>
      <c r="R35" s="2171">
        <f>P35+Q35*$R$46/1000</f>
        <v/>
      </c>
      <c r="S35" s="2181" t="n">
        <v>0</v>
      </c>
      <c r="T35" s="2179">
        <f>SUMIFS('계획월'!$F:$F,'계획월'!$A:$A,"금융상품",'계획월'!$D:$D,"USD")/1000</f>
        <v/>
      </c>
      <c r="U35" s="2171">
        <f>S35+T35*U46/1000</f>
        <v/>
      </c>
      <c r="V35" s="2182" t="n"/>
      <c r="W35" s="2179" t="n">
        <v>0</v>
      </c>
      <c r="X35" s="2171">
        <f>V35+W35*X46/1000</f>
        <v/>
      </c>
      <c r="Y35" s="2181" t="n">
        <v>0</v>
      </c>
      <c r="Z35" s="2179">
        <f>SUMIFS('계획월'!$F:$F,'계획월'!$A:$A,"금융상품",'계획월'!$D:$D,"USD")/1000</f>
        <v/>
      </c>
      <c r="AA35" s="2171">
        <f>Y35+Z35*AA46/1000</f>
        <v/>
      </c>
      <c r="AB35" s="2181" t="n">
        <v>0</v>
      </c>
      <c r="AC35" s="2179" t="n">
        <v>0</v>
      </c>
      <c r="AD35" s="2171">
        <f>AB35+AC35*AD46/1000</f>
        <v/>
      </c>
      <c r="AE35" s="2183" t="n">
        <v>0</v>
      </c>
      <c r="AF35" s="2179" t="n">
        <v>0</v>
      </c>
      <c r="AG35" s="2171">
        <f>AE35+AF35*AG46/1000</f>
        <v/>
      </c>
      <c r="AH35" s="2183" t="n">
        <v>0</v>
      </c>
      <c r="AI35" s="2179" t="n">
        <v>0</v>
      </c>
      <c r="AJ35" s="2171">
        <f>AH35+AI35*AJ46/1000</f>
        <v/>
      </c>
      <c r="AK35" s="2181" t="n">
        <v>0</v>
      </c>
      <c r="AL35" s="2179">
        <f>SUMIFS('계획월'!$F:$F,'계획월'!$A:$A,"금융상품",'계획월'!$D:$D,"USD")/1000</f>
        <v/>
      </c>
      <c r="AM35" s="2171">
        <f>AK35+AL35*AM46/1000</f>
        <v/>
      </c>
      <c r="AN35" s="2181" t="n">
        <v>0</v>
      </c>
      <c r="AO35" s="2179">
        <f>SUMIFS('계획월'!$F:$F,'계획월'!$A:$A,"금융상품",'계획월'!$D:$D,"USD")/1000</f>
        <v/>
      </c>
      <c r="AP35" s="2171">
        <f>AN35+AO35*AP46/1000</f>
        <v/>
      </c>
      <c r="AQ35" s="2184">
        <f>SUM(G35,J35,M35,P35,S35,V35,Y35,AB35,AE35,AH35,AK35,AN35)</f>
        <v/>
      </c>
      <c r="AR35" s="2179">
        <f>SUM(H35,K35,N35,Q35,T35,W35,Z35,AC35,AF35,AI35,AL35,AO35)</f>
        <v/>
      </c>
      <c r="AS35" s="2171">
        <f>AQ35+AR35*AS46/1000</f>
        <v/>
      </c>
      <c r="AT35" s="2184">
        <f>AQ35/AW3</f>
        <v/>
      </c>
      <c r="AU35" s="2179">
        <f>SUM(K35,N35,Q35,T35,W35,Z35,AC35,AF35,AI35,AL35,AO35,AR35)</f>
        <v/>
      </c>
      <c r="AV35" s="2171">
        <f>AT35+AU35*AV46/1000</f>
        <v/>
      </c>
    </row>
    <row r="36" ht="12.75" customHeight="1">
      <c r="C36" s="24" t="inlineStr">
        <is>
          <t>D. FX</t>
        </is>
      </c>
      <c r="D36" s="24" t="n"/>
      <c r="E36" s="23" t="n"/>
      <c r="F36" s="22" t="n"/>
      <c r="G36" s="2098">
        <f>G37-G38</f>
        <v/>
      </c>
      <c r="H36" s="2099">
        <f>H37-H38</f>
        <v/>
      </c>
      <c r="I36" s="2098">
        <f>I37-I38</f>
        <v/>
      </c>
      <c r="J36" s="2100">
        <f>J37-J38</f>
        <v/>
      </c>
      <c r="K36" s="2099">
        <f>K37-K38</f>
        <v/>
      </c>
      <c r="L36" s="2101">
        <f>L37-L38</f>
        <v/>
      </c>
      <c r="M36" s="2102">
        <f>M37-M38</f>
        <v/>
      </c>
      <c r="N36" s="2099">
        <f>N37-N38</f>
        <v/>
      </c>
      <c r="O36" s="2098">
        <f>O37-O38</f>
        <v/>
      </c>
      <c r="P36" s="2100">
        <f>P37-P38</f>
        <v/>
      </c>
      <c r="Q36" s="2099">
        <f>Q37-Q38</f>
        <v/>
      </c>
      <c r="R36" s="2101">
        <f>R37-R38</f>
        <v/>
      </c>
      <c r="S36" s="2100">
        <f>S37-S38</f>
        <v/>
      </c>
      <c r="T36" s="2099">
        <f>T37-T38</f>
        <v/>
      </c>
      <c r="U36" s="2101">
        <f>U37-U38</f>
        <v/>
      </c>
      <c r="V36" s="2100">
        <f>V37-V38</f>
        <v/>
      </c>
      <c r="W36" s="2099">
        <f>W37-W38</f>
        <v/>
      </c>
      <c r="X36" s="2101">
        <f>X37-X38</f>
        <v/>
      </c>
      <c r="Y36" s="2100">
        <f>Y37-Y38</f>
        <v/>
      </c>
      <c r="Z36" s="2099">
        <f>Z37-Z38</f>
        <v/>
      </c>
      <c r="AA36" s="2101">
        <f>AA37-AA38</f>
        <v/>
      </c>
      <c r="AB36" s="2100">
        <f>AB37-AB38</f>
        <v/>
      </c>
      <c r="AC36" s="2099">
        <f>AC37-AC38</f>
        <v/>
      </c>
      <c r="AD36" s="2101">
        <f>AD37-AD38</f>
        <v/>
      </c>
      <c r="AE36" s="2100">
        <f>AE37-AE38</f>
        <v/>
      </c>
      <c r="AF36" s="2099">
        <f>AF37-AF38</f>
        <v/>
      </c>
      <c r="AG36" s="2101">
        <f>AG37-AG38</f>
        <v/>
      </c>
      <c r="AH36" s="2100">
        <f>AH37-AH38</f>
        <v/>
      </c>
      <c r="AI36" s="2099">
        <f>AI37-AI38</f>
        <v/>
      </c>
      <c r="AJ36" s="2101">
        <f>AJ37-AJ38</f>
        <v/>
      </c>
      <c r="AK36" s="2100">
        <f>AK37-AK38</f>
        <v/>
      </c>
      <c r="AL36" s="2099">
        <f>AL37-AL38</f>
        <v/>
      </c>
      <c r="AM36" s="2101">
        <f>AM37-AM38</f>
        <v/>
      </c>
      <c r="AN36" s="2100">
        <f>AN37-AN38</f>
        <v/>
      </c>
      <c r="AO36" s="2099">
        <f>AO37-AO38</f>
        <v/>
      </c>
      <c r="AP36" s="2101">
        <f>AP37-AP38</f>
        <v/>
      </c>
      <c r="AQ36" s="2100">
        <f>AQ37-AQ38</f>
        <v/>
      </c>
      <c r="AR36" s="2099">
        <f>AR37-AR38</f>
        <v/>
      </c>
      <c r="AS36" s="2101">
        <f>AS37-AS38</f>
        <v/>
      </c>
      <c r="AT36" s="2100">
        <f>AT37-AT38</f>
        <v/>
      </c>
      <c r="AU36" s="2099">
        <f>AU37-AU38</f>
        <v/>
      </c>
      <c r="AV36" s="2101">
        <f>AV37-AV38</f>
        <v/>
      </c>
    </row>
    <row r="37" ht="12.75" customHeight="1">
      <c r="C37" s="19" t="n"/>
      <c r="D37" s="26" t="inlineStr">
        <is>
          <t>입금</t>
        </is>
      </c>
      <c r="E37" s="18" t="n"/>
      <c r="F37" s="18" t="n"/>
      <c r="G37" s="2185" t="n"/>
      <c r="H37" s="2142" t="n"/>
      <c r="I37" s="2110">
        <f>G37+H37*$R$46/1000</f>
        <v/>
      </c>
      <c r="J37" s="2185" t="n">
        <v>0</v>
      </c>
      <c r="K37" s="2142" t="n">
        <v>0</v>
      </c>
      <c r="L37" s="2111">
        <f>J37+K37*$R$46/1000</f>
        <v/>
      </c>
      <c r="M37" s="2186" t="n">
        <v>0</v>
      </c>
      <c r="N37" s="2142" t="n">
        <v>0</v>
      </c>
      <c r="O37" s="2110">
        <f>M37+N37*$R$46/1000</f>
        <v/>
      </c>
      <c r="P37" s="2185" t="n">
        <v>0</v>
      </c>
      <c r="Q37" s="2142" t="n">
        <v>0</v>
      </c>
      <c r="R37" s="2111">
        <f>P37+Q37*$R$46/1000</f>
        <v/>
      </c>
      <c r="S37" s="2185" t="n">
        <v>0</v>
      </c>
      <c r="T37" s="2142" t="n">
        <v>0</v>
      </c>
      <c r="U37" s="2111">
        <f>S37+T37*U46/1000</f>
        <v/>
      </c>
      <c r="V37" s="2185" t="n">
        <v>0</v>
      </c>
      <c r="W37" s="2142" t="n">
        <v>0</v>
      </c>
      <c r="X37" s="2111">
        <f>V37+W37*X46/1000</f>
        <v/>
      </c>
      <c r="Y37" s="2185" t="n">
        <v>0</v>
      </c>
      <c r="Z37" s="2142" t="n">
        <v>0</v>
      </c>
      <c r="AA37" s="2111">
        <f>Y37+Z37*AA46/1000</f>
        <v/>
      </c>
      <c r="AB37" s="2185" t="n">
        <v>0</v>
      </c>
      <c r="AC37" s="2142" t="n">
        <v>0</v>
      </c>
      <c r="AD37" s="2111">
        <f>AB37+AC37*AD46/1000</f>
        <v/>
      </c>
      <c r="AE37" s="2185" t="n">
        <v>0</v>
      </c>
      <c r="AF37" s="2142" t="n">
        <v>0</v>
      </c>
      <c r="AG37" s="2111">
        <f>AE37+AF37*AG46/1000</f>
        <v/>
      </c>
      <c r="AH37" s="2185" t="n">
        <v>0</v>
      </c>
      <c r="AI37" s="2142" t="n">
        <v>0</v>
      </c>
      <c r="AJ37" s="2111">
        <f>AH37+AI37*AJ46/1000</f>
        <v/>
      </c>
      <c r="AK37" s="2185" t="n">
        <v>0</v>
      </c>
      <c r="AL37" s="2142" t="n">
        <v>0</v>
      </c>
      <c r="AM37" s="2111">
        <f>AK37+AL37*AM46/1000</f>
        <v/>
      </c>
      <c r="AN37" s="2185" t="n">
        <v>0</v>
      </c>
      <c r="AO37" s="2142" t="n">
        <v>0</v>
      </c>
      <c r="AP37" s="2111">
        <f>AN37+AO37*AP46/1000</f>
        <v/>
      </c>
      <c r="AQ37" s="2185">
        <f>SUM(G37,J37,M37,P37,S37,V37,Y37,AB37,AE37,AH37,AK37,AN37)</f>
        <v/>
      </c>
      <c r="AR37" s="2142">
        <f>SUM(H37,K37,N37,Q37,T37,W37,Z37,AC37,AF37,AI37,AL37,AO37)</f>
        <v/>
      </c>
      <c r="AS37" s="2111">
        <f>AQ37+AR37*AS46/1000</f>
        <v/>
      </c>
      <c r="AT37" s="2185">
        <f>SUM(J37,M37,P37,S37,V37,Y37,AB37,AE37,AH37,AK37,AN37,AQ37)</f>
        <v/>
      </c>
      <c r="AU37" s="2142">
        <f>SUM(K37,N37,Q37,T37,W37,Z37,AC37,AF37,AI37,AL37,AO37,AR37)</f>
        <v/>
      </c>
      <c r="AV37" s="2111">
        <f>AT37+AU37*AV46/1000</f>
        <v/>
      </c>
    </row>
    <row r="38" ht="12.75" customHeight="1">
      <c r="C38" s="15" t="n"/>
      <c r="D38" s="16" t="inlineStr">
        <is>
          <t>출금</t>
        </is>
      </c>
      <c r="E38" s="15" t="n"/>
      <c r="F38" s="15" t="n"/>
      <c r="G38" s="2187" t="n"/>
      <c r="H38" s="2188" t="n"/>
      <c r="I38" s="2189">
        <f>G38+(H38*$R$46/1000)</f>
        <v/>
      </c>
      <c r="J38" s="2187" t="n">
        <v>0</v>
      </c>
      <c r="K38" s="2188" t="n">
        <v>0</v>
      </c>
      <c r="L38" s="2171">
        <f>J38+K38*$R$46/1000</f>
        <v/>
      </c>
      <c r="M38" s="2190" t="n">
        <v>0</v>
      </c>
      <c r="N38" s="2188" t="n">
        <v>0</v>
      </c>
      <c r="O38" s="2189">
        <f>M38+(N38*$R$46/1000)</f>
        <v/>
      </c>
      <c r="P38" s="2187" t="n">
        <v>0</v>
      </c>
      <c r="Q38" s="2188" t="n">
        <v>0</v>
      </c>
      <c r="R38" s="2171">
        <f>P38+Q38*$R$46/1000</f>
        <v/>
      </c>
      <c r="S38" s="2187" t="n">
        <v>0</v>
      </c>
      <c r="T38" s="2188" t="n">
        <v>0</v>
      </c>
      <c r="U38" s="2171">
        <f>S38+T38*U46/1000</f>
        <v/>
      </c>
      <c r="V38" s="2187" t="n">
        <v>0</v>
      </c>
      <c r="W38" s="2188" t="n">
        <v>0</v>
      </c>
      <c r="X38" s="2171">
        <f>V38+W38*X46/1000</f>
        <v/>
      </c>
      <c r="Y38" s="2187" t="n">
        <v>0</v>
      </c>
      <c r="Z38" s="2188" t="n">
        <v>0</v>
      </c>
      <c r="AA38" s="2171">
        <f>Y38+Z38*AA46/1000</f>
        <v/>
      </c>
      <c r="AB38" s="2187" t="n">
        <v>0</v>
      </c>
      <c r="AC38" s="2188" t="n">
        <v>0</v>
      </c>
      <c r="AD38" s="2171">
        <f>AB38+AC38*AD46/1000</f>
        <v/>
      </c>
      <c r="AE38" s="2187" t="n">
        <v>0</v>
      </c>
      <c r="AF38" s="2188" t="n">
        <v>0</v>
      </c>
      <c r="AG38" s="2171">
        <f>AE38+AF38*AG46/1000</f>
        <v/>
      </c>
      <c r="AH38" s="2187" t="n">
        <v>0</v>
      </c>
      <c r="AI38" s="2188" t="n">
        <v>0</v>
      </c>
      <c r="AJ38" s="2171">
        <f>AH38+AI38*AJ46/1000</f>
        <v/>
      </c>
      <c r="AK38" s="2187" t="n">
        <v>0</v>
      </c>
      <c r="AL38" s="2188" t="n">
        <v>0</v>
      </c>
      <c r="AM38" s="2171">
        <f>AK38+AL38*AM46/1000</f>
        <v/>
      </c>
      <c r="AN38" s="2187" t="n">
        <v>0</v>
      </c>
      <c r="AO38" s="2188" t="n">
        <v>0</v>
      </c>
      <c r="AP38" s="2171">
        <f>AN38+AO38*AP46/1000</f>
        <v/>
      </c>
      <c r="AQ38" s="2187">
        <f>SUM(G38,J38,M38,P38,S38,V38,Y38,AB38,AE38,AH38,AK38,AN38)</f>
        <v/>
      </c>
      <c r="AR38" s="2188">
        <f>SUM(H38,K38,N38,Q38,T38,W38,Z38,AC38,AF38,AI38,AL38,AO38)</f>
        <v/>
      </c>
      <c r="AS38" s="2171">
        <f>AQ38+AR38*AS46/1000</f>
        <v/>
      </c>
      <c r="AT38" s="2187">
        <f>SUM(J38,M38,P38,S38,V38,Y38,AB38,AE38,AH38,AK38,AN38,AQ38)</f>
        <v/>
      </c>
      <c r="AU38" s="2188">
        <f>SUM(K38,N38,Q38,T38,W38,Z38,AC38,AF38,AI38,AL38,AO38,AR38)</f>
        <v/>
      </c>
      <c r="AV38" s="2171">
        <f>AT38+AU38*AV46/1000</f>
        <v/>
      </c>
    </row>
    <row r="39" ht="12.75" customHeight="1">
      <c r="C39" s="24" t="inlineStr">
        <is>
          <t>E. 조달</t>
        </is>
      </c>
      <c r="D39" s="24" t="n"/>
      <c r="E39" s="23" t="n"/>
      <c r="F39" s="22" t="n"/>
      <c r="G39" s="2098">
        <f>G40-G41</f>
        <v/>
      </c>
      <c r="H39" s="2099">
        <f>H40-H41</f>
        <v/>
      </c>
      <c r="I39" s="2098">
        <f>I40-I41</f>
        <v/>
      </c>
      <c r="J39" s="2100">
        <f>J40-J41</f>
        <v/>
      </c>
      <c r="K39" s="2099">
        <f>K40-K41</f>
        <v/>
      </c>
      <c r="L39" s="2101">
        <f>L40-L41</f>
        <v/>
      </c>
      <c r="M39" s="2102">
        <f>M40-M41</f>
        <v/>
      </c>
      <c r="N39" s="2099">
        <f>N40-N41</f>
        <v/>
      </c>
      <c r="O39" s="2098">
        <f>O40-O41</f>
        <v/>
      </c>
      <c r="P39" s="2100">
        <f>P40-P41</f>
        <v/>
      </c>
      <c r="Q39" s="2099">
        <f>Q40-Q41</f>
        <v/>
      </c>
      <c r="R39" s="2101">
        <f>R40-R41</f>
        <v/>
      </c>
      <c r="S39" s="2100">
        <f>S40-S41</f>
        <v/>
      </c>
      <c r="T39" s="2099">
        <f>T40-T41</f>
        <v/>
      </c>
      <c r="U39" s="2101">
        <f>U40-U41</f>
        <v/>
      </c>
      <c r="V39" s="2100">
        <f>V40-V41</f>
        <v/>
      </c>
      <c r="W39" s="2099">
        <f>W40-W41</f>
        <v/>
      </c>
      <c r="X39" s="2101">
        <f>X40-X41</f>
        <v/>
      </c>
      <c r="Y39" s="2100">
        <f>Y40-Y41</f>
        <v/>
      </c>
      <c r="Z39" s="2099">
        <f>Z40-Z41</f>
        <v/>
      </c>
      <c r="AA39" s="2101">
        <f>AA40-AA41</f>
        <v/>
      </c>
      <c r="AB39" s="2100">
        <f>AB40-AB41</f>
        <v/>
      </c>
      <c r="AC39" s="2099">
        <f>AC40-AC41</f>
        <v/>
      </c>
      <c r="AD39" s="2101">
        <f>AD40-AD41</f>
        <v/>
      </c>
      <c r="AE39" s="2100">
        <f>AE40-AE41</f>
        <v/>
      </c>
      <c r="AF39" s="2099">
        <f>AF40-AF41</f>
        <v/>
      </c>
      <c r="AG39" s="2101">
        <f>AG40-AG41</f>
        <v/>
      </c>
      <c r="AH39" s="2100">
        <f>AH40-AH41</f>
        <v/>
      </c>
      <c r="AI39" s="2099">
        <f>AI40-AI41</f>
        <v/>
      </c>
      <c r="AJ39" s="2101">
        <f>AJ40-AJ41</f>
        <v/>
      </c>
      <c r="AK39" s="2100">
        <f>AK40-AK41</f>
        <v/>
      </c>
      <c r="AL39" s="2099">
        <f>AL40-AL41</f>
        <v/>
      </c>
      <c r="AM39" s="2101">
        <f>AM40-AM41</f>
        <v/>
      </c>
      <c r="AN39" s="2100">
        <f>AN40-AN41</f>
        <v/>
      </c>
      <c r="AO39" s="2099">
        <f>AO40-AO41</f>
        <v/>
      </c>
      <c r="AP39" s="2101">
        <f>AP40-AP41</f>
        <v/>
      </c>
      <c r="AQ39" s="2100">
        <f>AQ40-AQ41</f>
        <v/>
      </c>
      <c r="AR39" s="2099">
        <f>AR40-AR41</f>
        <v/>
      </c>
      <c r="AS39" s="2101">
        <f>AS40-AS41</f>
        <v/>
      </c>
      <c r="AT39" s="2100">
        <f>AT40-AT41</f>
        <v/>
      </c>
      <c r="AU39" s="2099">
        <f>AU40-AU41</f>
        <v/>
      </c>
      <c r="AV39" s="2101">
        <f>AV40-AV41</f>
        <v/>
      </c>
    </row>
    <row r="40" ht="12.75" customHeight="1">
      <c r="C40" s="19" t="n"/>
      <c r="D40" s="651" t="inlineStr">
        <is>
          <t>입금</t>
        </is>
      </c>
      <c r="E40" s="18" t="n"/>
      <c r="F40" s="18" t="n"/>
      <c r="G40" s="2185">
        <f>SUMIF('실적월'!$A:$A,"차입금",'실적월'!$E:$E)/1000000</f>
        <v/>
      </c>
      <c r="H40" s="2142" t="n">
        <v>0</v>
      </c>
      <c r="I40" s="2110">
        <f>G40+H40*$R$46/1000</f>
        <v/>
      </c>
      <c r="J40" s="2185" t="n">
        <v>0</v>
      </c>
      <c r="K40" s="2142" t="n">
        <v>0</v>
      </c>
      <c r="L40" s="2111">
        <f>J40+K40*$R$46/1000</f>
        <v/>
      </c>
      <c r="M40" s="2186">
        <f>SUMIF('실적월'!$A:$A,"차입금",'실적월'!$E:$E)/1000000</f>
        <v/>
      </c>
      <c r="N40" s="2142" t="n">
        <v>0</v>
      </c>
      <c r="O40" s="2110">
        <f>M40+N40*$R$46/1000</f>
        <v/>
      </c>
      <c r="P40" s="2185" t="n"/>
      <c r="Q40" s="2142" t="n">
        <v>0</v>
      </c>
      <c r="R40" s="2111">
        <f>P40+Q40*$R$46/1000</f>
        <v/>
      </c>
      <c r="S40" s="2185" t="n">
        <v>0</v>
      </c>
      <c r="T40" s="2142" t="n">
        <v>0</v>
      </c>
      <c r="U40" s="2111">
        <f>S40+T40*U46/1000</f>
        <v/>
      </c>
      <c r="V40" s="2185" t="n">
        <v>0</v>
      </c>
      <c r="W40" s="2142" t="n">
        <v>0</v>
      </c>
      <c r="X40" s="2111">
        <f>V40+W40*X46/1000</f>
        <v/>
      </c>
      <c r="Y40" s="2185" t="n">
        <v>0</v>
      </c>
      <c r="Z40" s="2142" t="n">
        <v>0</v>
      </c>
      <c r="AA40" s="2111">
        <f>Y40+Z40*AA46/1000</f>
        <v/>
      </c>
      <c r="AB40" s="2185" t="n">
        <v>0</v>
      </c>
      <c r="AC40" s="2142" t="n">
        <v>0</v>
      </c>
      <c r="AD40" s="2111">
        <f>AB40+AC40*AD46/1000</f>
        <v/>
      </c>
      <c r="AE40" s="2185" t="n">
        <v>0</v>
      </c>
      <c r="AF40" s="2142" t="n">
        <v>0</v>
      </c>
      <c r="AG40" s="2111">
        <f>AE40+AF40*AG46/1000</f>
        <v/>
      </c>
      <c r="AH40" s="2185" t="n">
        <v>0</v>
      </c>
      <c r="AI40" s="2142" t="n">
        <v>0</v>
      </c>
      <c r="AJ40" s="2111">
        <f>AH40+AI40*AJ46/1000</f>
        <v/>
      </c>
      <c r="AK40" s="2185" t="n"/>
      <c r="AL40" s="2142" t="n">
        <v>0</v>
      </c>
      <c r="AM40" s="2111">
        <f>AK40+AL40*AM46/1000</f>
        <v/>
      </c>
      <c r="AN40" s="2185" t="n"/>
      <c r="AO40" s="2142" t="n">
        <v>0</v>
      </c>
      <c r="AP40" s="2111">
        <f>AN40+AO40*AP46/1000</f>
        <v/>
      </c>
      <c r="AQ40" s="2185">
        <f>SUM(G40,J40,M40,P40,S40,V40,Y40,AB40,AE40,AH40,AK40,AN40)</f>
        <v/>
      </c>
      <c r="AR40" s="2142">
        <f>SUM(H40,K40,N40,Q40,T40,W40,Z40,AC40,AF40,AI40,AL40,AO40)</f>
        <v/>
      </c>
      <c r="AS40" s="2111">
        <f>AQ40+AR40*AS46/1000</f>
        <v/>
      </c>
      <c r="AT40" s="2185">
        <f>SUM(J40,M40,P40,S40,V40,Y40,AB40,AE40,AH40,AK40,AN40,AQ40)</f>
        <v/>
      </c>
      <c r="AU40" s="2142">
        <f>SUM(K40,N40,Q40,T40,W40,Z40,AC40,AF40,AI40,AL40,AO40,AR40)</f>
        <v/>
      </c>
      <c r="AV40" s="2111">
        <f>AT40+AU40*AV46/1000</f>
        <v/>
      </c>
    </row>
    <row r="41" ht="12.75" customHeight="1">
      <c r="C41" s="15" t="n"/>
      <c r="D41" s="16" t="inlineStr">
        <is>
          <t>출금</t>
        </is>
      </c>
      <c r="E41" s="15" t="n"/>
      <c r="F41" s="15" t="n"/>
      <c r="G41" s="2187">
        <f>SUMIF('실적월'!$A:$A,"차입금상환",'실적월'!$F:$F)/1000000</f>
        <v/>
      </c>
      <c r="H41" s="2188" t="n">
        <v>0</v>
      </c>
      <c r="I41" s="2189">
        <f>G41+(H41*$R$46/1000)</f>
        <v/>
      </c>
      <c r="J41" s="2187" t="n">
        <v>0</v>
      </c>
      <c r="K41" s="2188" t="n">
        <v>0</v>
      </c>
      <c r="L41" s="2171">
        <f>J41+K41*$R$46/1000</f>
        <v/>
      </c>
      <c r="M41" s="2190">
        <f>SUMIF('실적월'!$A:$A,"차입금상환",'실적월'!$F:$F)/1000000</f>
        <v/>
      </c>
      <c r="N41" s="2188" t="n">
        <v>0</v>
      </c>
      <c r="O41" s="2189">
        <f>M41+(N41*$R$46/1000)</f>
        <v/>
      </c>
      <c r="P41" s="2187" t="n">
        <v>0</v>
      </c>
      <c r="Q41" s="2188" t="n">
        <v>0</v>
      </c>
      <c r="R41" s="2171">
        <f>P41+Q41*$R$46/1000</f>
        <v/>
      </c>
      <c r="S41" s="2187" t="n">
        <v>0</v>
      </c>
      <c r="T41" s="2188" t="n">
        <v>0</v>
      </c>
      <c r="U41" s="2171">
        <f>S41+T41*U46/1000</f>
        <v/>
      </c>
      <c r="V41" s="2187" t="n">
        <v>0</v>
      </c>
      <c r="W41" s="2188" t="n">
        <v>0</v>
      </c>
      <c r="X41" s="2171">
        <f>V41+W41*X46/1000</f>
        <v/>
      </c>
      <c r="Y41" s="2187" t="n">
        <v>0</v>
      </c>
      <c r="Z41" s="2188" t="n">
        <v>0</v>
      </c>
      <c r="AA41" s="2171">
        <f>Y41+Z41*AA46/1000</f>
        <v/>
      </c>
      <c r="AB41" s="2187" t="n">
        <v>0</v>
      </c>
      <c r="AC41" s="2188" t="n">
        <v>0</v>
      </c>
      <c r="AD41" s="2171">
        <f>AB41+AC41*AD46/1000</f>
        <v/>
      </c>
      <c r="AE41" s="2187" t="n">
        <v>0</v>
      </c>
      <c r="AF41" s="2188" t="n">
        <v>0</v>
      </c>
      <c r="AG41" s="2171">
        <f>AE41+AF41*AG46/1000</f>
        <v/>
      </c>
      <c r="AH41" s="2187" t="n">
        <v>0</v>
      </c>
      <c r="AI41" s="2188" t="n">
        <v>0</v>
      </c>
      <c r="AJ41" s="2171">
        <f>AH41+AI41*AJ46/1000</f>
        <v/>
      </c>
      <c r="AK41" s="2187" t="n">
        <v>0</v>
      </c>
      <c r="AL41" s="2188" t="n">
        <v>0</v>
      </c>
      <c r="AM41" s="2171">
        <f>AK41+AL41*AM46/1000</f>
        <v/>
      </c>
      <c r="AN41" s="2187" t="n">
        <v>0</v>
      </c>
      <c r="AO41" s="2188" t="n">
        <v>0</v>
      </c>
      <c r="AP41" s="2171">
        <f>AN41+AO41*AP46/1000</f>
        <v/>
      </c>
      <c r="AQ41" s="2187">
        <f>SUM(G41,J41,M41,P41,S41,V41,Y41,AB41,AE41,AH41,AK41,AN41)</f>
        <v/>
      </c>
      <c r="AR41" s="2188">
        <f>SUM(H41,K41,N41,Q41,T41,W41,Z41,AC41,AF41,AI41,AL41,AO41)</f>
        <v/>
      </c>
      <c r="AS41" s="2171">
        <f>AQ41+AR41*AS46/1000</f>
        <v/>
      </c>
      <c r="AT41" s="2187">
        <f>SUM(J41,M41,P41,S41,V41,Y41,AB41,AE41,AH41,AK41,AN41,AQ41)</f>
        <v/>
      </c>
      <c r="AU41" s="2188">
        <f>SUM(K41,N41,Q41,T41,W41,Z41,AC41,AF41,AI41,AL41,AO41,AR41)</f>
        <v/>
      </c>
      <c r="AV41" s="2171">
        <f>AT41+AU41*AV46/1000</f>
        <v/>
      </c>
    </row>
    <row r="42" ht="12.75" customHeight="1">
      <c r="C42" s="11" t="inlineStr">
        <is>
          <t>F. 유동자금 증감(=B+C+D+E)</t>
        </is>
      </c>
      <c r="D42" s="11" t="n"/>
      <c r="E42" s="11" t="n"/>
      <c r="F42" s="10" t="n"/>
      <c r="G42" s="2093">
        <f>G7+G33+G36+G39</f>
        <v/>
      </c>
      <c r="H42" s="2094">
        <f>H7+H33+H36+H39</f>
        <v/>
      </c>
      <c r="I42" s="2093">
        <f>I7+I33+I36+I39</f>
        <v/>
      </c>
      <c r="J42" s="2095">
        <f>J7+J33+J36+J39</f>
        <v/>
      </c>
      <c r="K42" s="2094">
        <f>K7+K33+K36+K39</f>
        <v/>
      </c>
      <c r="L42" s="2096">
        <f>L7+L33+L36+L39</f>
        <v/>
      </c>
      <c r="M42" s="2097">
        <f>M7+M33+M36+M39</f>
        <v/>
      </c>
      <c r="N42" s="2094">
        <f>N7+N33+N36+N39</f>
        <v/>
      </c>
      <c r="O42" s="2093">
        <f>O7+O33+O36+O39</f>
        <v/>
      </c>
      <c r="P42" s="2095">
        <f>P7+P33+P36+P39</f>
        <v/>
      </c>
      <c r="Q42" s="2094">
        <f>Q7+Q33+Q36+Q39</f>
        <v/>
      </c>
      <c r="R42" s="2096">
        <f>R7+R33+R36+R39</f>
        <v/>
      </c>
      <c r="S42" s="2095">
        <f>S7+S33+S36+S39</f>
        <v/>
      </c>
      <c r="T42" s="2094">
        <f>T7+T33+T36+T39</f>
        <v/>
      </c>
      <c r="U42" s="2096">
        <f>U7+U33+U36+U39</f>
        <v/>
      </c>
      <c r="V42" s="2095">
        <f>V7+V33+V36+V39</f>
        <v/>
      </c>
      <c r="W42" s="2094">
        <f>W7+W33+W36+W39</f>
        <v/>
      </c>
      <c r="X42" s="2096">
        <f>X7+X33+X36+X39</f>
        <v/>
      </c>
      <c r="Y42" s="2095">
        <f>Y7+Y33+Y36+Y39</f>
        <v/>
      </c>
      <c r="Z42" s="2094">
        <f>Z7+Z33+Z36+Z39</f>
        <v/>
      </c>
      <c r="AA42" s="2096">
        <f>AA7+AA33+AA36+AA39</f>
        <v/>
      </c>
      <c r="AB42" s="2095">
        <f>AB7+AB33+AB36+AB39</f>
        <v/>
      </c>
      <c r="AC42" s="2094">
        <f>AC7+AC33+AC36+AC39</f>
        <v/>
      </c>
      <c r="AD42" s="2096">
        <f>AD7+AD33+AD36+AD39</f>
        <v/>
      </c>
      <c r="AE42" s="2095">
        <f>AE7+AE33+AE36+AE39</f>
        <v/>
      </c>
      <c r="AF42" s="2094">
        <f>AF7+AF33+AF36+AF39</f>
        <v/>
      </c>
      <c r="AG42" s="2096">
        <f>AG7+AG33+AG36+AG39</f>
        <v/>
      </c>
      <c r="AH42" s="2095">
        <f>AH7+AH33+AH36+AH39</f>
        <v/>
      </c>
      <c r="AI42" s="2094">
        <f>AI7+AI33+AI36+AI39</f>
        <v/>
      </c>
      <c r="AJ42" s="2096">
        <f>AJ7+AJ33+AJ36+AJ39</f>
        <v/>
      </c>
      <c r="AK42" s="2095">
        <f>AK7+AK33+AK36+AK39</f>
        <v/>
      </c>
      <c r="AL42" s="2094">
        <f>AL7+AL33+AL36+AL39</f>
        <v/>
      </c>
      <c r="AM42" s="2096">
        <f>AM7+AM33+AM36+AM39</f>
        <v/>
      </c>
      <c r="AN42" s="2095">
        <f>AN7+AN33+AN36+AN39</f>
        <v/>
      </c>
      <c r="AO42" s="2094">
        <f>AO7+AO33+AO36+AO39</f>
        <v/>
      </c>
      <c r="AP42" s="2096">
        <f>AP7+AP33+AP36+AP39</f>
        <v/>
      </c>
      <c r="AQ42" s="2095">
        <f>AQ7+AQ33+AQ36+AQ39</f>
        <v/>
      </c>
      <c r="AR42" s="2094">
        <f>AR7+AR33+AR36+AR39</f>
        <v/>
      </c>
      <c r="AS42" s="2096">
        <f>AS7+AS33+AS36+AS39</f>
        <v/>
      </c>
      <c r="AT42" s="2095">
        <f>AT7+AT33+AT36+AT39</f>
        <v/>
      </c>
      <c r="AU42" s="2094">
        <f>AU7+AU33+AU36+AU39</f>
        <v/>
      </c>
      <c r="AV42" s="2096">
        <f>AV7+AV33+AV36+AV39</f>
        <v/>
      </c>
    </row>
    <row r="43" ht="12.75" customHeight="1">
      <c r="C43" s="11" t="inlineStr">
        <is>
          <t>G. 운용자금 증감</t>
        </is>
      </c>
      <c r="D43" s="11" t="inlineStr">
        <is>
          <t>운용자금 증감</t>
        </is>
      </c>
      <c r="E43" s="11" t="n"/>
      <c r="F43" s="10" t="n"/>
      <c r="G43" s="2093">
        <f>G35-G34</f>
        <v/>
      </c>
      <c r="H43" s="2094">
        <f>H35-H34</f>
        <v/>
      </c>
      <c r="I43" s="2093">
        <f>I35-I34</f>
        <v/>
      </c>
      <c r="J43" s="2191" t="n"/>
      <c r="K43" s="2192" t="n"/>
      <c r="L43" s="2193" t="n"/>
      <c r="M43" s="2097" t="n"/>
      <c r="N43" s="2094" t="n"/>
      <c r="O43" s="2093" t="n"/>
      <c r="P43" s="2191" t="n"/>
      <c r="Q43" s="2192" t="n"/>
      <c r="R43" s="2193" t="n"/>
      <c r="S43" s="2191" t="n"/>
      <c r="T43" s="2192" t="n"/>
      <c r="U43" s="2193" t="n"/>
      <c r="V43" s="2194">
        <f>V35-V34</f>
        <v/>
      </c>
      <c r="W43" s="2192">
        <f>W35-W34</f>
        <v/>
      </c>
      <c r="X43" s="2193">
        <f>V43</f>
        <v/>
      </c>
      <c r="Y43" s="2191" t="n"/>
      <c r="Z43" s="2192" t="n"/>
      <c r="AA43" s="2193" t="n"/>
      <c r="AB43" s="2191" t="n"/>
      <c r="AC43" s="2192" t="n"/>
      <c r="AD43" s="2193" t="n"/>
      <c r="AE43" s="2191" t="n"/>
      <c r="AF43" s="2192" t="n"/>
      <c r="AG43" s="2193" t="n"/>
      <c r="AH43" s="2191" t="n"/>
      <c r="AI43" s="2192" t="n"/>
      <c r="AJ43" s="2193" t="n"/>
      <c r="AK43" s="2191" t="n"/>
      <c r="AL43" s="2192" t="n"/>
      <c r="AM43" s="2193" t="n"/>
      <c r="AN43" s="2191" t="n"/>
      <c r="AO43" s="2192" t="n"/>
      <c r="AP43" s="2193" t="n"/>
      <c r="AQ43" s="2187">
        <f>SUM(G43,J43,M43,P43,S43,V43,Y43,AB43,AE43,AH43,AK43,AN43)</f>
        <v/>
      </c>
      <c r="AR43" s="2192" t="n"/>
      <c r="AS43" s="2187">
        <f>SUM(I43,L43,O43,R43,U43,X43,AA43,AD43,AG43,AJ43,AM43,AP43)</f>
        <v/>
      </c>
      <c r="AT43" s="2191" t="n"/>
      <c r="AU43" s="2192" t="n"/>
      <c r="AV43" s="2193" t="n"/>
    </row>
    <row r="44" ht="12.75" customHeight="1">
      <c r="C44" s="11" t="inlineStr">
        <is>
          <t xml:space="preserve"> H. 기말잔고(=A+G+F)</t>
        </is>
      </c>
      <c r="D44" s="11" t="n"/>
      <c r="E44" s="11" t="n"/>
      <c r="F44" s="10" t="n"/>
      <c r="G44" s="2093">
        <f>G6+G42+G43</f>
        <v/>
      </c>
      <c r="H44" s="2094">
        <f>H6+H42+H43</f>
        <v/>
      </c>
      <c r="I44" s="2093">
        <f>I6+I42+I43</f>
        <v/>
      </c>
      <c r="J44" s="2195">
        <f>J6+J42</f>
        <v/>
      </c>
      <c r="K44" s="2196">
        <f>K6+K42</f>
        <v/>
      </c>
      <c r="L44" s="2197">
        <f>L6+L42</f>
        <v/>
      </c>
      <c r="M44" s="2097">
        <f>M6+M42</f>
        <v/>
      </c>
      <c r="N44" s="2094">
        <f>N6+N42</f>
        <v/>
      </c>
      <c r="O44" s="2093">
        <f>O6+O42</f>
        <v/>
      </c>
      <c r="P44" s="2195">
        <f>P6+P42</f>
        <v/>
      </c>
      <c r="Q44" s="2196">
        <f>Q6+Q42</f>
        <v/>
      </c>
      <c r="R44" s="2197">
        <f>R6+R42</f>
        <v/>
      </c>
      <c r="S44" s="2195">
        <f>S6+S42</f>
        <v/>
      </c>
      <c r="T44" s="2196">
        <f>T6+T42</f>
        <v/>
      </c>
      <c r="U44" s="2197">
        <f>U6+U42</f>
        <v/>
      </c>
      <c r="V44" s="2195">
        <f>V6+V42+V43</f>
        <v/>
      </c>
      <c r="W44" s="2196">
        <f>W6+W42+W43</f>
        <v/>
      </c>
      <c r="X44" s="2197">
        <f>X6+X42+X43</f>
        <v/>
      </c>
      <c r="Y44" s="2198">
        <f>Y6+Y42</f>
        <v/>
      </c>
      <c r="Z44" s="2196">
        <f>Z6+Z42</f>
        <v/>
      </c>
      <c r="AA44" s="2197">
        <f>AA6+AA42</f>
        <v/>
      </c>
      <c r="AB44" s="2195">
        <f>AB6+AB42</f>
        <v/>
      </c>
      <c r="AC44" s="2196">
        <f>AC6+AC42</f>
        <v/>
      </c>
      <c r="AD44" s="2197">
        <f>AD6+AD42</f>
        <v/>
      </c>
      <c r="AE44" s="2198">
        <f>AE6+AE42+AE43</f>
        <v/>
      </c>
      <c r="AF44" s="2196">
        <f>AF6+AF42</f>
        <v/>
      </c>
      <c r="AG44" s="2197">
        <f>AG6+AG42+AG43</f>
        <v/>
      </c>
      <c r="AH44" s="2198">
        <f>AH6+AH42</f>
        <v/>
      </c>
      <c r="AI44" s="2196">
        <f>AI6+AI42</f>
        <v/>
      </c>
      <c r="AJ44" s="2197">
        <f>AJ6+AJ42</f>
        <v/>
      </c>
      <c r="AK44" s="2195">
        <f>AK6+AK42</f>
        <v/>
      </c>
      <c r="AL44" s="2196">
        <f>AL6+AL42</f>
        <v/>
      </c>
      <c r="AM44" s="2197">
        <f>AM6+AM42</f>
        <v/>
      </c>
      <c r="AN44" s="2195">
        <f>AN6+AN42</f>
        <v/>
      </c>
      <c r="AO44" s="2196">
        <f>AO6+AO42</f>
        <v/>
      </c>
      <c r="AP44" s="2197">
        <f>AP6+AP42</f>
        <v/>
      </c>
      <c r="AQ44" s="2198">
        <f>AQ6+AQ42+AQ43</f>
        <v/>
      </c>
      <c r="AR44" s="2196">
        <f>AR6+AR42</f>
        <v/>
      </c>
      <c r="AS44" s="2197">
        <f>AS42+AS6+AS43</f>
        <v/>
      </c>
      <c r="AT44" s="2195" t="n"/>
      <c r="AU44" s="2196">
        <f>AU6+AU42</f>
        <v/>
      </c>
      <c r="AV44" s="2197" t="n"/>
    </row>
    <row r="45" ht="12.75" customHeight="1">
      <c r="G45" s="1997" t="n"/>
      <c r="P45" s="1997" t="n"/>
    </row>
    <row r="46">
      <c r="H46" s="2085" t="n"/>
      <c r="J46" s="1997" t="n"/>
      <c r="N46" s="2085" t="n"/>
      <c r="P46" s="1997" t="n"/>
      <c r="R46" s="2003" t="n"/>
      <c r="S46" s="1997" t="n"/>
      <c r="U46" s="2003" t="n"/>
      <c r="V46" s="1997" t="n"/>
      <c r="X46" s="2003" t="n"/>
      <c r="Y46" s="1997" t="n"/>
      <c r="AA46" s="2003" t="n"/>
      <c r="AB46" s="1997" t="n"/>
      <c r="AD46" s="2003" t="n"/>
      <c r="AE46" s="2003" t="n"/>
      <c r="AF46" s="2003" t="n"/>
      <c r="AG46" s="2003" t="n"/>
      <c r="AH46" s="1997" t="n"/>
      <c r="AJ46" s="2003" t="n"/>
      <c r="AK46" s="1997" t="n"/>
      <c r="AM46" s="2003" t="n"/>
      <c r="AN46" s="1997" t="n"/>
      <c r="AP46" s="2003" t="n"/>
    </row>
    <row r="47">
      <c r="H47" s="2085" t="n"/>
      <c r="N47" s="2085" t="n"/>
      <c r="V47" s="2199" t="n"/>
    </row>
    <row r="48">
      <c r="J48" s="2058" t="n"/>
      <c r="L48" s="1997" t="n"/>
      <c r="P48" s="2058" t="n"/>
      <c r="R48" s="1997" t="n"/>
      <c r="S48" s="2058" t="n"/>
      <c r="U48" s="1997" t="n"/>
      <c r="V48" s="1997" t="n"/>
      <c r="W48" s="1997" t="n"/>
      <c r="X48" s="1997" t="n"/>
      <c r="Y48" s="2058" t="n"/>
      <c r="AA48" s="1997" t="n"/>
      <c r="AB48" s="1997" t="n"/>
      <c r="AC48" s="1997" t="n"/>
      <c r="AD48" s="1997" t="n"/>
      <c r="AE48" s="1997" t="n"/>
      <c r="AF48" s="1997" t="n"/>
      <c r="AG48" s="1997" t="n"/>
      <c r="AH48" s="1997" t="n"/>
      <c r="AI48" s="1997" t="n"/>
      <c r="AJ48" s="1997" t="n"/>
      <c r="AK48" s="1997" t="n"/>
      <c r="AL48" s="1997" t="n"/>
      <c r="AM48" s="1997" t="n"/>
      <c r="AN48" s="1997" t="n"/>
      <c r="AO48" s="1997" t="n"/>
      <c r="AP48" s="1997" t="n"/>
    </row>
    <row r="49">
      <c r="V49" s="1997" t="n"/>
    </row>
    <row r="50">
      <c r="V50" s="2200" t="n"/>
    </row>
    <row r="51"/>
    <row r="52">
      <c r="G52" s="1997" t="n"/>
      <c r="M52" s="1997" t="n"/>
    </row>
  </sheetData>
  <mergeCells count="15">
    <mergeCell ref="C4:F5"/>
    <mergeCell ref="M4:O4"/>
    <mergeCell ref="S4:U4"/>
    <mergeCell ref="AK4:AM4"/>
    <mergeCell ref="G4:I4"/>
    <mergeCell ref="V4:X4"/>
    <mergeCell ref="J4:L4"/>
    <mergeCell ref="AQ4:AS4"/>
    <mergeCell ref="AE4:AG4"/>
    <mergeCell ref="AT4:AV4"/>
    <mergeCell ref="Y4:AA4"/>
    <mergeCell ref="AB4:AD4"/>
    <mergeCell ref="P4:R4"/>
    <mergeCell ref="AH4:AJ4"/>
    <mergeCell ref="AN4:AP4"/>
  </mergeCells>
  <conditionalFormatting sqref="F6:F12">
    <cfRule type="cellIs" priority="263" operator="equal" dxfId="0">
      <formula>0</formula>
    </cfRule>
  </conditionalFormatting>
  <conditionalFormatting sqref="G28:L39">
    <cfRule type="cellIs" priority="11" operator="equal" dxfId="0">
      <formula>0</formula>
    </cfRule>
  </conditionalFormatting>
  <conditionalFormatting sqref="G9:N12">
    <cfRule type="cellIs" priority="237" operator="equal" dxfId="0">
      <formula>0</formula>
    </cfRule>
  </conditionalFormatting>
  <conditionalFormatting sqref="G6:R8">
    <cfRule type="cellIs" priority="261" operator="equal" dxfId="0">
      <formula>0</formula>
    </cfRule>
  </conditionalFormatting>
  <conditionalFormatting sqref="G40:R44">
    <cfRule type="cellIs" priority="252" operator="equal" dxfId="0">
      <formula>0</formula>
    </cfRule>
  </conditionalFormatting>
  <conditionalFormatting sqref="G13:AV27">
    <cfRule type="cellIs" priority="1" operator="equal" dxfId="0">
      <formula>0</formula>
    </cfRule>
  </conditionalFormatting>
  <conditionalFormatting sqref="M33:R39">
    <cfRule type="cellIs" priority="290" operator="equal" dxfId="0">
      <formula>0</formula>
    </cfRule>
  </conditionalFormatting>
  <conditionalFormatting sqref="M28:AV32">
    <cfRule type="cellIs" priority="12" operator="equal" dxfId="0">
      <formula>0</formula>
    </cfRule>
  </conditionalFormatting>
  <conditionalFormatting sqref="O9:R9">
    <cfRule type="cellIs" priority="295" operator="equal" dxfId="0">
      <formula>0</formula>
    </cfRule>
  </conditionalFormatting>
  <conditionalFormatting sqref="O10:AV12">
    <cfRule type="cellIs" priority="23" operator="equal" dxfId="0">
      <formula>0</formula>
    </cfRule>
  </conditionalFormatting>
  <conditionalFormatting sqref="S6:AV9">
    <cfRule type="cellIs" priority="37" operator="equal" dxfId="0">
      <formula>0</formula>
    </cfRule>
  </conditionalFormatting>
  <conditionalFormatting sqref="S33:AV44">
    <cfRule type="cellIs" priority="3" operator="equal" dxfId="0">
      <formula>0</formula>
    </cfRule>
  </conditionalFormatting>
  <pageMargins left="0.26" right="0.2362204724409449" top="0.3937007874015748" bottom="0.4330708661417323" header="0.3149606299212598" footer="0.3149606299212598"/>
  <pageSetup orientation="landscape" paperSize="9" scale="56"/>
  <colBreaks count="1" manualBreakCount="1">
    <brk id="36" min="0" max="42" man="1"/>
  </colBreaks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31"/>
  <sheetViews>
    <sheetView zoomScale="130" zoomScaleNormal="130" workbookViewId="0">
      <selection activeCell="E35" sqref="E35"/>
    </sheetView>
  </sheetViews>
  <sheetFormatPr baseColWidth="8" defaultColWidth="9" defaultRowHeight="16.5" customHeight="1"/>
  <cols>
    <col width="14.625" customWidth="1" style="62" min="1" max="1"/>
    <col width="35.125" bestFit="1" customWidth="1" style="62" min="2" max="2"/>
    <col width="76.625" customWidth="1" style="63" min="3" max="3"/>
    <col width="13" customWidth="1" style="62" min="4" max="4"/>
    <col width="14.625" bestFit="1" customWidth="1" style="2201" min="5" max="5"/>
    <col width="15.125" bestFit="1" customWidth="1" style="2202" min="6" max="6"/>
    <col width="14.5" customWidth="1" style="60" min="7" max="7"/>
    <col width="14.125" bestFit="1" customWidth="1" style="61" min="8" max="8"/>
    <col width="12.875" bestFit="1" customWidth="1" style="60" min="9" max="9"/>
    <col width="15.125" bestFit="1" customWidth="1" style="60" min="10" max="10"/>
    <col width="9.5" bestFit="1" customWidth="1" style="60" min="11" max="11"/>
    <col width="9" customWidth="1" style="60" min="12" max="16384"/>
    <col width="9" customWidth="1" min="13" max="13"/>
  </cols>
  <sheetData>
    <row r="1" ht="16.5" customFormat="1" customHeight="1" s="82">
      <c r="A1" s="88" t="inlineStr">
        <is>
          <t>6월 자금실적</t>
        </is>
      </c>
      <c r="B1" s="2203" t="n"/>
      <c r="C1" s="2204" t="n"/>
      <c r="D1" s="85" t="n"/>
      <c r="E1" s="2205" t="n"/>
      <c r="F1" s="2206" t="n"/>
      <c r="H1" s="84" t="inlineStr">
        <is>
          <t>USD</t>
        </is>
      </c>
      <c r="I1" s="83" t="n">
        <v>1541.5</v>
      </c>
      <c r="K1" s="83" t="n"/>
    </row>
    <row r="2" ht="16.5" customHeight="1">
      <c r="B2" s="2207" t="n"/>
      <c r="C2" s="2208" t="n"/>
    </row>
    <row r="3" ht="16.5" customFormat="1" customHeight="1" s="62">
      <c r="A3" s="78" t="inlineStr">
        <is>
          <t>구분</t>
        </is>
      </c>
      <c r="B3" s="78" t="inlineStr">
        <is>
          <t>업체명</t>
        </is>
      </c>
      <c r="C3" s="78" t="inlineStr">
        <is>
          <t>적요</t>
        </is>
      </c>
      <c r="D3" s="78" t="inlineStr">
        <is>
          <t>통화</t>
        </is>
      </c>
      <c r="E3" s="2209" t="inlineStr">
        <is>
          <t>입금</t>
        </is>
      </c>
      <c r="F3" s="2210" t="inlineStr">
        <is>
          <t>출금</t>
        </is>
      </c>
      <c r="G3" s="78" t="inlineStr">
        <is>
          <t>외화금액</t>
        </is>
      </c>
    </row>
    <row r="4" ht="16.5" customHeight="1">
      <c r="A4" t="inlineStr">
        <is>
          <t>원천세</t>
        </is>
      </c>
      <c r="B4" t="inlineStr">
        <is>
          <t>금천세무서</t>
        </is>
      </c>
      <c r="C4" t="inlineStr">
        <is>
          <t>2026년 7월 근로소득세 원천징수</t>
        </is>
      </c>
      <c r="D4" t="inlineStr">
        <is>
          <t>KRW</t>
        </is>
      </c>
      <c r="F4" t="n">
        <v>3563860</v>
      </c>
    </row>
    <row r="5" ht="16.5" customHeight="1">
      <c r="A5" t="inlineStr">
        <is>
          <t>원천세</t>
        </is>
      </c>
      <c r="B5" t="inlineStr">
        <is>
          <t>금천구청</t>
        </is>
      </c>
      <c r="C5" t="inlineStr">
        <is>
          <t>2026년 7월 근로소득주민세 원천징수</t>
        </is>
      </c>
      <c r="D5" t="inlineStr">
        <is>
          <t>KRW</t>
        </is>
      </c>
      <c r="F5" t="n">
        <v>356380</v>
      </c>
    </row>
    <row r="6" ht="16.5" customHeight="1">
      <c r="A6" t="inlineStr">
        <is>
          <t>4대보험</t>
        </is>
      </c>
      <c r="B6" t="inlineStr">
        <is>
          <t>건강보험공단</t>
        </is>
      </c>
      <c r="C6" t="inlineStr">
        <is>
          <t>202607 4대보험-건강보험</t>
        </is>
      </c>
      <c r="D6" t="inlineStr">
        <is>
          <t>KRW</t>
        </is>
      </c>
      <c r="F6" t="n">
        <v>1678060</v>
      </c>
    </row>
    <row r="7" ht="16.5" customHeight="1">
      <c r="A7" t="inlineStr">
        <is>
          <t>4대보험</t>
        </is>
      </c>
      <c r="B7" t="inlineStr">
        <is>
          <t>국민연금공단</t>
        </is>
      </c>
      <c r="C7" t="inlineStr">
        <is>
          <t>202607 4대보험-연금보험</t>
        </is>
      </c>
      <c r="D7" t="inlineStr">
        <is>
          <t>KRW</t>
        </is>
      </c>
      <c r="F7" t="n">
        <v>1165240</v>
      </c>
    </row>
    <row r="8" ht="16.5" customHeight="1">
      <c r="A8" t="inlineStr">
        <is>
          <t>4대보험</t>
        </is>
      </c>
      <c r="B8" t="inlineStr">
        <is>
          <t>고용보험공단</t>
        </is>
      </c>
      <c r="C8" t="inlineStr">
        <is>
          <t>202607 4대보험-고용보험</t>
        </is>
      </c>
      <c r="D8" t="inlineStr">
        <is>
          <t>KRW</t>
        </is>
      </c>
      <c r="F8" t="n">
        <v>117760</v>
      </c>
    </row>
    <row r="9" ht="16.5" customHeight="1">
      <c r="A9" t="inlineStr">
        <is>
          <t>4대보험</t>
        </is>
      </c>
      <c r="B9" t="inlineStr">
        <is>
          <t>고용보험공단</t>
        </is>
      </c>
      <c r="C9" t="inlineStr">
        <is>
          <t>202607 4대보험-고용보험</t>
        </is>
      </c>
      <c r="D9" t="inlineStr">
        <is>
          <t>KRW</t>
        </is>
      </c>
      <c r="F9" t="n">
        <v>42930</v>
      </c>
    </row>
    <row r="10" ht="16.5" customHeight="1">
      <c r="A10" t="inlineStr">
        <is>
          <t>퇴직연금</t>
        </is>
      </c>
      <c r="B10" t="inlineStr">
        <is>
          <t>기업은행_가산디지털중앙</t>
        </is>
      </c>
      <c r="C10" t="inlineStr">
        <is>
          <t>임직원 퇴직연금_기업은행</t>
        </is>
      </c>
      <c r="D10" t="inlineStr">
        <is>
          <t>KRW</t>
        </is>
      </c>
      <c r="F10" t="n">
        <v>1466670</v>
      </c>
    </row>
    <row r="11" ht="16.5" customHeight="1">
      <c r="A11" t="inlineStr">
        <is>
          <t>지급수수료</t>
        </is>
      </c>
      <c r="B11" t="inlineStr">
        <is>
          <t>기업은행_가산디지털중앙</t>
        </is>
      </c>
      <c r="C11" t="inlineStr">
        <is>
          <t>2026년 퇴직연금 관리 수수료 납입의 건(기업은행)</t>
        </is>
      </c>
      <c r="D11" t="inlineStr">
        <is>
          <t>KRW</t>
        </is>
      </c>
      <c r="F11" t="n">
        <v>476281</v>
      </c>
    </row>
    <row r="12" ht="16.5" customHeight="1">
      <c r="A12" t="inlineStr">
        <is>
          <t>퇴직연금</t>
        </is>
      </c>
      <c r="B12" t="inlineStr">
        <is>
          <t>(주)한국투자증권</t>
        </is>
      </c>
      <c r="C12" t="inlineStr">
        <is>
          <t>임직원 퇴직연금_한국투자증권</t>
        </is>
      </c>
      <c r="D12" t="inlineStr">
        <is>
          <t>KRW</t>
        </is>
      </c>
      <c r="F12" t="n">
        <v>461810</v>
      </c>
    </row>
    <row r="13" ht="16.5" customHeight="1">
      <c r="A13" t="inlineStr">
        <is>
          <t>복리후생비</t>
        </is>
      </c>
      <c r="B13" t="inlineStr">
        <is>
          <t>삼성웰스토리(주)컴투스</t>
        </is>
      </c>
      <c r="C13" t="inlineStr">
        <is>
          <t>사내식당 임직원 식대</t>
        </is>
      </c>
      <c r="D13" t="inlineStr">
        <is>
          <t>KRW</t>
        </is>
      </c>
      <c r="F13" t="n">
        <v>216000</v>
      </c>
    </row>
    <row r="14" ht="16.5" customHeight="1">
      <c r="A14" t="inlineStr">
        <is>
          <t>기타지출</t>
        </is>
      </c>
      <c r="B14" t="inlineStr">
        <is>
          <t>주식회사 세포아소프트</t>
        </is>
      </c>
      <c r="C14" t="inlineStr">
        <is>
          <t>법인카드데이타 연동서비스</t>
        </is>
      </c>
      <c r="D14" t="inlineStr">
        <is>
          <t>KRW</t>
        </is>
      </c>
      <c r="F14" t="n">
        <v>110000</v>
      </c>
    </row>
    <row r="15" ht="16.5" customHeight="1">
      <c r="A15" t="inlineStr">
        <is>
          <t>기타지출</t>
        </is>
      </c>
      <c r="B15" t="inlineStr">
        <is>
          <t>아름다운세차</t>
        </is>
      </c>
      <c r="C15" t="inlineStr">
        <is>
          <t>임원 복리후생(정기세차) 비용 납부</t>
        </is>
      </c>
      <c r="D15" t="inlineStr">
        <is>
          <t>KRW</t>
        </is>
      </c>
      <c r="F15" t="n">
        <v>99000</v>
      </c>
    </row>
    <row r="16" ht="16.5" customHeight="1">
      <c r="A16" t="inlineStr">
        <is>
          <t>복리후생비</t>
        </is>
      </c>
      <c r="B16" t="inlineStr">
        <is>
          <t>최민준(주택자금대출)</t>
        </is>
      </c>
      <c r="C16" t="inlineStr">
        <is>
          <t>주택자금대출 이자지원</t>
        </is>
      </c>
      <c r="D16" t="inlineStr">
        <is>
          <t>KRW</t>
        </is>
      </c>
      <c r="F16" t="n">
        <v>55956</v>
      </c>
    </row>
    <row r="17" ht="16.5" customHeight="1">
      <c r="A17" t="inlineStr">
        <is>
          <t>복리후생비</t>
        </is>
      </c>
      <c r="B17" t="inlineStr">
        <is>
          <t>카페 어썸</t>
        </is>
      </c>
      <c r="C17" t="inlineStr">
        <is>
          <t>사내카페 운영비용</t>
        </is>
      </c>
      <c r="D17" t="inlineStr">
        <is>
          <t>KRW</t>
        </is>
      </c>
      <c r="F17" t="n">
        <v>13700</v>
      </c>
    </row>
    <row r="18" ht="16.5" customHeight="1">
      <c r="A18" t="inlineStr">
        <is>
          <t>기타지출</t>
        </is>
      </c>
      <c r="B18" t="inlineStr">
        <is>
          <t>임직원</t>
        </is>
      </c>
      <c r="C18" t="inlineStr">
        <is>
          <t>260818직원비용-카탈리스터(8/18)</t>
        </is>
      </c>
      <c r="D18" t="inlineStr">
        <is>
          <t>KRW</t>
        </is>
      </c>
      <c r="F18" t="n">
        <v>2656646</v>
      </c>
    </row>
    <row r="19" ht="16.5" customHeight="1">
      <c r="A19" t="inlineStr">
        <is>
          <t>직원비용</t>
        </is>
      </c>
      <c r="B19" t="inlineStr">
        <is>
          <t>삼성카드</t>
        </is>
      </c>
      <c r="C19" t="inlineStr">
        <is>
          <t>공용법인카드대금(8/18)</t>
        </is>
      </c>
      <c r="D19" t="inlineStr">
        <is>
          <t>KRW</t>
        </is>
      </c>
      <c r="F19" t="n">
        <v>1289900</v>
      </c>
    </row>
    <row r="20" ht="16.5" customHeight="1">
      <c r="A20" t="inlineStr">
        <is>
          <t>직원비용</t>
        </is>
      </c>
      <c r="B20" t="inlineStr">
        <is>
          <t>삼성카드</t>
        </is>
      </c>
      <c r="C20" t="inlineStr">
        <is>
          <t>공용법인카드대금(8/18)</t>
        </is>
      </c>
      <c r="D20" t="inlineStr">
        <is>
          <t>KRW</t>
        </is>
      </c>
      <c r="F20" t="n">
        <v>78166</v>
      </c>
    </row>
    <row r="21" ht="16.5" customHeight="1">
      <c r="A21" t="inlineStr">
        <is>
          <t>지급임차료</t>
        </is>
      </c>
      <c r="B21" t="inlineStr">
        <is>
          <t>(주)컴투스</t>
        </is>
      </c>
      <c r="C21" t="inlineStr">
        <is>
          <t>BYC 하이시티 B동 24층 월정임차료</t>
        </is>
      </c>
      <c r="D21" t="inlineStr">
        <is>
          <t>KRW</t>
        </is>
      </c>
      <c r="F21" t="n">
        <v>919248</v>
      </c>
    </row>
    <row r="22" ht="16.5" customHeight="1">
      <c r="A22" t="inlineStr">
        <is>
          <t>기타제세공과금</t>
        </is>
      </c>
      <c r="B22" t="inlineStr">
        <is>
          <t>금천구청</t>
        </is>
      </c>
      <c r="C22" t="inlineStr">
        <is>
          <t>2026년 주민세(사업소분)</t>
        </is>
      </c>
      <c r="D22" t="inlineStr">
        <is>
          <t>KRW</t>
        </is>
      </c>
      <c r="F22" t="n">
        <v>250000</v>
      </c>
    </row>
    <row r="23" ht="16.5" customHeight="1">
      <c r="A23" t="inlineStr">
        <is>
          <t>경영지원용역비</t>
        </is>
      </c>
      <c r="B23" t="inlineStr">
        <is>
          <t>(주)컴투스</t>
        </is>
      </c>
      <c r="C23" t="inlineStr">
        <is>
          <t>인사 용역료 지급</t>
        </is>
      </c>
      <c r="D23" t="inlineStr">
        <is>
          <t>KRW</t>
        </is>
      </c>
      <c r="F23" t="n">
        <v>43689</v>
      </c>
    </row>
    <row r="24" ht="16.5" customHeight="1">
      <c r="A24" t="inlineStr">
        <is>
          <t>전산유지비</t>
        </is>
      </c>
      <c r="B24" t="inlineStr">
        <is>
          <t>㈜닥터소프트</t>
        </is>
      </c>
      <c r="C24" t="inlineStr">
        <is>
          <t>[확정] 자산관리 솔루션(Netrix) 유지보수 수수료</t>
        </is>
      </c>
      <c r="D24" t="inlineStr">
        <is>
          <t>KRW</t>
        </is>
      </c>
      <c r="F24" t="n">
        <v>825</v>
      </c>
    </row>
    <row r="25" ht="16.5" customHeight="1">
      <c r="A25" t="inlineStr">
        <is>
          <t>급여</t>
        </is>
      </c>
      <c r="B25" t="inlineStr">
        <is>
          <t>임직원</t>
        </is>
      </c>
      <c r="C25" t="inlineStr">
        <is>
          <t>260825급여-카탈리스터(8/25)</t>
        </is>
      </c>
      <c r="D25" t="inlineStr">
        <is>
          <t>KRW</t>
        </is>
      </c>
      <c r="F25" t="n">
        <v>14809777</v>
      </c>
    </row>
    <row r="26" ht="16.5" customHeight="1">
      <c r="A26" t="inlineStr">
        <is>
          <t>전산유지비</t>
        </is>
      </c>
      <c r="B26" t="inlineStr">
        <is>
          <t>베스핀글로벌</t>
        </is>
      </c>
      <c r="C26" t="inlineStr">
        <is>
          <t>[확정] 구글 클라우드 플랫폼 EDP 이용료</t>
        </is>
      </c>
      <c r="D26" t="inlineStr">
        <is>
          <t>KRW</t>
        </is>
      </c>
      <c r="F26" t="n">
        <v>525415</v>
      </c>
    </row>
    <row r="27" ht="16.5" customHeight="1">
      <c r="A27" t="inlineStr">
        <is>
          <t>전산유지비</t>
        </is>
      </c>
      <c r="B27" t="inlineStr">
        <is>
          <t>텐센트코리아</t>
        </is>
      </c>
      <c r="C27" t="inlineStr">
        <is>
          <t>[확정] 텐센트 클라우드 서비스 이용료</t>
        </is>
      </c>
      <c r="D27" t="inlineStr">
        <is>
          <t>KRW</t>
        </is>
      </c>
      <c r="F27" t="n">
        <v>323203</v>
      </c>
    </row>
    <row r="28" ht="16.5" customHeight="1">
      <c r="A28" t="inlineStr">
        <is>
          <t>기타지출</t>
        </is>
      </c>
      <c r="B28" t="inlineStr">
        <is>
          <t>주식회사 신도네트웍스</t>
        </is>
      </c>
      <c r="C28" t="inlineStr">
        <is>
          <t>사무실 복합기 소모품(토너) 구매 대금</t>
        </is>
      </c>
      <c r="D28" t="inlineStr">
        <is>
          <t>KRW</t>
        </is>
      </c>
      <c r="F28" t="n">
        <v>297000</v>
      </c>
    </row>
    <row r="29" ht="16.5" customHeight="1">
      <c r="A29" t="inlineStr">
        <is>
          <t>기타지출</t>
        </is>
      </c>
      <c r="B29" t="inlineStr">
        <is>
          <t>유플러스</t>
        </is>
      </c>
      <c r="C29" t="inlineStr">
        <is>
          <t>회사 대표번호 전화요금 지불의 건</t>
        </is>
      </c>
      <c r="D29" t="inlineStr">
        <is>
          <t>KRW</t>
        </is>
      </c>
      <c r="F29" t="n">
        <v>18700</v>
      </c>
    </row>
    <row r="30" ht="16.5" customHeight="1">
      <c r="A30" t="inlineStr">
        <is>
          <t>기타지출</t>
        </is>
      </c>
      <c r="B30" t="inlineStr">
        <is>
          <t>LGU+통신전화</t>
        </is>
      </c>
      <c r="C30" t="inlineStr">
        <is>
          <t>통신비</t>
        </is>
      </c>
      <c r="D30" t="inlineStr">
        <is>
          <t>KRW</t>
        </is>
      </c>
      <c r="F30" t="n">
        <v>4380</v>
      </c>
    </row>
    <row r="31" ht="16.5" customHeight="1">
      <c r="A31" t="inlineStr">
        <is>
          <t>외상매출금</t>
        </is>
      </c>
      <c r="B31" t="inlineStr">
        <is>
          <t>컴투스플랫폼</t>
        </is>
      </c>
      <c r="C31" t="inlineStr">
        <is>
          <t>서버비 정산</t>
        </is>
      </c>
      <c r="D31" t="inlineStr">
        <is>
          <t>KRW</t>
        </is>
      </c>
      <c r="E31" t="n">
        <v>168355</v>
      </c>
    </row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</sheetData>
  <autoFilter ref="A3:G90"/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 fitToPage="1"/>
  </sheetPr>
  <dimension ref="A1:V30"/>
  <sheetViews>
    <sheetView zoomScale="115" zoomScaleNormal="115" workbookViewId="0">
      <selection activeCell="B42" sqref="B42"/>
    </sheetView>
  </sheetViews>
  <sheetFormatPr baseColWidth="8" defaultColWidth="9" defaultRowHeight="16.5" customHeight="1"/>
  <cols>
    <col width="18" customWidth="1" style="77" min="1" max="1"/>
    <col width="38.625" customWidth="1" style="77" min="2" max="2"/>
    <col width="71.875" customWidth="1" style="89" min="3" max="3"/>
    <col width="13.125" customWidth="1" style="77" min="4" max="4"/>
    <col width="20" customWidth="1" style="2231" min="5" max="6"/>
    <col width="21.125" customWidth="1" style="89" min="7" max="7"/>
    <col width="9.875" customWidth="1" style="89" min="8" max="8"/>
    <col width="11" bestFit="1" customWidth="1" style="89" min="9" max="9"/>
    <col width="12.5" bestFit="1" customWidth="1" style="89" min="10" max="10"/>
    <col width="11.875" bestFit="1" customWidth="1" style="2232" min="11" max="11"/>
    <col width="13.375" bestFit="1" customWidth="1" style="2232" min="12" max="12"/>
    <col width="10.625" customWidth="1" style="89" min="13" max="21"/>
    <col width="14.875" customWidth="1" style="89" min="22" max="22"/>
    <col width="9" customWidth="1" style="89" min="23" max="16384"/>
    <col width="9" customWidth="1" min="24" max="24"/>
  </cols>
  <sheetData>
    <row r="1" ht="20.25" customHeight="1">
      <c r="A1" s="101" t="inlineStr">
        <is>
          <t>7월 자금계획</t>
        </is>
      </c>
      <c r="B1" s="516" t="n"/>
      <c r="G1" s="2233" t="inlineStr">
        <is>
          <t>환율</t>
        </is>
      </c>
      <c r="H1" s="97" t="inlineStr">
        <is>
          <t>USD</t>
        </is>
      </c>
      <c r="I1" s="99" t="n">
        <v>1541.5</v>
      </c>
      <c r="J1" s="1431" t="n"/>
      <c r="L1" s="2234" t="n"/>
      <c r="M1" s="2235" t="n"/>
      <c r="N1" s="97" t="n"/>
      <c r="O1" s="2235" t="n"/>
      <c r="P1" s="97" t="n"/>
      <c r="Q1" s="2235" t="n"/>
      <c r="R1" s="97" t="n"/>
      <c r="S1" s="2235" t="n"/>
      <c r="T1" s="97" t="n"/>
      <c r="U1" s="2235" t="n"/>
      <c r="V1" s="97" t="n"/>
    </row>
    <row r="2" ht="16.5" customHeight="1">
      <c r="A2" s="94" t="n"/>
      <c r="B2" s="2236" t="n"/>
      <c r="H2" s="95" t="n"/>
      <c r="J2" s="77" t="n"/>
      <c r="K2" s="2236" t="n"/>
      <c r="L2" s="2236" t="n"/>
      <c r="Q2" s="2231" t="n"/>
    </row>
    <row r="3" ht="16.5" customHeight="1">
      <c r="A3" s="96" t="inlineStr">
        <is>
          <t>구분</t>
        </is>
      </c>
      <c r="B3" s="96" t="inlineStr">
        <is>
          <t>업체명</t>
        </is>
      </c>
      <c r="C3" s="96" t="inlineStr">
        <is>
          <t>적요</t>
        </is>
      </c>
      <c r="D3" s="96" t="inlineStr">
        <is>
          <t>통화</t>
        </is>
      </c>
      <c r="E3" s="2237" t="inlineStr">
        <is>
          <t>입금</t>
        </is>
      </c>
      <c r="F3" s="2237" t="inlineStr">
        <is>
          <t>출금</t>
        </is>
      </c>
      <c r="G3" s="78" t="inlineStr">
        <is>
          <t>외화금액</t>
        </is>
      </c>
      <c r="H3" s="95" t="n"/>
    </row>
    <row r="4" hidden="1" ht="16.5" customFormat="1" customHeight="1" s="60">
      <c r="A4" t="inlineStr">
        <is>
          <t>직원비용</t>
        </is>
      </c>
      <c r="B4" t="inlineStr">
        <is>
          <t>㈜비즈마켓</t>
        </is>
      </c>
      <c r="C4" t="inlineStr">
        <is>
          <t>복지포인트 온라인 결제금액</t>
        </is>
      </c>
      <c r="D4" t="inlineStr">
        <is>
          <t>KRW</t>
        </is>
      </c>
      <c r="F4" t="n">
        <v>500000</v>
      </c>
    </row>
    <row r="5" hidden="1" ht="16.5" customFormat="1" customHeight="1" s="60">
      <c r="A5" t="inlineStr">
        <is>
          <t>직원비용</t>
        </is>
      </c>
      <c r="B5" t="inlineStr">
        <is>
          <t>하나카드</t>
        </is>
      </c>
      <c r="C5" t="inlineStr">
        <is>
          <t>복지포인트 오프라인 결제금액</t>
        </is>
      </c>
      <c r="D5" t="inlineStr">
        <is>
          <t>KRW</t>
        </is>
      </c>
      <c r="F5" t="n">
        <v>2000000</v>
      </c>
    </row>
    <row r="6" ht="16.5" customFormat="1" customHeight="1" s="60">
      <c r="A6" t="inlineStr">
        <is>
          <t>기타지출</t>
        </is>
      </c>
      <c r="B6" t="inlineStr">
        <is>
          <t>삼신상사</t>
        </is>
      </c>
      <c r="C6" t="inlineStr">
        <is>
          <t>경조업체</t>
        </is>
      </c>
      <c r="D6" t="inlineStr">
        <is>
          <t>KRW</t>
        </is>
      </c>
      <c r="F6" t="n">
        <v>300000</v>
      </c>
    </row>
    <row r="7" ht="16.5" customFormat="1" customHeight="1" s="60">
      <c r="A7" t="inlineStr">
        <is>
          <t>기타지출</t>
        </is>
      </c>
      <c r="B7" t="inlineStr">
        <is>
          <t>아름다운세차</t>
        </is>
      </c>
      <c r="C7" t="inlineStr">
        <is>
          <t>임원 세차</t>
        </is>
      </c>
      <c r="D7" t="inlineStr">
        <is>
          <t>KRW</t>
        </is>
      </c>
      <c r="F7" t="n">
        <v>110000</v>
      </c>
    </row>
    <row r="8" ht="16.5" customFormat="1" customHeight="1" s="60">
      <c r="A8" t="inlineStr">
        <is>
          <t>4대보험</t>
        </is>
      </c>
      <c r="B8" t="inlineStr">
        <is>
          <t>국민연금보험공단</t>
        </is>
      </c>
      <c r="C8" t="inlineStr">
        <is>
          <t>연금보험료</t>
        </is>
      </c>
      <c r="D8" t="inlineStr">
        <is>
          <t>KRW</t>
        </is>
      </c>
      <c r="F8" t="n">
        <v>1165240</v>
      </c>
    </row>
    <row r="9" ht="16.5" customFormat="1" customHeight="1" s="60">
      <c r="A9" t="inlineStr">
        <is>
          <t>4대보험</t>
        </is>
      </c>
      <c r="B9" t="inlineStr">
        <is>
          <t>국민건강보험공단</t>
        </is>
      </c>
      <c r="C9" t="inlineStr">
        <is>
          <t>건강보험료</t>
        </is>
      </c>
      <c r="D9" t="inlineStr">
        <is>
          <t>KRW</t>
        </is>
      </c>
      <c r="F9" t="n">
        <v>1678060</v>
      </c>
    </row>
    <row r="10" ht="16.5" customFormat="1" customHeight="1" s="60">
      <c r="A10" t="inlineStr">
        <is>
          <t>4대보험</t>
        </is>
      </c>
      <c r="B10" t="inlineStr">
        <is>
          <t>고용보험공단</t>
        </is>
      </c>
      <c r="C10" t="inlineStr">
        <is>
          <t>고용산재보험료</t>
        </is>
      </c>
      <c r="D10" t="inlineStr">
        <is>
          <t>KRW</t>
        </is>
      </c>
      <c r="F10" t="n">
        <v>161190</v>
      </c>
    </row>
    <row r="11" ht="16.5" customFormat="1" customHeight="1" s="60">
      <c r="A11" t="inlineStr">
        <is>
          <t>급여</t>
        </is>
      </c>
      <c r="B11" t="inlineStr">
        <is>
          <t>임직원</t>
        </is>
      </c>
      <c r="C11" t="inlineStr">
        <is>
          <t>급여</t>
        </is>
      </c>
      <c r="D11" t="inlineStr">
        <is>
          <t>KRW</t>
        </is>
      </c>
      <c r="F11" t="n">
        <v>15000000</v>
      </c>
    </row>
    <row r="12" ht="16.5" customFormat="1" customHeight="1" s="60">
      <c r="A12" t="inlineStr">
        <is>
          <t>원천세</t>
        </is>
      </c>
      <c r="B12" t="inlineStr">
        <is>
          <t>금천세무서, 금천구청</t>
        </is>
      </c>
      <c r="C12" t="inlineStr">
        <is>
          <t>근로소득세/지방소득세/종업원할사업소세</t>
        </is>
      </c>
      <c r="D12" t="inlineStr">
        <is>
          <t>KRW</t>
        </is>
      </c>
      <c r="F12" t="n">
        <v>4000000</v>
      </c>
    </row>
    <row r="13" ht="16.5" customFormat="1" customHeight="1" s="60">
      <c r="A13" t="inlineStr">
        <is>
          <t>퇴직연금</t>
        </is>
      </c>
      <c r="B13" t="inlineStr">
        <is>
          <t>한국투자증권,미래에셋증권, 기업은행</t>
        </is>
      </c>
      <c r="C13" t="inlineStr">
        <is>
          <t>퇴직연금</t>
        </is>
      </c>
      <c r="D13" t="inlineStr">
        <is>
          <t>KRW</t>
        </is>
      </c>
      <c r="F13" t="n">
        <v>1928480</v>
      </c>
    </row>
    <row r="14" ht="16.5" customFormat="1" customHeight="1" s="60" thickBot="1">
      <c r="A14" t="inlineStr">
        <is>
          <t>복리후생비</t>
        </is>
      </c>
      <c r="B14" t="inlineStr">
        <is>
          <t>삼성웰스토리</t>
        </is>
      </c>
      <c r="C14" t="inlineStr">
        <is>
          <t>사내식당 이용 금액</t>
        </is>
      </c>
      <c r="D14" t="inlineStr">
        <is>
          <t>KRW</t>
        </is>
      </c>
      <c r="F14" t="n">
        <v>216000.4</v>
      </c>
    </row>
    <row r="15" ht="16.5" customFormat="1" customHeight="1" s="60" thickBot="1" thickTop="1">
      <c r="A15" t="inlineStr">
        <is>
          <t>복리후생비</t>
        </is>
      </c>
      <c r="B15" t="inlineStr">
        <is>
          <t>카페어썸</t>
        </is>
      </c>
      <c r="C15" t="inlineStr">
        <is>
          <t>사내카페 이용 금액</t>
        </is>
      </c>
      <c r="D15" t="inlineStr">
        <is>
          <t>KRW</t>
        </is>
      </c>
      <c r="F15" t="n">
        <v>13700.5</v>
      </c>
    </row>
    <row r="16" ht="16.5" customFormat="1" customHeight="1" s="60" thickTop="1">
      <c r="A16" t="inlineStr">
        <is>
          <t>기타지출</t>
        </is>
      </c>
      <c r="B16" t="inlineStr">
        <is>
          <t>LG U+</t>
        </is>
      </c>
      <c r="C16" t="inlineStr">
        <is>
          <t>사내 인터넷전화 이용 금액</t>
        </is>
      </c>
      <c r="D16" t="inlineStr">
        <is>
          <t>KRW</t>
        </is>
      </c>
      <c r="F16" t="n">
        <v>3157</v>
      </c>
    </row>
    <row r="17" ht="16.5" customFormat="1" customHeight="1" s="60">
      <c r="A17" t="inlineStr">
        <is>
          <t>기타지출</t>
        </is>
      </c>
      <c r="B17" t="inlineStr">
        <is>
          <t>고워드</t>
        </is>
      </c>
      <c r="C17" t="inlineStr">
        <is>
          <t>국내 퀵 운반비</t>
        </is>
      </c>
      <c r="D17" t="inlineStr">
        <is>
          <t>KRW</t>
        </is>
      </c>
      <c r="F17" t="n">
        <v>20350</v>
      </c>
    </row>
    <row r="18" ht="16.5" customFormat="1" customHeight="1" s="60">
      <c r="A18" t="inlineStr">
        <is>
          <t>기타지출</t>
        </is>
      </c>
      <c r="B18" t="inlineStr">
        <is>
          <t>다큐페이스</t>
        </is>
      </c>
      <c r="C18" t="inlineStr">
        <is>
          <t>명함</t>
        </is>
      </c>
      <c r="D18" t="inlineStr">
        <is>
          <t>KRW</t>
        </is>
      </c>
      <c r="F18" t="n">
        <v>19800</v>
      </c>
    </row>
    <row r="19" ht="16.5" customFormat="1" customHeight="1" s="60">
      <c r="A19" t="inlineStr">
        <is>
          <t>경영지원용역비</t>
        </is>
      </c>
      <c r="B19" t="inlineStr">
        <is>
          <t>㈜컴투스</t>
        </is>
      </c>
      <c r="C19" t="inlineStr">
        <is>
          <t>인사 용역료</t>
        </is>
      </c>
      <c r="D19" t="inlineStr">
        <is>
          <t>KRW</t>
        </is>
      </c>
      <c r="F19" t="n">
        <v>43689</v>
      </c>
    </row>
    <row r="20" ht="16.5" customFormat="1" customHeight="1" s="60">
      <c r="A20" t="inlineStr">
        <is>
          <t>지급임차료</t>
        </is>
      </c>
      <c r="B20" t="inlineStr">
        <is>
          <t>㈜컴투스</t>
        </is>
      </c>
      <c r="C20" t="inlineStr">
        <is>
          <t>월정임차료 및 관리비</t>
        </is>
      </c>
      <c r="D20" t="inlineStr">
        <is>
          <t>KRW</t>
        </is>
      </c>
      <c r="F20" t="n">
        <v>919248</v>
      </c>
    </row>
    <row r="21" ht="16.5" customFormat="1" customHeight="1" s="60">
      <c r="A21" t="inlineStr">
        <is>
          <t>기타지출</t>
        </is>
      </c>
      <c r="B21" t="inlineStr">
        <is>
          <t>LG유플러스</t>
        </is>
      </c>
      <c r="C21" t="inlineStr">
        <is>
          <t>대표번호 전화요금</t>
        </is>
      </c>
      <c r="D21" t="inlineStr">
        <is>
          <t>KRW</t>
        </is>
      </c>
      <c r="F21" t="n">
        <v>18700</v>
      </c>
    </row>
    <row r="22" ht="16.5" customFormat="1" customHeight="1" s="60">
      <c r="A22" t="inlineStr">
        <is>
          <t>직원비용</t>
        </is>
      </c>
      <c r="B22" t="inlineStr">
        <is>
          <t>주식회사 세포아소프트</t>
        </is>
      </c>
      <c r="C22" t="inlineStr">
        <is>
          <t>법인카드 데이터 연동시스템 사용</t>
        </is>
      </c>
      <c r="D22" t="inlineStr">
        <is>
          <t>KRW</t>
        </is>
      </c>
      <c r="F22" t="n">
        <v>110000</v>
      </c>
    </row>
    <row r="23" ht="16.5" customFormat="1" customHeight="1" s="60">
      <c r="A23" t="inlineStr">
        <is>
          <t>전산유지비</t>
        </is>
      </c>
      <c r="B23" t="inlineStr">
        <is>
          <t>컴투스플랫폼</t>
        </is>
      </c>
      <c r="C23" t="inlineStr">
        <is>
          <t>텐센트클라우드 서비스 이용료 분담</t>
        </is>
      </c>
      <c r="D23" t="inlineStr">
        <is>
          <t>KRW</t>
        </is>
      </c>
      <c r="E23" t="n">
        <v>158170</v>
      </c>
    </row>
    <row r="24" ht="16.5" customFormat="1" customHeight="1" s="60">
      <c r="A24" t="inlineStr">
        <is>
          <t>외상매출금</t>
        </is>
      </c>
      <c r="B24" t="inlineStr">
        <is>
          <t>주식회사 에이탑유니버스</t>
        </is>
      </c>
      <c r="C24" t="inlineStr">
        <is>
          <t>캐릭터 개발 용역수익</t>
        </is>
      </c>
      <c r="D24" t="inlineStr">
        <is>
          <t>KRW</t>
        </is>
      </c>
      <c r="E24" t="n">
        <v>11000000</v>
      </c>
    </row>
    <row r="25" ht="16.5" customFormat="1" customHeight="1" s="60">
      <c r="A25" t="inlineStr">
        <is>
          <t>S/W</t>
        </is>
      </c>
      <c r="B25" t="inlineStr">
        <is>
          <t>(주)닥터소프트</t>
        </is>
      </c>
      <c r="C25" t="inlineStr">
        <is>
          <t>S/W 자산솔루션(Netrix) 유지보수</t>
        </is>
      </c>
      <c r="D25" t="inlineStr">
        <is>
          <t>KRW</t>
        </is>
      </c>
      <c r="F25" t="n">
        <v>825</v>
      </c>
    </row>
    <row r="26" ht="16.5" customFormat="1" customHeight="1" s="60">
      <c r="A26" t="inlineStr">
        <is>
          <t>전산유지비</t>
        </is>
      </c>
      <c r="B26" t="inlineStr">
        <is>
          <t>가비아</t>
        </is>
      </c>
      <c r="C26" t="inlineStr">
        <is>
          <t>도메인 연장 구매 예상 비용</t>
        </is>
      </c>
      <c r="D26" t="inlineStr">
        <is>
          <t>KRW</t>
        </is>
      </c>
      <c r="F26" t="n">
        <v>126500</v>
      </c>
    </row>
    <row r="27" ht="16.5" customFormat="1" customHeight="1" s="60">
      <c r="A27" t="inlineStr">
        <is>
          <t>전산유지비</t>
        </is>
      </c>
      <c r="B27" t="inlineStr">
        <is>
          <t>베스핀글로벌(주)</t>
        </is>
      </c>
      <c r="C27" t="inlineStr">
        <is>
          <t>구글 클라우드 플랫폼 EDP 계약</t>
        </is>
      </c>
      <c r="D27" t="inlineStr">
        <is>
          <t>KRW</t>
        </is>
      </c>
      <c r="F27" t="n">
        <v>524700</v>
      </c>
    </row>
    <row r="28" ht="16.5" customFormat="1" customHeight="1" s="60">
      <c r="A28" t="inlineStr">
        <is>
          <t>전산유지비</t>
        </is>
      </c>
      <c r="B28" t="inlineStr">
        <is>
          <t>텐센트코리아 유한회사</t>
        </is>
      </c>
      <c r="C28" t="inlineStr">
        <is>
          <t>텐센트 클라우드</t>
        </is>
      </c>
      <c r="D28" t="inlineStr">
        <is>
          <t>KRW</t>
        </is>
      </c>
      <c r="F28" t="n">
        <v>322300</v>
      </c>
    </row>
    <row r="29" ht="16.5" customFormat="1" customHeight="1" s="60">
      <c r="A29" t="inlineStr">
        <is>
          <t>복리후생비</t>
        </is>
      </c>
      <c r="B29" t="inlineStr">
        <is>
          <t>임직원</t>
        </is>
      </c>
      <c r="C29" t="inlineStr">
        <is>
          <t>주택자금대출 이자 지원</t>
        </is>
      </c>
      <c r="D29" t="inlineStr">
        <is>
          <t>KRW</t>
        </is>
      </c>
      <c r="F29" t="n">
        <v>56394</v>
      </c>
    </row>
    <row r="30" ht="16.5" customFormat="1" customHeight="1" s="60">
      <c r="A30" t="inlineStr">
        <is>
          <t>직원비용</t>
        </is>
      </c>
      <c r="B30" t="inlineStr">
        <is>
          <t>삼성카드</t>
        </is>
      </c>
      <c r="C30" t="inlineStr">
        <is>
          <t>삼성카드 법인카드 대금</t>
        </is>
      </c>
      <c r="D30" t="inlineStr">
        <is>
          <t>KRW</t>
        </is>
      </c>
      <c r="F30" t="n">
        <v>5612560</v>
      </c>
    </row>
    <row r="31" ht="16.5" customFormat="1" customHeight="1" s="60"/>
    <row r="32" ht="15.6" customFormat="1" customHeight="1" s="60"/>
    <row r="33" ht="15.6" customFormat="1" customHeight="1" s="60"/>
    <row r="34" ht="15.6" customFormat="1" customHeight="1" s="60"/>
    <row r="35" ht="15.6" customFormat="1" customHeight="1" s="60"/>
    <row r="36" ht="15.6" customFormat="1" customHeight="1" s="60"/>
    <row r="37" ht="15.6" customFormat="1" customHeight="1" s="60"/>
    <row r="38" ht="15.6" customFormat="1" customHeight="1" s="60"/>
    <row r="39" ht="15.6" customFormat="1" customHeight="1" s="60"/>
    <row r="40" ht="15.6" customFormat="1" customHeight="1" s="60"/>
    <row r="41" ht="15.6" customFormat="1" customHeight="1" s="60"/>
    <row r="42" ht="15.6" customFormat="1" customHeight="1" s="60"/>
    <row r="43" hidden="1" ht="16.5" customFormat="1" customHeight="1" s="60"/>
    <row r="44" ht="16.5" customFormat="1" customHeight="1" s="60"/>
    <row r="45" ht="16.5" customFormat="1" customHeight="1" s="60"/>
    <row r="46" ht="16.5" customFormat="1" customHeight="1" s="60"/>
    <row r="47" ht="16.5" customFormat="1" customHeight="1" s="60"/>
    <row r="48" ht="16.5" customFormat="1" customHeight="1" s="60"/>
    <row r="49" ht="16.5" customFormat="1" customHeight="1" s="60"/>
    <row r="50" ht="16.5" customFormat="1" customHeight="1" s="60"/>
    <row r="51" ht="16.5" customFormat="1" customHeight="1" s="60"/>
    <row r="52" ht="16.5" customFormat="1" customHeight="1" s="60"/>
    <row r="53" ht="16.5" customFormat="1" customHeight="1" s="60"/>
    <row r="54" ht="16.5" customFormat="1" customHeight="1" s="60"/>
    <row r="55" ht="16.5" customFormat="1" customHeight="1" s="60"/>
    <row r="56" ht="16.5" customFormat="1" customHeight="1" s="60"/>
    <row r="57" ht="16.5" customFormat="1" customHeight="1" s="60"/>
    <row r="58" ht="16.5" customFormat="1" customHeight="1" s="60"/>
    <row r="59" ht="16.5" customFormat="1" customHeight="1" s="60"/>
    <row r="60" ht="16.5" customFormat="1" customHeight="1" s="60"/>
    <row r="61" ht="16.5" customFormat="1" customHeight="1" s="60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</sheetData>
  <autoFilter ref="A3:G278"/>
  <pageMargins left="0.7086614173228347" right="0.7086614173228347" top="0.7480314960629921" bottom="0.7480314960629921" header="0.3149606299212598" footer="0.3149606299212598"/>
  <pageSetup orientation="landscape" paperSize="9" scale="3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1:Y45"/>
  <sheetViews>
    <sheetView showGridLines="0" topLeftCell="A4" zoomScale="130" zoomScaleNormal="130" workbookViewId="0">
      <selection activeCell="M11" sqref="M11"/>
    </sheetView>
  </sheetViews>
  <sheetFormatPr baseColWidth="8" defaultColWidth="8.875" defaultRowHeight="13.5"/>
  <cols>
    <col width="1.875" customWidth="1" style="383" min="1" max="1"/>
    <col width="2.375" customWidth="1" style="383" min="2" max="2"/>
    <col width="2.125" customWidth="1" style="2243" min="3" max="3"/>
    <col width="2.375" customWidth="1" style="2243" min="4" max="4"/>
    <col width="24.625" bestFit="1" customWidth="1" style="2243" min="5" max="5"/>
    <col width="8.125" customWidth="1" style="2243" min="6" max="7"/>
    <col width="7.125" bestFit="1" customWidth="1" style="2319" min="8" max="10"/>
    <col width="7.125" customWidth="1" style="2319" min="11" max="11"/>
    <col width="7.125" bestFit="1" customWidth="1" style="2319" min="12" max="12"/>
    <col width="7.375" customWidth="1" style="2319" min="13" max="13"/>
    <col width="7.125" bestFit="1" customWidth="1" style="2319" min="14" max="21"/>
    <col width="50.875" customWidth="1" style="2243" min="22" max="22"/>
    <col width="7.875" customWidth="1" style="383" min="23" max="23"/>
    <col width="8.875" customWidth="1" style="383" min="24" max="24"/>
    <col width="9.375" bestFit="1" customWidth="1" style="386" min="25" max="25"/>
    <col width="8.875" customWidth="1" style="383" min="26" max="16384"/>
    <col width="8.875" customWidth="1" min="27" max="27"/>
  </cols>
  <sheetData>
    <row r="1" ht="19.7" customHeight="1">
      <c r="A1" s="382" t="inlineStr">
        <is>
          <t>2025년 카탈리스터 자금수지 계획</t>
        </is>
      </c>
      <c r="V1" s="2244" t="n"/>
    </row>
    <row r="2" ht="2.1" customHeight="1">
      <c r="A2" s="387" t="n"/>
      <c r="B2" s="388" t="n"/>
      <c r="C2" s="2245" t="n"/>
      <c r="D2" s="2245" t="n"/>
      <c r="E2" s="2245" t="n"/>
      <c r="F2" s="2245" t="n"/>
      <c r="G2" s="2245" t="n"/>
      <c r="H2" s="2320" t="n"/>
      <c r="I2" s="2320" t="n"/>
      <c r="J2" s="2320" t="n"/>
      <c r="K2" s="2320" t="n"/>
      <c r="L2" s="2320" t="n"/>
      <c r="M2" s="2320" t="n"/>
      <c r="N2" s="2320" t="n"/>
      <c r="O2" s="2320" t="n"/>
      <c r="P2" s="2320" t="n"/>
      <c r="Q2" s="2320" t="n"/>
      <c r="R2" s="2320" t="n"/>
      <c r="S2" s="2320" t="n"/>
      <c r="T2" s="2320" t="n"/>
      <c r="U2" s="2320" t="n"/>
      <c r="V2" s="2245" t="n"/>
    </row>
    <row r="3"/>
    <row r="4"/>
    <row r="5"/>
    <row r="6"/>
    <row r="7">
      <c r="B7" s="390" t="n"/>
      <c r="C7" s="391" t="n"/>
      <c r="D7" s="391" t="n"/>
      <c r="E7" s="391" t="n"/>
      <c r="F7" s="391" t="n"/>
      <c r="G7" s="391" t="n"/>
      <c r="H7" s="1860" t="n"/>
      <c r="I7" s="1860" t="n"/>
      <c r="J7" s="1860" t="n"/>
      <c r="K7" s="1860" t="n"/>
      <c r="L7" s="1860" t="n"/>
      <c r="M7" s="1860" t="n"/>
      <c r="N7" s="1860" t="n"/>
      <c r="O7" s="1860" t="n"/>
      <c r="P7" s="1860" t="n"/>
      <c r="Q7" s="1860" t="n"/>
      <c r="R7" s="1860" t="n"/>
      <c r="S7" s="1860" t="n"/>
      <c r="T7" s="1860" t="n"/>
      <c r="U7" s="1860" t="n"/>
      <c r="V7" s="392" t="inlineStr">
        <is>
          <t>(단위 : 백만원)</t>
        </is>
      </c>
    </row>
    <row r="8" ht="16.35" customHeight="1">
      <c r="B8" s="2321" t="inlineStr">
        <is>
          <t>구분</t>
        </is>
      </c>
      <c r="C8" s="1941" t="n"/>
      <c r="D8" s="1941" t="n"/>
      <c r="E8" s="1941" t="n"/>
      <c r="F8" s="2322" t="inlineStr">
        <is>
          <t>2024년</t>
        </is>
      </c>
      <c r="G8" s="2323" t="n"/>
      <c r="H8" s="2324" t="inlineStr">
        <is>
          <t>2025년</t>
        </is>
      </c>
      <c r="I8" s="1864" t="n"/>
      <c r="J8" s="1864" t="n"/>
      <c r="K8" s="1864" t="n"/>
      <c r="L8" s="1864" t="n"/>
      <c r="M8" s="1864" t="n"/>
      <c r="N8" s="1864" t="n"/>
      <c r="O8" s="1864" t="n"/>
      <c r="P8" s="1864" t="n"/>
      <c r="Q8" s="1864" t="n"/>
      <c r="R8" s="1864" t="n"/>
      <c r="S8" s="1864" t="n"/>
      <c r="T8" s="2325" t="n"/>
      <c r="U8" s="2326" t="n"/>
      <c r="V8" s="2321" t="inlineStr">
        <is>
          <t>세부사항</t>
        </is>
      </c>
      <c r="X8" s="383" t="n">
        <v>12</v>
      </c>
    </row>
    <row r="9" ht="16.35" customHeight="1">
      <c r="F9" s="2327" t="n"/>
      <c r="G9" s="1846" t="n"/>
      <c r="H9" s="2328" t="inlineStr">
        <is>
          <t>실적</t>
        </is>
      </c>
      <c r="I9" s="1864" t="n"/>
      <c r="J9" s="1864" t="n"/>
      <c r="K9" s="1864" t="n"/>
      <c r="L9" s="1864" t="n"/>
      <c r="M9" s="1864" t="n"/>
      <c r="N9" s="1864" t="n"/>
      <c r="O9" s="1864" t="n"/>
      <c r="P9" s="1864" t="n"/>
      <c r="Q9" s="1864" t="n"/>
      <c r="R9" s="1864" t="n"/>
      <c r="S9" s="1865" t="n"/>
      <c r="T9" s="2329" t="n"/>
      <c r="U9" s="2330" t="n"/>
    </row>
    <row r="10">
      <c r="B10" s="1866" t="n"/>
      <c r="C10" s="1866" t="n"/>
      <c r="D10" s="1866" t="n"/>
      <c r="E10" s="1866" t="n"/>
      <c r="F10" s="2331" t="inlineStr">
        <is>
          <t>합계</t>
        </is>
      </c>
      <c r="G10" s="2332" t="inlineStr">
        <is>
          <t>월평균</t>
        </is>
      </c>
      <c r="H10" s="2333" t="inlineStr">
        <is>
          <t>1월(A)</t>
        </is>
      </c>
      <c r="I10" s="2334" t="inlineStr">
        <is>
          <t>2월(A)</t>
        </is>
      </c>
      <c r="J10" s="2335" t="inlineStr">
        <is>
          <t>3월(A)</t>
        </is>
      </c>
      <c r="K10" s="2334" t="inlineStr">
        <is>
          <t>4월(A)</t>
        </is>
      </c>
      <c r="L10" s="2336" t="inlineStr">
        <is>
          <t>5월(A)</t>
        </is>
      </c>
      <c r="M10" s="2337" t="inlineStr">
        <is>
          <t>6월(A)</t>
        </is>
      </c>
      <c r="N10" s="2334" t="inlineStr">
        <is>
          <t>7월(A)</t>
        </is>
      </c>
      <c r="O10" s="2336" t="inlineStr">
        <is>
          <t>8월(A)</t>
        </is>
      </c>
      <c r="P10" s="2337" t="inlineStr">
        <is>
          <t>9월(A)</t>
        </is>
      </c>
      <c r="Q10" s="2334" t="inlineStr">
        <is>
          <t>10월(A)</t>
        </is>
      </c>
      <c r="R10" s="2334" t="inlineStr">
        <is>
          <t>11월(A)</t>
        </is>
      </c>
      <c r="S10" s="2338" t="inlineStr">
        <is>
          <t>12월(A)</t>
        </is>
      </c>
      <c r="T10" s="2339" t="inlineStr">
        <is>
          <t>합계</t>
        </is>
      </c>
      <c r="U10" s="2340" t="inlineStr">
        <is>
          <t>월평균</t>
        </is>
      </c>
      <c r="V10" s="1866" t="n"/>
    </row>
    <row r="11" ht="16.5" customFormat="1" customHeight="1" s="399">
      <c r="B11" s="2341" t="inlineStr">
        <is>
          <t xml:space="preserve"> A. 기초잔고</t>
        </is>
      </c>
      <c r="C11" s="1866" t="n"/>
      <c r="D11" s="1866" t="n"/>
      <c r="E11" s="1866" t="n"/>
      <c r="F11" s="2342" t="n">
        <v>6331.621966</v>
      </c>
      <c r="G11" s="2343" t="n"/>
      <c r="H11" s="2344" t="n">
        <v>4099.998134</v>
      </c>
      <c r="I11" s="2345">
        <f>H40</f>
        <v/>
      </c>
      <c r="J11" s="2346">
        <f>I40</f>
        <v/>
      </c>
      <c r="K11" s="2345">
        <f>J40</f>
        <v/>
      </c>
      <c r="L11" s="2347">
        <f>K40</f>
        <v/>
      </c>
      <c r="M11" s="2348">
        <f>L40</f>
        <v/>
      </c>
      <c r="N11" s="2349">
        <f>M40</f>
        <v/>
      </c>
      <c r="O11" s="2347">
        <f>N40</f>
        <v/>
      </c>
      <c r="P11" s="2348">
        <f>O40</f>
        <v/>
      </c>
      <c r="Q11" s="2349">
        <f>P40</f>
        <v/>
      </c>
      <c r="R11" s="2349">
        <f>Q40</f>
        <v/>
      </c>
      <c r="S11" s="2350">
        <f>R40</f>
        <v/>
      </c>
      <c r="T11" s="2348">
        <f>H11</f>
        <v/>
      </c>
      <c r="U11" s="2351" t="n"/>
      <c r="V11" s="406" t="n"/>
      <c r="Y11" s="407" t="n"/>
    </row>
    <row r="12" ht="16.5" customHeight="1">
      <c r="B12" s="1662" t="inlineStr">
        <is>
          <t xml:space="preserve"> B. 수입</t>
        </is>
      </c>
      <c r="C12" s="1941" t="n"/>
      <c r="D12" s="1941" t="n"/>
      <c r="E12" s="1941" t="n"/>
      <c r="F12" s="2352" t="n">
        <v>792.85789</v>
      </c>
      <c r="G12" s="2353">
        <f>F12/12</f>
        <v/>
      </c>
      <c r="H12" s="2354">
        <f>SUM(H13:H14)</f>
        <v/>
      </c>
      <c r="I12" s="2355">
        <f>SUM(I13:I14)</f>
        <v/>
      </c>
      <c r="J12" s="2356">
        <f>SUM(J13:J14)</f>
        <v/>
      </c>
      <c r="K12" s="2355">
        <f>SUM(K13:K14)</f>
        <v/>
      </c>
      <c r="L12" s="2357">
        <f>SUM(L13:L14)</f>
        <v/>
      </c>
      <c r="M12" s="2358">
        <f>SUM(M13:M14)</f>
        <v/>
      </c>
      <c r="N12" s="2359">
        <f>SUM(N13:N14)</f>
        <v/>
      </c>
      <c r="O12" s="2357">
        <f>SUM(O13:O14)</f>
        <v/>
      </c>
      <c r="P12" s="2358">
        <f>SUM(P13:P14)</f>
        <v/>
      </c>
      <c r="Q12" s="2359">
        <f>SUM(Q13:Q14)</f>
        <v/>
      </c>
      <c r="R12" s="2359">
        <f>SUM(R13:R14)</f>
        <v/>
      </c>
      <c r="S12" s="2360">
        <f>SUM(S13:S14)</f>
        <v/>
      </c>
      <c r="T12" s="2358">
        <f>SUM(T13,T14)</f>
        <v/>
      </c>
      <c r="U12" s="2353">
        <f>T12/$X$8</f>
        <v/>
      </c>
      <c r="V12" s="414" t="n"/>
    </row>
    <row r="13" ht="17.1" customHeight="1">
      <c r="B13" s="415" t="n"/>
      <c r="C13" s="1650" t="inlineStr">
        <is>
          <t>경상</t>
        </is>
      </c>
      <c r="D13" s="2265" t="n"/>
      <c r="E13" s="2265" t="n"/>
      <c r="F13" s="2361" t="n">
        <v>100.150471</v>
      </c>
      <c r="G13" s="2362">
        <f>F13/12</f>
        <v/>
      </c>
      <c r="H13" s="2363" t="n">
        <v>0.983342</v>
      </c>
      <c r="I13" s="2364" t="n">
        <v>1.124748</v>
      </c>
      <c r="J13" s="2365" t="n">
        <v>5.522713</v>
      </c>
      <c r="K13" s="2365" t="n">
        <v>22.72041299999943</v>
      </c>
      <c r="L13" s="2364" t="n">
        <v>6.749239</v>
      </c>
      <c r="M13" s="2366" t="n">
        <v>9.592220000000001</v>
      </c>
      <c r="N13" s="2367" t="n">
        <v>0.393609</v>
      </c>
      <c r="O13" s="2368" t="n">
        <v>2.65228</v>
      </c>
      <c r="P13" s="2366" t="n">
        <v>3.950388</v>
      </c>
      <c r="Q13" s="2367" t="n">
        <v>2.582751</v>
      </c>
      <c r="R13" s="2369" t="n">
        <v>1.446859</v>
      </c>
      <c r="S13" s="2370" t="n">
        <v>0.556989</v>
      </c>
      <c r="T13" s="2371">
        <f>SUM(H13:S13)</f>
        <v/>
      </c>
      <c r="U13" s="2362">
        <f>T13/$X$8</f>
        <v/>
      </c>
      <c r="V13" s="430" t="inlineStr">
        <is>
          <t>○ 이자수익, 세금환급(부가세, 법인세) 등</t>
        </is>
      </c>
    </row>
    <row r="14" ht="17.45" customHeight="1">
      <c r="B14" s="415" t="n"/>
      <c r="C14" s="1666" t="inlineStr">
        <is>
          <t>비경상</t>
        </is>
      </c>
      <c r="D14" s="2265" t="n"/>
      <c r="E14" s="2265" t="n"/>
      <c r="F14" s="2372" t="n">
        <v>692.707419</v>
      </c>
      <c r="G14" s="2373">
        <f>F14/12</f>
        <v/>
      </c>
      <c r="H14" s="2374" t="n">
        <v>0</v>
      </c>
      <c r="I14" s="2375" t="n">
        <v>0</v>
      </c>
      <c r="J14" s="2376" t="n">
        <v>0</v>
      </c>
      <c r="K14" s="2375" t="n">
        <v>0</v>
      </c>
      <c r="L14" s="2377" t="n">
        <v>0</v>
      </c>
      <c r="M14" s="2378" t="n">
        <v>0</v>
      </c>
      <c r="N14" s="2379" t="n">
        <v>0</v>
      </c>
      <c r="O14" s="2377" t="n">
        <v>0</v>
      </c>
      <c r="P14" s="2378" t="n">
        <v>0</v>
      </c>
      <c r="Q14" s="2379" t="n">
        <v>0</v>
      </c>
      <c r="R14" s="2379" t="n">
        <v>0</v>
      </c>
      <c r="S14" s="2380" t="n">
        <v>0</v>
      </c>
      <c r="T14" s="2378">
        <f>SUM(H14:S14)</f>
        <v/>
      </c>
      <c r="U14" s="2373">
        <f>T14/$X$8</f>
        <v/>
      </c>
      <c r="V14" s="422" t="inlineStr">
        <is>
          <t>○ 자산양수도 대금, 재고장비 판매대금, 임차보증금 등</t>
        </is>
      </c>
    </row>
    <row r="15" ht="16.5" customHeight="1">
      <c r="B15" s="1662" t="inlineStr">
        <is>
          <t xml:space="preserve"> C. 지출</t>
        </is>
      </c>
      <c r="C15" s="1941" t="n"/>
      <c r="D15" s="1941" t="n"/>
      <c r="E15" s="1941" t="n"/>
      <c r="F15" s="2381" t="n">
        <v>3024.481722</v>
      </c>
      <c r="G15" s="2382">
        <f>F15/12</f>
        <v/>
      </c>
      <c r="H15" s="2383" t="n">
        <v>62.327915</v>
      </c>
      <c r="I15" s="2384" t="n">
        <v>44.40696600000001</v>
      </c>
      <c r="J15" s="2385" t="n">
        <v>41.671187</v>
      </c>
      <c r="K15" s="2384" t="n">
        <v>46.98983</v>
      </c>
      <c r="L15" s="2386" t="n">
        <v>37.849956</v>
      </c>
      <c r="M15" s="2387" t="n">
        <v>47.23631100000024</v>
      </c>
      <c r="N15" s="2388">
        <f>N16+N29</f>
        <v/>
      </c>
      <c r="O15" s="2386">
        <f>O16+O29</f>
        <v/>
      </c>
      <c r="P15" s="2387">
        <f>P16+P29</f>
        <v/>
      </c>
      <c r="Q15" s="2388">
        <f>Q16+Q29</f>
        <v/>
      </c>
      <c r="R15" s="2388">
        <f>R16+R29</f>
        <v/>
      </c>
      <c r="S15" s="2389">
        <f>S16+S29</f>
        <v/>
      </c>
      <c r="T15" s="2387">
        <f>SUM(T16,T29)</f>
        <v/>
      </c>
      <c r="U15" s="2382">
        <f>T15/$X$8</f>
        <v/>
      </c>
      <c r="V15" s="451" t="n"/>
    </row>
    <row r="16" ht="17.45" customHeight="1">
      <c r="B16" s="415" t="n"/>
      <c r="C16" s="1650" t="inlineStr">
        <is>
          <t>경상</t>
        </is>
      </c>
      <c r="D16" s="2265" t="n"/>
      <c r="E16" s="2265" t="n"/>
      <c r="F16" s="2361" t="n">
        <v>3024.481722</v>
      </c>
      <c r="G16" s="2362">
        <f>F16/12</f>
        <v/>
      </c>
      <c r="H16" s="2390">
        <f>H15-H29</f>
        <v/>
      </c>
      <c r="I16" s="2391">
        <f>I15-I29</f>
        <v/>
      </c>
      <c r="J16" s="2392">
        <f>J15-J29</f>
        <v/>
      </c>
      <c r="K16" s="2391">
        <f>K15-K29</f>
        <v/>
      </c>
      <c r="L16" s="2368">
        <f>L15-L29</f>
        <v/>
      </c>
      <c r="M16" s="2371">
        <f>SUM(M17:M19)</f>
        <v/>
      </c>
      <c r="N16" s="2369">
        <f>SUM(N17:N19)</f>
        <v/>
      </c>
      <c r="O16" s="2368">
        <f>SUM(O17:O19)</f>
        <v/>
      </c>
      <c r="P16" s="2371">
        <f>SUM(P17:P19)</f>
        <v/>
      </c>
      <c r="Q16" s="2369">
        <f>SUM(Q17:Q19)</f>
        <v/>
      </c>
      <c r="R16" s="2369">
        <f>SUM(R17:R19)</f>
        <v/>
      </c>
      <c r="S16" s="2393">
        <f>SUM(S17:S19)</f>
        <v/>
      </c>
      <c r="T16" s="2371">
        <f>SUM(H16:S16)</f>
        <v/>
      </c>
      <c r="U16" s="2362">
        <f>T16/$X$8</f>
        <v/>
      </c>
      <c r="V16" s="422" t="n"/>
    </row>
    <row r="17">
      <c r="B17" s="415" t="n"/>
      <c r="C17" s="423" t="n"/>
      <c r="D17" s="1666" t="inlineStr">
        <is>
          <t>인건비</t>
        </is>
      </c>
      <c r="E17" s="1667" t="n"/>
      <c r="F17" s="2372" t="n">
        <v>2133.857181</v>
      </c>
      <c r="G17" s="2373">
        <f>F17/12</f>
        <v/>
      </c>
      <c r="H17" s="2374" t="n">
        <v>24.85729</v>
      </c>
      <c r="I17" s="2375" t="n">
        <v>34.28999</v>
      </c>
      <c r="J17" s="2376" t="n">
        <v>28.59095</v>
      </c>
      <c r="K17" s="2375" t="n">
        <v>29.25174</v>
      </c>
      <c r="L17" s="2377" t="n">
        <v>28.11826</v>
      </c>
      <c r="M17" s="2378" t="n">
        <v>28.11826</v>
      </c>
      <c r="N17" s="2379" t="n">
        <v>28.09324</v>
      </c>
      <c r="O17" s="2377" t="n">
        <v>28.12428</v>
      </c>
      <c r="P17" s="2378" t="n">
        <v>28.13378</v>
      </c>
      <c r="Q17" s="2379" t="n">
        <v>28.13578</v>
      </c>
      <c r="R17" s="2379" t="n">
        <v>28.42702</v>
      </c>
      <c r="S17" s="2380" t="n">
        <v>30.85293</v>
      </c>
      <c r="T17" s="2378">
        <f>SUM(H17:S17)</f>
        <v/>
      </c>
      <c r="U17" s="2373">
        <f>T17/$X$8</f>
        <v/>
      </c>
      <c r="V17" s="422" t="n"/>
    </row>
    <row r="18">
      <c r="B18" s="415" t="n"/>
      <c r="C18" s="423" t="n"/>
      <c r="D18" s="423" t="inlineStr">
        <is>
          <t>S/W, H/W 매입</t>
        </is>
      </c>
      <c r="E18" s="383" t="n"/>
      <c r="F18" s="2352" t="n">
        <v>160.543166</v>
      </c>
      <c r="G18" s="2394">
        <f>F18/12</f>
        <v/>
      </c>
      <c r="H18" s="2395" t="n">
        <v>0</v>
      </c>
      <c r="I18" s="2396" t="n">
        <v>1.1418</v>
      </c>
      <c r="J18" s="2397" t="n">
        <v>0</v>
      </c>
      <c r="K18" s="2396" t="n">
        <v>0</v>
      </c>
      <c r="L18" s="2398" t="n">
        <v>0</v>
      </c>
      <c r="M18" s="2399" t="n">
        <v>0</v>
      </c>
      <c r="N18" s="2400" t="n">
        <v>0</v>
      </c>
      <c r="O18" s="2398" t="n">
        <v>0</v>
      </c>
      <c r="P18" s="2399" t="n">
        <v>0</v>
      </c>
      <c r="Q18" s="2400" t="n">
        <v>0</v>
      </c>
      <c r="R18" s="2400" t="n">
        <v>0</v>
      </c>
      <c r="S18" s="2401" t="n">
        <v>0</v>
      </c>
      <c r="T18" s="2399">
        <f>SUM(H18:S18)</f>
        <v/>
      </c>
      <c r="U18" s="2394">
        <f>T18/$X$8</f>
        <v/>
      </c>
      <c r="V18" s="430" t="n"/>
    </row>
    <row r="19">
      <c r="B19" s="415" t="n"/>
      <c r="C19" s="423" t="n"/>
      <c r="D19" s="423" t="inlineStr">
        <is>
          <t>기타</t>
        </is>
      </c>
      <c r="E19" s="415" t="n"/>
      <c r="F19" s="2402" t="n">
        <v>730.081375</v>
      </c>
      <c r="G19" s="2403">
        <f>F19/12</f>
        <v/>
      </c>
      <c r="H19" s="2404">
        <f>H16-SUM(H17:H18)</f>
        <v/>
      </c>
      <c r="I19" s="2405">
        <f>I16-SUM(I17:I18)</f>
        <v/>
      </c>
      <c r="J19" s="2406">
        <f>J16-SUM(J17:J18)</f>
        <v/>
      </c>
      <c r="K19" s="2405">
        <f>K16-SUM(K17:K18)</f>
        <v/>
      </c>
      <c r="L19" s="2407">
        <f>L16-SUM(L17:L18)</f>
        <v/>
      </c>
      <c r="M19" s="2408">
        <f>SUM(M20:M28)</f>
        <v/>
      </c>
      <c r="N19" s="2409">
        <f>SUM(N20:N28)</f>
        <v/>
      </c>
      <c r="O19" s="2407">
        <f>SUM(O20:O28)</f>
        <v/>
      </c>
      <c r="P19" s="2408">
        <f>SUM(P20:P28)</f>
        <v/>
      </c>
      <c r="Q19" s="2409">
        <f>SUM(Q20:Q28)</f>
        <v/>
      </c>
      <c r="R19" s="2409">
        <f>SUM(R20:R28)</f>
        <v/>
      </c>
      <c r="S19" s="2410">
        <f>SUM(S20:S28)</f>
        <v/>
      </c>
      <c r="T19" s="2408">
        <f>SUM(H19:S19)</f>
        <v/>
      </c>
      <c r="U19" s="2403">
        <f>T19/$X$8</f>
        <v/>
      </c>
      <c r="V19" s="462" t="n"/>
    </row>
    <row r="20">
      <c r="B20" s="415" t="n"/>
      <c r="C20" s="423" t="n"/>
      <c r="D20" s="539" t="n"/>
      <c r="E20" s="1666" t="inlineStr">
        <is>
          <t>제세공과금</t>
        </is>
      </c>
      <c r="F20" s="2352" t="n">
        <v>138.07748</v>
      </c>
      <c r="G20" s="2411">
        <f>F20/12</f>
        <v/>
      </c>
      <c r="H20" s="2412" t="n">
        <v>9.98006</v>
      </c>
      <c r="I20" s="2413" t="n">
        <v>0</v>
      </c>
      <c r="J20" s="2414" t="n">
        <v>0</v>
      </c>
      <c r="K20" s="2413" t="n">
        <v>0</v>
      </c>
      <c r="L20" s="2415" t="n">
        <v>1.5739</v>
      </c>
      <c r="M20" s="2416" t="n">
        <v>5.09157</v>
      </c>
      <c r="N20" s="2413" t="n">
        <v>4.93922</v>
      </c>
      <c r="O20" s="2415" t="n">
        <v>5.18922</v>
      </c>
      <c r="P20" s="2416" t="n">
        <v>4.93922</v>
      </c>
      <c r="Q20" s="2413" t="n">
        <v>4.93922</v>
      </c>
      <c r="R20" s="2413" t="n">
        <v>4.93922</v>
      </c>
      <c r="S20" s="2417" t="n">
        <v>4.93922</v>
      </c>
      <c r="T20" s="2418">
        <f>SUM(H20:S20)</f>
        <v/>
      </c>
      <c r="U20" s="2411">
        <f>T20/$X$8</f>
        <v/>
      </c>
      <c r="V20" s="422" t="inlineStr">
        <is>
          <t>○ 원천세 등</t>
        </is>
      </c>
    </row>
    <row r="21">
      <c r="B21" s="415" t="n"/>
      <c r="C21" s="423" t="n"/>
      <c r="D21" s="539" t="n"/>
      <c r="E21" s="541" t="inlineStr">
        <is>
          <t>전산관련지출</t>
        </is>
      </c>
      <c r="F21" s="2419" t="n">
        <v>166.545125</v>
      </c>
      <c r="G21" s="2420">
        <f>F21/12</f>
        <v/>
      </c>
      <c r="H21" s="2412" t="n">
        <v>13.106855</v>
      </c>
      <c r="I21" s="2413" t="n">
        <v>5.412448</v>
      </c>
      <c r="J21" s="2414" t="n">
        <v>5.818429</v>
      </c>
      <c r="K21" s="2413" t="n">
        <v>3.235641</v>
      </c>
      <c r="L21" s="2415" t="n">
        <v>3.6179</v>
      </c>
      <c r="M21" s="2416" t="n">
        <v>4.773561</v>
      </c>
      <c r="N21" s="2413" t="n">
        <v>1.519217</v>
      </c>
      <c r="O21" s="2415" t="n">
        <v>1.265235</v>
      </c>
      <c r="P21" s="2416" t="n">
        <v>1.472461</v>
      </c>
      <c r="Q21" s="2413" t="n">
        <v>1.446166</v>
      </c>
      <c r="R21" s="2413" t="n">
        <v>1.50262</v>
      </c>
      <c r="S21" s="2417" t="n">
        <v>4.006679</v>
      </c>
      <c r="T21" s="2421">
        <f>SUM(H21:S21)</f>
        <v/>
      </c>
      <c r="U21" s="2420">
        <f>T21/$X$8</f>
        <v/>
      </c>
      <c r="V21" s="430" t="n"/>
    </row>
    <row r="22">
      <c r="B22" s="415" t="n"/>
      <c r="C22" s="423" t="n"/>
      <c r="D22" s="539" t="n"/>
      <c r="E22" s="541" t="inlineStr">
        <is>
          <t>경영, 업무지원, 운영용역비</t>
        </is>
      </c>
      <c r="F22" s="2419" t="n">
        <v>104.176384</v>
      </c>
      <c r="G22" s="2420">
        <f>F22/12</f>
        <v/>
      </c>
      <c r="H22" s="2412" t="n">
        <v>3.529234</v>
      </c>
      <c r="I22" s="2413" t="n">
        <v>0.058245</v>
      </c>
      <c r="J22" s="2414" t="n">
        <v>0.056719</v>
      </c>
      <c r="K22" s="2413" t="n">
        <v>3.535715</v>
      </c>
      <c r="L22" s="2415" t="n">
        <v>0.062677</v>
      </c>
      <c r="M22" s="2416" t="n">
        <v>0.061947</v>
      </c>
      <c r="N22" s="2413" t="n">
        <v>3.485957</v>
      </c>
      <c r="O22" s="2415" t="n">
        <v>0.058311</v>
      </c>
      <c r="P22" s="2416" t="n">
        <v>0.057776</v>
      </c>
      <c r="Q22" s="2413" t="n">
        <v>3.501225</v>
      </c>
      <c r="R22" s="2413" t="n">
        <v>0.059862</v>
      </c>
      <c r="S22" s="2417" t="n">
        <v>0.060569</v>
      </c>
      <c r="T22" s="2421">
        <f>SUM(H22:S22)</f>
        <v/>
      </c>
      <c r="U22" s="2420">
        <f>T22/$X$8</f>
        <v/>
      </c>
      <c r="V22" s="430" t="inlineStr">
        <is>
          <t>○ 분기별 그룹사 공용비용 등</t>
        </is>
      </c>
    </row>
    <row r="23">
      <c r="B23" s="415" t="n"/>
      <c r="C23" s="423" t="n"/>
      <c r="D23" s="539" t="n"/>
      <c r="E23" s="541" t="inlineStr">
        <is>
          <t>복리후생비</t>
        </is>
      </c>
      <c r="F23" s="2419" t="n">
        <v>51.951745</v>
      </c>
      <c r="G23" s="2420">
        <f>F23/12</f>
        <v/>
      </c>
      <c r="H23" s="2412" t="n">
        <v>0.926196</v>
      </c>
      <c r="I23" s="2413" t="n">
        <v>0.183763</v>
      </c>
      <c r="J23" s="2414" t="n">
        <v>1.099541</v>
      </c>
      <c r="K23" s="2413" t="n">
        <v>1.635446</v>
      </c>
      <c r="L23" s="2415" t="n">
        <v>0.289322</v>
      </c>
      <c r="M23" s="2416" t="n">
        <v>0.178322</v>
      </c>
      <c r="N23" s="2413" t="n">
        <v>2.5242</v>
      </c>
      <c r="O23" s="2415" t="n">
        <v>0.171571</v>
      </c>
      <c r="P23" s="2416" t="n">
        <v>0.173516</v>
      </c>
      <c r="Q23" s="2413" t="n">
        <v>0.660489</v>
      </c>
      <c r="R23" s="2413" t="n">
        <v>1.061733</v>
      </c>
      <c r="S23" s="2417" t="n">
        <v>0.664783</v>
      </c>
      <c r="T23" s="2421">
        <f>SUM(H23:S23)</f>
        <v/>
      </c>
      <c r="U23" s="2420">
        <f>T23/$X$8</f>
        <v/>
      </c>
      <c r="V23" s="430" t="inlineStr">
        <is>
          <t>○ 동호회비, 건강검진비용, 명절 선물대금 등</t>
        </is>
      </c>
    </row>
    <row r="24">
      <c r="B24" s="415" t="n"/>
      <c r="C24" s="423" t="n"/>
      <c r="D24" s="539" t="n"/>
      <c r="E24" s="541" t="inlineStr">
        <is>
          <t>식당, 카페, 매점 등 운영비</t>
        </is>
      </c>
      <c r="F24" s="2419" t="n">
        <v>32.3141</v>
      </c>
      <c r="G24" s="2420">
        <f>F24/12</f>
        <v/>
      </c>
      <c r="H24" s="2412" t="n">
        <v>0.3571</v>
      </c>
      <c r="I24" s="2413" t="n">
        <v>0.2537</v>
      </c>
      <c r="J24" s="2414" t="n">
        <v>0.3952</v>
      </c>
      <c r="K24" s="2413" t="n">
        <v>0.401</v>
      </c>
      <c r="L24" s="2415" t="n">
        <v>0.3900006</v>
      </c>
      <c r="M24" s="2416" t="n">
        <v>0.32</v>
      </c>
      <c r="N24" s="2413" t="n">
        <v>0.3255</v>
      </c>
      <c r="O24" s="2415" t="n">
        <v>0.429</v>
      </c>
      <c r="P24" s="2416" t="n">
        <v>0.2719</v>
      </c>
      <c r="Q24" s="2413" t="n">
        <v>0.343</v>
      </c>
      <c r="R24" s="2413" t="n">
        <v>0.3</v>
      </c>
      <c r="S24" s="2417" t="n">
        <v>0.2905</v>
      </c>
      <c r="T24" s="2421">
        <f>SUM(H24:S24)</f>
        <v/>
      </c>
      <c r="U24" s="2420">
        <f>T24/$X$8</f>
        <v/>
      </c>
      <c r="V24" s="430" t="n"/>
    </row>
    <row r="25">
      <c r="B25" s="415" t="n"/>
      <c r="C25" s="423" t="n"/>
      <c r="D25" s="539" t="n"/>
      <c r="E25" s="423" t="inlineStr">
        <is>
          <t>직원비용, 복지포인트 사용비</t>
        </is>
      </c>
      <c r="F25" s="2352" t="n">
        <v>10.5994034</v>
      </c>
      <c r="G25" s="2420">
        <f>F25/12</f>
        <v/>
      </c>
      <c r="H25" s="2412" t="n">
        <v>5.823092</v>
      </c>
      <c r="I25" s="2413" t="n">
        <v>1.927858</v>
      </c>
      <c r="J25" s="2414" t="n">
        <v>3.07398</v>
      </c>
      <c r="K25" s="2413" t="n">
        <v>2.44847</v>
      </c>
      <c r="L25" s="2415" t="n">
        <v>2.939861</v>
      </c>
      <c r="M25" s="2416" t="n">
        <v>5.130312</v>
      </c>
      <c r="N25" s="2413" t="n">
        <v>4.746188</v>
      </c>
      <c r="O25" s="2415" t="n">
        <v>3.273832</v>
      </c>
      <c r="P25" s="2416" t="n">
        <v>5.555783</v>
      </c>
      <c r="Q25" s="2413" t="n">
        <v>5.34612</v>
      </c>
      <c r="R25" s="2413" t="n">
        <v>6.072156</v>
      </c>
      <c r="S25" s="2417" t="n">
        <v>4.737039</v>
      </c>
      <c r="T25" s="2421">
        <f>SUM(H25:S25)</f>
        <v/>
      </c>
      <c r="U25" s="2420">
        <f>T25/$X$8</f>
        <v/>
      </c>
      <c r="V25" s="430" t="n"/>
    </row>
    <row r="26">
      <c r="B26" s="415" t="n"/>
      <c r="C26" s="423" t="n"/>
      <c r="D26" s="539" t="n"/>
      <c r="E26" s="423" t="inlineStr">
        <is>
          <t>임차료, 관리비</t>
        </is>
      </c>
      <c r="F26" s="2352" t="n">
        <v>95.56923999999999</v>
      </c>
      <c r="G26" s="2420">
        <f>F26/12</f>
        <v/>
      </c>
      <c r="H26" s="2412" t="n">
        <v>0.919248</v>
      </c>
      <c r="I26" s="2413" t="n">
        <v>0.919248</v>
      </c>
      <c r="J26" s="2414" t="n">
        <v>0.919248</v>
      </c>
      <c r="K26" s="2413" t="n">
        <v>0.919248</v>
      </c>
      <c r="L26" s="2415" t="n">
        <v>0.919248</v>
      </c>
      <c r="M26" s="2416" t="n">
        <v>0.919248</v>
      </c>
      <c r="N26" s="2413" t="n">
        <v>0.919248</v>
      </c>
      <c r="O26" s="2415" t="n">
        <v>0.919248</v>
      </c>
      <c r="P26" s="2416" t="n">
        <v>0.919248</v>
      </c>
      <c r="Q26" s="2413" t="n">
        <v>0.919248</v>
      </c>
      <c r="R26" s="2413" t="n">
        <v>0.919248</v>
      </c>
      <c r="S26" s="2417" t="n">
        <v>0.919248</v>
      </c>
      <c r="T26" s="2421">
        <f>SUM(H26:S26)</f>
        <v/>
      </c>
      <c r="U26" s="2420">
        <f>T26/$X$8</f>
        <v/>
      </c>
      <c r="V26" s="430" t="n"/>
    </row>
    <row r="27">
      <c r="B27" s="415" t="n"/>
      <c r="C27" s="423" t="n"/>
      <c r="D27" s="539" t="n"/>
      <c r="E27" s="423" t="inlineStr">
        <is>
          <t>지급수수료</t>
        </is>
      </c>
      <c r="F27" s="2352" t="n">
        <v>15.357349</v>
      </c>
      <c r="G27" s="2420">
        <f>F27/12</f>
        <v/>
      </c>
      <c r="H27" s="2412" t="n">
        <v>0.001</v>
      </c>
      <c r="I27" s="2413" t="n">
        <v>0</v>
      </c>
      <c r="J27" s="2414" t="n">
        <v>1.56096</v>
      </c>
      <c r="K27" s="2413" t="n">
        <v>4.95426</v>
      </c>
      <c r="L27" s="2415" t="n">
        <v>0</v>
      </c>
      <c r="M27" s="2416" t="n">
        <v>0</v>
      </c>
      <c r="N27" s="2413" t="n">
        <v>6.695256</v>
      </c>
      <c r="O27" s="2415" t="n">
        <v>0.453506</v>
      </c>
      <c r="P27" s="2416" t="n">
        <v>0</v>
      </c>
      <c r="Q27" s="2413" t="n">
        <v>0.001</v>
      </c>
      <c r="R27" s="2413" t="n">
        <v>0</v>
      </c>
      <c r="S27" s="2417" t="n">
        <v>0</v>
      </c>
      <c r="T27" s="2421">
        <f>SUM(H27:S27)</f>
        <v/>
      </c>
      <c r="U27" s="2420">
        <f>T27/$X$8</f>
        <v/>
      </c>
      <c r="V27" s="430" t="inlineStr">
        <is>
          <t>○ 등기비용, 퇴직연금관리수수료 등</t>
        </is>
      </c>
    </row>
    <row r="28">
      <c r="B28" s="415" t="n"/>
      <c r="C28" s="423" t="n"/>
      <c r="D28" s="540" t="n"/>
      <c r="E28" s="455" t="inlineStr">
        <is>
          <t>통신비등</t>
        </is>
      </c>
      <c r="F28" s="2352" t="n">
        <v>70.298818</v>
      </c>
      <c r="G28" s="2422">
        <f>F28/12</f>
        <v/>
      </c>
      <c r="H28" s="2412" t="n">
        <v>2.82784</v>
      </c>
      <c r="I28" s="2413" t="n">
        <v>0.2199140000000002</v>
      </c>
      <c r="J28" s="2414" t="n">
        <v>0.1561600000000016</v>
      </c>
      <c r="K28" s="2413" t="n">
        <v>0.23691</v>
      </c>
      <c r="L28" s="2415" t="n">
        <v>0.5076469999999995</v>
      </c>
      <c r="M28" s="2416" t="n">
        <v>2.64309100000024</v>
      </c>
      <c r="N28" s="2413" t="n">
        <v>0.2125600000000016</v>
      </c>
      <c r="O28" s="2415" t="n">
        <v>0.1397000000000004</v>
      </c>
      <c r="P28" s="2416" t="n">
        <v>0.3630400000000007</v>
      </c>
      <c r="Q28" s="2413" t="n">
        <v>0.2419599999999997</v>
      </c>
      <c r="R28" s="2413" t="n">
        <v>0.1396999999999995</v>
      </c>
      <c r="S28" s="2417" t="n">
        <v>0.1462200000000005</v>
      </c>
      <c r="T28" s="2423">
        <f>SUM(H28:S28)</f>
        <v/>
      </c>
      <c r="U28" s="2422">
        <f>T28/$X$8</f>
        <v/>
      </c>
      <c r="V28" s="2424" t="n"/>
    </row>
    <row r="29" ht="17.45" customHeight="1">
      <c r="B29" s="415" t="n"/>
      <c r="C29" s="1666" t="inlineStr">
        <is>
          <t>비경상</t>
        </is>
      </c>
      <c r="D29" s="2265" t="n"/>
      <c r="E29" s="2265" t="n"/>
      <c r="F29" s="2372" t="n">
        <v>0</v>
      </c>
      <c r="G29" s="2411">
        <f>F29/12</f>
        <v/>
      </c>
      <c r="H29" s="2374">
        <f>SUM(H30:H33)</f>
        <v/>
      </c>
      <c r="I29" s="2375">
        <f>SUM(I30:I33)</f>
        <v/>
      </c>
      <c r="J29" s="2376">
        <f>SUM(J30:J33)</f>
        <v/>
      </c>
      <c r="K29" s="2375">
        <f>SUM(K30:K33)</f>
        <v/>
      </c>
      <c r="L29" s="2425">
        <f>SUM(L30:L33)</f>
        <v/>
      </c>
      <c r="M29" s="2426">
        <f>SUM(M30:M33)</f>
        <v/>
      </c>
      <c r="N29" s="2375">
        <f>SUM(N30:N33)</f>
        <v/>
      </c>
      <c r="O29" s="2425">
        <f>SUM(O30:O33)</f>
        <v/>
      </c>
      <c r="P29" s="2426">
        <f>SUM(P30:P33)</f>
        <v/>
      </c>
      <c r="Q29" s="2375">
        <f>SUM(Q30:Q33)</f>
        <v/>
      </c>
      <c r="R29" s="2375">
        <f>SUM(R30:R33)</f>
        <v/>
      </c>
      <c r="S29" s="2427">
        <f>SUM(S30:S33)</f>
        <v/>
      </c>
      <c r="T29" s="2426">
        <f>SUM(H29:S29)</f>
        <v/>
      </c>
      <c r="U29" s="2411">
        <f>T29/$X$8</f>
        <v/>
      </c>
      <c r="V29" s="422" t="n"/>
    </row>
    <row r="30" ht="17.45" customHeight="1">
      <c r="B30" s="415" t="n"/>
      <c r="C30" s="423" t="n"/>
      <c r="D30" s="1666" t="inlineStr">
        <is>
          <t>지식재산권 양수</t>
        </is>
      </c>
      <c r="E30" s="500" t="n"/>
      <c r="F30" s="2428" t="n">
        <v>0</v>
      </c>
      <c r="G30" s="2411">
        <f>F30/12</f>
        <v/>
      </c>
      <c r="H30" s="2374" t="n"/>
      <c r="I30" s="2375" t="n"/>
      <c r="J30" s="2376" t="n"/>
      <c r="K30" s="2375" t="n"/>
      <c r="L30" s="2425" t="n"/>
      <c r="M30" s="2426" t="n"/>
      <c r="N30" s="2375" t="n"/>
      <c r="O30" s="2425" t="n"/>
      <c r="P30" s="2426" t="n"/>
      <c r="Q30" s="2375" t="n"/>
      <c r="R30" s="2375" t="n"/>
      <c r="S30" s="2427" t="n"/>
      <c r="T30" s="2426">
        <f>SUM(H30:S30)</f>
        <v/>
      </c>
      <c r="U30" s="2411">
        <f>T30/$X$8</f>
        <v/>
      </c>
      <c r="V30" s="422" t="n"/>
    </row>
    <row r="31" ht="17.45" customHeight="1">
      <c r="B31" s="415" t="n"/>
      <c r="C31" s="423" t="n"/>
      <c r="D31" s="423" t="inlineStr">
        <is>
          <t>임대보증금</t>
        </is>
      </c>
      <c r="E31" s="501" t="n"/>
      <c r="F31" s="2429" t="n">
        <v>0</v>
      </c>
      <c r="G31" s="2420">
        <f>F31/12</f>
        <v/>
      </c>
      <c r="H31" s="2395" t="n"/>
      <c r="I31" s="2396" t="n"/>
      <c r="J31" s="2397" t="n"/>
      <c r="K31" s="2396" t="n"/>
      <c r="L31" s="2430" t="n"/>
      <c r="M31" s="2431" t="n"/>
      <c r="N31" s="2396" t="n"/>
      <c r="O31" s="2430" t="n"/>
      <c r="P31" s="2431" t="n"/>
      <c r="Q31" s="2396" t="n"/>
      <c r="R31" s="2396" t="n"/>
      <c r="S31" s="2432" t="n"/>
      <c r="T31" s="2431">
        <f>SUM(H31:S31)</f>
        <v/>
      </c>
      <c r="U31" s="2420">
        <f>T31/$X$8</f>
        <v/>
      </c>
      <c r="V31" s="430" t="n"/>
    </row>
    <row r="32" ht="17.45" customHeight="1">
      <c r="B32" s="415" t="n"/>
      <c r="C32" s="423" t="n"/>
      <c r="D32" s="423" t="inlineStr">
        <is>
          <t>시설장치</t>
        </is>
      </c>
      <c r="E32" s="501" t="n"/>
      <c r="F32" s="2429" t="n">
        <v>0</v>
      </c>
      <c r="G32" s="2420">
        <f>F32/12</f>
        <v/>
      </c>
      <c r="H32" s="2395" t="n"/>
      <c r="I32" s="2396" t="n"/>
      <c r="J32" s="2397" t="n"/>
      <c r="K32" s="2396" t="n"/>
      <c r="L32" s="2430" t="n"/>
      <c r="M32" s="2431" t="n"/>
      <c r="N32" s="2396" t="n"/>
      <c r="O32" s="2430" t="n"/>
      <c r="P32" s="2431" t="n"/>
      <c r="Q32" s="2396" t="n"/>
      <c r="R32" s="2396" t="n"/>
      <c r="S32" s="2432" t="n"/>
      <c r="T32" s="2431">
        <f>SUM(H32:S32)</f>
        <v/>
      </c>
      <c r="U32" s="2420">
        <f>T32/$X$8</f>
        <v/>
      </c>
      <c r="V32" s="430" t="n"/>
    </row>
    <row r="33" ht="17.45" customHeight="1">
      <c r="B33" s="415" t="n"/>
      <c r="C33" s="423" t="n"/>
      <c r="D33" s="423" t="inlineStr">
        <is>
          <t>기타</t>
        </is>
      </c>
      <c r="E33" s="415" t="n"/>
      <c r="F33" s="2352" t="n">
        <v>0</v>
      </c>
      <c r="G33" s="2420">
        <f>F33/12</f>
        <v/>
      </c>
      <c r="H33" s="2395" t="n"/>
      <c r="I33" s="2396" t="n"/>
      <c r="J33" s="2397" t="n"/>
      <c r="K33" s="2396" t="n"/>
      <c r="L33" s="2430" t="n"/>
      <c r="M33" s="2431" t="n"/>
      <c r="N33" s="2396" t="n"/>
      <c r="O33" s="2430" t="n"/>
      <c r="P33" s="2431" t="n"/>
      <c r="Q33" s="2396" t="n"/>
      <c r="R33" s="2396" t="n"/>
      <c r="S33" s="2432" t="n"/>
      <c r="T33" s="2431">
        <f>SUM(H33:S33)</f>
        <v/>
      </c>
      <c r="U33" s="2420">
        <f>T33/$X$8</f>
        <v/>
      </c>
      <c r="V33" s="430" t="n"/>
    </row>
    <row r="34" ht="16.5" customHeight="1">
      <c r="B34" s="1662" t="inlineStr">
        <is>
          <t xml:space="preserve"> D. 자금수지차 (=B-C)</t>
        </is>
      </c>
      <c r="C34" s="1941" t="n"/>
      <c r="D34" s="1941" t="n"/>
      <c r="E34" s="1941" t="n"/>
      <c r="F34" s="2433">
        <f>F12-F15</f>
        <v/>
      </c>
      <c r="G34" s="2434">
        <f>F34/12</f>
        <v/>
      </c>
      <c r="H34" s="2435">
        <f>H12-H15</f>
        <v/>
      </c>
      <c r="I34" s="2436">
        <f>I12-I15</f>
        <v/>
      </c>
      <c r="J34" s="2437">
        <f>J12-J15</f>
        <v/>
      </c>
      <c r="K34" s="2436">
        <f>K12-K15</f>
        <v/>
      </c>
      <c r="L34" s="2438">
        <f>L12-L15</f>
        <v/>
      </c>
      <c r="M34" s="2439">
        <f>M12-M15</f>
        <v/>
      </c>
      <c r="N34" s="2436">
        <f>N12-N15</f>
        <v/>
      </c>
      <c r="O34" s="2438">
        <f>O12-O15</f>
        <v/>
      </c>
      <c r="P34" s="2439">
        <f>P12-P15</f>
        <v/>
      </c>
      <c r="Q34" s="2436">
        <f>Q12-Q15</f>
        <v/>
      </c>
      <c r="R34" s="2436">
        <f>R12-R15</f>
        <v/>
      </c>
      <c r="S34" s="2440">
        <f>S12-S15</f>
        <v/>
      </c>
      <c r="T34" s="2439">
        <f>T12-T15</f>
        <v/>
      </c>
      <c r="U34" s="2434">
        <f>T34/$X$8</f>
        <v/>
      </c>
      <c r="V34" s="466" t="n"/>
    </row>
    <row r="35">
      <c r="B35" s="467" t="n"/>
      <c r="C35" s="468" t="inlineStr">
        <is>
          <t xml:space="preserve"> D-1. 경상수지차</t>
        </is>
      </c>
      <c r="D35" s="468" t="n"/>
      <c r="E35" s="468" t="n"/>
      <c r="F35" s="2441">
        <f>F13-F16</f>
        <v/>
      </c>
      <c r="G35" s="2442">
        <f>F35/12</f>
        <v/>
      </c>
      <c r="H35" s="2443">
        <f>H13-H16</f>
        <v/>
      </c>
      <c r="I35" s="2444">
        <f>I13-I16</f>
        <v/>
      </c>
      <c r="J35" s="2445">
        <f>J13-J16</f>
        <v/>
      </c>
      <c r="K35" s="2444">
        <f>K13-K16</f>
        <v/>
      </c>
      <c r="L35" s="2446">
        <f>L13-L16</f>
        <v/>
      </c>
      <c r="M35" s="2447">
        <f>M13-M16</f>
        <v/>
      </c>
      <c r="N35" s="2444">
        <f>N13-N16</f>
        <v/>
      </c>
      <c r="O35" s="2446">
        <f>O13-O16</f>
        <v/>
      </c>
      <c r="P35" s="2447">
        <f>P13-P16</f>
        <v/>
      </c>
      <c r="Q35" s="2444">
        <f>Q13-Q16</f>
        <v/>
      </c>
      <c r="R35" s="2444">
        <f>R13-R16</f>
        <v/>
      </c>
      <c r="S35" s="2448">
        <f>S13-S16</f>
        <v/>
      </c>
      <c r="T35" s="2447">
        <f>T13-T16</f>
        <v/>
      </c>
      <c r="U35" s="2442">
        <f>T35/$X$8</f>
        <v/>
      </c>
      <c r="V35" s="475" t="n"/>
    </row>
    <row r="36" ht="15.6" customHeight="1">
      <c r="B36" s="1662" t="inlineStr">
        <is>
          <t xml:space="preserve"> E. 자금조달(증자)</t>
        </is>
      </c>
      <c r="C36" s="1941" t="n"/>
      <c r="D36" s="1941" t="n"/>
      <c r="E36" s="1941" t="n"/>
      <c r="F36" s="2381" t="n">
        <v>0</v>
      </c>
      <c r="G36" s="2449">
        <f>F36/12</f>
        <v/>
      </c>
      <c r="H36" s="2383" t="n"/>
      <c r="I36" s="2384" t="n"/>
      <c r="J36" s="2385" t="n"/>
      <c r="K36" s="2384" t="n"/>
      <c r="L36" s="2450" t="n"/>
      <c r="M36" s="2451" t="n"/>
      <c r="N36" s="2384" t="n"/>
      <c r="O36" s="2450" t="n"/>
      <c r="P36" s="2451" t="n"/>
      <c r="Q36" s="2384" t="n"/>
      <c r="R36" s="2384" t="n"/>
      <c r="S36" s="2452" t="n"/>
      <c r="T36" s="2453">
        <f>SUM(H36:S36)</f>
        <v/>
      </c>
      <c r="U36" s="2449">
        <f>T36/$X$8</f>
        <v/>
      </c>
      <c r="V36" s="478" t="n"/>
    </row>
    <row r="37" hidden="1">
      <c r="B37" s="415" t="n"/>
      <c r="C37" s="415" t="n"/>
      <c r="D37" s="415" t="n"/>
      <c r="E37" s="415" t="n"/>
      <c r="F37" s="2352" t="n"/>
      <c r="G37" s="2420" t="n"/>
      <c r="H37" s="2395" t="n"/>
      <c r="I37" s="2396" t="n"/>
      <c r="J37" s="2397" t="n"/>
      <c r="K37" s="2396" t="n"/>
      <c r="L37" s="2430" t="n"/>
      <c r="M37" s="2431" t="n"/>
      <c r="N37" s="2396" t="n"/>
      <c r="O37" s="2430" t="n"/>
      <c r="P37" s="2431" t="n"/>
      <c r="Q37" s="2396" t="n"/>
      <c r="R37" s="2396" t="n"/>
      <c r="S37" s="2432" t="n"/>
      <c r="T37" s="2431" t="n"/>
      <c r="U37" s="2420" t="n"/>
      <c r="V37" s="481" t="n"/>
    </row>
    <row r="38" hidden="1">
      <c r="B38" s="415" t="n"/>
      <c r="C38" s="415" t="n"/>
      <c r="D38" s="415" t="n"/>
      <c r="E38" s="415" t="n"/>
      <c r="F38" s="2352" t="n"/>
      <c r="G38" s="2420" t="n"/>
      <c r="H38" s="2395" t="n"/>
      <c r="I38" s="2396" t="n"/>
      <c r="J38" s="2397" t="n"/>
      <c r="K38" s="2396" t="n"/>
      <c r="L38" s="2430" t="n"/>
      <c r="M38" s="2431" t="n"/>
      <c r="N38" s="2396" t="n"/>
      <c r="O38" s="2430" t="n"/>
      <c r="P38" s="2431" t="n"/>
      <c r="Q38" s="2396" t="n"/>
      <c r="R38" s="2396" t="n"/>
      <c r="S38" s="2432" t="n"/>
      <c r="T38" s="2431" t="n"/>
      <c r="U38" s="2420" t="n"/>
      <c r="V38" s="481" t="n"/>
    </row>
    <row r="39" hidden="1">
      <c r="B39" s="436" t="n"/>
      <c r="C39" s="436" t="n"/>
      <c r="D39" s="436" t="n"/>
      <c r="E39" s="436" t="n"/>
      <c r="F39" s="2454" t="n"/>
      <c r="G39" s="2455" t="n"/>
      <c r="H39" s="2456" t="n"/>
      <c r="I39" s="2457" t="n"/>
      <c r="J39" s="2458" t="n"/>
      <c r="K39" s="2457" t="n"/>
      <c r="L39" s="2459" t="n"/>
      <c r="M39" s="2460" t="n"/>
      <c r="N39" s="2457" t="n"/>
      <c r="O39" s="2459" t="n"/>
      <c r="P39" s="2460" t="n"/>
      <c r="Q39" s="2457" t="n"/>
      <c r="R39" s="2457" t="n"/>
      <c r="S39" s="2461" t="n"/>
      <c r="T39" s="2460" t="n"/>
      <c r="U39" s="2455" t="n"/>
      <c r="V39" s="483" t="n"/>
    </row>
    <row r="40" ht="16.5" customFormat="1" customHeight="1" s="399">
      <c r="B40" s="1664" t="inlineStr">
        <is>
          <t xml:space="preserve"> F. 기말잔고(=A+D+E)</t>
        </is>
      </c>
      <c r="C40" s="1864" t="n"/>
      <c r="D40" s="1864" t="n"/>
      <c r="E40" s="1864" t="n"/>
      <c r="F40" s="2462">
        <f>F11+F34+F36</f>
        <v/>
      </c>
      <c r="G40" s="2463" t="n"/>
      <c r="H40" s="2464">
        <f>H11+H34+H36</f>
        <v/>
      </c>
      <c r="I40" s="2465">
        <f>I11+I34+I36</f>
        <v/>
      </c>
      <c r="J40" s="2466">
        <f>J11+J34+J36</f>
        <v/>
      </c>
      <c r="K40" s="2465">
        <f>K11+K34+K36</f>
        <v/>
      </c>
      <c r="L40" s="2467">
        <f>L11+L34+L36</f>
        <v/>
      </c>
      <c r="M40" s="2468">
        <f>M11+M34+M36</f>
        <v/>
      </c>
      <c r="N40" s="2465">
        <f>N11+N34+N36</f>
        <v/>
      </c>
      <c r="O40" s="2467">
        <f>O11+O34+O36</f>
        <v/>
      </c>
      <c r="P40" s="2468">
        <f>P11+P34+P36</f>
        <v/>
      </c>
      <c r="Q40" s="2465">
        <f>Q11+Q34+Q36</f>
        <v/>
      </c>
      <c r="R40" s="2465">
        <f>R11+R34+R36</f>
        <v/>
      </c>
      <c r="S40" s="2469">
        <f>S11+S34+S36</f>
        <v/>
      </c>
      <c r="T40" s="2468">
        <f>T11+T34+T36</f>
        <v/>
      </c>
      <c r="U40" s="2470" t="n"/>
      <c r="V40" s="490" t="n"/>
      <c r="Y40" s="407" t="n"/>
    </row>
    <row r="41">
      <c r="T41" s="2471" t="n"/>
      <c r="U41" s="2471" t="n"/>
    </row>
    <row r="42">
      <c r="T42" s="2471" t="n"/>
      <c r="U42" s="2471" t="n"/>
    </row>
    <row r="43">
      <c r="E43" s="2472" t="n"/>
      <c r="F43" s="2472" t="n"/>
      <c r="G43" s="2472" t="n"/>
      <c r="T43" s="2471" t="n"/>
      <c r="U43" s="2471" t="n"/>
    </row>
    <row r="44">
      <c r="E44" s="2472" t="n"/>
      <c r="F44" s="2472" t="n"/>
      <c r="G44" s="2472" t="n"/>
      <c r="T44" s="2471" t="n"/>
      <c r="U44" s="2471" t="n"/>
    </row>
    <row r="45">
      <c r="E45" s="2472" t="n"/>
      <c r="F45" s="2472" t="n"/>
      <c r="G45" s="2472" t="n"/>
    </row>
  </sheetData>
  <mergeCells count="15">
    <mergeCell ref="C16:E16"/>
    <mergeCell ref="B40:E40"/>
    <mergeCell ref="F8:G9"/>
    <mergeCell ref="C14:E14"/>
    <mergeCell ref="C13:E13"/>
    <mergeCell ref="V8:V10"/>
    <mergeCell ref="B12:E12"/>
    <mergeCell ref="B15:E15"/>
    <mergeCell ref="B8:E10"/>
    <mergeCell ref="B11:E11"/>
    <mergeCell ref="H8:S8"/>
    <mergeCell ref="C29:E29"/>
    <mergeCell ref="H9:S9"/>
    <mergeCell ref="B36:E36"/>
    <mergeCell ref="B34:E34"/>
  </mergeCells>
  <conditionalFormatting sqref="C1:V6">
    <cfRule type="cellIs" priority="5" operator="equal" dxfId="5">
      <formula>0</formula>
    </cfRule>
  </conditionalFormatting>
  <conditionalFormatting sqref="C41:V1048576">
    <cfRule type="cellIs" priority="6" operator="equal" dxfId="5">
      <formula>0</formula>
    </cfRule>
  </conditionalFormatting>
  <conditionalFormatting sqref="G12 G14:U15 G17:U34 G36:G39">
    <cfRule type="cellIs" priority="1" operator="equal" dxfId="0">
      <formula>0</formula>
    </cfRule>
    <cfRule type="cellIs" priority="2" operator="equal" dxfId="2">
      <formula>0</formula>
    </cfRule>
  </conditionalFormatting>
  <conditionalFormatting sqref="H11:U12 H36:U40">
    <cfRule type="cellIs" priority="3" operator="equal" dxfId="0">
      <formula>0</formula>
    </cfRule>
    <cfRule type="cellIs" priority="4" operator="equal" dxfId="2">
      <formula>0</formula>
    </cfRule>
  </conditionalFormatting>
  <printOptions horizontalCentered="1"/>
  <pageMargins left="0.1574803149606299" right="0.3149606299212598" top="0.4330708661417323" bottom="0.2362204724409449" header="0.1574803149606299" footer="0.1574803149606299"/>
  <pageSetup orientation="landscape" paperSize="9" scale="60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 fitToPage="1"/>
  </sheetPr>
  <dimension ref="A1:Y46"/>
  <sheetViews>
    <sheetView showGridLines="0" zoomScale="115" zoomScaleNormal="115" workbookViewId="0">
      <selection activeCell="R30" sqref="R30"/>
    </sheetView>
  </sheetViews>
  <sheetFormatPr baseColWidth="8" defaultColWidth="8.875" defaultRowHeight="13.5"/>
  <cols>
    <col width="1.875" customWidth="1" style="383" min="1" max="1"/>
    <col width="2.375" customWidth="1" style="383" min="2" max="2"/>
    <col width="2.125" customWidth="1" style="2243" min="3" max="3"/>
    <col width="2.375" customWidth="1" style="2243" min="4" max="4"/>
    <col width="24.625" bestFit="1" customWidth="1" style="2243" min="5" max="5"/>
    <col width="8.125" customWidth="1" style="2243" min="6" max="7"/>
    <col width="7.125" bestFit="1" customWidth="1" style="2319" min="8" max="10"/>
    <col width="7.125" customWidth="1" style="2319" min="11" max="11"/>
    <col width="7.125" bestFit="1" customWidth="1" style="2319" min="12" max="12"/>
    <col width="7.375" customWidth="1" style="2319" min="13" max="13"/>
    <col width="7.125" bestFit="1" customWidth="1" style="2319" min="14" max="21"/>
    <col width="50.875" customWidth="1" style="2243" min="22" max="22"/>
    <col width="7.875" customWidth="1" style="383" min="23" max="23"/>
    <col width="8.875" customWidth="1" style="383" min="24" max="24"/>
    <col width="9.375" bestFit="1" customWidth="1" style="386" min="25" max="25"/>
    <col width="8.875" customWidth="1" style="383" min="26" max="16384"/>
    <col width="8.875" customWidth="1" min="27" max="27"/>
  </cols>
  <sheetData>
    <row r="1" ht="19.7" customHeight="1">
      <c r="A1" s="382" t="inlineStr">
        <is>
          <t>2026년 카탈리스터 자금수지 계획</t>
        </is>
      </c>
      <c r="V1" s="2244" t="n"/>
    </row>
    <row r="2" ht="2.1" customHeight="1">
      <c r="A2" s="387" t="n"/>
      <c r="B2" s="388" t="n"/>
      <c r="C2" s="2245" t="n"/>
      <c r="D2" s="2245" t="n"/>
      <c r="E2" s="2245" t="n"/>
      <c r="F2" s="2245" t="n"/>
      <c r="G2" s="2245" t="n"/>
      <c r="H2" s="2320" t="n"/>
      <c r="I2" s="2320" t="n"/>
      <c r="J2" s="2320" t="n"/>
      <c r="K2" s="2320" t="n"/>
      <c r="L2" s="2320" t="n"/>
      <c r="M2" s="2320" t="n"/>
      <c r="N2" s="2320" t="n"/>
      <c r="O2" s="2320" t="n"/>
      <c r="P2" s="2320" t="n"/>
      <c r="Q2" s="2320" t="n"/>
      <c r="R2" s="2320" t="n"/>
      <c r="S2" s="2320" t="n"/>
      <c r="T2" s="2320" t="n"/>
      <c r="U2" s="2320" t="n"/>
      <c r="V2" s="2245" t="n"/>
    </row>
    <row r="3"/>
    <row r="4"/>
    <row r="5"/>
    <row r="6"/>
    <row r="7">
      <c r="B7" s="390" t="n"/>
      <c r="C7" s="391" t="n"/>
      <c r="D7" s="391" t="n"/>
      <c r="E7" s="391" t="n"/>
      <c r="F7" s="391" t="n"/>
      <c r="G7" s="391" t="n"/>
      <c r="H7" s="1860" t="n"/>
      <c r="I7" s="1860" t="n"/>
      <c r="J7" s="1860" t="n"/>
      <c r="K7" s="1860" t="n"/>
      <c r="L7" s="1860" t="n"/>
      <c r="M7" s="1860" t="n"/>
      <c r="N7" s="1860" t="n"/>
      <c r="O7" s="1860" t="n"/>
      <c r="P7" s="1860" t="n"/>
      <c r="Q7" s="1860" t="n"/>
      <c r="R7" s="1860" t="n"/>
      <c r="S7" s="1860" t="n"/>
      <c r="T7" s="1860" t="n"/>
      <c r="U7" s="1860" t="n"/>
      <c r="V7" s="392" t="inlineStr">
        <is>
          <t>(단위 : 백만원)</t>
        </is>
      </c>
    </row>
    <row r="8" ht="16.35" customHeight="1">
      <c r="B8" s="2321" t="inlineStr">
        <is>
          <t>구분</t>
        </is>
      </c>
      <c r="C8" s="1941" t="n"/>
      <c r="D8" s="1941" t="n"/>
      <c r="E8" s="1941" t="n"/>
      <c r="F8" s="2322" t="inlineStr">
        <is>
          <t>2025년</t>
        </is>
      </c>
      <c r="G8" s="2323" t="n"/>
      <c r="H8" s="2324" t="inlineStr">
        <is>
          <t>2026년</t>
        </is>
      </c>
      <c r="I8" s="1864" t="n"/>
      <c r="J8" s="1864" t="n"/>
      <c r="K8" s="1864" t="n"/>
      <c r="L8" s="1864" t="n"/>
      <c r="M8" s="1864" t="n"/>
      <c r="N8" s="1864" t="n"/>
      <c r="O8" s="1864" t="n"/>
      <c r="P8" s="1864" t="n"/>
      <c r="Q8" s="1864" t="n"/>
      <c r="R8" s="1864" t="n"/>
      <c r="S8" s="1864" t="n"/>
      <c r="T8" s="2531" t="n"/>
      <c r="U8" s="2532" t="n"/>
      <c r="V8" s="2533" t="inlineStr">
        <is>
          <t>세부사항</t>
        </is>
      </c>
      <c r="X8" s="383" t="n">
        <v>12</v>
      </c>
    </row>
    <row r="9" ht="16.35" customHeight="1">
      <c r="F9" s="2327" t="n"/>
      <c r="G9" s="1846" t="n"/>
      <c r="H9" s="2534" t="inlineStr">
        <is>
          <t>실적</t>
        </is>
      </c>
      <c r="I9" s="1864" t="n"/>
      <c r="J9" s="1864" t="n"/>
      <c r="K9" s="1864" t="n"/>
      <c r="L9" s="1864" t="n"/>
      <c r="M9" s="2311" t="n"/>
      <c r="N9" s="2535" t="inlineStr">
        <is>
          <t>계획</t>
        </is>
      </c>
      <c r="O9" s="1864" t="n"/>
      <c r="P9" s="1864" t="n"/>
      <c r="Q9" s="1864" t="n"/>
      <c r="R9" s="1864" t="n"/>
      <c r="S9" s="1865" t="n"/>
      <c r="T9" s="2536" t="n"/>
      <c r="U9" s="2537" t="n"/>
    </row>
    <row r="10">
      <c r="B10" s="1866" t="n"/>
      <c r="C10" s="1866" t="n"/>
      <c r="D10" s="1866" t="n"/>
      <c r="E10" s="1866" t="n"/>
      <c r="F10" s="2538" t="inlineStr">
        <is>
          <t>합계</t>
        </is>
      </c>
      <c r="G10" s="2539" t="inlineStr">
        <is>
          <t>월평균</t>
        </is>
      </c>
      <c r="H10" s="2540" t="inlineStr">
        <is>
          <t>1월(A)</t>
        </is>
      </c>
      <c r="I10" s="2541" t="inlineStr">
        <is>
          <t>2월(A)</t>
        </is>
      </c>
      <c r="J10" s="2541" t="inlineStr">
        <is>
          <t>3월(A)</t>
        </is>
      </c>
      <c r="K10" s="2541" t="inlineStr">
        <is>
          <t>4월(A)</t>
        </is>
      </c>
      <c r="L10" s="2542" t="inlineStr">
        <is>
          <t>5월(A)</t>
        </is>
      </c>
      <c r="M10" s="2543" t="inlineStr">
        <is>
          <t>6월(A)</t>
        </is>
      </c>
      <c r="N10" s="2544" t="inlineStr">
        <is>
          <t>7월</t>
        </is>
      </c>
      <c r="O10" s="2542" t="inlineStr">
        <is>
          <t>8월(A)</t>
        </is>
      </c>
      <c r="P10" s="2544" t="inlineStr">
        <is>
          <t>9월</t>
        </is>
      </c>
      <c r="Q10" s="2541" t="inlineStr">
        <is>
          <t>10월</t>
        </is>
      </c>
      <c r="R10" s="2545" t="inlineStr">
        <is>
          <t>11월</t>
        </is>
      </c>
      <c r="S10" s="2546" t="inlineStr">
        <is>
          <t>12월</t>
        </is>
      </c>
      <c r="T10" s="2547" t="inlineStr">
        <is>
          <t>합계</t>
        </is>
      </c>
      <c r="U10" s="2548" t="inlineStr">
        <is>
          <t>월평균</t>
        </is>
      </c>
      <c r="V10" s="1866" t="n"/>
    </row>
    <row r="11" ht="16.5" customFormat="1" customHeight="1" s="399">
      <c r="B11" s="2341" t="inlineStr">
        <is>
          <t xml:space="preserve"> A. 기초잔고</t>
        </is>
      </c>
      <c r="C11" s="1866" t="n"/>
      <c r="D11" s="1866" t="n"/>
      <c r="E11" s="1866" t="n"/>
      <c r="F11" s="2342" t="n">
        <v>4099.998134</v>
      </c>
      <c r="G11" s="2343" t="n"/>
      <c r="H11" s="2344">
        <f>F41</f>
        <v/>
      </c>
      <c r="I11" s="2345">
        <f>H41</f>
        <v/>
      </c>
      <c r="J11" s="2345">
        <f>I41</f>
        <v/>
      </c>
      <c r="K11" s="2345">
        <f>J41</f>
        <v/>
      </c>
      <c r="L11" s="2347">
        <f>K41</f>
        <v/>
      </c>
      <c r="M11" s="2549">
        <f>L41</f>
        <v/>
      </c>
      <c r="N11" s="2348">
        <f>M41</f>
        <v/>
      </c>
      <c r="O11" s="2347" t="n">
        <v>2421.357313</v>
      </c>
      <c r="P11" s="2348">
        <f>O41</f>
        <v/>
      </c>
      <c r="Q11" s="2349">
        <f>P41</f>
        <v/>
      </c>
      <c r="R11" s="2550">
        <f>Q41</f>
        <v/>
      </c>
      <c r="S11" s="2551">
        <f>R41</f>
        <v/>
      </c>
      <c r="T11" s="2348">
        <f>H11</f>
        <v/>
      </c>
      <c r="U11" s="2351" t="n"/>
      <c r="V11" s="406" t="n"/>
      <c r="Y11" s="407" t="n"/>
    </row>
    <row r="12" ht="16.5" customHeight="1">
      <c r="B12" s="1662" t="inlineStr">
        <is>
          <t xml:space="preserve"> B. 수입</t>
        </is>
      </c>
      <c r="C12" s="1941" t="n"/>
      <c r="D12" s="1941" t="n"/>
      <c r="E12" s="1941" t="n"/>
      <c r="F12" s="2352">
        <f>'2025년 자금실적'!T12</f>
        <v/>
      </c>
      <c r="G12" s="2353">
        <f>'2025년 자금실적'!U12</f>
        <v/>
      </c>
      <c r="H12" s="2354">
        <f>SUM(H13:H14)</f>
        <v/>
      </c>
      <c r="I12" s="2355">
        <f>SUM(I13:I14)</f>
        <v/>
      </c>
      <c r="J12" s="2355">
        <f>SUM(J13:J14)</f>
        <v/>
      </c>
      <c r="K12" s="2355">
        <f>SUM(K13:K14)</f>
        <v/>
      </c>
      <c r="L12" s="2357">
        <f>SUM(L13:L14)</f>
        <v/>
      </c>
      <c r="M12" s="2552">
        <f>SUM(M13:M14)</f>
        <v/>
      </c>
      <c r="N12" s="2358">
        <f>SUM(N13:N14)</f>
        <v/>
      </c>
      <c r="O12" s="2357">
        <f>SUM(O13:O14)</f>
        <v/>
      </c>
      <c r="P12" s="2358">
        <f>SUM(P13:P14)</f>
        <v/>
      </c>
      <c r="Q12" s="2359">
        <f>SUM(Q13:Q14)</f>
        <v/>
      </c>
      <c r="R12" s="2553">
        <f>SUM(R13:R14)</f>
        <v/>
      </c>
      <c r="S12" s="2554">
        <f>SUM(S13:S14)</f>
        <v/>
      </c>
      <c r="T12" s="2358">
        <f>SUM(T13,T14)</f>
        <v/>
      </c>
      <c r="U12" s="2353">
        <f>T12/$X$8</f>
        <v/>
      </c>
      <c r="V12" s="414" t="n"/>
    </row>
    <row r="13" ht="17.1" customHeight="1">
      <c r="B13" s="415" t="n"/>
      <c r="C13" s="1650" t="inlineStr">
        <is>
          <t>경상</t>
        </is>
      </c>
      <c r="D13" s="2265" t="n"/>
      <c r="E13" s="2265" t="n"/>
      <c r="F13" s="2361">
        <f>'2025년 자금실적'!T13</f>
        <v/>
      </c>
      <c r="G13" s="2362">
        <f>'2025년 자금실적'!U13</f>
        <v/>
      </c>
      <c r="H13" s="2363" t="n">
        <v>16.726369</v>
      </c>
      <c r="I13" s="2367" t="n">
        <v>1.412739</v>
      </c>
      <c r="J13" s="2391" t="n">
        <v>0.6327120000000001</v>
      </c>
      <c r="K13" s="2391" t="n">
        <v>15.121058</v>
      </c>
      <c r="L13" s="2364" t="n">
        <v>1.49789</v>
      </c>
      <c r="M13" s="2555" t="n">
        <v>6.535533</v>
      </c>
      <c r="N13" s="2366" t="n">
        <v>0.12983</v>
      </c>
      <c r="O13" s="2368" t="n">
        <v>0.168355</v>
      </c>
      <c r="P13" s="2366" t="n">
        <v>11</v>
      </c>
      <c r="Q13" s="2367" t="n">
        <v>0.385</v>
      </c>
      <c r="R13" s="2368" t="n">
        <v>0.385</v>
      </c>
      <c r="S13" s="2370" t="n">
        <v>0.385</v>
      </c>
      <c r="T13" s="2371">
        <f>SUM(H13:S13)</f>
        <v/>
      </c>
      <c r="U13" s="2362">
        <f>T13/$X$8</f>
        <v/>
      </c>
      <c r="V13" s="430" t="inlineStr">
        <is>
          <t>○ 이자수익, 세금환급(부가세, 법인세) 등</t>
        </is>
      </c>
    </row>
    <row r="14" ht="17.45" customHeight="1">
      <c r="B14" s="415" t="n"/>
      <c r="C14" s="1666" t="inlineStr">
        <is>
          <t>비경상</t>
        </is>
      </c>
      <c r="D14" s="2265" t="n"/>
      <c r="E14" s="2265" t="n"/>
      <c r="F14" s="2372">
        <f>'2025년 자금실적'!T14</f>
        <v/>
      </c>
      <c r="G14" s="2373">
        <f>'2025년 자금실적'!U14</f>
        <v/>
      </c>
      <c r="H14" s="2374" t="n">
        <v>0</v>
      </c>
      <c r="I14" s="2375" t="n">
        <v>0</v>
      </c>
      <c r="J14" s="2375" t="n">
        <v>0</v>
      </c>
      <c r="K14" s="2556" t="n">
        <v>15.367</v>
      </c>
      <c r="L14" s="2557" t="n">
        <v>51.185792</v>
      </c>
      <c r="M14" s="2558" t="n">
        <v>0</v>
      </c>
      <c r="N14" s="2378" t="n">
        <v>0</v>
      </c>
      <c r="O14" s="2377" t="n">
        <v>0</v>
      </c>
      <c r="P14" s="2378" t="n">
        <v>0</v>
      </c>
      <c r="Q14" s="2379" t="n">
        <v>0</v>
      </c>
      <c r="R14" s="2559" t="n">
        <v>0</v>
      </c>
      <c r="S14" s="2560" t="n">
        <v>0</v>
      </c>
      <c r="T14" s="2378">
        <f>SUM(H14:S14)</f>
        <v/>
      </c>
      <c r="U14" s="2373">
        <f>T14/$X$8</f>
        <v/>
      </c>
      <c r="V14" s="422" t="inlineStr">
        <is>
          <t>○ 자산양수도 대금 등</t>
        </is>
      </c>
    </row>
    <row r="15" ht="16.5" customHeight="1">
      <c r="B15" s="1662" t="inlineStr">
        <is>
          <t xml:space="preserve"> C. 지출</t>
        </is>
      </c>
      <c r="C15" s="1941" t="n"/>
      <c r="D15" s="1941" t="n"/>
      <c r="E15" s="1941" t="n"/>
      <c r="F15" s="2381">
        <f>'2025년 자금실적'!T15</f>
        <v/>
      </c>
      <c r="G15" s="2382">
        <f>'2025년 자금실적'!U15</f>
        <v/>
      </c>
      <c r="H15" s="2383">
        <f>H16+H29</f>
        <v/>
      </c>
      <c r="I15" s="2384">
        <f>I16+I29</f>
        <v/>
      </c>
      <c r="J15" s="2384">
        <f>J16+J29</f>
        <v/>
      </c>
      <c r="K15" s="2384">
        <f>K16+K29</f>
        <v/>
      </c>
      <c r="L15" s="2386">
        <f>L16+L29</f>
        <v/>
      </c>
      <c r="M15" s="2561">
        <f>M16+M29</f>
        <v/>
      </c>
      <c r="N15" s="2387">
        <f>N16+N29</f>
        <v/>
      </c>
      <c r="O15" s="2386">
        <f>O16+O29</f>
        <v/>
      </c>
      <c r="P15" s="2387">
        <f>P16+P29</f>
        <v/>
      </c>
      <c r="Q15" s="2388">
        <f>Q16+Q29</f>
        <v/>
      </c>
      <c r="R15" s="2562">
        <f>R16+R29</f>
        <v/>
      </c>
      <c r="S15" s="2563">
        <f>S16+S29</f>
        <v/>
      </c>
      <c r="T15" s="2387">
        <f>SUM(T16,T29)</f>
        <v/>
      </c>
      <c r="U15" s="2382">
        <f>T15/$X$8</f>
        <v/>
      </c>
      <c r="V15" s="451" t="n"/>
    </row>
    <row r="16" ht="17.45" customHeight="1">
      <c r="B16" s="415" t="n"/>
      <c r="C16" s="1650" t="inlineStr">
        <is>
          <t>경상</t>
        </is>
      </c>
      <c r="D16" s="2265" t="n"/>
      <c r="E16" s="2265" t="n"/>
      <c r="F16" s="2361">
        <f>'2025년 자금실적'!T16</f>
        <v/>
      </c>
      <c r="G16" s="2362">
        <f>'2025년 자금실적'!U16</f>
        <v/>
      </c>
      <c r="H16" s="2390">
        <f>SUM(H17:H19)</f>
        <v/>
      </c>
      <c r="I16" s="2391">
        <f>SUM(I17:I19)</f>
        <v/>
      </c>
      <c r="J16" s="2391">
        <f>SUM(J17:J19)</f>
        <v/>
      </c>
      <c r="K16" s="2391">
        <f>SUM(K17:K19)</f>
        <v/>
      </c>
      <c r="L16" s="2368">
        <f>SUM(L17:L19)</f>
        <v/>
      </c>
      <c r="M16" s="2564">
        <f>SUM(M17:M19)</f>
        <v/>
      </c>
      <c r="N16" s="2371">
        <f>SUM(N17:N19)</f>
        <v/>
      </c>
      <c r="O16" s="2368">
        <f>SUM(O17:O19)</f>
        <v/>
      </c>
      <c r="P16" s="2371">
        <f>SUM(P17:P19)</f>
        <v/>
      </c>
      <c r="Q16" s="2369">
        <f>SUM(Q17:Q19)</f>
        <v/>
      </c>
      <c r="R16" s="2565">
        <f>SUM(R17:R19)</f>
        <v/>
      </c>
      <c r="S16" s="2566">
        <f>SUM(S17:S19)</f>
        <v/>
      </c>
      <c r="T16" s="2371">
        <f>SUM(H16:S16)</f>
        <v/>
      </c>
      <c r="U16" s="2362">
        <f>T16/$X$8</f>
        <v/>
      </c>
      <c r="V16" s="422" t="n"/>
    </row>
    <row r="17">
      <c r="B17" s="415" t="n"/>
      <c r="C17" s="423" t="n"/>
      <c r="D17" s="1666" t="inlineStr">
        <is>
          <t>인건비</t>
        </is>
      </c>
      <c r="E17" s="1667" t="n"/>
      <c r="F17" s="2372">
        <f>'2025년 자금실적'!T17</f>
        <v/>
      </c>
      <c r="G17" s="2373">
        <f>'2025년 자금실적'!U17</f>
        <v/>
      </c>
      <c r="H17" s="2374" t="n">
        <v>43.63493</v>
      </c>
      <c r="I17" s="2375" t="n">
        <v>38.99243</v>
      </c>
      <c r="J17" s="2375" t="n">
        <v>20.246437</v>
      </c>
      <c r="K17" s="2375" t="n">
        <v>20.133707</v>
      </c>
      <c r="L17" s="2377" t="n">
        <v>18.989177</v>
      </c>
      <c r="M17" s="2558" t="n">
        <v>19.808037</v>
      </c>
      <c r="N17" s="2378" t="n">
        <v>19.85365</v>
      </c>
      <c r="O17" s="2377" t="n">
        <v>19.742247</v>
      </c>
      <c r="P17" s="2378" t="n">
        <v>19.93297</v>
      </c>
      <c r="Q17" s="2379" t="n">
        <v>21.34895</v>
      </c>
      <c r="R17" s="2559" t="n">
        <v>21.34895</v>
      </c>
      <c r="S17" s="2560" t="n">
        <v>21.34895</v>
      </c>
      <c r="T17" s="2378">
        <f>SUM(H17:S17)</f>
        <v/>
      </c>
      <c r="U17" s="2373">
        <f>T17/$X$8</f>
        <v/>
      </c>
      <c r="V17" s="422" t="inlineStr">
        <is>
          <t>○ 급여, 4대보험, 퇴직연금 등</t>
        </is>
      </c>
    </row>
    <row r="18">
      <c r="B18" s="415" t="n"/>
      <c r="C18" s="423" t="n"/>
      <c r="D18" s="423" t="inlineStr">
        <is>
          <t>S/W, H/W 매입</t>
        </is>
      </c>
      <c r="E18" s="383" t="n"/>
      <c r="F18" s="2352">
        <f>'2025년 자금실적'!T18</f>
        <v/>
      </c>
      <c r="G18" s="2394">
        <f>'2025년 자금실적'!U18</f>
        <v/>
      </c>
      <c r="H18" s="2395" t="n">
        <v>0</v>
      </c>
      <c r="I18" s="2396" t="n">
        <v>0</v>
      </c>
      <c r="J18" s="2396" t="n">
        <v>0</v>
      </c>
      <c r="K18" s="2396" t="n">
        <v>0</v>
      </c>
      <c r="L18" s="2398" t="n">
        <v>0</v>
      </c>
      <c r="M18" s="2567" t="n">
        <v>0</v>
      </c>
      <c r="N18" s="2399" t="n">
        <v>0</v>
      </c>
      <c r="O18" s="2398" t="n">
        <v>0</v>
      </c>
      <c r="P18" s="2399" t="n">
        <v>0.000825</v>
      </c>
      <c r="Q18" s="2400" t="n">
        <v>0</v>
      </c>
      <c r="R18" s="2568" t="n">
        <v>0</v>
      </c>
      <c r="S18" s="2569" t="n">
        <v>0</v>
      </c>
      <c r="T18" s="2399">
        <f>SUM(H18:S18)</f>
        <v/>
      </c>
      <c r="U18" s="2394">
        <f>T18/$X$8</f>
        <v/>
      </c>
      <c r="V18" s="1547" t="n"/>
    </row>
    <row r="19">
      <c r="B19" s="415" t="n"/>
      <c r="C19" s="423" t="n"/>
      <c r="D19" s="423" t="inlineStr">
        <is>
          <t>기타</t>
        </is>
      </c>
      <c r="E19" s="415" t="n"/>
      <c r="F19" s="2402">
        <f>'2025년 자금실적'!T19</f>
        <v/>
      </c>
      <c r="G19" s="2403">
        <f>'2025년 자금실적'!U19</f>
        <v/>
      </c>
      <c r="H19" s="2404">
        <f>SUM(H20:H28)</f>
        <v/>
      </c>
      <c r="I19" s="2405">
        <f>SUM(I20:I28)</f>
        <v/>
      </c>
      <c r="J19" s="2405">
        <f>SUM(J20:J28)</f>
        <v/>
      </c>
      <c r="K19" s="2405">
        <f>SUM(K20:K28)</f>
        <v/>
      </c>
      <c r="L19" s="2407">
        <f>SUM(L20:L28)</f>
        <v/>
      </c>
      <c r="M19" s="2570">
        <f>SUM(M20:M28)</f>
        <v/>
      </c>
      <c r="N19" s="2408">
        <f>SUM(N20:N28)</f>
        <v/>
      </c>
      <c r="O19" s="2407">
        <f>SUM(O20:O28)</f>
        <v/>
      </c>
      <c r="P19" s="2408">
        <f>SUM(P20:P28)</f>
        <v/>
      </c>
      <c r="Q19" s="2409">
        <f>SUM(Q20:Q28)</f>
        <v/>
      </c>
      <c r="R19" s="2571">
        <f>SUM(R20:R28)</f>
        <v/>
      </c>
      <c r="S19" s="2572">
        <f>SUM(S20:S28)</f>
        <v/>
      </c>
      <c r="T19" s="2408">
        <f>SUM(H19:S19)</f>
        <v/>
      </c>
      <c r="U19" s="2403">
        <f>T19/$X$8</f>
        <v/>
      </c>
      <c r="V19" s="462" t="n"/>
    </row>
    <row r="20">
      <c r="B20" s="415" t="n"/>
      <c r="C20" s="423" t="n"/>
      <c r="D20" s="539" t="n"/>
      <c r="E20" s="1666" t="inlineStr">
        <is>
          <t>제세공과금</t>
        </is>
      </c>
      <c r="F20" s="2352">
        <f>'2025년 자금실적'!T20</f>
        <v/>
      </c>
      <c r="G20" s="2411">
        <f>'2025년 자금실적'!U20</f>
        <v/>
      </c>
      <c r="H20" s="2412" t="n">
        <v>4.93922</v>
      </c>
      <c r="I20" s="2413" t="n">
        <v>5.2613</v>
      </c>
      <c r="J20" s="2413" t="n">
        <v>0</v>
      </c>
      <c r="K20" s="2413" t="n">
        <v>0</v>
      </c>
      <c r="L20" s="2415" t="n">
        <v>0</v>
      </c>
      <c r="M20" s="2573" t="n">
        <v>1.75016</v>
      </c>
      <c r="N20" s="2416" t="n">
        <v>9.274219</v>
      </c>
      <c r="O20" s="2415" t="n">
        <v>4.17024</v>
      </c>
      <c r="P20" s="2416" t="n">
        <v>4</v>
      </c>
      <c r="Q20" s="2413" t="n">
        <v>5</v>
      </c>
      <c r="R20" s="2574" t="n">
        <v>5</v>
      </c>
      <c r="S20" s="2575" t="n">
        <v>5</v>
      </c>
      <c r="T20" s="2418">
        <f>SUM(H20:S20)</f>
        <v/>
      </c>
      <c r="U20" s="2411">
        <f>T20/$X$8</f>
        <v/>
      </c>
      <c r="V20" s="422" t="inlineStr">
        <is>
          <t>○ 원천세 등</t>
        </is>
      </c>
    </row>
    <row r="21">
      <c r="B21" s="415" t="n"/>
      <c r="C21" s="423" t="n"/>
      <c r="D21" s="539" t="n"/>
      <c r="E21" s="541" t="inlineStr">
        <is>
          <t>전산관련지출</t>
        </is>
      </c>
      <c r="F21" s="2419">
        <f>'2025년 자금실적'!T21</f>
        <v/>
      </c>
      <c r="G21" s="2420">
        <f>'2025년 자금실적'!U21</f>
        <v/>
      </c>
      <c r="H21" s="2412" t="n">
        <v>0.78595</v>
      </c>
      <c r="I21" s="2413" t="n">
        <v>2.840809</v>
      </c>
      <c r="J21" s="2413" t="n">
        <v>0.9103059999999999</v>
      </c>
      <c r="K21" s="2413" t="n">
        <v>0.7082039999999999</v>
      </c>
      <c r="L21" s="2415" t="n">
        <v>0.826483</v>
      </c>
      <c r="M21" s="2573" t="n">
        <v>1.41149</v>
      </c>
      <c r="N21" s="2416" t="n">
        <v>0.826925</v>
      </c>
      <c r="O21" s="2415" t="n">
        <v>0.8494429999999999</v>
      </c>
      <c r="P21" s="2416" t="n">
        <v>0.9735</v>
      </c>
      <c r="Q21" s="2413" t="n">
        <v>1.501225</v>
      </c>
      <c r="R21" s="2574" t="n">
        <v>1.501225</v>
      </c>
      <c r="S21" s="2575" t="n">
        <v>1.501225</v>
      </c>
      <c r="T21" s="2421">
        <f>SUM(H21:S21)</f>
        <v/>
      </c>
      <c r="U21" s="2420">
        <f>T21/$X$8</f>
        <v/>
      </c>
      <c r="V21" s="430" t="n"/>
    </row>
    <row r="22">
      <c r="B22" s="415" t="n"/>
      <c r="C22" s="423" t="n"/>
      <c r="D22" s="539" t="n"/>
      <c r="E22" s="541" t="inlineStr">
        <is>
          <t>경영, 업무지원, 운영용역비</t>
        </is>
      </c>
      <c r="F22" s="2419">
        <f>'2025년 자금실적'!T22</f>
        <v/>
      </c>
      <c r="G22" s="2420">
        <f>'2025년 자금실적'!U22</f>
        <v/>
      </c>
      <c r="H22" s="2412" t="n">
        <v>3.557324</v>
      </c>
      <c r="I22" s="2413" t="n">
        <v>0.061712</v>
      </c>
      <c r="J22" s="2413" t="n">
        <v>0.04229</v>
      </c>
      <c r="K22" s="2413" t="n">
        <v>3.349059</v>
      </c>
      <c r="L22" s="2415" t="n">
        <v>0.044597</v>
      </c>
      <c r="M22" s="2573" t="n">
        <v>0.044976</v>
      </c>
      <c r="N22" s="2416" t="n">
        <v>3.365196</v>
      </c>
      <c r="O22" s="2415" t="n">
        <v>0.043689</v>
      </c>
      <c r="P22" s="2416" t="n">
        <v>0.043689</v>
      </c>
      <c r="Q22" s="2413" t="n">
        <v>3.501225</v>
      </c>
      <c r="R22" s="2574" t="n">
        <v>0.0605</v>
      </c>
      <c r="S22" s="2575" t="n">
        <v>0.061947</v>
      </c>
      <c r="T22" s="2421">
        <f>SUM(H22:S22)</f>
        <v/>
      </c>
      <c r="U22" s="2420">
        <f>T22/$X$8</f>
        <v/>
      </c>
      <c r="V22" s="430" t="inlineStr">
        <is>
          <t>○ 분기별 그룹사 공용비용 등</t>
        </is>
      </c>
    </row>
    <row r="23">
      <c r="B23" s="415" t="n"/>
      <c r="C23" s="423" t="n"/>
      <c r="D23" s="539" t="n"/>
      <c r="E23" s="541" t="inlineStr">
        <is>
          <t>복리후생비</t>
        </is>
      </c>
      <c r="F23" s="2419">
        <f>'2025년 자금실적'!T23</f>
        <v/>
      </c>
      <c r="G23" s="2420">
        <f>'2025년 자금실적'!U23</f>
        <v/>
      </c>
      <c r="H23" s="2412" t="n">
        <v>1.678515</v>
      </c>
      <c r="I23" s="2413" t="n">
        <v>0.6600819999999999</v>
      </c>
      <c r="J23" s="2413" t="n">
        <v>1.26286</v>
      </c>
      <c r="K23" s="2413" t="n">
        <v>0</v>
      </c>
      <c r="L23" s="2415" t="n">
        <v>1.681931</v>
      </c>
      <c r="M23" s="2573" t="n">
        <v>1.778205</v>
      </c>
      <c r="N23" s="2416" t="n">
        <v>0.169247</v>
      </c>
      <c r="O23" s="2415" t="n">
        <v>0.285656</v>
      </c>
      <c r="P23" s="2416" t="n">
        <v>0.2860949</v>
      </c>
      <c r="Q23" s="2413" t="n">
        <v>0.8</v>
      </c>
      <c r="R23" s="2574" t="n">
        <v>0.8</v>
      </c>
      <c r="S23" s="2575" t="n">
        <v>0.8</v>
      </c>
      <c r="T23" s="2421">
        <f>SUM(H23:S23)</f>
        <v/>
      </c>
      <c r="U23" s="2420">
        <f>T23/$X$8</f>
        <v/>
      </c>
      <c r="V23" s="430" t="inlineStr">
        <is>
          <t>○ 동호회비, 건강검진비용, 명절선물 등</t>
        </is>
      </c>
    </row>
    <row r="24">
      <c r="B24" s="415" t="n"/>
      <c r="C24" s="423" t="n"/>
      <c r="D24" s="539" t="n"/>
      <c r="E24" s="541" t="inlineStr">
        <is>
          <t>식당, 카페, 매점 등 운영비</t>
        </is>
      </c>
      <c r="F24" s="2419">
        <f>'2025년 자금실적'!T24</f>
        <v/>
      </c>
      <c r="G24" s="2420">
        <f>'2025년 자금실적'!U24</f>
        <v/>
      </c>
      <c r="H24" s="2412" t="n">
        <v>0.311</v>
      </c>
      <c r="I24" s="2413" t="n">
        <v>0.165</v>
      </c>
      <c r="J24" s="2413" t="n">
        <v>0.1392</v>
      </c>
      <c r="K24" s="2413" t="n">
        <v>0.165</v>
      </c>
      <c r="L24" s="2415" t="n">
        <v>0.145</v>
      </c>
      <c r="M24" s="2573" t="n">
        <v>0.08400000000000001</v>
      </c>
      <c r="N24" s="2416" t="n">
        <v>0.09700019999999999</v>
      </c>
      <c r="O24" s="2415" t="n">
        <v>0</v>
      </c>
      <c r="P24" s="2416" t="n">
        <v>0</v>
      </c>
      <c r="Q24" s="2413" t="n">
        <v>0.309</v>
      </c>
      <c r="R24" s="2574" t="n">
        <v>0.309</v>
      </c>
      <c r="S24" s="2575" t="n">
        <v>0.309</v>
      </c>
      <c r="T24" s="2421">
        <f>SUM(H24:S24)</f>
        <v/>
      </c>
      <c r="U24" s="2420">
        <f>T24/$X$8</f>
        <v/>
      </c>
      <c r="V24" s="430" t="n"/>
    </row>
    <row r="25">
      <c r="B25" s="415" t="n"/>
      <c r="C25" s="423" t="n"/>
      <c r="D25" s="539" t="n"/>
      <c r="E25" s="423" t="inlineStr">
        <is>
          <t>직원비용, 복지포인트 사용비</t>
        </is>
      </c>
      <c r="F25" s="2352">
        <f>'2025년 자금실적'!T25</f>
        <v/>
      </c>
      <c r="G25" s="2420">
        <f>'2025년 자금실적'!U25</f>
        <v/>
      </c>
      <c r="H25" s="2412" t="n">
        <v>5.325892</v>
      </c>
      <c r="I25" s="2413" t="n">
        <v>5.21776</v>
      </c>
      <c r="J25" s="2413" t="n">
        <v>2.364157</v>
      </c>
      <c r="K25" s="2413" t="n">
        <v>5.869168</v>
      </c>
      <c r="L25" s="2415" t="n">
        <v>9.481778</v>
      </c>
      <c r="M25" s="2573" t="n">
        <v>4.467447</v>
      </c>
      <c r="N25" s="2416" t="n">
        <v>8.786530000000001</v>
      </c>
      <c r="O25" s="2415" t="n">
        <v>1.368066</v>
      </c>
      <c r="P25" s="2416" t="n">
        <v>8.22256</v>
      </c>
      <c r="Q25" s="2413" t="n">
        <v>5</v>
      </c>
      <c r="R25" s="2574" t="n">
        <v>5</v>
      </c>
      <c r="S25" s="2575" t="n">
        <v>5</v>
      </c>
      <c r="T25" s="2421">
        <f>SUM(H25:S25)</f>
        <v/>
      </c>
      <c r="U25" s="2420">
        <f>T25/$X$8</f>
        <v/>
      </c>
      <c r="V25" s="430" t="n"/>
    </row>
    <row r="26">
      <c r="B26" s="415" t="n"/>
      <c r="C26" s="423" t="n"/>
      <c r="D26" s="539" t="n"/>
      <c r="E26" s="423" t="inlineStr">
        <is>
          <t>임차료, 관리비</t>
        </is>
      </c>
      <c r="F26" s="2352">
        <f>'2025년 자금실적'!T26</f>
        <v/>
      </c>
      <c r="G26" s="2420">
        <f>'2025년 자금실적'!U26</f>
        <v/>
      </c>
      <c r="H26" s="2412" t="n">
        <v>0.919248</v>
      </c>
      <c r="I26" s="2413" t="n">
        <v>0.919248</v>
      </c>
      <c r="J26" s="2413" t="n">
        <v>0.919248</v>
      </c>
      <c r="K26" s="2413" t="n">
        <v>0.919248</v>
      </c>
      <c r="L26" s="2415" t="n">
        <v>0.919248</v>
      </c>
      <c r="M26" s="2573" t="n">
        <v>0.919248</v>
      </c>
      <c r="N26" s="2416" t="n">
        <v>0.919248</v>
      </c>
      <c r="O26" s="2415" t="n">
        <v>0.919248</v>
      </c>
      <c r="P26" s="2416" t="n">
        <v>0.919248</v>
      </c>
      <c r="Q26" s="2413" t="n">
        <v>0.919248</v>
      </c>
      <c r="R26" s="2574" t="n">
        <v>0.919248</v>
      </c>
      <c r="S26" s="2575" t="n">
        <v>0.919248</v>
      </c>
      <c r="T26" s="2421">
        <f>SUM(H26:S26)</f>
        <v/>
      </c>
      <c r="U26" s="2420">
        <f>T26/$X$8</f>
        <v/>
      </c>
      <c r="V26" s="430" t="n"/>
    </row>
    <row r="27">
      <c r="B27" s="415" t="n"/>
      <c r="C27" s="423" t="n"/>
      <c r="D27" s="539" t="n"/>
      <c r="E27" s="423" t="inlineStr">
        <is>
          <t>지급수수료</t>
        </is>
      </c>
      <c r="F27" s="2352">
        <f>'2025년 자금실적'!T27</f>
        <v/>
      </c>
      <c r="G27" s="2420">
        <f>'2025년 자금실적'!U27</f>
        <v/>
      </c>
      <c r="H27" s="2412" t="n">
        <v>0.001</v>
      </c>
      <c r="I27" s="2413" t="n">
        <v>0</v>
      </c>
      <c r="J27" s="2413" t="n">
        <v>0.636795</v>
      </c>
      <c r="K27" s="2413" t="n">
        <v>0</v>
      </c>
      <c r="L27" s="2415" t="n">
        <v>1.701073</v>
      </c>
      <c r="M27" s="2573" t="n">
        <v>2.298395</v>
      </c>
      <c r="N27" s="2416" t="n">
        <v>0</v>
      </c>
      <c r="O27" s="2415" t="n">
        <v>0.476281</v>
      </c>
      <c r="P27" s="2416" t="n">
        <v>0</v>
      </c>
      <c r="Q27" s="2413" t="n">
        <v>0.3</v>
      </c>
      <c r="R27" s="2574" t="n">
        <v>0.3</v>
      </c>
      <c r="S27" s="2575" t="n">
        <v>0.3</v>
      </c>
      <c r="T27" s="2421">
        <f>SUM(H27:S27)</f>
        <v/>
      </c>
      <c r="U27" s="2420">
        <f>T27/$X$8</f>
        <v/>
      </c>
      <c r="V27" s="430" t="n"/>
    </row>
    <row r="28">
      <c r="B28" s="415" t="n"/>
      <c r="C28" s="423" t="n"/>
      <c r="D28" s="540" t="n"/>
      <c r="E28" s="455" t="inlineStr">
        <is>
          <t>통신비등</t>
        </is>
      </c>
      <c r="F28" s="2352">
        <f>'2025년 자금실적'!T28</f>
        <v/>
      </c>
      <c r="G28" s="2422">
        <f>'2025년 자금실적'!U28</f>
        <v/>
      </c>
      <c r="H28" s="2412" t="n">
        <v>1.58793</v>
      </c>
      <c r="I28" s="2413" t="n">
        <v>3.755018</v>
      </c>
      <c r="J28" s="2413" t="n">
        <v>0.23522</v>
      </c>
      <c r="K28" s="2413" t="n">
        <v>0.3999100000000002</v>
      </c>
      <c r="L28" s="2415" t="n">
        <v>0.4451109999999989</v>
      </c>
      <c r="M28" s="2573" t="n">
        <v>0.2350200000000005</v>
      </c>
      <c r="N28" s="2416" t="n">
        <v>0.4721139999999995</v>
      </c>
      <c r="O28" s="2415" t="n">
        <v>3.185726</v>
      </c>
      <c r="P28" s="2416" t="n">
        <v>0.472007</v>
      </c>
      <c r="Q28" s="2413" t="n">
        <v>0.4</v>
      </c>
      <c r="R28" s="2574" t="n">
        <v>0.4</v>
      </c>
      <c r="S28" s="2575" t="n">
        <v>0.4</v>
      </c>
      <c r="T28" s="2423">
        <f>SUM(H28:S28)</f>
        <v/>
      </c>
      <c r="U28" s="2422">
        <f>T28/$X$8</f>
        <v/>
      </c>
      <c r="V28" s="2424" t="n"/>
    </row>
    <row r="29" ht="17.45" customHeight="1">
      <c r="B29" s="415" t="n"/>
      <c r="C29" s="1666" t="inlineStr">
        <is>
          <t>비경상</t>
        </is>
      </c>
      <c r="D29" s="2265" t="n"/>
      <c r="E29" s="2265" t="n"/>
      <c r="F29" s="2372">
        <f>'2025년 자금실적'!T29</f>
        <v/>
      </c>
      <c r="G29" s="2411">
        <f>'2025년 자금실적'!U29</f>
        <v/>
      </c>
      <c r="H29" s="2576">
        <f>SUM(H30:H34)</f>
        <v/>
      </c>
      <c r="I29" s="2375">
        <f>SUM(I30:I34)</f>
        <v/>
      </c>
      <c r="J29" s="2375">
        <f>SUM(J30:J34)</f>
        <v/>
      </c>
      <c r="K29" s="2375">
        <f>SUM(K30:K34)</f>
        <v/>
      </c>
      <c r="L29" s="2425">
        <f>SUM(L30:L34)</f>
        <v/>
      </c>
      <c r="M29" s="2577">
        <f>SUM(M30:M34)</f>
        <v/>
      </c>
      <c r="N29" s="2426">
        <f>SUM(N30:N34)</f>
        <v/>
      </c>
      <c r="O29" s="2425">
        <f>SUM(O30:O34)</f>
        <v/>
      </c>
      <c r="P29" s="2426">
        <f>SUM(P30:P34)</f>
        <v/>
      </c>
      <c r="Q29" s="2375">
        <f>SUM(Q30:Q34)</f>
        <v/>
      </c>
      <c r="R29" s="2578">
        <f>SUM(R30:R34)</f>
        <v/>
      </c>
      <c r="S29" s="2579">
        <f>SUM(S30:S34)</f>
        <v/>
      </c>
      <c r="T29" s="2426">
        <f>SUM(H29:S29)</f>
        <v/>
      </c>
      <c r="U29" s="2411">
        <f>T29/$X$8</f>
        <v/>
      </c>
      <c r="V29" s="422" t="n"/>
    </row>
    <row r="30" ht="17.45" customHeight="1">
      <c r="B30" s="415" t="n"/>
      <c r="C30" s="423" t="n"/>
      <c r="D30" s="1666" t="inlineStr">
        <is>
          <t>지식재산권 양수</t>
        </is>
      </c>
      <c r="E30" s="500" t="n"/>
      <c r="F30" s="2428">
        <f>'2025년 자금실적'!T30</f>
        <v/>
      </c>
      <c r="G30" s="2411">
        <f>'2025년 자금실적'!U30</f>
        <v/>
      </c>
      <c r="H30" s="2374" t="n"/>
      <c r="I30" s="2375" t="n"/>
      <c r="J30" s="2375" t="n"/>
      <c r="K30" s="2375" t="n"/>
      <c r="L30" s="2425" t="n"/>
      <c r="M30" s="2577" t="n"/>
      <c r="N30" s="2426" t="n"/>
      <c r="O30" s="2425" t="n"/>
      <c r="P30" s="2426" t="n"/>
      <c r="Q30" s="2375" t="n"/>
      <c r="R30" s="2578" t="n"/>
      <c r="S30" s="2579" t="n"/>
      <c r="T30" s="2426">
        <f>SUM(H30:S30)</f>
        <v/>
      </c>
      <c r="U30" s="2411">
        <f>T30/$X$8</f>
        <v/>
      </c>
      <c r="V30" s="422" t="n"/>
    </row>
    <row r="31" ht="17.45" customHeight="1">
      <c r="B31" s="415" t="n"/>
      <c r="C31" s="423" t="n"/>
      <c r="D31" s="423" t="inlineStr">
        <is>
          <t>임대보증금</t>
        </is>
      </c>
      <c r="E31" s="501" t="n"/>
      <c r="F31" s="2429">
        <f>'2025년 자금실적'!T31</f>
        <v/>
      </c>
      <c r="G31" s="2420">
        <f>'2025년 자금실적'!U31</f>
        <v/>
      </c>
      <c r="H31" s="2395" t="n"/>
      <c r="I31" s="2396" t="n"/>
      <c r="J31" s="2396" t="n"/>
      <c r="K31" s="2396" t="n"/>
      <c r="L31" s="2430" t="n"/>
      <c r="M31" s="2580" t="n"/>
      <c r="N31" s="2431" t="n"/>
      <c r="O31" s="2430" t="n"/>
      <c r="P31" s="2431" t="n"/>
      <c r="Q31" s="2396" t="n"/>
      <c r="R31" s="2581" t="n"/>
      <c r="S31" s="2582" t="n"/>
      <c r="T31" s="2431">
        <f>SUM(H31:S31)</f>
        <v/>
      </c>
      <c r="U31" s="2420">
        <f>T31/$X$8</f>
        <v/>
      </c>
      <c r="V31" s="430" t="n"/>
    </row>
    <row r="32" ht="17.45" customHeight="1">
      <c r="B32" s="415" t="n"/>
      <c r="C32" s="423" t="n"/>
      <c r="D32" s="423" t="inlineStr">
        <is>
          <t>시설장치</t>
        </is>
      </c>
      <c r="E32" s="501" t="n"/>
      <c r="F32" s="2429">
        <f>'2025년 자금실적'!T32</f>
        <v/>
      </c>
      <c r="G32" s="2420">
        <f>'2025년 자금실적'!U32</f>
        <v/>
      </c>
      <c r="H32" s="2395" t="n"/>
      <c r="I32" s="2396" t="n"/>
      <c r="J32" s="2396" t="n"/>
      <c r="K32" s="2396" t="n"/>
      <c r="L32" s="2430" t="n"/>
      <c r="M32" s="2580" t="n"/>
      <c r="N32" s="2431" t="n"/>
      <c r="O32" s="2430" t="n"/>
      <c r="P32" s="2431" t="n"/>
      <c r="Q32" s="2396" t="n"/>
      <c r="R32" s="2581" t="n"/>
      <c r="S32" s="2582" t="n"/>
      <c r="T32" s="2431">
        <f>SUM(H32:S32)</f>
        <v/>
      </c>
      <c r="U32" s="2420">
        <f>T32/$X$8</f>
        <v/>
      </c>
      <c r="V32" s="430" t="n"/>
    </row>
    <row r="33" ht="17.45" customHeight="1">
      <c r="B33" s="415" t="n"/>
      <c r="C33" s="423" t="n"/>
      <c r="D33" s="423" t="inlineStr">
        <is>
          <t>투자금</t>
        </is>
      </c>
      <c r="E33" s="501" t="n"/>
      <c r="F33" s="2429" t="n">
        <v>0</v>
      </c>
      <c r="G33" s="2420" t="n">
        <v>0</v>
      </c>
      <c r="H33" s="2395" t="n"/>
      <c r="I33" s="2583" t="n">
        <v>7.13645</v>
      </c>
      <c r="J33" s="2583" t="n">
        <v>999.999</v>
      </c>
      <c r="K33" s="2396" t="n"/>
      <c r="L33" s="2430" t="n"/>
      <c r="M33" s="2580" t="n"/>
      <c r="N33" s="2431" t="n"/>
      <c r="O33" s="2430" t="n">
        <v>0</v>
      </c>
      <c r="P33" s="2431" t="n">
        <v>0</v>
      </c>
      <c r="Q33" s="2396" t="n"/>
      <c r="R33" s="2581" t="n"/>
      <c r="S33" s="2582" t="n"/>
      <c r="T33" s="2431">
        <f>SUM(H33:S33)</f>
        <v/>
      </c>
      <c r="U33" s="2420">
        <f>T33/$X$8</f>
        <v/>
      </c>
      <c r="V33" s="430" t="inlineStr">
        <is>
          <t>○ 미국법인 출자금, ATOP UNIVERSE 신주인수대금</t>
        </is>
      </c>
    </row>
    <row r="34" ht="17.45" customHeight="1">
      <c r="B34" s="415" t="n"/>
      <c r="C34" s="423" t="n"/>
      <c r="D34" s="423" t="inlineStr">
        <is>
          <t>기타</t>
        </is>
      </c>
      <c r="E34" s="415" t="n"/>
      <c r="F34" s="2352">
        <f>'2025년 자금실적'!T33</f>
        <v/>
      </c>
      <c r="G34" s="2420">
        <f>'2025년 자금실적'!U33</f>
        <v/>
      </c>
      <c r="H34" s="2395" t="n"/>
      <c r="I34" s="2396" t="n"/>
      <c r="J34" s="2396" t="n"/>
      <c r="K34" s="2396" t="n"/>
      <c r="L34" s="2430" t="n"/>
      <c r="M34" s="2580" t="n"/>
      <c r="N34" s="2431" t="n"/>
      <c r="O34" s="2430" t="n"/>
      <c r="P34" s="2431" t="n"/>
      <c r="Q34" s="2396" t="n"/>
      <c r="R34" s="2581" t="n"/>
      <c r="S34" s="2582" t="n"/>
      <c r="T34" s="2431">
        <f>SUM(H34:S34)</f>
        <v/>
      </c>
      <c r="U34" s="2420">
        <f>T34/$X$8</f>
        <v/>
      </c>
      <c r="V34" s="430" t="n"/>
    </row>
    <row r="35" ht="16.5" customHeight="1">
      <c r="B35" s="1662" t="inlineStr">
        <is>
          <t xml:space="preserve"> D. 자금수지차 (=B-C)</t>
        </is>
      </c>
      <c r="C35" s="1941" t="n"/>
      <c r="D35" s="1941" t="n"/>
      <c r="E35" s="1941" t="n"/>
      <c r="F35" s="2433">
        <f>'2025년 자금실적'!T34</f>
        <v/>
      </c>
      <c r="G35" s="2434">
        <f>'2025년 자금실적'!U34</f>
        <v/>
      </c>
      <c r="H35" s="2435">
        <f>H12-H15</f>
        <v/>
      </c>
      <c r="I35" s="2436">
        <f>I12-I15</f>
        <v/>
      </c>
      <c r="J35" s="2436">
        <f>J12-J15</f>
        <v/>
      </c>
      <c r="K35" s="2436">
        <f>K12-K15</f>
        <v/>
      </c>
      <c r="L35" s="2438">
        <f>L12-L15</f>
        <v/>
      </c>
      <c r="M35" s="2584">
        <f>M12-M15</f>
        <v/>
      </c>
      <c r="N35" s="2439">
        <f>N12-N15</f>
        <v/>
      </c>
      <c r="O35" s="2438">
        <f>O12-O15</f>
        <v/>
      </c>
      <c r="P35" s="2439">
        <f>P12-P15</f>
        <v/>
      </c>
      <c r="Q35" s="2436">
        <f>Q12-Q15</f>
        <v/>
      </c>
      <c r="R35" s="2585">
        <f>R12-R15</f>
        <v/>
      </c>
      <c r="S35" s="2586">
        <f>S12-S15</f>
        <v/>
      </c>
      <c r="T35" s="2439">
        <f>T12-T15</f>
        <v/>
      </c>
      <c r="U35" s="2434">
        <f>T35/$X$8</f>
        <v/>
      </c>
      <c r="V35" s="466" t="n"/>
    </row>
    <row r="36">
      <c r="B36" s="467" t="n"/>
      <c r="C36" s="468" t="inlineStr">
        <is>
          <t xml:space="preserve"> D-1. 경상수지차</t>
        </is>
      </c>
      <c r="D36" s="468" t="n"/>
      <c r="E36" s="468" t="n"/>
      <c r="F36" s="2441">
        <f>'2025년 자금실적'!T35</f>
        <v/>
      </c>
      <c r="G36" s="2442">
        <f>'2025년 자금실적'!U35</f>
        <v/>
      </c>
      <c r="H36" s="2443">
        <f>H13-H16</f>
        <v/>
      </c>
      <c r="I36" s="2444">
        <f>I13-I16</f>
        <v/>
      </c>
      <c r="J36" s="2444">
        <f>J13-J16</f>
        <v/>
      </c>
      <c r="K36" s="2444">
        <f>K13-K16</f>
        <v/>
      </c>
      <c r="L36" s="2446">
        <f>L13-L16</f>
        <v/>
      </c>
      <c r="M36" s="2587">
        <f>M13-M16</f>
        <v/>
      </c>
      <c r="N36" s="2447">
        <f>N13-N16</f>
        <v/>
      </c>
      <c r="O36" s="2446">
        <f>O13-O16</f>
        <v/>
      </c>
      <c r="P36" s="2447">
        <f>P13-P16</f>
        <v/>
      </c>
      <c r="Q36" s="2444">
        <f>Q13-Q16</f>
        <v/>
      </c>
      <c r="R36" s="2588">
        <f>R13-R16</f>
        <v/>
      </c>
      <c r="S36" s="2589">
        <f>S13-S16</f>
        <v/>
      </c>
      <c r="T36" s="2447">
        <f>T13-T16</f>
        <v/>
      </c>
      <c r="U36" s="2442">
        <f>T36/$X$8</f>
        <v/>
      </c>
      <c r="V36" s="475" t="n"/>
    </row>
    <row r="37" ht="15.6" customHeight="1">
      <c r="B37" s="1662" t="inlineStr">
        <is>
          <t xml:space="preserve"> E. 자금조달(증자)</t>
        </is>
      </c>
      <c r="C37" s="1941" t="n"/>
      <c r="D37" s="1941" t="n"/>
      <c r="E37" s="1941" t="n"/>
      <c r="F37" s="2381">
        <f>'2025년 자금실적'!T36</f>
        <v/>
      </c>
      <c r="G37" s="2449">
        <f>'2025년 자금실적'!U36</f>
        <v/>
      </c>
      <c r="H37" s="2383" t="n"/>
      <c r="I37" s="2384" t="n"/>
      <c r="J37" s="2384" t="n"/>
      <c r="K37" s="2384" t="n"/>
      <c r="L37" s="2450" t="n"/>
      <c r="M37" s="2590" t="n"/>
      <c r="N37" s="2451" t="n"/>
      <c r="O37" s="2450" t="n"/>
      <c r="P37" s="2451" t="n"/>
      <c r="Q37" s="2384" t="n"/>
      <c r="R37" s="2591" t="n"/>
      <c r="S37" s="2592" t="n"/>
      <c r="T37" s="2453">
        <f>SUM(H37:S37)</f>
        <v/>
      </c>
      <c r="U37" s="2449">
        <f>T37/$X$8</f>
        <v/>
      </c>
      <c r="V37" s="478" t="n"/>
    </row>
    <row r="38" hidden="1">
      <c r="B38" s="415" t="n"/>
      <c r="C38" s="415" t="n"/>
      <c r="D38" s="415" t="n"/>
      <c r="E38" s="415" t="n"/>
      <c r="F38" s="2352">
        <f>'2025년 자금실적'!T37</f>
        <v/>
      </c>
      <c r="G38" s="2420">
        <f>'2025년 자금실적'!U37</f>
        <v/>
      </c>
      <c r="H38" s="2395" t="n"/>
      <c r="I38" s="2396" t="n"/>
      <c r="J38" s="2396" t="n"/>
      <c r="K38" s="2396" t="n"/>
      <c r="L38" s="2430" t="n"/>
      <c r="M38" s="2580" t="n"/>
      <c r="N38" s="2431" t="n"/>
      <c r="O38" s="2430" t="n"/>
      <c r="P38" s="2431" t="n"/>
      <c r="Q38" s="2396" t="n"/>
      <c r="R38" s="2581" t="n"/>
      <c r="S38" s="2582" t="n"/>
      <c r="T38" s="2431" t="n"/>
      <c r="U38" s="2420" t="n"/>
      <c r="V38" s="481" t="n"/>
    </row>
    <row r="39" hidden="1">
      <c r="B39" s="415" t="n"/>
      <c r="C39" s="415" t="n"/>
      <c r="D39" s="415" t="n"/>
      <c r="E39" s="415" t="n"/>
      <c r="F39" s="2352">
        <f>'2025년 자금실적'!T38</f>
        <v/>
      </c>
      <c r="G39" s="2420">
        <f>'2025년 자금실적'!U38</f>
        <v/>
      </c>
      <c r="H39" s="2395" t="n"/>
      <c r="I39" s="2396" t="n"/>
      <c r="J39" s="2396" t="n"/>
      <c r="K39" s="2396" t="n"/>
      <c r="L39" s="2430" t="n"/>
      <c r="M39" s="2580" t="n"/>
      <c r="N39" s="2431" t="n"/>
      <c r="O39" s="2430" t="n"/>
      <c r="P39" s="2431" t="n"/>
      <c r="Q39" s="2396" t="n"/>
      <c r="R39" s="2581" t="n"/>
      <c r="S39" s="2582" t="n"/>
      <c r="T39" s="2431" t="n"/>
      <c r="U39" s="2420" t="n"/>
      <c r="V39" s="481" t="n"/>
    </row>
    <row r="40" hidden="1">
      <c r="B40" s="436" t="n"/>
      <c r="C40" s="436" t="n"/>
      <c r="D40" s="436" t="n"/>
      <c r="E40" s="436" t="n"/>
      <c r="F40" s="2454">
        <f>'2025년 자금실적'!T39</f>
        <v/>
      </c>
      <c r="G40" s="2455">
        <f>'2025년 자금실적'!U39</f>
        <v/>
      </c>
      <c r="H40" s="2456" t="n"/>
      <c r="I40" s="2457" t="n"/>
      <c r="J40" s="2457" t="n"/>
      <c r="K40" s="2457" t="n"/>
      <c r="L40" s="2459" t="n"/>
      <c r="M40" s="2593" t="n"/>
      <c r="N40" s="2460" t="n"/>
      <c r="O40" s="2459" t="n"/>
      <c r="P40" s="2460" t="n"/>
      <c r="Q40" s="2457" t="n"/>
      <c r="R40" s="2594" t="n"/>
      <c r="S40" s="2595" t="n"/>
      <c r="T40" s="2460" t="n"/>
      <c r="U40" s="2455" t="n"/>
      <c r="V40" s="483" t="n"/>
    </row>
    <row r="41" ht="16.5" customFormat="1" customHeight="1" s="399">
      <c r="B41" s="1664" t="inlineStr">
        <is>
          <t xml:space="preserve"> F. 기말잔고(=A+D+E)</t>
        </is>
      </c>
      <c r="C41" s="1864" t="n"/>
      <c r="D41" s="1864" t="n"/>
      <c r="E41" s="1864" t="n"/>
      <c r="F41" s="2462" t="n">
        <v>3607.089792</v>
      </c>
      <c r="G41" s="2463" t="n"/>
      <c r="H41" s="2464">
        <f>H11+H35+H37</f>
        <v/>
      </c>
      <c r="I41" s="2465">
        <f>I11+I35+I37</f>
        <v/>
      </c>
      <c r="J41" s="2465">
        <f>J11+J35+J37</f>
        <v/>
      </c>
      <c r="K41" s="2465">
        <f>K11+K35+K37</f>
        <v/>
      </c>
      <c r="L41" s="2467">
        <f>L11+L35+L37</f>
        <v/>
      </c>
      <c r="M41" s="2596">
        <f>M11+M35+M37</f>
        <v/>
      </c>
      <c r="N41" s="2468">
        <f>N11+N35+N37</f>
        <v/>
      </c>
      <c r="O41" s="2467">
        <f>O11+O35+O37</f>
        <v/>
      </c>
      <c r="P41" s="2468">
        <f>P11+P35+P37</f>
        <v/>
      </c>
      <c r="Q41" s="2465">
        <f>Q11+Q35+Q37</f>
        <v/>
      </c>
      <c r="R41" s="2597">
        <f>R11+R35+R37</f>
        <v/>
      </c>
      <c r="S41" s="2598">
        <f>S11+S35+S37</f>
        <v/>
      </c>
      <c r="T41" s="2468">
        <f>T11+T35+T37</f>
        <v/>
      </c>
      <c r="U41" s="2470" t="n"/>
      <c r="V41" s="490" t="n"/>
      <c r="Y41" s="407" t="n"/>
    </row>
    <row r="42"/>
    <row r="43"/>
    <row r="44">
      <c r="E44" s="2472" t="n"/>
      <c r="F44" s="2472" t="n"/>
      <c r="G44" s="2472" t="n"/>
      <c r="M44" s="2599" t="n"/>
    </row>
    <row r="45">
      <c r="E45" s="2472" t="n"/>
      <c r="F45" s="2472" t="n"/>
      <c r="G45" s="2472" t="n"/>
    </row>
    <row r="46">
      <c r="E46" s="2472" t="n"/>
      <c r="F46" s="2472" t="n"/>
      <c r="G46" s="2472" t="n"/>
    </row>
  </sheetData>
  <mergeCells count="16">
    <mergeCell ref="C16:E16"/>
    <mergeCell ref="N9:S9"/>
    <mergeCell ref="F8:G9"/>
    <mergeCell ref="B41:E41"/>
    <mergeCell ref="C14:E14"/>
    <mergeCell ref="B35:E35"/>
    <mergeCell ref="C13:E13"/>
    <mergeCell ref="V8:V10"/>
    <mergeCell ref="B12:E12"/>
    <mergeCell ref="B37:E37"/>
    <mergeCell ref="B15:E15"/>
    <mergeCell ref="B8:E10"/>
    <mergeCell ref="B11:E11"/>
    <mergeCell ref="H9:M9"/>
    <mergeCell ref="H8:S8"/>
    <mergeCell ref="C29:E29"/>
  </mergeCells>
  <conditionalFormatting sqref="C1:V6">
    <cfRule type="cellIs" priority="5" operator="equal" dxfId="5">
      <formula>0</formula>
    </cfRule>
  </conditionalFormatting>
  <conditionalFormatting sqref="C42:V1048576">
    <cfRule type="cellIs" priority="6" operator="equal" dxfId="5">
      <formula>0</formula>
    </cfRule>
  </conditionalFormatting>
  <conditionalFormatting sqref="G12 G14:U15 G17:U35 G37:G40">
    <cfRule type="cellIs" priority="1" operator="equal" dxfId="0">
      <formula>0</formula>
    </cfRule>
    <cfRule type="cellIs" priority="2" operator="equal" dxfId="2">
      <formula>0</formula>
    </cfRule>
  </conditionalFormatting>
  <conditionalFormatting sqref="H11:U12 H37:U41">
    <cfRule type="cellIs" priority="3" operator="equal" dxfId="0">
      <formula>0</formula>
    </cfRule>
    <cfRule type="cellIs" priority="4" operator="equal" dxfId="2">
      <formula>0</formula>
    </cfRule>
  </conditionalFormatting>
  <printOptions horizontalCentered="1"/>
  <pageMargins left="0.1574803149606299" right="0.3149606299212598" top="0.4330708661417323" bottom="0.2362204724409449" header="0.1574803149606299" footer="0.1574803149606299"/>
  <pageSetup orientation="landscape" paperSize="9" scale="60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gekim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2026-09-09T06:32:54Z</dcterms:modified>
  <cp:lastModifiedBy>com2usholdings14</cp:lastModifiedBy>
  <cp:lastPrinted>2025-05-26T07:26:47Z</cp:lastPrinted>
</cp:coreProperties>
</file>