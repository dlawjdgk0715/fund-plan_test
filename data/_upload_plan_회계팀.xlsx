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공유 드라이브\[인수인계] 카탈리스터 회계용역\7. 자금집행계획서\2026\"/>
    </mc:Choice>
  </mc:AlternateContent>
  <xr:revisionPtr revIDLastSave="0" documentId="13_ncr:1_{3E2E5E2E-72D0-450D-BADD-A6B97FA0BE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년 8월" sheetId="78" r:id="rId1"/>
    <sheet name="2026년 9월" sheetId="79" r:id="rId2"/>
    <sheet name="2026년 10월" sheetId="80" r:id="rId3"/>
    <sheet name="목록" sheetId="6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80" l="1"/>
  <c r="G13" i="80"/>
  <c r="G12" i="80"/>
  <c r="G11" i="80"/>
  <c r="G8" i="80"/>
  <c r="G7" i="80"/>
  <c r="G11" i="79"/>
  <c r="G10" i="79"/>
  <c r="G9" i="79"/>
  <c r="G8" i="79"/>
  <c r="G7" i="79"/>
  <c r="G12" i="78" l="1"/>
  <c r="G11" i="78"/>
  <c r="G10" i="78"/>
  <c r="G9" i="78"/>
  <c r="G8" i="78"/>
  <c r="G7" i="78"/>
  <c r="F14" i="80" l="1"/>
  <c r="G14" i="80" s="1"/>
</calcChain>
</file>

<file path=xl/sharedStrings.xml><?xml version="1.0" encoding="utf-8"?>
<sst xmlns="http://schemas.openxmlformats.org/spreadsheetml/2006/main" count="125" uniqueCount="38">
  <si>
    <t>합계</t>
    <phoneticPr fontId="2" type="noConversion"/>
  </si>
  <si>
    <t>업체명</t>
    <phoneticPr fontId="2" type="noConversion"/>
  </si>
  <si>
    <t>금액</t>
    <phoneticPr fontId="2" type="noConversion"/>
  </si>
  <si>
    <t>부가가치세</t>
    <phoneticPr fontId="2" type="noConversion"/>
  </si>
  <si>
    <t>[단위:원/각통화]</t>
    <phoneticPr fontId="2" type="noConversion"/>
  </si>
  <si>
    <t>비고(예상입금 및 지급일 등)</t>
    <phoneticPr fontId="2" type="noConversion"/>
  </si>
  <si>
    <t>사유</t>
    <phoneticPr fontId="2" type="noConversion"/>
  </si>
  <si>
    <t>통화</t>
    <phoneticPr fontId="2" type="noConversion"/>
  </si>
  <si>
    <t>입/출금 구분</t>
    <phoneticPr fontId="2" type="noConversion"/>
  </si>
  <si>
    <t>입금</t>
    <phoneticPr fontId="2" type="noConversion"/>
  </si>
  <si>
    <t>출금</t>
    <phoneticPr fontId="2" type="noConversion"/>
  </si>
  <si>
    <t>2026년 8월 자금 집행 계획서</t>
    <phoneticPr fontId="2" type="noConversion"/>
  </si>
  <si>
    <t>2026년 9월 자금 집행 계획서</t>
    <phoneticPr fontId="2" type="noConversion"/>
  </si>
  <si>
    <t>2026년 10월 자금 집행 계획서</t>
    <phoneticPr fontId="2" type="noConversion"/>
  </si>
  <si>
    <t>㈜컴투스</t>
  </si>
  <si>
    <t>출금</t>
  </si>
  <si>
    <t>인사 용역료</t>
  </si>
  <si>
    <t>KRW</t>
  </si>
  <si>
    <t>월정임차료 및 관리비</t>
  </si>
  <si>
    <t>20일</t>
  </si>
  <si>
    <t>LG유플러스</t>
  </si>
  <si>
    <t>대표번호 전화요금</t>
  </si>
  <si>
    <t>말일</t>
  </si>
  <si>
    <t>주식회사 세포아소프트</t>
  </si>
  <si>
    <t>법인카드 데이터 연동시스템 사용</t>
  </si>
  <si>
    <t>10일</t>
  </si>
  <si>
    <t>컴투스플랫폼</t>
  </si>
  <si>
    <t>입금</t>
  </si>
  <si>
    <t>텐센트클라우드 서비스 이용료 분담</t>
  </si>
  <si>
    <t>말일 / 예상액</t>
  </si>
  <si>
    <t>부서명 : 내부회계 관리팀</t>
    <phoneticPr fontId="2" type="noConversion"/>
  </si>
  <si>
    <t>금천구청</t>
    <phoneticPr fontId="2" type="noConversion"/>
  </si>
  <si>
    <t>2026년 주민세 사업소분</t>
    <phoneticPr fontId="2" type="noConversion"/>
  </si>
  <si>
    <t>말일</t>
    <phoneticPr fontId="2" type="noConversion"/>
  </si>
  <si>
    <t>20일</t>
    <phoneticPr fontId="2" type="noConversion"/>
  </si>
  <si>
    <t>20일 / 예상액</t>
    <phoneticPr fontId="2" type="noConversion"/>
  </si>
  <si>
    <t>3분기 그룹사 공용비용</t>
    <phoneticPr fontId="2" type="noConversion"/>
  </si>
  <si>
    <t>3분기 경영부문 용역료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</si>
</sst>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  <font>
      <sz val="11"/>
      <name val="Arial"/>
      <family val="2"/>
    </font>
    <font>
      <sz val="11"/>
      <color rgb="FF000000"/>
      <name val="맑은 고딕"/>
      <family val="2"/>
      <scheme val="minor"/>
    </font>
    <font>
      <sz val="11"/>
      <color theme="1"/>
      <name val="Malgun Gothic"/>
      <family val="3"/>
      <charset val="129"/>
    </font>
    <font>
      <sz val="11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/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41" fontId="3" fillId="0" borderId="1" xfId="1" applyFont="1" applyBorder="1">
      <alignment vertical="center"/>
    </xf>
    <xf numFmtId="41" fontId="3" fillId="0" borderId="0" xfId="1" applyFont="1">
      <alignment vertical="center"/>
    </xf>
    <xf numFmtId="41" fontId="4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3" fontId="7" fillId="0" borderId="1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/>
    </xf>
    <xf numFmtId="41" fontId="10" fillId="0" borderId="1" xfId="1" applyFont="1" applyBorder="1">
      <alignment vertical="center"/>
    </xf>
    <xf numFmtId="176" fontId="10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1" fontId="7" fillId="0" borderId="1" xfId="1" applyFont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</cellXfs>
  <cellStyles count="4">
    <cellStyle name="쉼표 [0]" xfId="1" builtinId="6"/>
    <cellStyle name="쉼표 [0] 2" xfId="2" xr:uid="{1FF1F4A1-B05A-458C-8B80-070CC96FA5A0}"/>
    <cellStyle name="표준" xfId="0" builtinId="0"/>
    <cellStyle name="표준 2" xfId="3" xr:uid="{8881DCB0-2345-4432-8978-B8621517BB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BE04-A3EA-4B28-B158-0E8035631B1E}">
  <sheetPr>
    <pageSetUpPr fitToPage="1"/>
  </sheetPr>
  <dimension ref="A2:I47"/>
  <sheetViews>
    <sheetView tabSelected="1" zoomScale="85" zoomScaleNormal="85" workbookViewId="0"/>
  </sheetViews>
  <sheetFormatPr defaultColWidth="8.88671875" defaultRowHeight="22.5" customHeight="1"/>
  <cols>
    <col min="1" max="2" width="19.6640625" style="1" customWidth="1"/>
    <col min="3" max="3" width="31.6640625" style="1" customWidth="1"/>
    <col min="4" max="4" width="16.33203125" style="1" customWidth="1"/>
    <col min="5" max="5" width="16.33203125" style="8" customWidth="1"/>
    <col min="6" max="7" width="16.33203125" style="1" customWidth="1"/>
    <col min="8" max="8" width="31.6640625" style="1" customWidth="1"/>
    <col min="9" max="9" width="8.88671875" customWidth="1"/>
    <col min="10" max="16384" width="8.88671875" style="1"/>
  </cols>
  <sheetData>
    <row r="2" spans="1:8" ht="22.5" customHeight="1">
      <c r="A2" s="13" t="s">
        <v>11</v>
      </c>
      <c r="B2" s="13"/>
      <c r="C2" s="13"/>
      <c r="D2" s="13"/>
      <c r="E2" s="13"/>
      <c r="F2" s="13"/>
      <c r="G2" s="13"/>
      <c r="H2" s="13"/>
    </row>
    <row r="4" spans="1:8" ht="22.5" customHeight="1">
      <c r="A4" s="2" t="s">
        <v>30</v>
      </c>
      <c r="B4" s="2"/>
    </row>
    <row r="5" spans="1:8" ht="22.5" customHeight="1">
      <c r="H5" s="11" t="s">
        <v>4</v>
      </c>
    </row>
    <row r="6" spans="1:8" ht="22.5" customHeight="1">
      <c r="A6" s="3" t="s">
        <v>1</v>
      </c>
      <c r="B6" s="3" t="s">
        <v>8</v>
      </c>
      <c r="C6" s="3" t="s">
        <v>6</v>
      </c>
      <c r="D6" s="4" t="s">
        <v>7</v>
      </c>
      <c r="E6" s="9" t="s">
        <v>2</v>
      </c>
      <c r="F6" s="5" t="s">
        <v>3</v>
      </c>
      <c r="G6" s="5" t="s">
        <v>0</v>
      </c>
      <c r="H6" s="3" t="s">
        <v>5</v>
      </c>
    </row>
    <row r="7" spans="1:8" ht="22.5" customHeight="1">
      <c r="A7" s="14" t="s">
        <v>14</v>
      </c>
      <c r="B7" s="15" t="s">
        <v>15</v>
      </c>
      <c r="C7" s="16" t="s">
        <v>16</v>
      </c>
      <c r="D7" s="15" t="s">
        <v>17</v>
      </c>
      <c r="E7" s="17">
        <v>39718</v>
      </c>
      <c r="F7" s="17">
        <v>3971</v>
      </c>
      <c r="G7" s="17">
        <f>E7+F7</f>
        <v>43689</v>
      </c>
      <c r="H7" s="18" t="s">
        <v>34</v>
      </c>
    </row>
    <row r="8" spans="1:8" ht="22.5" customHeight="1">
      <c r="A8" s="14" t="s">
        <v>14</v>
      </c>
      <c r="B8" s="15" t="s">
        <v>15</v>
      </c>
      <c r="C8" s="16" t="s">
        <v>18</v>
      </c>
      <c r="D8" s="15" t="s">
        <v>17</v>
      </c>
      <c r="E8" s="17">
        <v>835680</v>
      </c>
      <c r="F8" s="17">
        <v>83568</v>
      </c>
      <c r="G8" s="17">
        <f t="shared" ref="G8:G13" si="0">E8+F8</f>
        <v>919248</v>
      </c>
      <c r="H8" s="18" t="s">
        <v>19</v>
      </c>
    </row>
    <row r="9" spans="1:8" ht="22.5" customHeight="1">
      <c r="A9" s="14" t="s">
        <v>20</v>
      </c>
      <c r="B9" s="15" t="s">
        <v>15</v>
      </c>
      <c r="C9" s="16" t="s">
        <v>21</v>
      </c>
      <c r="D9" s="15" t="s">
        <v>17</v>
      </c>
      <c r="E9" s="17">
        <v>17000</v>
      </c>
      <c r="F9" s="17">
        <v>1700</v>
      </c>
      <c r="G9" s="17">
        <f t="shared" si="0"/>
        <v>18700</v>
      </c>
      <c r="H9" s="18" t="s">
        <v>22</v>
      </c>
    </row>
    <row r="10" spans="1:8" ht="22.5" customHeight="1">
      <c r="A10" s="14" t="s">
        <v>23</v>
      </c>
      <c r="B10" s="15" t="s">
        <v>15</v>
      </c>
      <c r="C10" s="16" t="s">
        <v>24</v>
      </c>
      <c r="D10" s="15" t="s">
        <v>17</v>
      </c>
      <c r="E10" s="17">
        <v>100000</v>
      </c>
      <c r="F10" s="17">
        <v>10000</v>
      </c>
      <c r="G10" s="17">
        <f t="shared" si="0"/>
        <v>110000</v>
      </c>
      <c r="H10" s="19" t="s">
        <v>25</v>
      </c>
    </row>
    <row r="11" spans="1:8" ht="22.5" customHeight="1">
      <c r="A11" s="22" t="s">
        <v>31</v>
      </c>
      <c r="B11" s="15" t="s">
        <v>15</v>
      </c>
      <c r="C11" s="21" t="s">
        <v>32</v>
      </c>
      <c r="D11" s="15" t="s">
        <v>17</v>
      </c>
      <c r="E11" s="17">
        <v>250000</v>
      </c>
      <c r="F11" s="17">
        <v>0</v>
      </c>
      <c r="G11" s="17">
        <f t="shared" si="0"/>
        <v>250000</v>
      </c>
      <c r="H11" s="21" t="s">
        <v>33</v>
      </c>
    </row>
    <row r="12" spans="1:8" ht="22.5" customHeight="1">
      <c r="A12" s="15" t="s">
        <v>26</v>
      </c>
      <c r="B12" s="15" t="s">
        <v>27</v>
      </c>
      <c r="C12" s="19" t="s">
        <v>28</v>
      </c>
      <c r="D12" s="15" t="s">
        <v>17</v>
      </c>
      <c r="E12" s="20">
        <v>51208</v>
      </c>
      <c r="F12" s="7">
        <v>5120</v>
      </c>
      <c r="G12" s="17">
        <f t="shared" si="0"/>
        <v>56328</v>
      </c>
      <c r="H12" s="19" t="s">
        <v>29</v>
      </c>
    </row>
    <row r="13" spans="1:8" ht="22.5" customHeight="1">
      <c r="A13" s="10"/>
      <c r="B13" s="10"/>
      <c r="C13" s="10"/>
      <c r="D13" s="6"/>
      <c r="E13" s="12"/>
      <c r="F13" s="7"/>
      <c r="G13" s="17"/>
      <c r="H13" s="6"/>
    </row>
    <row r="14" spans="1:8" ht="22.5" customHeight="1">
      <c r="A14" s="10"/>
      <c r="B14" s="10"/>
      <c r="C14" s="10"/>
      <c r="D14" s="6"/>
      <c r="E14" s="12"/>
      <c r="F14" s="7"/>
      <c r="G14" s="7"/>
      <c r="H14" s="6"/>
    </row>
    <row r="15" spans="1:8" ht="22.5" customHeight="1">
      <c r="A15" s="10"/>
      <c r="B15" s="10"/>
      <c r="C15" s="10"/>
      <c r="D15" s="6"/>
      <c r="E15" s="12"/>
      <c r="F15" s="7"/>
      <c r="G15" s="7"/>
      <c r="H15" s="6"/>
    </row>
    <row r="16" spans="1:8" ht="22.5" customHeight="1">
      <c r="A16" s="10"/>
      <c r="B16" s="10"/>
      <c r="C16" s="10"/>
      <c r="D16" s="6"/>
      <c r="E16" s="12"/>
      <c r="F16" s="7"/>
      <c r="G16" s="7"/>
      <c r="H16" s="6"/>
    </row>
    <row r="17" spans="1:8" ht="22.5" customHeight="1">
      <c r="A17" s="10"/>
      <c r="B17" s="10"/>
      <c r="C17" s="10"/>
      <c r="D17" s="6"/>
      <c r="E17" s="12"/>
      <c r="F17" s="7"/>
      <c r="G17" s="7"/>
      <c r="H17" s="6"/>
    </row>
    <row r="18" spans="1:8" ht="22.5" customHeight="1">
      <c r="A18" s="10"/>
      <c r="B18" s="10"/>
      <c r="C18" s="10"/>
      <c r="D18" s="6"/>
      <c r="E18" s="12"/>
      <c r="F18" s="7"/>
      <c r="G18" s="7"/>
      <c r="H18" s="6"/>
    </row>
    <row r="19" spans="1:8" ht="22.5" customHeight="1">
      <c r="A19" s="10"/>
      <c r="B19" s="10"/>
      <c r="C19" s="10"/>
      <c r="D19" s="6"/>
      <c r="E19" s="12"/>
      <c r="F19" s="7"/>
      <c r="G19" s="7"/>
      <c r="H19" s="6"/>
    </row>
    <row r="20" spans="1:8" ht="22.5" customHeight="1">
      <c r="A20" s="10"/>
      <c r="B20" s="10"/>
      <c r="C20" s="10"/>
      <c r="D20" s="6"/>
      <c r="E20" s="12"/>
      <c r="F20" s="7"/>
      <c r="G20" s="7"/>
      <c r="H20" s="6"/>
    </row>
    <row r="21" spans="1:8" ht="22.5" customHeight="1">
      <c r="A21" s="10"/>
      <c r="B21" s="10"/>
      <c r="C21" s="10"/>
      <c r="D21" s="6"/>
      <c r="E21" s="12"/>
      <c r="F21" s="7"/>
      <c r="G21" s="7"/>
      <c r="H21" s="6"/>
    </row>
    <row r="22" spans="1:8" ht="22.5" customHeight="1">
      <c r="A22" s="10"/>
      <c r="B22" s="10"/>
      <c r="C22" s="10"/>
      <c r="D22" s="6"/>
      <c r="E22" s="12"/>
      <c r="F22" s="7"/>
      <c r="G22" s="7"/>
      <c r="H22" s="6"/>
    </row>
    <row r="23" spans="1:8" ht="22.5" customHeight="1">
      <c r="A23" s="10"/>
      <c r="B23" s="10"/>
      <c r="C23" s="10"/>
      <c r="D23" s="6"/>
      <c r="E23" s="12"/>
      <c r="F23" s="7"/>
      <c r="G23" s="7"/>
      <c r="H23" s="6"/>
    </row>
    <row r="24" spans="1:8" ht="22.5" customHeight="1">
      <c r="A24" s="10"/>
      <c r="B24" s="10"/>
      <c r="C24" s="10"/>
      <c r="D24" s="6"/>
      <c r="E24" s="12"/>
      <c r="F24" s="7"/>
      <c r="G24" s="7"/>
      <c r="H24" s="6"/>
    </row>
    <row r="25" spans="1:8" ht="22.5" customHeight="1">
      <c r="A25" s="10"/>
      <c r="B25" s="10"/>
      <c r="C25" s="10"/>
      <c r="D25" s="6"/>
      <c r="E25" s="12"/>
      <c r="F25" s="7"/>
      <c r="G25" s="7"/>
      <c r="H25" s="6"/>
    </row>
    <row r="26" spans="1:8" ht="22.5" customHeight="1">
      <c r="A26" s="10"/>
      <c r="B26" s="10"/>
      <c r="C26" s="10"/>
      <c r="D26" s="6"/>
      <c r="E26" s="12"/>
      <c r="F26" s="7"/>
      <c r="G26" s="7"/>
      <c r="H26" s="6"/>
    </row>
    <row r="27" spans="1:8" ht="22.5" customHeight="1">
      <c r="A27" s="10"/>
      <c r="B27" s="10"/>
      <c r="C27" s="10"/>
      <c r="D27" s="6"/>
      <c r="E27" s="12"/>
      <c r="F27" s="7"/>
      <c r="G27" s="7"/>
      <c r="H27" s="6"/>
    </row>
    <row r="28" spans="1:8" ht="22.5" customHeight="1">
      <c r="A28" s="10"/>
      <c r="B28" s="10"/>
      <c r="C28" s="10"/>
      <c r="D28" s="6"/>
      <c r="E28" s="12"/>
      <c r="F28" s="7"/>
      <c r="G28" s="7"/>
      <c r="H28" s="6"/>
    </row>
    <row r="29" spans="1:8" ht="22.5" customHeight="1">
      <c r="A29" s="10"/>
      <c r="B29" s="10"/>
      <c r="C29" s="10"/>
      <c r="D29" s="6"/>
      <c r="E29" s="12"/>
      <c r="F29" s="7"/>
      <c r="G29" s="7"/>
      <c r="H29" s="6"/>
    </row>
    <row r="30" spans="1:8" ht="22.5" customHeight="1">
      <c r="A30" s="10"/>
      <c r="B30" s="10"/>
      <c r="C30" s="10"/>
      <c r="D30" s="6"/>
      <c r="E30" s="12"/>
      <c r="F30" s="7"/>
      <c r="G30" s="7"/>
      <c r="H30" s="6"/>
    </row>
    <row r="31" spans="1:8" ht="22.5" customHeight="1">
      <c r="A31" s="10"/>
      <c r="B31" s="10"/>
      <c r="C31" s="10"/>
      <c r="D31" s="6"/>
      <c r="E31" s="12"/>
      <c r="F31" s="7"/>
      <c r="G31" s="7"/>
      <c r="H31" s="6"/>
    </row>
    <row r="32" spans="1:8" ht="22.5" customHeight="1">
      <c r="A32" s="10"/>
      <c r="B32" s="10"/>
      <c r="C32" s="10"/>
      <c r="D32" s="6"/>
      <c r="E32" s="12"/>
      <c r="F32" s="7"/>
      <c r="G32" s="7"/>
      <c r="H32" s="6"/>
    </row>
    <row r="33" spans="1:8" ht="22.5" customHeight="1">
      <c r="A33" s="10"/>
      <c r="B33" s="10"/>
      <c r="C33" s="10"/>
      <c r="D33" s="6"/>
      <c r="E33" s="12"/>
      <c r="F33" s="7"/>
      <c r="G33" s="7"/>
      <c r="H33" s="6"/>
    </row>
    <row r="34" spans="1:8" ht="22.5" customHeight="1">
      <c r="A34" s="10"/>
      <c r="B34" s="10"/>
      <c r="C34" s="10"/>
      <c r="D34" s="6"/>
      <c r="E34" s="12"/>
      <c r="F34" s="7"/>
      <c r="G34" s="7"/>
      <c r="H34" s="6"/>
    </row>
    <row r="35" spans="1:8" ht="22.5" customHeight="1">
      <c r="A35" s="10"/>
      <c r="B35" s="10"/>
      <c r="C35" s="10"/>
      <c r="D35" s="6"/>
      <c r="E35" s="12"/>
      <c r="F35" s="7"/>
      <c r="G35" s="7"/>
      <c r="H35" s="6"/>
    </row>
    <row r="36" spans="1:8" ht="22.5" customHeight="1">
      <c r="A36" s="10"/>
      <c r="B36" s="10"/>
      <c r="C36" s="10"/>
      <c r="D36" s="6"/>
      <c r="E36" s="12"/>
      <c r="F36" s="7"/>
      <c r="G36" s="7"/>
      <c r="H36" s="6"/>
    </row>
    <row r="37" spans="1:8" ht="22.5" customHeight="1">
      <c r="A37" s="10"/>
      <c r="B37" s="10"/>
      <c r="C37" s="10"/>
      <c r="D37" s="6"/>
      <c r="E37" s="12"/>
      <c r="F37" s="7"/>
      <c r="G37" s="7"/>
      <c r="H37" s="6"/>
    </row>
    <row r="38" spans="1:8" ht="22.5" customHeight="1">
      <c r="A38" s="10"/>
      <c r="B38" s="10"/>
      <c r="C38" s="10"/>
      <c r="D38" s="6"/>
      <c r="E38" s="12"/>
      <c r="F38" s="7"/>
      <c r="G38" s="7"/>
      <c r="H38" s="6"/>
    </row>
    <row r="39" spans="1:8" ht="22.5" customHeight="1">
      <c r="A39" s="10"/>
      <c r="B39" s="10"/>
      <c r="C39" s="10"/>
      <c r="D39" s="6"/>
      <c r="E39" s="12"/>
      <c r="F39" s="7"/>
      <c r="G39" s="7"/>
      <c r="H39" s="6"/>
    </row>
    <row r="40" spans="1:8" ht="22.5" customHeight="1">
      <c r="A40" s="10"/>
      <c r="B40" s="10"/>
      <c r="C40" s="10"/>
      <c r="D40" s="6"/>
      <c r="E40" s="12"/>
      <c r="F40" s="7"/>
      <c r="G40" s="7"/>
      <c r="H40" s="6"/>
    </row>
    <row r="41" spans="1:8" ht="22.5" customHeight="1">
      <c r="A41" s="10"/>
      <c r="B41" s="10"/>
      <c r="C41" s="10"/>
      <c r="D41" s="6"/>
      <c r="E41" s="12"/>
      <c r="F41" s="7"/>
      <c r="G41" s="7"/>
      <c r="H41" s="6"/>
    </row>
    <row r="42" spans="1:8" ht="22.5" customHeight="1">
      <c r="A42" s="10"/>
      <c r="B42" s="10"/>
      <c r="C42" s="10"/>
      <c r="D42" s="6"/>
      <c r="E42" s="12"/>
      <c r="F42" s="7"/>
      <c r="G42" s="7"/>
      <c r="H42" s="6"/>
    </row>
    <row r="43" spans="1:8" ht="22.5" customHeight="1">
      <c r="A43" s="10"/>
      <c r="B43" s="10"/>
      <c r="C43" s="10"/>
      <c r="D43" s="6"/>
      <c r="E43" s="12"/>
      <c r="F43" s="7"/>
      <c r="G43" s="7"/>
      <c r="H43" s="6"/>
    </row>
    <row r="44" spans="1:8" ht="22.5" customHeight="1">
      <c r="A44" s="10"/>
      <c r="B44" s="10"/>
      <c r="C44" s="10"/>
      <c r="D44" s="6"/>
      <c r="E44" s="12"/>
      <c r="F44" s="7"/>
      <c r="G44" s="7"/>
      <c r="H44" s="6"/>
    </row>
    <row r="45" spans="1:8" ht="22.5" customHeight="1">
      <c r="A45" s="10"/>
      <c r="B45" s="10"/>
      <c r="C45" s="10"/>
      <c r="D45" s="6"/>
      <c r="E45" s="12"/>
      <c r="F45" s="7"/>
      <c r="G45" s="7"/>
      <c r="H45" s="6"/>
    </row>
    <row r="46" spans="1:8" ht="22.5" customHeight="1">
      <c r="A46" s="10"/>
      <c r="B46" s="10"/>
      <c r="C46" s="10"/>
      <c r="D46" s="6"/>
      <c r="E46" s="12"/>
      <c r="F46" s="7"/>
      <c r="G46" s="7"/>
      <c r="H46" s="6"/>
    </row>
    <row r="47" spans="1:8" ht="22.5" customHeight="1">
      <c r="A47" s="10"/>
      <c r="B47" s="10"/>
      <c r="C47" s="10"/>
      <c r="D47" s="6"/>
      <c r="E47" s="12"/>
      <c r="F47" s="7"/>
      <c r="G47" s="7"/>
      <c r="H47" s="6"/>
    </row>
  </sheetData>
  <mergeCells count="1">
    <mergeCell ref="A2:H2"/>
  </mergeCells>
  <phoneticPr fontId="2" type="noConversion"/>
  <dataValidations count="1">
    <dataValidation type="list" allowBlank="1" showInputMessage="1" showErrorMessage="1" sqref="D7:D13" xr:uid="{A4D78130-F587-4A2C-9BCA-E04809EBBA7C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9C3C1A-0B7A-452D-AAEA-363FA4C40B19}">
          <x14:formula1>
            <xm:f>목록!$B$2:$B$3</xm:f>
          </x14:formula1>
          <xm:sqref>B13:B47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52E4-89F2-42CB-AAF8-FF0421450114}">
  <sheetPr>
    <pageSetUpPr fitToPage="1"/>
  </sheetPr>
  <dimension ref="A2:I45"/>
  <sheetViews>
    <sheetView zoomScale="85" zoomScaleNormal="85" workbookViewId="0"/>
  </sheetViews>
  <sheetFormatPr defaultColWidth="8.88671875" defaultRowHeight="22.5" customHeight="1"/>
  <cols>
    <col min="1" max="2" width="19.6640625" style="1" customWidth="1"/>
    <col min="3" max="3" width="31.6640625" style="1" customWidth="1"/>
    <col min="4" max="4" width="16.33203125" style="1" customWidth="1"/>
    <col min="5" max="5" width="16.33203125" style="8" customWidth="1"/>
    <col min="6" max="7" width="16.33203125" style="1" customWidth="1"/>
    <col min="8" max="8" width="31.6640625" style="1" customWidth="1"/>
    <col min="9" max="9" width="8.88671875" customWidth="1"/>
    <col min="10" max="16384" width="8.88671875" style="1"/>
  </cols>
  <sheetData>
    <row r="2" spans="1:8" ht="22.5" customHeight="1">
      <c r="A2" s="13" t="s">
        <v>12</v>
      </c>
      <c r="B2" s="13"/>
      <c r="C2" s="13"/>
      <c r="D2" s="13"/>
      <c r="E2" s="13"/>
      <c r="F2" s="13"/>
      <c r="G2" s="13"/>
      <c r="H2" s="13"/>
    </row>
    <row r="4" spans="1:8" ht="22.5" customHeight="1">
      <c r="A4" s="2" t="s">
        <v>30</v>
      </c>
      <c r="B4" s="2"/>
    </row>
    <row r="5" spans="1:8" ht="22.5" customHeight="1">
      <c r="H5" s="11" t="s">
        <v>4</v>
      </c>
    </row>
    <row r="6" spans="1:8" ht="22.5" customHeight="1">
      <c r="A6" s="3" t="s">
        <v>1</v>
      </c>
      <c r="B6" s="3" t="s">
        <v>8</v>
      </c>
      <c r="C6" s="3" t="s">
        <v>6</v>
      </c>
      <c r="D6" s="4" t="s">
        <v>7</v>
      </c>
      <c r="E6" s="9" t="s">
        <v>2</v>
      </c>
      <c r="F6" s="5" t="s">
        <v>3</v>
      </c>
      <c r="G6" s="5" t="s">
        <v>0</v>
      </c>
      <c r="H6" s="3" t="s">
        <v>5</v>
      </c>
    </row>
    <row r="7" spans="1:8" ht="22.5" customHeight="1">
      <c r="A7" s="14" t="s">
        <v>14</v>
      </c>
      <c r="B7" s="15" t="s">
        <v>15</v>
      </c>
      <c r="C7" s="16" t="s">
        <v>16</v>
      </c>
      <c r="D7" s="15" t="s">
        <v>17</v>
      </c>
      <c r="E7" s="17">
        <v>39718</v>
      </c>
      <c r="F7" s="17">
        <v>3971</v>
      </c>
      <c r="G7" s="17">
        <f>E7+F7</f>
        <v>43689</v>
      </c>
      <c r="H7" s="21" t="s">
        <v>35</v>
      </c>
    </row>
    <row r="8" spans="1:8" ht="22.5" customHeight="1">
      <c r="A8" s="14" t="s">
        <v>14</v>
      </c>
      <c r="B8" s="15" t="s">
        <v>15</v>
      </c>
      <c r="C8" s="16" t="s">
        <v>18</v>
      </c>
      <c r="D8" s="15" t="s">
        <v>17</v>
      </c>
      <c r="E8" s="17">
        <v>835680</v>
      </c>
      <c r="F8" s="17">
        <v>83568</v>
      </c>
      <c r="G8" s="17">
        <f t="shared" ref="G8:G11" si="0">E8+F8</f>
        <v>919248</v>
      </c>
      <c r="H8" s="18" t="s">
        <v>19</v>
      </c>
    </row>
    <row r="9" spans="1:8" ht="22.5" customHeight="1">
      <c r="A9" s="14" t="s">
        <v>20</v>
      </c>
      <c r="B9" s="15" t="s">
        <v>15</v>
      </c>
      <c r="C9" s="16" t="s">
        <v>21</v>
      </c>
      <c r="D9" s="15" t="s">
        <v>17</v>
      </c>
      <c r="E9" s="17">
        <v>17000</v>
      </c>
      <c r="F9" s="17">
        <v>1700</v>
      </c>
      <c r="G9" s="17">
        <f t="shared" si="0"/>
        <v>18700</v>
      </c>
      <c r="H9" s="18" t="s">
        <v>22</v>
      </c>
    </row>
    <row r="10" spans="1:8" ht="22.5" customHeight="1">
      <c r="A10" s="14" t="s">
        <v>23</v>
      </c>
      <c r="B10" s="15" t="s">
        <v>15</v>
      </c>
      <c r="C10" s="16" t="s">
        <v>24</v>
      </c>
      <c r="D10" s="15" t="s">
        <v>17</v>
      </c>
      <c r="E10" s="17">
        <v>100000</v>
      </c>
      <c r="F10" s="17">
        <v>10000</v>
      </c>
      <c r="G10" s="17">
        <f t="shared" si="0"/>
        <v>110000</v>
      </c>
      <c r="H10" s="19" t="s">
        <v>25</v>
      </c>
    </row>
    <row r="11" spans="1:8" ht="22.5" customHeight="1">
      <c r="A11" s="15" t="s">
        <v>26</v>
      </c>
      <c r="B11" s="15" t="s">
        <v>27</v>
      </c>
      <c r="C11" s="19" t="s">
        <v>28</v>
      </c>
      <c r="D11" s="15" t="s">
        <v>17</v>
      </c>
      <c r="E11" s="20">
        <v>51208</v>
      </c>
      <c r="F11" s="7">
        <v>5120</v>
      </c>
      <c r="G11" s="17">
        <f t="shared" si="0"/>
        <v>56328</v>
      </c>
      <c r="H11" s="19" t="s">
        <v>29</v>
      </c>
    </row>
    <row r="12" spans="1:8" ht="22.5" customHeight="1">
      <c r="A12" s="10"/>
      <c r="B12" s="10"/>
      <c r="C12" s="10"/>
      <c r="D12" s="6"/>
      <c r="E12" s="12"/>
      <c r="F12" s="7"/>
      <c r="G12" s="7"/>
      <c r="H12" s="6"/>
    </row>
    <row r="13" spans="1:8" ht="22.5" customHeight="1">
      <c r="A13" s="10"/>
      <c r="B13" s="10"/>
      <c r="C13" s="10"/>
      <c r="D13" s="6"/>
      <c r="E13" s="12"/>
      <c r="F13" s="7"/>
      <c r="G13" s="7"/>
      <c r="H13" s="6"/>
    </row>
    <row r="14" spans="1:8" ht="22.5" customHeight="1">
      <c r="A14" s="10"/>
      <c r="B14" s="10"/>
      <c r="C14" s="10"/>
      <c r="D14" s="6"/>
      <c r="E14" s="12"/>
      <c r="F14" s="7"/>
      <c r="G14" s="7"/>
      <c r="H14" s="6"/>
    </row>
    <row r="15" spans="1:8" ht="22.5" customHeight="1">
      <c r="A15" s="10"/>
      <c r="B15" s="10"/>
      <c r="C15" s="10"/>
      <c r="D15" s="6"/>
      <c r="E15" s="12"/>
      <c r="F15" s="7"/>
      <c r="G15" s="7"/>
      <c r="H15" s="6"/>
    </row>
    <row r="16" spans="1:8" ht="22.5" customHeight="1">
      <c r="A16" s="10"/>
      <c r="B16" s="10"/>
      <c r="C16" s="10"/>
      <c r="D16" s="6"/>
      <c r="E16" s="12"/>
      <c r="F16" s="7"/>
      <c r="G16" s="7"/>
      <c r="H16" s="6"/>
    </row>
    <row r="17" spans="1:8" ht="22.5" customHeight="1">
      <c r="A17" s="10"/>
      <c r="B17" s="10"/>
      <c r="C17" s="10"/>
      <c r="D17" s="6"/>
      <c r="E17" s="12"/>
      <c r="F17" s="7"/>
      <c r="G17" s="7"/>
      <c r="H17" s="6"/>
    </row>
    <row r="18" spans="1:8" ht="22.5" customHeight="1">
      <c r="A18" s="10"/>
      <c r="B18" s="10"/>
      <c r="C18" s="10"/>
      <c r="D18" s="6"/>
      <c r="E18" s="12"/>
      <c r="F18" s="7"/>
      <c r="G18" s="7"/>
      <c r="H18" s="6"/>
    </row>
    <row r="19" spans="1:8" ht="22.5" customHeight="1">
      <c r="A19" s="10"/>
      <c r="B19" s="10"/>
      <c r="C19" s="10"/>
      <c r="D19" s="6"/>
      <c r="E19" s="12"/>
      <c r="F19" s="7"/>
      <c r="G19" s="7"/>
      <c r="H19" s="6"/>
    </row>
    <row r="20" spans="1:8" ht="22.5" customHeight="1">
      <c r="A20" s="10"/>
      <c r="B20" s="10"/>
      <c r="C20" s="10"/>
      <c r="D20" s="6"/>
      <c r="E20" s="12"/>
      <c r="F20" s="7"/>
      <c r="G20" s="7"/>
      <c r="H20" s="6"/>
    </row>
    <row r="21" spans="1:8" ht="22.5" customHeight="1">
      <c r="A21" s="10"/>
      <c r="B21" s="10"/>
      <c r="C21" s="10"/>
      <c r="D21" s="6"/>
      <c r="E21" s="12"/>
      <c r="F21" s="7"/>
      <c r="G21" s="7"/>
      <c r="H21" s="6"/>
    </row>
    <row r="22" spans="1:8" ht="22.5" customHeight="1">
      <c r="A22" s="10"/>
      <c r="B22" s="10"/>
      <c r="C22" s="10"/>
      <c r="D22" s="6"/>
      <c r="E22" s="12"/>
      <c r="F22" s="7"/>
      <c r="G22" s="7"/>
      <c r="H22" s="6"/>
    </row>
    <row r="23" spans="1:8" ht="22.5" customHeight="1">
      <c r="A23" s="10"/>
      <c r="B23" s="10"/>
      <c r="C23" s="10"/>
      <c r="D23" s="6"/>
      <c r="E23" s="12"/>
      <c r="F23" s="7"/>
      <c r="G23" s="7"/>
      <c r="H23" s="6"/>
    </row>
    <row r="24" spans="1:8" ht="22.5" customHeight="1">
      <c r="A24" s="10"/>
      <c r="B24" s="10"/>
      <c r="C24" s="10"/>
      <c r="D24" s="6"/>
      <c r="E24" s="12"/>
      <c r="F24" s="7"/>
      <c r="G24" s="7"/>
      <c r="H24" s="6"/>
    </row>
    <row r="25" spans="1:8" ht="22.5" customHeight="1">
      <c r="A25" s="10"/>
      <c r="B25" s="10"/>
      <c r="C25" s="10"/>
      <c r="D25" s="6"/>
      <c r="E25" s="12"/>
      <c r="F25" s="7"/>
      <c r="G25" s="7"/>
      <c r="H25" s="6"/>
    </row>
    <row r="26" spans="1:8" ht="22.5" customHeight="1">
      <c r="A26" s="10"/>
      <c r="B26" s="10"/>
      <c r="C26" s="10"/>
      <c r="D26" s="6"/>
      <c r="E26" s="12"/>
      <c r="F26" s="7"/>
      <c r="G26" s="7"/>
      <c r="H26" s="6"/>
    </row>
    <row r="27" spans="1:8" ht="22.5" customHeight="1">
      <c r="A27" s="10"/>
      <c r="B27" s="10"/>
      <c r="C27" s="10"/>
      <c r="D27" s="6"/>
      <c r="E27" s="12"/>
      <c r="F27" s="7"/>
      <c r="G27" s="7"/>
      <c r="H27" s="6"/>
    </row>
    <row r="28" spans="1:8" ht="22.5" customHeight="1">
      <c r="A28" s="10"/>
      <c r="B28" s="10"/>
      <c r="C28" s="10"/>
      <c r="D28" s="6"/>
      <c r="E28" s="12"/>
      <c r="F28" s="7"/>
      <c r="G28" s="7"/>
      <c r="H28" s="6"/>
    </row>
    <row r="29" spans="1:8" ht="22.5" customHeight="1">
      <c r="A29" s="10"/>
      <c r="B29" s="10"/>
      <c r="C29" s="10"/>
      <c r="D29" s="6"/>
      <c r="E29" s="12"/>
      <c r="F29" s="7"/>
      <c r="G29" s="7"/>
      <c r="H29" s="6"/>
    </row>
    <row r="30" spans="1:8" ht="22.5" customHeight="1">
      <c r="A30" s="10"/>
      <c r="B30" s="10"/>
      <c r="C30" s="10"/>
      <c r="D30" s="6"/>
      <c r="E30" s="12"/>
      <c r="F30" s="7"/>
      <c r="G30" s="7"/>
      <c r="H30" s="6"/>
    </row>
    <row r="31" spans="1:8" ht="22.5" customHeight="1">
      <c r="A31" s="10"/>
      <c r="B31" s="10"/>
      <c r="C31" s="10"/>
      <c r="D31" s="6"/>
      <c r="E31" s="12"/>
      <c r="F31" s="7"/>
      <c r="G31" s="7"/>
      <c r="H31" s="6"/>
    </row>
    <row r="32" spans="1:8" ht="22.5" customHeight="1">
      <c r="A32" s="10"/>
      <c r="B32" s="10"/>
      <c r="C32" s="10"/>
      <c r="D32" s="6"/>
      <c r="E32" s="12"/>
      <c r="F32" s="7"/>
      <c r="G32" s="7"/>
      <c r="H32" s="6"/>
    </row>
    <row r="33" spans="1:8" ht="22.5" customHeight="1">
      <c r="A33" s="10"/>
      <c r="B33" s="10"/>
      <c r="C33" s="10"/>
      <c r="D33" s="6"/>
      <c r="E33" s="12"/>
      <c r="F33" s="7"/>
      <c r="G33" s="7"/>
      <c r="H33" s="6"/>
    </row>
    <row r="34" spans="1:8" ht="22.5" customHeight="1">
      <c r="A34" s="10"/>
      <c r="B34" s="10"/>
      <c r="C34" s="10"/>
      <c r="D34" s="6"/>
      <c r="E34" s="12"/>
      <c r="F34" s="7"/>
      <c r="G34" s="7"/>
      <c r="H34" s="6"/>
    </row>
    <row r="35" spans="1:8" ht="22.5" customHeight="1">
      <c r="A35" s="10"/>
      <c r="B35" s="10"/>
      <c r="C35" s="10"/>
      <c r="D35" s="6"/>
      <c r="E35" s="12"/>
      <c r="F35" s="7"/>
      <c r="G35" s="7"/>
      <c r="H35" s="6"/>
    </row>
    <row r="36" spans="1:8" ht="22.5" customHeight="1">
      <c r="A36" s="10"/>
      <c r="B36" s="10"/>
      <c r="C36" s="10"/>
      <c r="D36" s="6"/>
      <c r="E36" s="12"/>
      <c r="F36" s="7"/>
      <c r="G36" s="7"/>
      <c r="H36" s="6"/>
    </row>
    <row r="37" spans="1:8" ht="22.5" customHeight="1">
      <c r="A37" s="10"/>
      <c r="B37" s="10"/>
      <c r="C37" s="10"/>
      <c r="D37" s="6"/>
      <c r="E37" s="12"/>
      <c r="F37" s="7"/>
      <c r="G37" s="7"/>
      <c r="H37" s="6"/>
    </row>
    <row r="38" spans="1:8" ht="22.5" customHeight="1">
      <c r="A38" s="10"/>
      <c r="B38" s="10"/>
      <c r="C38" s="10"/>
      <c r="D38" s="6"/>
      <c r="E38" s="12"/>
      <c r="F38" s="7"/>
      <c r="G38" s="7"/>
      <c r="H38" s="6"/>
    </row>
    <row r="39" spans="1:8" ht="22.5" customHeight="1">
      <c r="A39" s="10"/>
      <c r="B39" s="10"/>
      <c r="C39" s="10"/>
      <c r="D39" s="6"/>
      <c r="E39" s="12"/>
      <c r="F39" s="7"/>
      <c r="G39" s="7"/>
      <c r="H39" s="6"/>
    </row>
    <row r="40" spans="1:8" ht="22.5" customHeight="1">
      <c r="A40" s="10"/>
      <c r="B40" s="10"/>
      <c r="C40" s="10"/>
      <c r="D40" s="6"/>
      <c r="E40" s="12"/>
      <c r="F40" s="7"/>
      <c r="G40" s="7"/>
      <c r="H40" s="6"/>
    </row>
    <row r="41" spans="1:8" ht="22.5" customHeight="1">
      <c r="A41" s="10"/>
      <c r="B41" s="10"/>
      <c r="C41" s="10"/>
      <c r="D41" s="6"/>
      <c r="E41" s="12"/>
      <c r="F41" s="7"/>
      <c r="G41" s="7"/>
      <c r="H41" s="6"/>
    </row>
    <row r="42" spans="1:8" ht="22.5" customHeight="1">
      <c r="A42" s="10"/>
      <c r="B42" s="10"/>
      <c r="C42" s="10"/>
      <c r="D42" s="6"/>
      <c r="E42" s="12"/>
      <c r="F42" s="7"/>
      <c r="G42" s="7"/>
      <c r="H42" s="6"/>
    </row>
    <row r="43" spans="1:8" ht="22.5" customHeight="1">
      <c r="A43" s="10"/>
      <c r="B43" s="10"/>
      <c r="C43" s="10"/>
      <c r="D43" s="6"/>
      <c r="E43" s="12"/>
      <c r="F43" s="7"/>
      <c r="G43" s="7"/>
      <c r="H43" s="6"/>
    </row>
    <row r="44" spans="1:8" ht="22.5" customHeight="1">
      <c r="A44" s="10"/>
      <c r="B44" s="10"/>
      <c r="C44" s="10"/>
      <c r="D44" s="6"/>
      <c r="E44" s="12"/>
      <c r="F44" s="7"/>
      <c r="G44" s="7"/>
      <c r="H44" s="6"/>
    </row>
    <row r="45" spans="1:8" ht="22.5" customHeight="1">
      <c r="A45" s="10"/>
      <c r="B45" s="10"/>
      <c r="C45" s="10"/>
      <c r="D45" s="6"/>
      <c r="E45" s="12"/>
      <c r="F45" s="7"/>
      <c r="G45" s="7"/>
      <c r="H45" s="6"/>
    </row>
  </sheetData>
  <mergeCells count="1">
    <mergeCell ref="A2:H2"/>
  </mergeCells>
  <phoneticPr fontId="2" type="noConversion"/>
  <dataValidations count="1">
    <dataValidation type="list" allowBlank="1" showInputMessage="1" showErrorMessage="1" sqref="D7:D11" xr:uid="{ABCEC3BC-5783-448F-B783-3E6DD65B9376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2E7B8-4635-4770-9494-F93CD9B51504}">
          <x14:formula1>
            <xm:f>목록!$B$2:$B$3</xm:f>
          </x14:formula1>
          <xm:sqref>B12:B45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043A-F419-440D-90C0-116EDF4F74AF}">
  <sheetPr>
    <pageSetUpPr fitToPage="1"/>
  </sheetPr>
  <dimension ref="A2:I48"/>
  <sheetViews>
    <sheetView zoomScale="85" zoomScaleNormal="85" workbookViewId="0"/>
  </sheetViews>
  <sheetFormatPr defaultColWidth="8.88671875" defaultRowHeight="22.5" customHeight="1"/>
  <cols>
    <col min="1" max="2" width="19.6640625" style="1" customWidth="1"/>
    <col min="3" max="3" width="31.6640625" style="1" customWidth="1"/>
    <col min="4" max="4" width="16.33203125" style="1" customWidth="1"/>
    <col min="5" max="5" width="16.33203125" style="8" customWidth="1"/>
    <col min="6" max="7" width="16.33203125" style="1" customWidth="1"/>
    <col min="8" max="8" width="31.6640625" style="1" customWidth="1"/>
    <col min="9" max="9" width="8.88671875" customWidth="1"/>
    <col min="10" max="16384" width="8.88671875" style="1"/>
  </cols>
  <sheetData>
    <row r="2" spans="1:8" ht="22.5" customHeight="1">
      <c r="A2" s="13" t="s">
        <v>13</v>
      </c>
      <c r="B2" s="13"/>
      <c r="C2" s="13"/>
      <c r="D2" s="13"/>
      <c r="E2" s="13"/>
      <c r="F2" s="13"/>
      <c r="G2" s="13"/>
      <c r="H2" s="13"/>
    </row>
    <row r="4" spans="1:8" ht="22.5" customHeight="1">
      <c r="A4" s="2" t="s">
        <v>30</v>
      </c>
      <c r="B4" s="2"/>
    </row>
    <row r="5" spans="1:8" ht="22.5" customHeight="1">
      <c r="H5" s="11" t="s">
        <v>4</v>
      </c>
    </row>
    <row r="6" spans="1:8" ht="22.5" customHeight="1">
      <c r="A6" s="3" t="s">
        <v>1</v>
      </c>
      <c r="B6" s="3" t="s">
        <v>8</v>
      </c>
      <c r="C6" s="3" t="s">
        <v>6</v>
      </c>
      <c r="D6" s="4" t="s">
        <v>7</v>
      </c>
      <c r="E6" s="9" t="s">
        <v>2</v>
      </c>
      <c r="F6" s="5" t="s">
        <v>3</v>
      </c>
      <c r="G6" s="5" t="s">
        <v>0</v>
      </c>
      <c r="H6" s="3" t="s">
        <v>5</v>
      </c>
    </row>
    <row r="7" spans="1:8" ht="22.5" customHeight="1">
      <c r="A7" s="14" t="s">
        <v>14</v>
      </c>
      <c r="B7" s="15" t="s">
        <v>15</v>
      </c>
      <c r="C7" s="16" t="s">
        <v>16</v>
      </c>
      <c r="D7" s="15" t="s">
        <v>17</v>
      </c>
      <c r="E7" s="17">
        <v>39718</v>
      </c>
      <c r="F7" s="17">
        <v>3971</v>
      </c>
      <c r="G7" s="17">
        <f>E7+F7</f>
        <v>43689</v>
      </c>
      <c r="H7" s="21" t="s">
        <v>35</v>
      </c>
    </row>
    <row r="8" spans="1:8" ht="22.5" customHeight="1">
      <c r="A8" s="14" t="s">
        <v>14</v>
      </c>
      <c r="B8" s="15" t="s">
        <v>15</v>
      </c>
      <c r="C8" s="16" t="s">
        <v>18</v>
      </c>
      <c r="D8" s="15" t="s">
        <v>17</v>
      </c>
      <c r="E8" s="17">
        <v>835680</v>
      </c>
      <c r="F8" s="17">
        <v>83568</v>
      </c>
      <c r="G8" s="17">
        <f t="shared" ref="G8:G13" si="0">E8+F8</f>
        <v>919248</v>
      </c>
      <c r="H8" s="18" t="s">
        <v>19</v>
      </c>
    </row>
    <row r="9" spans="1:8" ht="22.5" customHeight="1">
      <c r="A9" s="14" t="s">
        <v>14</v>
      </c>
      <c r="B9" s="15" t="s">
        <v>15</v>
      </c>
      <c r="C9" s="21" t="s">
        <v>36</v>
      </c>
      <c r="D9" s="15" t="s">
        <v>17</v>
      </c>
      <c r="E9" s="17">
        <v>268523</v>
      </c>
      <c r="F9" s="17">
        <v>26852</v>
      </c>
      <c r="G9" s="17">
        <f t="shared" si="0"/>
        <v>295375</v>
      </c>
      <c r="H9" s="21" t="s">
        <v>35</v>
      </c>
    </row>
    <row r="10" spans="1:8" ht="22.5" customHeight="1">
      <c r="A10" s="14" t="s">
        <v>14</v>
      </c>
      <c r="B10" s="15" t="s">
        <v>15</v>
      </c>
      <c r="C10" s="21" t="s">
        <v>37</v>
      </c>
      <c r="D10" s="15" t="s">
        <v>17</v>
      </c>
      <c r="E10" s="17">
        <v>2700000</v>
      </c>
      <c r="F10" s="17">
        <v>270000</v>
      </c>
      <c r="G10" s="17">
        <v>2970000</v>
      </c>
      <c r="H10" s="21" t="s">
        <v>34</v>
      </c>
    </row>
    <row r="11" spans="1:8" ht="22.5" customHeight="1">
      <c r="A11" s="14" t="s">
        <v>20</v>
      </c>
      <c r="B11" s="15" t="s">
        <v>15</v>
      </c>
      <c r="C11" s="16" t="s">
        <v>21</v>
      </c>
      <c r="D11" s="15" t="s">
        <v>17</v>
      </c>
      <c r="E11" s="17">
        <v>17000</v>
      </c>
      <c r="F11" s="17">
        <v>1700</v>
      </c>
      <c r="G11" s="17">
        <f t="shared" si="0"/>
        <v>18700</v>
      </c>
      <c r="H11" s="18" t="s">
        <v>22</v>
      </c>
    </row>
    <row r="12" spans="1:8" ht="22.5" customHeight="1">
      <c r="A12" s="14" t="s">
        <v>23</v>
      </c>
      <c r="B12" s="15" t="s">
        <v>15</v>
      </c>
      <c r="C12" s="16" t="s">
        <v>24</v>
      </c>
      <c r="D12" s="15" t="s">
        <v>17</v>
      </c>
      <c r="E12" s="17">
        <v>100000</v>
      </c>
      <c r="F12" s="17">
        <v>10000</v>
      </c>
      <c r="G12" s="17">
        <f t="shared" si="0"/>
        <v>110000</v>
      </c>
      <c r="H12" s="19" t="s">
        <v>25</v>
      </c>
    </row>
    <row r="13" spans="1:8" ht="22.5" customHeight="1">
      <c r="A13" s="15" t="s">
        <v>26</v>
      </c>
      <c r="B13" s="15" t="s">
        <v>27</v>
      </c>
      <c r="C13" s="19" t="s">
        <v>28</v>
      </c>
      <c r="D13" s="15" t="s">
        <v>17</v>
      </c>
      <c r="E13" s="20">
        <v>51208</v>
      </c>
      <c r="F13" s="7">
        <v>5120</v>
      </c>
      <c r="G13" s="17">
        <f t="shared" si="0"/>
        <v>56328</v>
      </c>
      <c r="H13" s="19" t="s">
        <v>29</v>
      </c>
    </row>
    <row r="14" spans="1:8" ht="22.5" customHeight="1">
      <c r="A14" s="10"/>
      <c r="B14" s="10"/>
      <c r="C14" s="10"/>
      <c r="D14" s="6"/>
      <c r="E14" s="12"/>
      <c r="F14" s="7">
        <f t="shared" ref="F14" si="1">E14*0.1</f>
        <v>0</v>
      </c>
      <c r="G14" s="7">
        <f t="shared" ref="G14" si="2">E14+F14</f>
        <v>0</v>
      </c>
      <c r="H14" s="6"/>
    </row>
    <row r="15" spans="1:8" ht="22.5" customHeight="1">
      <c r="A15" s="10"/>
      <c r="B15" s="10"/>
      <c r="C15" s="10"/>
      <c r="D15" s="6"/>
      <c r="E15" s="12"/>
      <c r="F15" s="7"/>
      <c r="G15" s="7"/>
      <c r="H15" s="6"/>
    </row>
    <row r="16" spans="1:8" ht="22.5" customHeight="1">
      <c r="A16" s="10"/>
      <c r="B16" s="10"/>
      <c r="C16" s="10"/>
      <c r="D16" s="6"/>
      <c r="E16" s="12"/>
      <c r="F16" s="7"/>
      <c r="G16" s="7"/>
      <c r="H16" s="6"/>
    </row>
    <row r="17" spans="1:8" ht="22.5" customHeight="1">
      <c r="A17" s="10"/>
      <c r="B17" s="10"/>
      <c r="C17" s="10"/>
      <c r="D17" s="6"/>
      <c r="E17" s="12"/>
      <c r="F17" s="7"/>
      <c r="G17" s="7"/>
      <c r="H17" s="6"/>
    </row>
    <row r="18" spans="1:8" ht="22.5" customHeight="1">
      <c r="A18" s="10"/>
      <c r="B18" s="10"/>
      <c r="C18" s="10"/>
      <c r="D18" s="6"/>
      <c r="E18" s="12"/>
      <c r="F18" s="7"/>
      <c r="G18" s="7"/>
      <c r="H18" s="6"/>
    </row>
    <row r="19" spans="1:8" ht="22.5" customHeight="1">
      <c r="A19" s="10"/>
      <c r="B19" s="10"/>
      <c r="C19" s="10"/>
      <c r="D19" s="6"/>
      <c r="E19" s="12"/>
      <c r="F19" s="7"/>
      <c r="G19" s="7"/>
      <c r="H19" s="6"/>
    </row>
    <row r="20" spans="1:8" ht="22.5" customHeight="1">
      <c r="A20" s="10"/>
      <c r="B20" s="10"/>
      <c r="C20" s="10"/>
      <c r="D20" s="6"/>
      <c r="E20" s="12"/>
      <c r="F20" s="7"/>
      <c r="G20" s="7"/>
      <c r="H20" s="6"/>
    </row>
    <row r="21" spans="1:8" ht="22.5" customHeight="1">
      <c r="A21" s="10"/>
      <c r="B21" s="10"/>
      <c r="C21" s="10"/>
      <c r="D21" s="6"/>
      <c r="E21" s="12"/>
      <c r="F21" s="7"/>
      <c r="G21" s="7"/>
      <c r="H21" s="6"/>
    </row>
    <row r="22" spans="1:8" ht="22.5" customHeight="1">
      <c r="A22" s="10"/>
      <c r="B22" s="10"/>
      <c r="C22" s="10"/>
      <c r="D22" s="6"/>
      <c r="E22" s="12"/>
      <c r="F22" s="7"/>
      <c r="G22" s="7"/>
      <c r="H22" s="6"/>
    </row>
    <row r="23" spans="1:8" ht="22.5" customHeight="1">
      <c r="A23" s="10"/>
      <c r="B23" s="10"/>
      <c r="C23" s="10"/>
      <c r="D23" s="6"/>
      <c r="E23" s="12"/>
      <c r="F23" s="7"/>
      <c r="G23" s="7"/>
      <c r="H23" s="6"/>
    </row>
    <row r="24" spans="1:8" ht="22.5" customHeight="1">
      <c r="A24" s="10"/>
      <c r="B24" s="10"/>
      <c r="C24" s="10"/>
      <c r="D24" s="6"/>
      <c r="E24" s="12"/>
      <c r="F24" s="7"/>
      <c r="G24" s="7"/>
      <c r="H24" s="6"/>
    </row>
    <row r="25" spans="1:8" ht="22.5" customHeight="1">
      <c r="A25" s="10"/>
      <c r="B25" s="10"/>
      <c r="C25" s="10"/>
      <c r="D25" s="6"/>
      <c r="E25" s="12"/>
      <c r="F25" s="7"/>
      <c r="G25" s="7"/>
      <c r="H25" s="6"/>
    </row>
    <row r="26" spans="1:8" ht="22.5" customHeight="1">
      <c r="A26" s="10"/>
      <c r="B26" s="10"/>
      <c r="C26" s="10"/>
      <c r="D26" s="6"/>
      <c r="E26" s="12"/>
      <c r="F26" s="7"/>
      <c r="G26" s="7"/>
      <c r="H26" s="6"/>
    </row>
    <row r="27" spans="1:8" ht="22.5" customHeight="1">
      <c r="A27" s="10"/>
      <c r="B27" s="10"/>
      <c r="C27" s="10"/>
      <c r="D27" s="6"/>
      <c r="E27" s="12"/>
      <c r="F27" s="7"/>
      <c r="G27" s="7"/>
      <c r="H27" s="6"/>
    </row>
    <row r="28" spans="1:8" ht="22.5" customHeight="1">
      <c r="A28" s="10"/>
      <c r="B28" s="10"/>
      <c r="C28" s="10"/>
      <c r="D28" s="6"/>
      <c r="E28" s="12"/>
      <c r="F28" s="7"/>
      <c r="G28" s="7"/>
      <c r="H28" s="6"/>
    </row>
    <row r="29" spans="1:8" ht="22.5" customHeight="1">
      <c r="A29" s="10"/>
      <c r="B29" s="10"/>
      <c r="C29" s="10"/>
      <c r="D29" s="6"/>
      <c r="E29" s="12"/>
      <c r="F29" s="7"/>
      <c r="G29" s="7"/>
      <c r="H29" s="6"/>
    </row>
    <row r="30" spans="1:8" ht="22.5" customHeight="1">
      <c r="A30" s="10"/>
      <c r="B30" s="10"/>
      <c r="C30" s="10"/>
      <c r="D30" s="6"/>
      <c r="E30" s="12"/>
      <c r="F30" s="7"/>
      <c r="G30" s="7"/>
      <c r="H30" s="6"/>
    </row>
    <row r="31" spans="1:8" ht="22.5" customHeight="1">
      <c r="A31" s="10"/>
      <c r="B31" s="10"/>
      <c r="C31" s="10"/>
      <c r="D31" s="6"/>
      <c r="E31" s="12"/>
      <c r="F31" s="7"/>
      <c r="G31" s="7"/>
      <c r="H31" s="6"/>
    </row>
    <row r="32" spans="1:8" ht="22.5" customHeight="1">
      <c r="A32" s="10"/>
      <c r="B32" s="10"/>
      <c r="C32" s="10"/>
      <c r="D32" s="6"/>
      <c r="E32" s="12"/>
      <c r="F32" s="7"/>
      <c r="G32" s="7"/>
      <c r="H32" s="6"/>
    </row>
    <row r="33" spans="1:8" ht="22.5" customHeight="1">
      <c r="A33" s="10"/>
      <c r="B33" s="10"/>
      <c r="C33" s="10"/>
      <c r="D33" s="6"/>
      <c r="E33" s="12"/>
      <c r="F33" s="7"/>
      <c r="G33" s="7"/>
      <c r="H33" s="6"/>
    </row>
    <row r="34" spans="1:8" ht="22.5" customHeight="1">
      <c r="A34" s="10"/>
      <c r="B34" s="10"/>
      <c r="C34" s="10"/>
      <c r="D34" s="6"/>
      <c r="E34" s="12"/>
      <c r="F34" s="7"/>
      <c r="G34" s="7"/>
      <c r="H34" s="6"/>
    </row>
    <row r="35" spans="1:8" ht="22.5" customHeight="1">
      <c r="A35" s="10"/>
      <c r="B35" s="10"/>
      <c r="C35" s="10"/>
      <c r="D35" s="6"/>
      <c r="E35" s="12"/>
      <c r="F35" s="7"/>
      <c r="G35" s="7"/>
      <c r="H35" s="6"/>
    </row>
    <row r="36" spans="1:8" ht="22.5" customHeight="1">
      <c r="A36" s="10"/>
      <c r="B36" s="10"/>
      <c r="C36" s="10"/>
      <c r="D36" s="6"/>
      <c r="E36" s="12"/>
      <c r="F36" s="7"/>
      <c r="G36" s="7"/>
      <c r="H36" s="6"/>
    </row>
    <row r="37" spans="1:8" ht="22.5" customHeight="1">
      <c r="A37" s="10"/>
      <c r="B37" s="10"/>
      <c r="C37" s="10"/>
      <c r="D37" s="6"/>
      <c r="E37" s="12"/>
      <c r="F37" s="7"/>
      <c r="G37" s="7"/>
      <c r="H37" s="6"/>
    </row>
    <row r="38" spans="1:8" ht="22.5" customHeight="1">
      <c r="A38" s="10"/>
      <c r="B38" s="10"/>
      <c r="C38" s="10"/>
      <c r="D38" s="6"/>
      <c r="E38" s="12"/>
      <c r="F38" s="7"/>
      <c r="G38" s="7"/>
      <c r="H38" s="6"/>
    </row>
    <row r="39" spans="1:8" ht="22.5" customHeight="1">
      <c r="A39" s="10"/>
      <c r="B39" s="10"/>
      <c r="C39" s="10"/>
      <c r="D39" s="6"/>
      <c r="E39" s="12"/>
      <c r="F39" s="7"/>
      <c r="G39" s="7"/>
      <c r="H39" s="6"/>
    </row>
    <row r="40" spans="1:8" ht="22.5" customHeight="1">
      <c r="A40" s="10"/>
      <c r="B40" s="10"/>
      <c r="C40" s="10"/>
      <c r="D40" s="6"/>
      <c r="E40" s="12"/>
      <c r="F40" s="7"/>
      <c r="G40" s="7"/>
      <c r="H40" s="6"/>
    </row>
    <row r="41" spans="1:8" ht="22.5" customHeight="1">
      <c r="A41" s="10"/>
      <c r="B41" s="10"/>
      <c r="C41" s="10"/>
      <c r="D41" s="6"/>
      <c r="E41" s="12"/>
      <c r="F41" s="7"/>
      <c r="G41" s="7"/>
      <c r="H41" s="6"/>
    </row>
    <row r="42" spans="1:8" ht="22.5" customHeight="1">
      <c r="A42" s="10"/>
      <c r="B42" s="10"/>
      <c r="C42" s="10"/>
      <c r="D42" s="6"/>
      <c r="E42" s="12"/>
      <c r="F42" s="7"/>
      <c r="G42" s="7"/>
      <c r="H42" s="6"/>
    </row>
    <row r="43" spans="1:8" ht="22.5" customHeight="1">
      <c r="A43" s="10"/>
      <c r="B43" s="10"/>
      <c r="C43" s="10"/>
      <c r="D43" s="6"/>
      <c r="E43" s="12"/>
      <c r="F43" s="7"/>
      <c r="G43" s="7"/>
      <c r="H43" s="6"/>
    </row>
    <row r="44" spans="1:8" ht="22.5" customHeight="1">
      <c r="A44" s="10"/>
      <c r="B44" s="10"/>
      <c r="C44" s="10"/>
      <c r="D44" s="6"/>
      <c r="E44" s="12"/>
      <c r="F44" s="7"/>
      <c r="G44" s="7"/>
      <c r="H44" s="6"/>
    </row>
    <row r="45" spans="1:8" ht="22.5" customHeight="1">
      <c r="A45" s="10"/>
      <c r="B45" s="10"/>
      <c r="C45" s="10"/>
      <c r="D45" s="6"/>
      <c r="E45" s="12"/>
      <c r="F45" s="7"/>
      <c r="G45" s="7"/>
      <c r="H45" s="6"/>
    </row>
    <row r="46" spans="1:8" ht="22.5" customHeight="1">
      <c r="A46" s="10"/>
      <c r="B46" s="10"/>
      <c r="C46" s="10"/>
      <c r="D46" s="6"/>
      <c r="E46" s="12"/>
      <c r="F46" s="7"/>
      <c r="G46" s="7"/>
      <c r="H46" s="6"/>
    </row>
    <row r="47" spans="1:8" ht="22.5" customHeight="1">
      <c r="A47" s="10"/>
      <c r="B47" s="10"/>
      <c r="C47" s="10"/>
      <c r="D47" s="6"/>
      <c r="E47" s="12"/>
      <c r="F47" s="7"/>
      <c r="G47" s="7"/>
      <c r="H47" s="6"/>
    </row>
    <row r="48" spans="1:8" ht="22.5" customHeight="1">
      <c r="A48" s="10"/>
      <c r="B48" s="10"/>
      <c r="C48" s="10"/>
      <c r="D48" s="6"/>
      <c r="E48" s="12"/>
      <c r="F48" s="7"/>
      <c r="G48" s="7"/>
      <c r="H48" s="6"/>
    </row>
  </sheetData>
  <mergeCells count="1">
    <mergeCell ref="A2:H2"/>
  </mergeCells>
  <phoneticPr fontId="2" type="noConversion"/>
  <dataValidations count="1">
    <dataValidation type="list" allowBlank="1" showInputMessage="1" showErrorMessage="1" sqref="D7:D14" xr:uid="{79A0BDF0-7047-4027-9778-61570417529D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C102B5-5791-46F7-9187-B945A209B446}">
          <x14:formula1>
            <xm:f>목록!$B$2:$B$3</xm:f>
          </x14:formula1>
          <xm:sqref>B14:B48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4FC2-4E3D-401C-8E79-D16C7A29A9D9}">
  <dimension ref="B2:B3"/>
  <sheetViews>
    <sheetView workbookViewId="0">
      <selection activeCell="B3" sqref="B3"/>
    </sheetView>
  </sheetViews>
  <sheetFormatPr defaultRowHeight="13.5"/>
  <cols>
    <col min="1" max="1" width="2.21875" customWidth="1"/>
  </cols>
  <sheetData>
    <row r="2" spans="2:2">
      <c r="B2" t="s">
        <v>9</v>
      </c>
    </row>
    <row r="3" spans="2:2">
      <c r="B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2026년 8월</vt:lpstr>
      <vt:lpstr>2026년 9월</vt:lpstr>
      <vt:lpstr>2026년 10월</vt:lpstr>
      <vt:lpstr>목록</vt:lpstr>
    </vt:vector>
  </TitlesOfParts>
  <Company>com2us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com2usholdings15</cp:lastModifiedBy>
  <cp:lastPrinted>2012-04-29T23:37:48Z</cp:lastPrinted>
  <dcterms:created xsi:type="dcterms:W3CDTF">2008-02-25T09:29:13Z</dcterms:created>
  <dcterms:modified xsi:type="dcterms:W3CDTF">2026-07-28T08:03:03Z</dcterms:modified>
</cp:coreProperties>
</file>