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인사실_Docs\Payroll\01. 급여\복리후생비 취합\5. 자금집행계획서\2026\카탈리스터\"/>
    </mc:Choice>
  </mc:AlternateContent>
  <xr:revisionPtr revIDLastSave="0" documentId="13_ncr:1_{A0495E9C-DD22-4DEB-AC3D-362E0EA3B5BB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2026년 9월" sheetId="28" r:id="rId1"/>
    <sheet name="2026년 10월" sheetId="29" r:id="rId2"/>
    <sheet name="2026년 11월" sheetId="3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30" l="1"/>
  <c r="F7" i="30"/>
  <c r="F8" i="29"/>
  <c r="F7" i="29"/>
  <c r="F18" i="30"/>
  <c r="F17" i="30"/>
  <c r="F16" i="30"/>
  <c r="F15" i="30"/>
  <c r="F14" i="30"/>
  <c r="F13" i="30"/>
  <c r="F12" i="30"/>
  <c r="F11" i="30"/>
  <c r="F10" i="30"/>
  <c r="F9" i="30"/>
  <c r="D13" i="28"/>
  <c r="F19" i="29" l="1"/>
  <c r="F18" i="29"/>
  <c r="F17" i="29"/>
  <c r="F16" i="29"/>
  <c r="F15" i="29"/>
  <c r="F14" i="29"/>
  <c r="F13" i="29"/>
  <c r="F12" i="29"/>
  <c r="F10" i="29"/>
  <c r="F9" i="29"/>
  <c r="F18" i="28" l="1"/>
  <c r="F17" i="28"/>
  <c r="F16" i="28"/>
  <c r="F15" i="28"/>
  <c r="F14" i="28"/>
  <c r="F13" i="28"/>
  <c r="F12" i="28"/>
  <c r="F11" i="28"/>
  <c r="F10" i="28"/>
  <c r="F9" i="28"/>
  <c r="F8" i="28"/>
  <c r="F7" i="28"/>
</calcChain>
</file>

<file path=xl/sharedStrings.xml><?xml version="1.0" encoding="utf-8"?>
<sst xmlns="http://schemas.openxmlformats.org/spreadsheetml/2006/main" count="123" uniqueCount="36">
  <si>
    <t>합계</t>
    <phoneticPr fontId="2" type="noConversion"/>
  </si>
  <si>
    <t>업체명</t>
    <phoneticPr fontId="2" type="noConversion"/>
  </si>
  <si>
    <t>금액</t>
    <phoneticPr fontId="2" type="noConversion"/>
  </si>
  <si>
    <t>부가가치세</t>
    <phoneticPr fontId="2" type="noConversion"/>
  </si>
  <si>
    <t>[단위:원/각통화]</t>
    <phoneticPr fontId="2" type="noConversion"/>
  </si>
  <si>
    <t>비고(예상입금 및 지급일 등)</t>
    <phoneticPr fontId="2" type="noConversion"/>
  </si>
  <si>
    <t>사유</t>
    <phoneticPr fontId="2" type="noConversion"/>
  </si>
  <si>
    <t>통화</t>
    <phoneticPr fontId="2" type="noConversion"/>
  </si>
  <si>
    <t>KRW</t>
    <phoneticPr fontId="2" type="noConversion"/>
  </si>
  <si>
    <t>경조업체</t>
    <phoneticPr fontId="2" type="noConversion"/>
  </si>
  <si>
    <t>삼신상사</t>
    <phoneticPr fontId="2" type="noConversion"/>
  </si>
  <si>
    <t>하나카드</t>
    <phoneticPr fontId="2" type="noConversion"/>
  </si>
  <si>
    <t>부서명 : 인사실</t>
    <phoneticPr fontId="2" type="noConversion"/>
  </si>
  <si>
    <t>KRW</t>
  </si>
  <si>
    <t>㈜비즈마켓</t>
    <phoneticPr fontId="2" type="noConversion"/>
  </si>
  <si>
    <t>복지포인트 온라인 결제금액</t>
    <phoneticPr fontId="2" type="noConversion"/>
  </si>
  <si>
    <t>복지포인트 오프라인 결제금액</t>
    <phoneticPr fontId="2" type="noConversion"/>
  </si>
  <si>
    <t>국민연금보험공단</t>
  </si>
  <si>
    <t>연금보험료</t>
  </si>
  <si>
    <t>국민건강보험공단</t>
  </si>
  <si>
    <t>건강보험료</t>
  </si>
  <si>
    <t>고용보험공단</t>
  </si>
  <si>
    <t>고용산재보험료</t>
  </si>
  <si>
    <t>임직원</t>
  </si>
  <si>
    <t>금천세무서, 금천구청</t>
  </si>
  <si>
    <t>한국투자증권,미래에셋증권, 기업은행</t>
  </si>
  <si>
    <t>근로소득세/지방소득세/종업원할사업소세</t>
  </si>
  <si>
    <t>아름다운세차</t>
    <phoneticPr fontId="2" type="noConversion"/>
  </si>
  <si>
    <t>임원 세차</t>
    <phoneticPr fontId="2" type="noConversion"/>
  </si>
  <si>
    <t>급여</t>
  </si>
  <si>
    <t>퇴직연금</t>
    <phoneticPr fontId="2" type="noConversion"/>
  </si>
  <si>
    <t>2026년 9월 자금 집행 계획서</t>
    <phoneticPr fontId="2" type="noConversion"/>
  </si>
  <si>
    <t>2026년 10월 자금 집행 계획서</t>
    <phoneticPr fontId="2" type="noConversion"/>
  </si>
  <si>
    <t>26년 명절(추석) 상품권 지급</t>
  </si>
  <si>
    <t>2026년 11월 자금 집행 계획서</t>
    <phoneticPr fontId="2" type="noConversion"/>
  </si>
  <si>
    <t>슈퍼콘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</si>
</sst>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u/>
      <sz val="16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right"/>
    </xf>
    <xf numFmtId="0" fontId="4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41" fontId="3" fillId="0" borderId="0" xfId="1" applyFont="1" applyBorder="1">
      <alignment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41" fontId="3" fillId="0" borderId="5" xfId="3" applyFont="1" applyBorder="1">
      <alignment vertical="center"/>
    </xf>
    <xf numFmtId="41" fontId="3" fillId="0" borderId="5" xfId="1" applyFont="1" applyBorder="1">
      <alignment vertical="center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  <xf numFmtId="41" fontId="3" fillId="0" borderId="6" xfId="1" applyFont="1" applyBorder="1">
      <alignment vertical="center"/>
    </xf>
    <xf numFmtId="41" fontId="3" fillId="0" borderId="7" xfId="3" applyFont="1" applyBorder="1">
      <alignment vertical="center"/>
    </xf>
    <xf numFmtId="14" fontId="3" fillId="0" borderId="6" xfId="0" applyNumberFormat="1" applyFont="1" applyBorder="1">
      <alignment vertical="center"/>
    </xf>
    <xf numFmtId="14" fontId="3" fillId="0" borderId="7" xfId="0" applyNumberFormat="1" applyFont="1" applyBorder="1">
      <alignment vertical="center"/>
    </xf>
    <xf numFmtId="0" fontId="4" fillId="2" borderId="8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9">
    <cellStyle name="쉼표 [0]" xfId="1" builtinId="6"/>
    <cellStyle name="쉼표 [0] 2" xfId="2" xr:uid="{00000000-0005-0000-0000-000001000000}"/>
    <cellStyle name="쉼표 [0] 2 2" xfId="3" xr:uid="{60213071-C7DF-4AC8-8904-4412D35BB006}"/>
    <cellStyle name="쉼표 [0] 2 2 2" xfId="8" xr:uid="{33341EDC-BD2B-4256-81FD-EFC087B55254}"/>
    <cellStyle name="쉼표 [0] 2 2 3" xfId="7" xr:uid="{8E19863A-8B29-4B45-9DD7-FD8D4EB982A9}"/>
    <cellStyle name="쉼표 [0] 2 3" xfId="6" xr:uid="{971E82EB-C7EC-4D94-8CE6-210D080F5F11}"/>
    <cellStyle name="쉼표 [0] 3" xfId="4" xr:uid="{2D85F545-BE40-4B02-8E0E-C82DF8D9FD24}"/>
    <cellStyle name="쉼표 [0] 4" xfId="5" xr:uid="{BE428A23-2A23-4097-B157-59411EA93E08}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AB241-C235-4F9B-A8F6-32954B9E2549}">
  <sheetPr>
    <pageSetUpPr fitToPage="1"/>
  </sheetPr>
  <dimension ref="A2:H18"/>
  <sheetViews>
    <sheetView tabSelected="1" zoomScaleNormal="100" workbookViewId="0">
      <selection activeCell="C26" sqref="C26"/>
    </sheetView>
  </sheetViews>
  <sheetFormatPr defaultColWidth="8.9140625" defaultRowHeight="22.5" customHeight="1"/>
  <cols>
    <col min="1" max="1" width="33.58203125" style="1" bestFit="1" customWidth="1"/>
    <col min="2" max="2" width="31.6640625" style="1" customWidth="1"/>
    <col min="3" max="6" width="16.33203125" style="1" customWidth="1"/>
    <col min="7" max="7" width="31.6640625" style="1" customWidth="1"/>
    <col min="8" max="13" width="8.9140625" style="1" customWidth="1"/>
    <col min="14" max="16384" width="8.9140625" style="1"/>
  </cols>
  <sheetData>
    <row r="2" spans="1:8" ht="22.5" customHeight="1">
      <c r="A2" s="21" t="s">
        <v>31</v>
      </c>
      <c r="B2" s="21"/>
      <c r="C2" s="21"/>
      <c r="D2" s="21"/>
      <c r="E2" s="21"/>
      <c r="F2" s="21"/>
      <c r="G2" s="21"/>
    </row>
    <row r="4" spans="1:8" ht="22.5" customHeight="1">
      <c r="A4" s="2" t="s">
        <v>12</v>
      </c>
    </row>
    <row r="5" spans="1:8" ht="22.5" customHeight="1">
      <c r="G5" s="5" t="s">
        <v>4</v>
      </c>
      <c r="H5" s="3"/>
    </row>
    <row r="6" spans="1:8" ht="22.5" customHeight="1">
      <c r="A6" s="20" t="s">
        <v>1</v>
      </c>
      <c r="B6" s="4" t="s">
        <v>6</v>
      </c>
      <c r="C6" s="7" t="s">
        <v>7</v>
      </c>
      <c r="D6" s="6" t="s">
        <v>2</v>
      </c>
      <c r="E6" s="8" t="s">
        <v>3</v>
      </c>
      <c r="F6" s="6" t="s">
        <v>0</v>
      </c>
      <c r="G6" s="4" t="s">
        <v>5</v>
      </c>
    </row>
    <row r="7" spans="1:8" ht="22.5" customHeight="1">
      <c r="A7" s="10" t="s">
        <v>14</v>
      </c>
      <c r="B7" s="14" t="s">
        <v>15</v>
      </c>
      <c r="C7" s="14" t="s">
        <v>13</v>
      </c>
      <c r="D7" s="9">
        <v>500000</v>
      </c>
      <c r="E7" s="16">
        <v>0</v>
      </c>
      <c r="F7" s="9">
        <f t="shared" ref="F7:F18" si="0">D7+E7</f>
        <v>500000</v>
      </c>
      <c r="G7" s="18">
        <v>46285</v>
      </c>
    </row>
    <row r="8" spans="1:8" ht="22.5" customHeight="1">
      <c r="A8" s="10" t="s">
        <v>11</v>
      </c>
      <c r="B8" s="14" t="s">
        <v>16</v>
      </c>
      <c r="C8" s="14" t="s">
        <v>13</v>
      </c>
      <c r="D8" s="9">
        <v>2000000</v>
      </c>
      <c r="E8" s="16">
        <v>0</v>
      </c>
      <c r="F8" s="9">
        <f t="shared" si="0"/>
        <v>2000000</v>
      </c>
      <c r="G8" s="18">
        <v>46285</v>
      </c>
    </row>
    <row r="9" spans="1:8" ht="22.5" customHeight="1">
      <c r="A9" s="10" t="s">
        <v>10</v>
      </c>
      <c r="B9" s="14" t="s">
        <v>9</v>
      </c>
      <c r="C9" s="14" t="s">
        <v>8</v>
      </c>
      <c r="D9" s="9">
        <v>300000</v>
      </c>
      <c r="E9" s="16">
        <v>0</v>
      </c>
      <c r="F9" s="9">
        <f t="shared" si="0"/>
        <v>300000</v>
      </c>
      <c r="G9" s="18">
        <v>46275</v>
      </c>
    </row>
    <row r="10" spans="1:8" ht="22.5" customHeight="1">
      <c r="A10" s="10" t="s">
        <v>27</v>
      </c>
      <c r="B10" s="14" t="s">
        <v>28</v>
      </c>
      <c r="C10" s="14" t="s">
        <v>8</v>
      </c>
      <c r="D10" s="9">
        <v>100000</v>
      </c>
      <c r="E10" s="16">
        <v>10000</v>
      </c>
      <c r="F10" s="9">
        <f t="shared" si="0"/>
        <v>110000</v>
      </c>
      <c r="G10" s="18">
        <v>46275</v>
      </c>
    </row>
    <row r="11" spans="1:8" ht="22.5" customHeight="1">
      <c r="A11" s="10" t="s">
        <v>17</v>
      </c>
      <c r="B11" s="14" t="s">
        <v>18</v>
      </c>
      <c r="C11" s="14" t="s">
        <v>13</v>
      </c>
      <c r="D11" s="9">
        <v>1165240</v>
      </c>
      <c r="E11" s="16">
        <v>0</v>
      </c>
      <c r="F11" s="9">
        <f t="shared" si="0"/>
        <v>1165240</v>
      </c>
      <c r="G11" s="18">
        <v>46275</v>
      </c>
      <c r="H11" s="9"/>
    </row>
    <row r="12" spans="1:8" ht="22.5" customHeight="1">
      <c r="A12" s="10" t="s">
        <v>19</v>
      </c>
      <c r="B12" s="14" t="s">
        <v>20</v>
      </c>
      <c r="C12" s="14" t="s">
        <v>13</v>
      </c>
      <c r="D12" s="9">
        <v>1678060</v>
      </c>
      <c r="E12" s="16">
        <v>0</v>
      </c>
      <c r="F12" s="9">
        <f t="shared" si="0"/>
        <v>1678060</v>
      </c>
      <c r="G12" s="18">
        <v>46275</v>
      </c>
      <c r="H12" s="9"/>
    </row>
    <row r="13" spans="1:8" ht="22.5" customHeight="1">
      <c r="A13" s="10" t="s">
        <v>21</v>
      </c>
      <c r="B13" s="14" t="s">
        <v>22</v>
      </c>
      <c r="C13" s="14" t="s">
        <v>13</v>
      </c>
      <c r="D13" s="9">
        <f>118010+43180</f>
        <v>161190</v>
      </c>
      <c r="E13" s="16">
        <v>0</v>
      </c>
      <c r="F13" s="9">
        <f t="shared" si="0"/>
        <v>161190</v>
      </c>
      <c r="G13" s="18">
        <v>46275</v>
      </c>
      <c r="H13" s="9"/>
    </row>
    <row r="14" spans="1:8" ht="22.5" customHeight="1">
      <c r="A14" s="10" t="s">
        <v>23</v>
      </c>
      <c r="B14" s="14" t="s">
        <v>29</v>
      </c>
      <c r="C14" s="14" t="s">
        <v>13</v>
      </c>
      <c r="D14" s="9">
        <v>15000000</v>
      </c>
      <c r="E14" s="16">
        <v>0</v>
      </c>
      <c r="F14" s="9">
        <f t="shared" si="0"/>
        <v>15000000</v>
      </c>
      <c r="G14" s="18">
        <v>46290</v>
      </c>
    </row>
    <row r="15" spans="1:8" ht="22.5" customHeight="1">
      <c r="A15" s="10" t="s">
        <v>24</v>
      </c>
      <c r="B15" s="14" t="s">
        <v>26</v>
      </c>
      <c r="C15" s="14" t="s">
        <v>13</v>
      </c>
      <c r="D15" s="9">
        <v>4000000</v>
      </c>
      <c r="E15" s="16">
        <v>0</v>
      </c>
      <c r="F15" s="9">
        <f t="shared" si="0"/>
        <v>4000000</v>
      </c>
      <c r="G15" s="18">
        <v>46275</v>
      </c>
    </row>
    <row r="16" spans="1:8" ht="22.15" customHeight="1">
      <c r="A16" s="10" t="s">
        <v>25</v>
      </c>
      <c r="B16" s="14" t="s">
        <v>30</v>
      </c>
      <c r="C16" s="14" t="s">
        <v>13</v>
      </c>
      <c r="D16" s="9">
        <v>1928480</v>
      </c>
      <c r="E16" s="16">
        <v>0</v>
      </c>
      <c r="F16" s="9">
        <f t="shared" si="0"/>
        <v>1928480</v>
      </c>
      <c r="G16" s="18">
        <v>46275</v>
      </c>
    </row>
    <row r="17" spans="1:7" ht="22.5" customHeight="1">
      <c r="A17" s="10"/>
      <c r="B17" s="14"/>
      <c r="C17" s="14"/>
      <c r="D17" s="9"/>
      <c r="E17" s="16"/>
      <c r="F17" s="9">
        <f t="shared" si="0"/>
        <v>0</v>
      </c>
      <c r="G17" s="18"/>
    </row>
    <row r="18" spans="1:7" ht="22.5" customHeight="1">
      <c r="A18" s="11"/>
      <c r="B18" s="15"/>
      <c r="C18" s="15"/>
      <c r="D18" s="12"/>
      <c r="E18" s="17"/>
      <c r="F18" s="13">
        <f t="shared" si="0"/>
        <v>0</v>
      </c>
      <c r="G18" s="19"/>
    </row>
  </sheetData>
  <mergeCells count="1">
    <mergeCell ref="A2:G2"/>
  </mergeCells>
  <phoneticPr fontId="2" type="noConversion"/>
  <dataValidations count="1">
    <dataValidation type="list" allowBlank="1" showInputMessage="1" showErrorMessage="1" sqref="C7:C10 C11:C18" xr:uid="{30371CA8-19C0-4EAB-8EF5-C77564976452}">
      <formula1>"KRW, USD, JPY, EUR"</formula1>
    </dataValidation>
  </dataValidations>
  <pageMargins left="0.75" right="0.75" top="1" bottom="1" header="0.5" footer="0.5"/>
  <pageSetup paperSize="9" scale="46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3D633-CE0E-4DBF-873D-B4A1DC2C3E53}">
  <sheetPr>
    <pageSetUpPr fitToPage="1"/>
  </sheetPr>
  <dimension ref="A2:H19"/>
  <sheetViews>
    <sheetView zoomScaleNormal="100" workbookViewId="0">
      <selection activeCell="B30" sqref="B30"/>
    </sheetView>
  </sheetViews>
  <sheetFormatPr defaultColWidth="8.9140625" defaultRowHeight="22.5" customHeight="1"/>
  <cols>
    <col min="1" max="1" width="33.58203125" style="1" bestFit="1" customWidth="1"/>
    <col min="2" max="2" width="31.6640625" style="1" customWidth="1"/>
    <col min="3" max="6" width="16.33203125" style="1" customWidth="1"/>
    <col min="7" max="7" width="31.6640625" style="1" customWidth="1"/>
    <col min="8" max="13" width="8.9140625" style="1" customWidth="1"/>
    <col min="14" max="16384" width="8.9140625" style="1"/>
  </cols>
  <sheetData>
    <row r="2" spans="1:8" ht="22.5" customHeight="1">
      <c r="A2" s="21" t="s">
        <v>32</v>
      </c>
      <c r="B2" s="21"/>
      <c r="C2" s="21"/>
      <c r="D2" s="21"/>
      <c r="E2" s="21"/>
      <c r="F2" s="21"/>
      <c r="G2" s="21"/>
    </row>
    <row r="4" spans="1:8" ht="22.5" customHeight="1">
      <c r="A4" s="2" t="s">
        <v>12</v>
      </c>
    </row>
    <row r="5" spans="1:8" ht="22.5" customHeight="1">
      <c r="G5" s="5" t="s">
        <v>4</v>
      </c>
      <c r="H5" s="3"/>
    </row>
    <row r="6" spans="1:8" ht="22.5" customHeight="1">
      <c r="A6" s="20" t="s">
        <v>1</v>
      </c>
      <c r="B6" s="4" t="s">
        <v>6</v>
      </c>
      <c r="C6" s="7" t="s">
        <v>7</v>
      </c>
      <c r="D6" s="6" t="s">
        <v>2</v>
      </c>
      <c r="E6" s="8" t="s">
        <v>3</v>
      </c>
      <c r="F6" s="6" t="s">
        <v>0</v>
      </c>
      <c r="G6" s="4" t="s">
        <v>5</v>
      </c>
    </row>
    <row r="7" spans="1:8" ht="22.5" customHeight="1">
      <c r="A7" s="10" t="s">
        <v>14</v>
      </c>
      <c r="B7" s="14" t="s">
        <v>15</v>
      </c>
      <c r="C7" s="14" t="s">
        <v>13</v>
      </c>
      <c r="D7" s="9">
        <v>500000</v>
      </c>
      <c r="E7" s="16">
        <v>0</v>
      </c>
      <c r="F7" s="9">
        <f t="shared" ref="F7:F8" si="0">D7+E7</f>
        <v>500000</v>
      </c>
      <c r="G7" s="18">
        <v>46315</v>
      </c>
    </row>
    <row r="8" spans="1:8" ht="22.5" customHeight="1">
      <c r="A8" s="10" t="s">
        <v>11</v>
      </c>
      <c r="B8" s="14" t="s">
        <v>16</v>
      </c>
      <c r="C8" s="14" t="s">
        <v>13</v>
      </c>
      <c r="D8" s="9">
        <v>2000000</v>
      </c>
      <c r="E8" s="16">
        <v>0</v>
      </c>
      <c r="F8" s="9">
        <f t="shared" si="0"/>
        <v>2000000</v>
      </c>
      <c r="G8" s="18">
        <v>46315</v>
      </c>
    </row>
    <row r="9" spans="1:8" ht="22.5" customHeight="1">
      <c r="A9" s="10" t="s">
        <v>10</v>
      </c>
      <c r="B9" s="14" t="s">
        <v>9</v>
      </c>
      <c r="C9" s="14" t="s">
        <v>8</v>
      </c>
      <c r="D9" s="9">
        <v>300000</v>
      </c>
      <c r="E9" s="16">
        <v>0</v>
      </c>
      <c r="F9" s="9">
        <f t="shared" ref="F7:F19" si="1">D9+E9</f>
        <v>300000</v>
      </c>
      <c r="G9" s="18">
        <v>46305</v>
      </c>
    </row>
    <row r="10" spans="1:8" ht="22.5" customHeight="1">
      <c r="A10" s="10" t="s">
        <v>27</v>
      </c>
      <c r="B10" s="14" t="s">
        <v>28</v>
      </c>
      <c r="C10" s="14" t="s">
        <v>8</v>
      </c>
      <c r="D10" s="9">
        <v>100000</v>
      </c>
      <c r="E10" s="16">
        <v>10000</v>
      </c>
      <c r="F10" s="9">
        <f t="shared" si="1"/>
        <v>110000</v>
      </c>
      <c r="G10" s="18">
        <v>46305</v>
      </c>
    </row>
    <row r="11" spans="1:8" ht="22.5" customHeight="1">
      <c r="A11" s="10" t="s">
        <v>35</v>
      </c>
      <c r="B11" s="14" t="s">
        <v>33</v>
      </c>
      <c r="C11" s="14" t="s">
        <v>13</v>
      </c>
      <c r="D11" s="9">
        <v>400000</v>
      </c>
      <c r="E11" s="16">
        <v>0</v>
      </c>
      <c r="F11" s="9">
        <v>400000</v>
      </c>
      <c r="G11" s="18">
        <v>46305</v>
      </c>
    </row>
    <row r="12" spans="1:8" ht="22.5" customHeight="1">
      <c r="A12" s="10" t="s">
        <v>17</v>
      </c>
      <c r="B12" s="14" t="s">
        <v>18</v>
      </c>
      <c r="C12" s="14" t="s">
        <v>13</v>
      </c>
      <c r="D12" s="9">
        <v>1200000</v>
      </c>
      <c r="E12" s="16">
        <v>0</v>
      </c>
      <c r="F12" s="9">
        <f t="shared" si="1"/>
        <v>1200000</v>
      </c>
      <c r="G12" s="18">
        <v>46305</v>
      </c>
      <c r="H12" s="9"/>
    </row>
    <row r="13" spans="1:8" ht="22.5" customHeight="1">
      <c r="A13" s="10" t="s">
        <v>19</v>
      </c>
      <c r="B13" s="14" t="s">
        <v>20</v>
      </c>
      <c r="C13" s="14" t="s">
        <v>13</v>
      </c>
      <c r="D13" s="9">
        <v>1800000</v>
      </c>
      <c r="E13" s="16">
        <v>0</v>
      </c>
      <c r="F13" s="9">
        <f t="shared" si="1"/>
        <v>1800000</v>
      </c>
      <c r="G13" s="18">
        <v>46305</v>
      </c>
      <c r="H13" s="9"/>
    </row>
    <row r="14" spans="1:8" ht="22.5" customHeight="1">
      <c r="A14" s="10" t="s">
        <v>21</v>
      </c>
      <c r="B14" s="14" t="s">
        <v>22</v>
      </c>
      <c r="C14" s="14" t="s">
        <v>13</v>
      </c>
      <c r="D14" s="9">
        <v>200000</v>
      </c>
      <c r="E14" s="16">
        <v>0</v>
      </c>
      <c r="F14" s="9">
        <f t="shared" si="1"/>
        <v>200000</v>
      </c>
      <c r="G14" s="18">
        <v>46305</v>
      </c>
      <c r="H14" s="9"/>
    </row>
    <row r="15" spans="1:8" ht="22.5" customHeight="1">
      <c r="A15" s="10" t="s">
        <v>23</v>
      </c>
      <c r="B15" s="14" t="s">
        <v>29</v>
      </c>
      <c r="C15" s="14" t="s">
        <v>13</v>
      </c>
      <c r="D15" s="9">
        <v>15000000</v>
      </c>
      <c r="E15" s="16">
        <v>0</v>
      </c>
      <c r="F15" s="9">
        <f t="shared" si="1"/>
        <v>15000000</v>
      </c>
      <c r="G15" s="18">
        <v>46320</v>
      </c>
    </row>
    <row r="16" spans="1:8" ht="22.5" customHeight="1">
      <c r="A16" s="10" t="s">
        <v>24</v>
      </c>
      <c r="B16" s="14" t="s">
        <v>26</v>
      </c>
      <c r="C16" s="14" t="s">
        <v>13</v>
      </c>
      <c r="D16" s="9">
        <v>4000000</v>
      </c>
      <c r="E16" s="16">
        <v>0</v>
      </c>
      <c r="F16" s="9">
        <f t="shared" si="1"/>
        <v>4000000</v>
      </c>
      <c r="G16" s="18">
        <v>46305</v>
      </c>
    </row>
    <row r="17" spans="1:7" ht="22.15" customHeight="1">
      <c r="A17" s="10" t="s">
        <v>25</v>
      </c>
      <c r="B17" s="14" t="s">
        <v>30</v>
      </c>
      <c r="C17" s="14" t="s">
        <v>13</v>
      </c>
      <c r="D17" s="9">
        <v>1928480</v>
      </c>
      <c r="E17" s="16">
        <v>0</v>
      </c>
      <c r="F17" s="9">
        <f t="shared" si="1"/>
        <v>1928480</v>
      </c>
      <c r="G17" s="18">
        <v>46305</v>
      </c>
    </row>
    <row r="18" spans="1:7" ht="22.5" customHeight="1">
      <c r="A18" s="10"/>
      <c r="B18" s="14"/>
      <c r="C18" s="14"/>
      <c r="D18" s="9"/>
      <c r="E18" s="16"/>
      <c r="F18" s="9">
        <f t="shared" si="1"/>
        <v>0</v>
      </c>
      <c r="G18" s="18"/>
    </row>
    <row r="19" spans="1:7" ht="22.5" customHeight="1">
      <c r="A19" s="11"/>
      <c r="B19" s="15"/>
      <c r="C19" s="15"/>
      <c r="D19" s="12"/>
      <c r="E19" s="17"/>
      <c r="F19" s="13">
        <f t="shared" si="1"/>
        <v>0</v>
      </c>
      <c r="G19" s="19"/>
    </row>
  </sheetData>
  <mergeCells count="1">
    <mergeCell ref="A2:G2"/>
  </mergeCells>
  <phoneticPr fontId="2" type="noConversion"/>
  <dataValidations count="1">
    <dataValidation type="list" allowBlank="1" showInputMessage="1" showErrorMessage="1" sqref="C7:C19" xr:uid="{A96DA025-481C-45FE-BB2A-A5487AA8EAF3}">
      <formula1>"KRW, USD, JPY, EUR"</formula1>
    </dataValidation>
  </dataValidations>
  <pageMargins left="0.75" right="0.75" top="1" bottom="1" header="0.5" footer="0.5"/>
  <pageSetup paperSize="9" scale="46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2E9BB-C8C9-4893-B4E9-674001B1606E}">
  <sheetPr>
    <pageSetUpPr fitToPage="1"/>
  </sheetPr>
  <dimension ref="A2:H18"/>
  <sheetViews>
    <sheetView zoomScaleNormal="100" workbookViewId="0">
      <selection activeCell="B30" sqref="B30"/>
    </sheetView>
  </sheetViews>
  <sheetFormatPr defaultColWidth="8.9140625" defaultRowHeight="22.5" customHeight="1"/>
  <cols>
    <col min="1" max="1" width="33.58203125" style="1" bestFit="1" customWidth="1"/>
    <col min="2" max="2" width="31.6640625" style="1" customWidth="1"/>
    <col min="3" max="6" width="16.33203125" style="1" customWidth="1"/>
    <col min="7" max="7" width="31.6640625" style="1" customWidth="1"/>
    <col min="8" max="13" width="8.9140625" style="1" customWidth="1"/>
    <col min="14" max="16384" width="8.9140625" style="1"/>
  </cols>
  <sheetData>
    <row r="2" spans="1:8" ht="22.5" customHeight="1">
      <c r="A2" s="21" t="s">
        <v>34</v>
      </c>
      <c r="B2" s="21"/>
      <c r="C2" s="21"/>
      <c r="D2" s="21"/>
      <c r="E2" s="21"/>
      <c r="F2" s="21"/>
      <c r="G2" s="21"/>
    </row>
    <row r="4" spans="1:8" ht="22.5" customHeight="1">
      <c r="A4" s="2" t="s">
        <v>12</v>
      </c>
    </row>
    <row r="5" spans="1:8" ht="22.5" customHeight="1">
      <c r="G5" s="5" t="s">
        <v>4</v>
      </c>
      <c r="H5" s="3"/>
    </row>
    <row r="6" spans="1:8" ht="22.5" customHeight="1">
      <c r="A6" s="20" t="s">
        <v>1</v>
      </c>
      <c r="B6" s="4" t="s">
        <v>6</v>
      </c>
      <c r="C6" s="7" t="s">
        <v>7</v>
      </c>
      <c r="D6" s="6" t="s">
        <v>2</v>
      </c>
      <c r="E6" s="8" t="s">
        <v>3</v>
      </c>
      <c r="F6" s="6" t="s">
        <v>0</v>
      </c>
      <c r="G6" s="4" t="s">
        <v>5</v>
      </c>
    </row>
    <row r="7" spans="1:8" ht="22.5" customHeight="1">
      <c r="A7" s="10" t="s">
        <v>14</v>
      </c>
      <c r="B7" s="14" t="s">
        <v>15</v>
      </c>
      <c r="C7" s="14" t="s">
        <v>13</v>
      </c>
      <c r="D7" s="9">
        <v>500000</v>
      </c>
      <c r="E7" s="16">
        <v>0</v>
      </c>
      <c r="F7" s="9">
        <f t="shared" ref="F7:F8" si="0">D7+E7</f>
        <v>500000</v>
      </c>
      <c r="G7" s="18">
        <v>46346</v>
      </c>
    </row>
    <row r="8" spans="1:8" ht="22.5" customHeight="1">
      <c r="A8" s="10" t="s">
        <v>11</v>
      </c>
      <c r="B8" s="14" t="s">
        <v>16</v>
      </c>
      <c r="C8" s="14" t="s">
        <v>13</v>
      </c>
      <c r="D8" s="9">
        <v>2000000</v>
      </c>
      <c r="E8" s="16">
        <v>0</v>
      </c>
      <c r="F8" s="9">
        <f t="shared" si="0"/>
        <v>2000000</v>
      </c>
      <c r="G8" s="18">
        <v>46346</v>
      </c>
    </row>
    <row r="9" spans="1:8" ht="22.5" customHeight="1">
      <c r="A9" s="10" t="s">
        <v>10</v>
      </c>
      <c r="B9" s="14" t="s">
        <v>9</v>
      </c>
      <c r="C9" s="14" t="s">
        <v>8</v>
      </c>
      <c r="D9" s="9">
        <v>300000</v>
      </c>
      <c r="E9" s="16">
        <v>0</v>
      </c>
      <c r="F9" s="9">
        <f t="shared" ref="F7:F18" si="1">D9+E9</f>
        <v>300000</v>
      </c>
      <c r="G9" s="18">
        <v>46336</v>
      </c>
    </row>
    <row r="10" spans="1:8" ht="22.5" customHeight="1">
      <c r="A10" s="10" t="s">
        <v>27</v>
      </c>
      <c r="B10" s="14" t="s">
        <v>28</v>
      </c>
      <c r="C10" s="14" t="s">
        <v>8</v>
      </c>
      <c r="D10" s="9">
        <v>100000</v>
      </c>
      <c r="E10" s="16">
        <v>10000</v>
      </c>
      <c r="F10" s="9">
        <f t="shared" si="1"/>
        <v>110000</v>
      </c>
      <c r="G10" s="18">
        <v>46336</v>
      </c>
    </row>
    <row r="11" spans="1:8" ht="22.5" customHeight="1">
      <c r="A11" s="10" t="s">
        <v>17</v>
      </c>
      <c r="B11" s="14" t="s">
        <v>18</v>
      </c>
      <c r="C11" s="14" t="s">
        <v>13</v>
      </c>
      <c r="D11" s="9">
        <v>1200000</v>
      </c>
      <c r="E11" s="16">
        <v>0</v>
      </c>
      <c r="F11" s="9">
        <f t="shared" si="1"/>
        <v>1200000</v>
      </c>
      <c r="G11" s="18">
        <v>46336</v>
      </c>
      <c r="H11" s="9"/>
    </row>
    <row r="12" spans="1:8" ht="22.5" customHeight="1">
      <c r="A12" s="10" t="s">
        <v>19</v>
      </c>
      <c r="B12" s="14" t="s">
        <v>20</v>
      </c>
      <c r="C12" s="14" t="s">
        <v>13</v>
      </c>
      <c r="D12" s="9">
        <v>1800000</v>
      </c>
      <c r="E12" s="16">
        <v>0</v>
      </c>
      <c r="F12" s="9">
        <f t="shared" si="1"/>
        <v>1800000</v>
      </c>
      <c r="G12" s="18">
        <v>46336</v>
      </c>
      <c r="H12" s="9"/>
    </row>
    <row r="13" spans="1:8" ht="22.5" customHeight="1">
      <c r="A13" s="10" t="s">
        <v>21</v>
      </c>
      <c r="B13" s="14" t="s">
        <v>22</v>
      </c>
      <c r="C13" s="14" t="s">
        <v>13</v>
      </c>
      <c r="D13" s="9">
        <v>200000</v>
      </c>
      <c r="E13" s="16">
        <v>0</v>
      </c>
      <c r="F13" s="9">
        <f t="shared" si="1"/>
        <v>200000</v>
      </c>
      <c r="G13" s="18">
        <v>46336</v>
      </c>
      <c r="H13" s="9"/>
    </row>
    <row r="14" spans="1:8" ht="22.5" customHeight="1">
      <c r="A14" s="10" t="s">
        <v>23</v>
      </c>
      <c r="B14" s="14" t="s">
        <v>29</v>
      </c>
      <c r="C14" s="14" t="s">
        <v>13</v>
      </c>
      <c r="D14" s="9">
        <v>15000000</v>
      </c>
      <c r="E14" s="16">
        <v>0</v>
      </c>
      <c r="F14" s="9">
        <f t="shared" si="1"/>
        <v>15000000</v>
      </c>
      <c r="G14" s="18">
        <v>46351</v>
      </c>
    </row>
    <row r="15" spans="1:8" ht="22.5" customHeight="1">
      <c r="A15" s="10" t="s">
        <v>24</v>
      </c>
      <c r="B15" s="14" t="s">
        <v>26</v>
      </c>
      <c r="C15" s="14" t="s">
        <v>13</v>
      </c>
      <c r="D15" s="9">
        <v>4000000</v>
      </c>
      <c r="E15" s="16">
        <v>0</v>
      </c>
      <c r="F15" s="9">
        <f t="shared" si="1"/>
        <v>4000000</v>
      </c>
      <c r="G15" s="18">
        <v>46336</v>
      </c>
    </row>
    <row r="16" spans="1:8" ht="22.15" customHeight="1">
      <c r="A16" s="10" t="s">
        <v>25</v>
      </c>
      <c r="B16" s="14" t="s">
        <v>30</v>
      </c>
      <c r="C16" s="14" t="s">
        <v>13</v>
      </c>
      <c r="D16" s="9">
        <v>1928480</v>
      </c>
      <c r="E16" s="16">
        <v>0</v>
      </c>
      <c r="F16" s="9">
        <f t="shared" si="1"/>
        <v>1928480</v>
      </c>
      <c r="G16" s="18">
        <v>46336</v>
      </c>
    </row>
    <row r="17" spans="1:7" ht="22.5" customHeight="1">
      <c r="A17" s="10"/>
      <c r="B17" s="14"/>
      <c r="C17" s="14"/>
      <c r="D17" s="9"/>
      <c r="E17" s="16"/>
      <c r="F17" s="9">
        <f t="shared" si="1"/>
        <v>0</v>
      </c>
      <c r="G17" s="18"/>
    </row>
    <row r="18" spans="1:7" ht="22.5" customHeight="1">
      <c r="A18" s="11"/>
      <c r="B18" s="15"/>
      <c r="C18" s="15"/>
      <c r="D18" s="12"/>
      <c r="E18" s="17"/>
      <c r="F18" s="13">
        <f t="shared" si="1"/>
        <v>0</v>
      </c>
      <c r="G18" s="19"/>
    </row>
  </sheetData>
  <mergeCells count="1">
    <mergeCell ref="A2:G2"/>
  </mergeCells>
  <phoneticPr fontId="2" type="noConversion"/>
  <dataValidations disablePrompts="1" count="1">
    <dataValidation type="list" allowBlank="1" showInputMessage="1" showErrorMessage="1" sqref="C7:C18" xr:uid="{F5E3726C-48C3-4DEA-A539-E0330F621846}">
      <formula1>"KRW, USD, JPY, EUR"</formula1>
    </dataValidation>
  </dataValidations>
  <pageMargins left="0.75" right="0.75" top="1" bottom="1" header="0.5" footer="0.5"/>
  <pageSetup paperSize="9" scale="4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2026년 9월</vt:lpstr>
      <vt:lpstr>2026년 10월</vt:lpstr>
      <vt:lpstr>2026년 11월</vt:lpstr>
    </vt:vector>
  </TitlesOfParts>
  <Company>com2us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com2usholdings8</cp:lastModifiedBy>
  <cp:lastPrinted>2023-12-28T06:28:31Z</cp:lastPrinted>
  <dcterms:created xsi:type="dcterms:W3CDTF">2008-02-25T09:29:13Z</dcterms:created>
  <dcterms:modified xsi:type="dcterms:W3CDTF">2026-08-26T01:25:40Z</dcterms:modified>
</cp:coreProperties>
</file>