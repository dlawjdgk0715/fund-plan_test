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JH\Desktop\자금팀\카탈리스터(컴투버스)\지출결의서\2026\"/>
    </mc:Choice>
  </mc:AlternateContent>
  <xr:revisionPtr revIDLastSave="0" documentId="8_{B61E7A5C-37B6-4534-B63E-9A797AFF45A5}" xr6:coauthVersionLast="47" xr6:coauthVersionMax="47" xr10:uidLastSave="{00000000-0000-0000-0000-000000000000}"/>
  <bookViews>
    <workbookView xWindow="-120" yWindow="-120" windowWidth="57840" windowHeight="31920" activeTab="4" xr2:uid="{B1F9F8DC-1BE4-4FA8-AF83-CC0392842756}"/>
  </bookViews>
  <sheets>
    <sheet name="0731-1" sheetId="1" r:id="rId1"/>
    <sheet name="0810" sheetId="2" r:id="rId2"/>
    <sheet name="0820" sheetId="3" r:id="rId3"/>
    <sheet name="0831" sheetId="5" r:id="rId4"/>
    <sheet name="0831-1" sheetId="6" r:id="rId5"/>
  </sheets>
  <definedNames>
    <definedName name="_xlnm.Print_Area" localSheetId="0">'0731-1'!$B$1:$I$138</definedName>
    <definedName name="_xlnm.Print_Area" localSheetId="1">'0810'!$B$1:$I$141</definedName>
    <definedName name="_xlnm.Print_Area" localSheetId="2">'0820'!$B$1:$I$141</definedName>
    <definedName name="_xlnm.Print_Area" localSheetId="3">'0831'!$B$1:$I$141</definedName>
    <definedName name="_xlnm.Print_Area" localSheetId="4">'0831-1'!$B$1:$I$141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34" i="6" l="1"/>
  <c r="E121" i="6"/>
  <c r="E122" i="6"/>
  <c r="E123" i="6"/>
  <c r="E124" i="6"/>
  <c r="E125" i="6"/>
  <c r="E126" i="6"/>
  <c r="E127" i="6"/>
  <c r="E128" i="6"/>
  <c r="E129" i="6"/>
  <c r="C177" i="6"/>
  <c r="C176" i="6"/>
  <c r="C175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2" i="6"/>
  <c r="C151" i="6"/>
  <c r="C150" i="6"/>
  <c r="C149" i="6"/>
  <c r="C148" i="6"/>
  <c r="G141" i="6"/>
  <c r="F141" i="6"/>
  <c r="E141" i="6"/>
  <c r="H140" i="6"/>
  <c r="E140" i="6"/>
  <c r="E139" i="6"/>
  <c r="H139" i="6" s="1"/>
  <c r="E135" i="6"/>
  <c r="G134" i="6"/>
  <c r="G135" i="6" s="1"/>
  <c r="F134" i="6"/>
  <c r="F135" i="6" s="1"/>
  <c r="G129" i="6"/>
  <c r="F129" i="6"/>
  <c r="G128" i="6"/>
  <c r="F128" i="6"/>
  <c r="G127" i="6"/>
  <c r="F127" i="6"/>
  <c r="G126" i="6"/>
  <c r="F126" i="6"/>
  <c r="G125" i="6"/>
  <c r="F125" i="6"/>
  <c r="G124" i="6"/>
  <c r="F124" i="6"/>
  <c r="G123" i="6"/>
  <c r="F123" i="6"/>
  <c r="G122" i="6"/>
  <c r="F122" i="6"/>
  <c r="G121" i="6"/>
  <c r="F121" i="6"/>
  <c r="G116" i="6"/>
  <c r="F116" i="6"/>
  <c r="G107" i="6"/>
  <c r="F107" i="6"/>
  <c r="G102" i="6"/>
  <c r="F102" i="6"/>
  <c r="G43" i="6"/>
  <c r="F43" i="6"/>
  <c r="G40" i="6"/>
  <c r="F40" i="6"/>
  <c r="H134" i="6" l="1"/>
  <c r="H135" i="6" s="1"/>
  <c r="H124" i="6"/>
  <c r="H129" i="6"/>
  <c r="G130" i="6"/>
  <c r="H128" i="6"/>
  <c r="H123" i="6"/>
  <c r="H125" i="6"/>
  <c r="H126" i="6"/>
  <c r="H122" i="6"/>
  <c r="F130" i="6"/>
  <c r="H127" i="6"/>
  <c r="C153" i="6"/>
  <c r="D176" i="6" s="1"/>
  <c r="C174" i="6"/>
  <c r="D177" i="6" s="1"/>
  <c r="E130" i="6"/>
  <c r="H141" i="6"/>
  <c r="M139" i="6"/>
  <c r="H121" i="6"/>
  <c r="C177" i="5"/>
  <c r="C176" i="5"/>
  <c r="C175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2" i="5"/>
  <c r="C151" i="5"/>
  <c r="C150" i="5"/>
  <c r="C149" i="5"/>
  <c r="C148" i="5"/>
  <c r="G141" i="5"/>
  <c r="F141" i="5"/>
  <c r="G134" i="5"/>
  <c r="G135" i="5" s="1"/>
  <c r="F134" i="5"/>
  <c r="F135" i="5" s="1"/>
  <c r="G129" i="5"/>
  <c r="F129" i="5"/>
  <c r="G128" i="5"/>
  <c r="F128" i="5"/>
  <c r="G127" i="5"/>
  <c r="F127" i="5"/>
  <c r="G126" i="5"/>
  <c r="F126" i="5"/>
  <c r="G125" i="5"/>
  <c r="F125" i="5"/>
  <c r="G124" i="5"/>
  <c r="F124" i="5"/>
  <c r="G123" i="5"/>
  <c r="F123" i="5"/>
  <c r="G122" i="5"/>
  <c r="G121" i="5"/>
  <c r="F121" i="5"/>
  <c r="G116" i="5"/>
  <c r="F116" i="5"/>
  <c r="F122" i="5" s="1"/>
  <c r="G107" i="5"/>
  <c r="F107" i="5"/>
  <c r="G102" i="5"/>
  <c r="F102" i="5"/>
  <c r="G43" i="5"/>
  <c r="F43" i="5"/>
  <c r="G40" i="5"/>
  <c r="F40" i="5"/>
  <c r="C177" i="3"/>
  <c r="C176" i="3"/>
  <c r="C175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6" i="3"/>
  <c r="C155" i="3"/>
  <c r="C154" i="3"/>
  <c r="C152" i="3"/>
  <c r="C151" i="3"/>
  <c r="C150" i="3"/>
  <c r="C149" i="3"/>
  <c r="C148" i="3"/>
  <c r="G141" i="3"/>
  <c r="F141" i="3"/>
  <c r="G134" i="3"/>
  <c r="F134" i="3"/>
  <c r="F135" i="3" s="1"/>
  <c r="G129" i="3"/>
  <c r="F129" i="3"/>
  <c r="G128" i="3"/>
  <c r="F128" i="3"/>
  <c r="G127" i="3"/>
  <c r="F127" i="3"/>
  <c r="G126" i="3"/>
  <c r="F126" i="3"/>
  <c r="G125" i="3"/>
  <c r="F125" i="3"/>
  <c r="G124" i="3"/>
  <c r="F124" i="3"/>
  <c r="G123" i="3"/>
  <c r="F123" i="3"/>
  <c r="F122" i="3"/>
  <c r="G121" i="3"/>
  <c r="F121" i="3"/>
  <c r="G116" i="3"/>
  <c r="F116" i="3"/>
  <c r="G107" i="3"/>
  <c r="F107" i="3"/>
  <c r="G102" i="3"/>
  <c r="F102" i="3"/>
  <c r="C157" i="3"/>
  <c r="G122" i="3"/>
  <c r="G43" i="3"/>
  <c r="F43" i="3"/>
  <c r="G40" i="3"/>
  <c r="F40" i="3"/>
  <c r="H130" i="6" l="1"/>
  <c r="C153" i="5"/>
  <c r="G130" i="5"/>
  <c r="C174" i="5"/>
  <c r="D177" i="5" s="1"/>
  <c r="F130" i="5"/>
  <c r="D176" i="5" s="1"/>
  <c r="C153" i="3"/>
  <c r="F130" i="3"/>
  <c r="G130" i="3"/>
  <c r="C174" i="3"/>
  <c r="D177" i="3" s="1"/>
  <c r="D176" i="3"/>
  <c r="G135" i="3"/>
  <c r="G52" i="2" l="1"/>
  <c r="G51" i="2"/>
  <c r="C177" i="2"/>
  <c r="C176" i="2"/>
  <c r="C175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6" i="2"/>
  <c r="C155" i="2"/>
  <c r="C154" i="2"/>
  <c r="C152" i="2"/>
  <c r="C151" i="2"/>
  <c r="C150" i="2"/>
  <c r="C149" i="2"/>
  <c r="C148" i="2"/>
  <c r="G141" i="2"/>
  <c r="F141" i="2"/>
  <c r="G134" i="2"/>
  <c r="G135" i="2" s="1"/>
  <c r="F134" i="2"/>
  <c r="G129" i="2"/>
  <c r="F129" i="2"/>
  <c r="G128" i="2"/>
  <c r="F128" i="2"/>
  <c r="G127" i="2"/>
  <c r="F127" i="2"/>
  <c r="G126" i="2"/>
  <c r="F126" i="2"/>
  <c r="G125" i="2"/>
  <c r="F125" i="2"/>
  <c r="G124" i="2"/>
  <c r="F124" i="2"/>
  <c r="G123" i="2"/>
  <c r="F123" i="2"/>
  <c r="G121" i="2"/>
  <c r="F121" i="2"/>
  <c r="G116" i="2"/>
  <c r="F116" i="2"/>
  <c r="F122" i="2" s="1"/>
  <c r="G107" i="2"/>
  <c r="F107" i="2"/>
  <c r="F102" i="2"/>
  <c r="G43" i="2"/>
  <c r="F43" i="2"/>
  <c r="G40" i="2"/>
  <c r="F40" i="2"/>
  <c r="C174" i="1"/>
  <c r="C173" i="1"/>
  <c r="C172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49" i="1"/>
  <c r="C148" i="1"/>
  <c r="C147" i="1"/>
  <c r="C146" i="1"/>
  <c r="C145" i="1"/>
  <c r="G138" i="1"/>
  <c r="F138" i="1"/>
  <c r="H137" i="1"/>
  <c r="E140" i="2" s="1"/>
  <c r="H140" i="2" s="1"/>
  <c r="E140" i="3" s="1"/>
  <c r="H140" i="3" s="1"/>
  <c r="E140" i="5" s="1"/>
  <c r="H140" i="5" s="1"/>
  <c r="E138" i="1"/>
  <c r="G131" i="1"/>
  <c r="G132" i="1" s="1"/>
  <c r="F131" i="1"/>
  <c r="F132" i="1" s="1"/>
  <c r="E132" i="1"/>
  <c r="G126" i="1"/>
  <c r="F126" i="1"/>
  <c r="G125" i="1"/>
  <c r="F125" i="1"/>
  <c r="G124" i="1"/>
  <c r="F124" i="1"/>
  <c r="G123" i="1"/>
  <c r="F123" i="1"/>
  <c r="H123" i="1"/>
  <c r="E126" i="2" s="1"/>
  <c r="G122" i="1"/>
  <c r="F122" i="1"/>
  <c r="G121" i="1"/>
  <c r="F121" i="1"/>
  <c r="G120" i="1"/>
  <c r="F120" i="1"/>
  <c r="G119" i="1"/>
  <c r="G118" i="1"/>
  <c r="F118" i="1"/>
  <c r="G113" i="1"/>
  <c r="F113" i="1"/>
  <c r="F119" i="1" s="1"/>
  <c r="G104" i="1"/>
  <c r="F104" i="1"/>
  <c r="G99" i="1"/>
  <c r="F99" i="1"/>
  <c r="G43" i="1"/>
  <c r="F43" i="1"/>
  <c r="G40" i="1"/>
  <c r="F40" i="1"/>
  <c r="G122" i="2" l="1"/>
  <c r="G130" i="2" s="1"/>
  <c r="G102" i="2"/>
  <c r="C157" i="2"/>
  <c r="C174" i="2" s="1"/>
  <c r="H122" i="1"/>
  <c r="E125" i="2" s="1"/>
  <c r="H125" i="2" s="1"/>
  <c r="E125" i="3" s="1"/>
  <c r="H125" i="3" s="1"/>
  <c r="E125" i="5" s="1"/>
  <c r="H125" i="5" s="1"/>
  <c r="H125" i="1"/>
  <c r="E128" i="2" s="1"/>
  <c r="H128" i="2" s="1"/>
  <c r="E128" i="3" s="1"/>
  <c r="H128" i="3" s="1"/>
  <c r="E128" i="5" s="1"/>
  <c r="H128" i="5" s="1"/>
  <c r="G127" i="1"/>
  <c r="H124" i="1"/>
  <c r="E127" i="2" s="1"/>
  <c r="H127" i="2" s="1"/>
  <c r="E127" i="3" s="1"/>
  <c r="H127" i="3" s="1"/>
  <c r="E127" i="5" s="1"/>
  <c r="H127" i="5" s="1"/>
  <c r="H120" i="1"/>
  <c r="E123" i="2" s="1"/>
  <c r="H123" i="2" s="1"/>
  <c r="E123" i="3" s="1"/>
  <c r="H123" i="3" s="1"/>
  <c r="E123" i="5" s="1"/>
  <c r="H123" i="5" s="1"/>
  <c r="C150" i="1"/>
  <c r="D173" i="1" s="1"/>
  <c r="H121" i="1"/>
  <c r="E124" i="2" s="1"/>
  <c r="H124" i="2" s="1"/>
  <c r="E124" i="3" s="1"/>
  <c r="H124" i="3" s="1"/>
  <c r="E124" i="5" s="1"/>
  <c r="H124" i="5" s="1"/>
  <c r="H126" i="1"/>
  <c r="E129" i="2" s="1"/>
  <c r="H129" i="2" s="1"/>
  <c r="E129" i="3" s="1"/>
  <c r="H129" i="3" s="1"/>
  <c r="E129" i="5" s="1"/>
  <c r="H129" i="5" s="1"/>
  <c r="H119" i="1"/>
  <c r="E122" i="2" s="1"/>
  <c r="C171" i="1"/>
  <c r="D174" i="1" s="1"/>
  <c r="E127" i="1"/>
  <c r="F135" i="2"/>
  <c r="H126" i="2"/>
  <c r="E126" i="3" s="1"/>
  <c r="H126" i="3" s="1"/>
  <c r="E126" i="5" s="1"/>
  <c r="H126" i="5" s="1"/>
  <c r="C153" i="2"/>
  <c r="F130" i="2"/>
  <c r="F127" i="1"/>
  <c r="H131" i="1"/>
  <c r="H136" i="1"/>
  <c r="E139" i="2" s="1"/>
  <c r="E141" i="2" s="1"/>
  <c r="H118" i="1"/>
  <c r="H122" i="2" l="1"/>
  <c r="E122" i="3" s="1"/>
  <c r="H122" i="3" s="1"/>
  <c r="E122" i="5" s="1"/>
  <c r="H122" i="5" s="1"/>
  <c r="D176" i="2"/>
  <c r="H127" i="1"/>
  <c r="E121" i="2"/>
  <c r="H139" i="2"/>
  <c r="H132" i="1"/>
  <c r="E134" i="2"/>
  <c r="D177" i="2"/>
  <c r="H138" i="1"/>
  <c r="M136" i="1"/>
  <c r="H141" i="2" l="1"/>
  <c r="E139" i="3"/>
  <c r="M139" i="2"/>
  <c r="E135" i="2"/>
  <c r="H134" i="2"/>
  <c r="H121" i="2"/>
  <c r="E130" i="2"/>
  <c r="H130" i="2" l="1"/>
  <c r="E121" i="3"/>
  <c r="H135" i="2"/>
  <c r="E134" i="3"/>
  <c r="E141" i="3"/>
  <c r="H139" i="3"/>
  <c r="E139" i="5" l="1"/>
  <c r="M139" i="3"/>
  <c r="H141" i="3"/>
  <c r="E135" i="3"/>
  <c r="H134" i="3"/>
  <c r="H121" i="3"/>
  <c r="E130" i="3"/>
  <c r="E121" i="5" l="1"/>
  <c r="H130" i="3"/>
  <c r="H135" i="3"/>
  <c r="E134" i="5"/>
  <c r="E141" i="5"/>
  <c r="H139" i="5"/>
  <c r="H141" i="5" l="1"/>
  <c r="M139" i="5"/>
  <c r="E135" i="5"/>
  <c r="H134" i="5"/>
  <c r="H135" i="5" s="1"/>
  <c r="H121" i="5"/>
  <c r="H130" i="5" s="1"/>
  <c r="E130" i="5"/>
</calcChain>
</file>

<file path=xl/sharedStrings.xml><?xml version="1.0" encoding="utf-8"?>
<sst xmlns="http://schemas.openxmlformats.org/spreadsheetml/2006/main" count="1114" uniqueCount="206">
  <si>
    <t>일일자금계획</t>
    <phoneticPr fontId="4" type="noConversion"/>
  </si>
  <si>
    <t>담 당</t>
    <phoneticPr fontId="4" type="noConversion"/>
  </si>
  <si>
    <t>차 장</t>
    <phoneticPr fontId="4" type="noConversion"/>
  </si>
  <si>
    <t>실 장</t>
    <phoneticPr fontId="4" type="noConversion"/>
  </si>
  <si>
    <t>담 당 임 원</t>
    <phoneticPr fontId="4" type="noConversion"/>
  </si>
  <si>
    <t>주식회사 카탈리스터</t>
    <phoneticPr fontId="4" type="noConversion"/>
  </si>
  <si>
    <t>작성일자</t>
  </si>
  <si>
    <t>문서번호</t>
  </si>
  <si>
    <t>작성자</t>
    <phoneticPr fontId="4" type="noConversion"/>
  </si>
  <si>
    <t>보존연한</t>
    <phoneticPr fontId="4" type="noConversion"/>
  </si>
  <si>
    <t>2026-07-31(1)</t>
    <phoneticPr fontId="4" type="noConversion"/>
  </si>
  <si>
    <t>전략금융실-260731(1)</t>
    <phoneticPr fontId="4" type="noConversion"/>
  </si>
  <si>
    <t>임정하</t>
    <phoneticPr fontId="4" type="noConversion"/>
  </si>
  <si>
    <t>3년</t>
    <phoneticPr fontId="4" type="noConversion"/>
  </si>
  <si>
    <t>1. 일일자금수지 실적</t>
    <phoneticPr fontId="4" type="noConversion"/>
  </si>
  <si>
    <t>컴투버스 급여이체 담당자</t>
    <phoneticPr fontId="4" type="noConversion"/>
  </si>
  <si>
    <t>계정과목</t>
    <phoneticPr fontId="11" type="noConversion"/>
  </si>
  <si>
    <t>통화구분</t>
    <phoneticPr fontId="4" type="noConversion"/>
  </si>
  <si>
    <t>거래처명</t>
    <phoneticPr fontId="4" type="noConversion"/>
  </si>
  <si>
    <t>내  역</t>
    <phoneticPr fontId="11" type="noConversion"/>
  </si>
  <si>
    <t>수입</t>
    <phoneticPr fontId="11" type="noConversion"/>
  </si>
  <si>
    <t>지출</t>
    <phoneticPr fontId="11" type="noConversion"/>
  </si>
  <si>
    <t>계좌</t>
    <phoneticPr fontId="11" type="noConversion"/>
  </si>
  <si>
    <t>비고</t>
    <phoneticPr fontId="4" type="noConversion"/>
  </si>
  <si>
    <t>하나은행 가산디지털지점 권은지 계장 02-852-1111(103)</t>
    <phoneticPr fontId="4" type="noConversion"/>
  </si>
  <si>
    <t>외상매출금</t>
    <phoneticPr fontId="4" type="noConversion"/>
  </si>
  <si>
    <t>1)원화</t>
  </si>
  <si>
    <t>컴투스플랫폼</t>
    <phoneticPr fontId="4" type="noConversion"/>
  </si>
  <si>
    <t>서버비 정산금(7/31)</t>
    <phoneticPr fontId="4" type="noConversion"/>
  </si>
  <si>
    <t>하나004</t>
    <phoneticPr fontId="4" type="noConversion"/>
  </si>
  <si>
    <t xml:space="preserve"> 소계(￦) </t>
  </si>
  <si>
    <t>2) 외화(USD)</t>
    <phoneticPr fontId="4" type="noConversion"/>
  </si>
  <si>
    <t xml:space="preserve"> 소계(U$)</t>
    <phoneticPr fontId="4" type="noConversion"/>
  </si>
  <si>
    <t>2. 일일자금수지 계획</t>
    <phoneticPr fontId="4" type="noConversion"/>
  </si>
  <si>
    <t>※ 실적, 계획 수지항목 = 외부로부터의 입출금내역만 기재.(보통예금, 자금대체 기재는 따로)</t>
    <phoneticPr fontId="4" type="noConversion"/>
  </si>
  <si>
    <t>1) 원화</t>
    <phoneticPr fontId="4" type="noConversion"/>
  </si>
  <si>
    <t>2-1. 자금대체</t>
    <phoneticPr fontId="4" type="noConversion"/>
  </si>
  <si>
    <t>1) 원화 수시입출 예금</t>
    <phoneticPr fontId="4" type="noConversion"/>
  </si>
  <si>
    <t>`</t>
    <phoneticPr fontId="4" type="noConversion"/>
  </si>
  <si>
    <t xml:space="preserve"> </t>
    <phoneticPr fontId="11" type="noConversion"/>
  </si>
  <si>
    <t>(단위: 원)</t>
  </si>
  <si>
    <t>3. 자금현황</t>
    <phoneticPr fontId="4" type="noConversion"/>
  </si>
  <si>
    <t>은행</t>
    <phoneticPr fontId="4" type="noConversion"/>
  </si>
  <si>
    <t>계좌번호</t>
    <phoneticPr fontId="4" type="noConversion"/>
  </si>
  <si>
    <t>전일 잔액</t>
    <phoneticPr fontId="4" type="noConversion"/>
  </si>
  <si>
    <t>차변(입금)</t>
    <phoneticPr fontId="11" type="noConversion"/>
  </si>
  <si>
    <t>대변(출금)</t>
    <phoneticPr fontId="11" type="noConversion"/>
  </si>
  <si>
    <t>당일잔액</t>
    <phoneticPr fontId="11" type="noConversion"/>
  </si>
  <si>
    <t>하나은행</t>
    <phoneticPr fontId="4" type="noConversion"/>
  </si>
  <si>
    <t>332-910058-20004</t>
    <phoneticPr fontId="4" type="noConversion"/>
  </si>
  <si>
    <t>보통예금</t>
    <phoneticPr fontId="4" type="noConversion"/>
  </si>
  <si>
    <t>연구개발과제</t>
    <phoneticPr fontId="4" type="noConversion"/>
  </si>
  <si>
    <t>332-910052-92404</t>
    <phoneticPr fontId="4" type="noConversion"/>
  </si>
  <si>
    <t>MMDA</t>
    <phoneticPr fontId="4" type="noConversion"/>
  </si>
  <si>
    <t>운영자금</t>
    <phoneticPr fontId="4" type="noConversion"/>
  </si>
  <si>
    <t>하나404</t>
    <phoneticPr fontId="4" type="noConversion"/>
  </si>
  <si>
    <t>332-910055-98704</t>
    <phoneticPr fontId="4" type="noConversion"/>
  </si>
  <si>
    <t>입금통장</t>
    <phoneticPr fontId="4" type="noConversion"/>
  </si>
  <si>
    <t>하나704</t>
    <phoneticPr fontId="4" type="noConversion"/>
  </si>
  <si>
    <t>332-910055-99304</t>
    <phoneticPr fontId="4" type="noConversion"/>
  </si>
  <si>
    <t>SK네트웍스</t>
    <phoneticPr fontId="4" type="noConversion"/>
  </si>
  <si>
    <t>하나304</t>
    <phoneticPr fontId="4" type="noConversion"/>
  </si>
  <si>
    <t>332-910056-00904</t>
    <phoneticPr fontId="4" type="noConversion"/>
  </si>
  <si>
    <t>하나비욘드파이낸스</t>
    <phoneticPr fontId="4" type="noConversion"/>
  </si>
  <si>
    <t>하나904</t>
    <phoneticPr fontId="4" type="noConversion"/>
  </si>
  <si>
    <t>332-910056-75104</t>
    <phoneticPr fontId="4" type="noConversion"/>
  </si>
  <si>
    <t>교원넥스트</t>
    <phoneticPr fontId="4" type="noConversion"/>
  </si>
  <si>
    <t>하나104</t>
    <phoneticPr fontId="4" type="noConversion"/>
  </si>
  <si>
    <t>기업은행</t>
    <phoneticPr fontId="4" type="noConversion"/>
  </si>
  <si>
    <t>137-114410-04-011</t>
    <phoneticPr fontId="4" type="noConversion"/>
  </si>
  <si>
    <t>기업011</t>
    <phoneticPr fontId="4" type="noConversion"/>
  </si>
  <si>
    <t>수협은행</t>
    <phoneticPr fontId="4" type="noConversion"/>
  </si>
  <si>
    <t>1130-0059-0058</t>
    <phoneticPr fontId="4" type="noConversion"/>
  </si>
  <si>
    <t>교보문고</t>
    <phoneticPr fontId="4" type="noConversion"/>
  </si>
  <si>
    <t>수협058</t>
    <phoneticPr fontId="4" type="noConversion"/>
  </si>
  <si>
    <t>농협은행</t>
    <phoneticPr fontId="4" type="noConversion"/>
  </si>
  <si>
    <t>301-0356-0848-51</t>
    <phoneticPr fontId="4" type="noConversion"/>
  </si>
  <si>
    <t>농협851</t>
    <phoneticPr fontId="4" type="noConversion"/>
  </si>
  <si>
    <t>합계</t>
    <phoneticPr fontId="4" type="noConversion"/>
  </si>
  <si>
    <t>2) 외화(USD) 수시입출 예금</t>
    <phoneticPr fontId="4" type="noConversion"/>
  </si>
  <si>
    <t>(단위: 1U$)</t>
    <phoneticPr fontId="4" type="noConversion"/>
  </si>
  <si>
    <t>하나은행</t>
  </si>
  <si>
    <t>332-910013-40338</t>
  </si>
  <si>
    <t>MMDA/USD</t>
  </si>
  <si>
    <t>하나USD</t>
    <phoneticPr fontId="4" type="noConversion"/>
  </si>
  <si>
    <t>3) 운용자금</t>
    <phoneticPr fontId="4" type="noConversion"/>
  </si>
  <si>
    <t>332-910293-62513</t>
    <phoneticPr fontId="4" type="noConversion"/>
  </si>
  <si>
    <t>단기채권(펀드)(2024.08.28 ~ )</t>
    <phoneticPr fontId="4" type="noConversion"/>
  </si>
  <si>
    <t>교원넥스트</t>
  </si>
  <si>
    <t>만기일 2027.08.28(36M)</t>
    <phoneticPr fontId="4" type="noConversion"/>
  </si>
  <si>
    <t>332-910304-53511</t>
    <phoneticPr fontId="4" type="noConversion"/>
  </si>
  <si>
    <t>정기예금(2025.06.20 ~ 2026.06.20)/2.52%</t>
    <phoneticPr fontId="4" type="noConversion"/>
  </si>
  <si>
    <t>만기일 2026-06-22 / 해지일 2026-06-29</t>
    <phoneticPr fontId="4" type="noConversion"/>
  </si>
  <si>
    <t>(단위: 원)</t>
    <phoneticPr fontId="4" type="noConversion"/>
  </si>
  <si>
    <t>구분</t>
    <phoneticPr fontId="4" type="noConversion"/>
  </si>
  <si>
    <t>항목</t>
    <phoneticPr fontId="4" type="noConversion"/>
  </si>
  <si>
    <t>금액</t>
    <phoneticPr fontId="4" type="noConversion"/>
  </si>
  <si>
    <t>입금</t>
    <phoneticPr fontId="4" type="noConversion"/>
  </si>
  <si>
    <t>세금환급</t>
    <phoneticPr fontId="4" type="noConversion"/>
  </si>
  <si>
    <t>이자수익</t>
    <phoneticPr fontId="4" type="noConversion"/>
  </si>
  <si>
    <t>금융상품</t>
    <phoneticPr fontId="4" type="noConversion"/>
  </si>
  <si>
    <t>기타입금</t>
    <phoneticPr fontId="4" type="noConversion"/>
  </si>
  <si>
    <t>입금합계</t>
    <phoneticPr fontId="4" type="noConversion"/>
  </si>
  <si>
    <t>지출</t>
    <phoneticPr fontId="4" type="noConversion"/>
  </si>
  <si>
    <t>급여</t>
    <phoneticPr fontId="4" type="noConversion"/>
  </si>
  <si>
    <t>상여</t>
    <phoneticPr fontId="4" type="noConversion"/>
  </si>
  <si>
    <t>퇴직연금</t>
    <phoneticPr fontId="4" type="noConversion"/>
  </si>
  <si>
    <t>4대보험</t>
    <phoneticPr fontId="4" type="noConversion"/>
  </si>
  <si>
    <t>마케팅비</t>
    <phoneticPr fontId="4" type="noConversion"/>
  </si>
  <si>
    <t>법인세</t>
    <phoneticPr fontId="4" type="noConversion"/>
  </si>
  <si>
    <t>부가가치세</t>
    <phoneticPr fontId="4" type="noConversion"/>
  </si>
  <si>
    <t>원천세</t>
    <phoneticPr fontId="4" type="noConversion"/>
  </si>
  <si>
    <t>기타제세공과금</t>
    <phoneticPr fontId="4" type="noConversion"/>
  </si>
  <si>
    <t>지급이자</t>
    <phoneticPr fontId="4" type="noConversion"/>
  </si>
  <si>
    <t>S/W</t>
    <phoneticPr fontId="4" type="noConversion"/>
  </si>
  <si>
    <t>H/W</t>
    <phoneticPr fontId="4" type="noConversion"/>
  </si>
  <si>
    <t>시설장치</t>
    <phoneticPr fontId="4" type="noConversion"/>
  </si>
  <si>
    <t>지급수수료</t>
    <phoneticPr fontId="4" type="noConversion"/>
  </si>
  <si>
    <t>전산관련지출</t>
    <phoneticPr fontId="4" type="noConversion"/>
  </si>
  <si>
    <t>경영지원용역비</t>
    <phoneticPr fontId="4" type="noConversion"/>
  </si>
  <si>
    <t>인사, 전산자산운용, 4사 공용비(분기정산 익월지급) 등</t>
    <phoneticPr fontId="4" type="noConversion"/>
  </si>
  <si>
    <t>지급임차료</t>
    <phoneticPr fontId="4" type="noConversion"/>
  </si>
  <si>
    <t>식당운영비</t>
    <phoneticPr fontId="4" type="noConversion"/>
  </si>
  <si>
    <t>복리후생비</t>
    <phoneticPr fontId="4" type="noConversion"/>
  </si>
  <si>
    <t>기타지출</t>
    <phoneticPr fontId="4" type="noConversion"/>
  </si>
  <si>
    <t>직원비용</t>
    <phoneticPr fontId="4" type="noConversion"/>
  </si>
  <si>
    <t>지출합계</t>
    <phoneticPr fontId="4" type="noConversion"/>
  </si>
  <si>
    <t>조달</t>
    <phoneticPr fontId="4" type="noConversion"/>
  </si>
  <si>
    <t>투자금입금</t>
    <phoneticPr fontId="4" type="noConversion"/>
  </si>
  <si>
    <t>입금부분확인</t>
    <phoneticPr fontId="4" type="noConversion"/>
  </si>
  <si>
    <t>지출부분확인</t>
    <phoneticPr fontId="4" type="noConversion"/>
  </si>
  <si>
    <t>전략금융실-260810</t>
  </si>
  <si>
    <t>금천세무서</t>
  </si>
  <si>
    <t>금천구청</t>
  </si>
  <si>
    <t>기업은행_가산디지털중앙</t>
  </si>
  <si>
    <t>(주)한국투자증권</t>
  </si>
  <si>
    <t>삼성웰스토리(주)컴투스</t>
  </si>
  <si>
    <t>주식회사 세포아소프트</t>
  </si>
  <si>
    <t>아름다운세차</t>
  </si>
  <si>
    <t>최민준(주택자금대출)</t>
  </si>
  <si>
    <t>카페 어썸</t>
  </si>
  <si>
    <t>2026년 7월 근로소득세 원천징수</t>
  </si>
  <si>
    <t>2026년 7월 근로소득주민세 원천징수</t>
  </si>
  <si>
    <t>임직원 퇴직연금_기업은행</t>
  </si>
  <si>
    <t>2026년 퇴직연금 관리 수수료 납입의 건(기업은행)</t>
  </si>
  <si>
    <t>임직원 퇴직연금_한국투자증권</t>
  </si>
  <si>
    <t>사내식당 임직원 식대</t>
  </si>
  <si>
    <t>법인카드데이타 연동서비스</t>
  </si>
  <si>
    <t>임원 복리후생(정기세차) 비용 납부</t>
  </si>
  <si>
    <t>주택자금대출 이자지원</t>
  </si>
  <si>
    <t>사내카페 운영비용</t>
  </si>
  <si>
    <t>하나404</t>
  </si>
  <si>
    <t>하나404</t>
    <phoneticPr fontId="4" type="noConversion"/>
  </si>
  <si>
    <t>홈텍스납부</t>
    <phoneticPr fontId="4" type="noConversion"/>
  </si>
  <si>
    <t>자동이체</t>
    <phoneticPr fontId="4" type="noConversion"/>
  </si>
  <si>
    <t>이지로납부</t>
    <phoneticPr fontId="4" type="noConversion"/>
  </si>
  <si>
    <t>기업011</t>
    <phoneticPr fontId="4" type="noConversion"/>
  </si>
  <si>
    <t>대량이체</t>
    <phoneticPr fontId="4" type="noConversion"/>
  </si>
  <si>
    <t>원천세</t>
    <phoneticPr fontId="4" type="noConversion"/>
  </si>
  <si>
    <t>4대보험</t>
    <phoneticPr fontId="4" type="noConversion"/>
  </si>
  <si>
    <t>퇴직연금</t>
    <phoneticPr fontId="4" type="noConversion"/>
  </si>
  <si>
    <t>지급수수료</t>
    <phoneticPr fontId="4" type="noConversion"/>
  </si>
  <si>
    <t>복리후생비</t>
    <phoneticPr fontId="4" type="noConversion"/>
  </si>
  <si>
    <t>기타지출</t>
    <phoneticPr fontId="4" type="noConversion"/>
  </si>
  <si>
    <t>국민연금공단</t>
    <phoneticPr fontId="4" type="noConversion"/>
  </si>
  <si>
    <t>건강보험공단</t>
    <phoneticPr fontId="4" type="noConversion"/>
  </si>
  <si>
    <t>고용보험공단</t>
    <phoneticPr fontId="4" type="noConversion"/>
  </si>
  <si>
    <t>202607 4대보험-건강보험</t>
    <phoneticPr fontId="4" type="noConversion"/>
  </si>
  <si>
    <t>202607 4대보험-연금보험</t>
    <phoneticPr fontId="4" type="noConversion"/>
  </si>
  <si>
    <t>202607 4대보험-고용보험</t>
    <phoneticPr fontId="4" type="noConversion"/>
  </si>
  <si>
    <t>4대보험</t>
  </si>
  <si>
    <t>자동이체</t>
  </si>
  <si>
    <t>전략금융실-260820</t>
  </si>
  <si>
    <t>(주)컴투스</t>
  </si>
  <si>
    <t>㈜닥터소프트</t>
  </si>
  <si>
    <t>BYC 하이시티 B동 24층 월정임차료</t>
  </si>
  <si>
    <t>2026년 주민세(사업소분)</t>
  </si>
  <si>
    <t>인사 용역료 지급</t>
  </si>
  <si>
    <t>[확정] 자산관리 솔루션(Netrix) 유지보수 수수료</t>
  </si>
  <si>
    <t>전산유지비</t>
    <phoneticPr fontId="4" type="noConversion"/>
  </si>
  <si>
    <t>임직원</t>
    <phoneticPr fontId="4" type="noConversion"/>
  </si>
  <si>
    <t>260818직원비용-카탈리스터(8/18)</t>
    <phoneticPr fontId="4" type="noConversion"/>
  </si>
  <si>
    <t>삼성카드</t>
    <phoneticPr fontId="4" type="noConversion"/>
  </si>
  <si>
    <t>공용법인카드대금(8/18)</t>
    <phoneticPr fontId="4" type="noConversion"/>
  </si>
  <si>
    <t>전략금융실-260831</t>
  </si>
  <si>
    <t>베스핀글로벌</t>
  </si>
  <si>
    <t>[확정] 구글 클라우드 플랫폼 EDP 이용료</t>
  </si>
  <si>
    <t>텐센트코리아</t>
  </si>
  <si>
    <t>[확정] 텐센트 클라우드 서비스 이용료</t>
  </si>
  <si>
    <t>주식회사 신도네트웍스</t>
  </si>
  <si>
    <t>사무실 복합기 소모품(토너) 구매 대금</t>
  </si>
  <si>
    <t>유플러스</t>
  </si>
  <si>
    <t>회사 대표번호 전화요금 지불의 건</t>
  </si>
  <si>
    <t>LGU+통신전화</t>
    <phoneticPr fontId="4" type="noConversion"/>
  </si>
  <si>
    <t>통신비</t>
    <phoneticPr fontId="4" type="noConversion"/>
  </si>
  <si>
    <t>하나404</t>
    <phoneticPr fontId="4" type="noConversion"/>
  </si>
  <si>
    <t>자동이체</t>
    <phoneticPr fontId="4" type="noConversion"/>
  </si>
  <si>
    <t>임직원</t>
    <phoneticPr fontId="4" type="noConversion"/>
  </si>
  <si>
    <t>260825급여-카탈리스터(8/25)</t>
    <phoneticPr fontId="4" type="noConversion"/>
  </si>
  <si>
    <t>급여</t>
    <phoneticPr fontId="4" type="noConversion"/>
  </si>
  <si>
    <t>2026-08-31(1)</t>
    <phoneticPr fontId="4" type="noConversion"/>
  </si>
  <si>
    <t>전략금융실-260831(1)</t>
    <phoneticPr fontId="4" type="noConversion"/>
  </si>
  <si>
    <t>컴투스플랫폼</t>
    <phoneticPr fontId="4" type="noConversion"/>
  </si>
  <si>
    <t>서버비 정산</t>
    <phoneticPr fontId="4" type="noConversion"/>
  </si>
  <si>
    <t>하나004</t>
    <phoneticPr fontId="4" type="noConversion"/>
  </si>
  <si>
    <t>외상매출금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</si>
</sst>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_-[$$-409]* #,##0.00_ ;_-[$$-409]* \-#,##0.00\ ;_-[$$-409]* &quot;-&quot;??_ ;_-@_ "/>
    <numFmt numFmtId="178" formatCode="_-* #,##0_-;\-* #,##0_-;_-* &quot;-&quot;??_-;_-@_-"/>
    <numFmt numFmtId="179" formatCode="mm&quot;월&quot;\ dd&quot;일&quot;"/>
    <numFmt numFmtId="180" formatCode="_-* #,##0.0000_-;\-* #,##0.000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ajor"/>
    </font>
    <font>
      <sz val="13"/>
      <color theme="1"/>
      <name val="맑은 고딕"/>
      <family val="3"/>
      <charset val="129"/>
      <scheme val="major"/>
    </font>
    <font>
      <b/>
      <sz val="25"/>
      <color theme="1"/>
      <name val="맑은 고딕"/>
      <family val="3"/>
      <charset val="129"/>
      <scheme val="major"/>
    </font>
    <font>
      <b/>
      <sz val="13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indexed="8"/>
      <name val="Arial"/>
      <family val="2"/>
    </font>
    <font>
      <b/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color theme="0" tint="-0.34998626667073579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</cellStyleXfs>
  <cellXfs count="197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1" xfId="3" applyFont="1" applyBorder="1" applyAlignment="1">
      <alignment horizontal="center" vertical="center"/>
    </xf>
    <xf numFmtId="0" fontId="6" fillId="0" borderId="0" xfId="2" applyFont="1">
      <alignment vertical="center"/>
    </xf>
    <xf numFmtId="0" fontId="3" fillId="0" borderId="1" xfId="3" applyFont="1" applyBorder="1" applyAlignment="1">
      <alignment vertical="center"/>
    </xf>
    <xf numFmtId="0" fontId="6" fillId="0" borderId="0" xfId="2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14" fontId="3" fillId="0" borderId="1" xfId="3" applyNumberFormat="1" applyFont="1" applyBorder="1" applyAlignment="1">
      <alignment horizontal="center" vertical="center"/>
    </xf>
    <xf numFmtId="0" fontId="8" fillId="0" borderId="0" xfId="3" applyFont="1" applyAlignment="1">
      <alignment vertical="center"/>
    </xf>
    <xf numFmtId="14" fontId="6" fillId="0" borderId="0" xfId="3" applyNumberFormat="1" applyFont="1" applyAlignment="1">
      <alignment horizontal="center" vertical="center"/>
    </xf>
    <xf numFmtId="49" fontId="3" fillId="0" borderId="0" xfId="4" applyNumberFormat="1" applyFont="1" applyBorder="1" applyAlignment="1">
      <alignment horizontal="center" vertical="center"/>
    </xf>
    <xf numFmtId="0" fontId="9" fillId="0" borderId="2" xfId="3" applyFont="1" applyBorder="1" applyAlignment="1">
      <alignment horizontal="left" vertical="center"/>
    </xf>
    <xf numFmtId="0" fontId="3" fillId="0" borderId="2" xfId="3" applyFont="1" applyBorder="1" applyAlignment="1">
      <alignment horizontal="left" vertical="center"/>
    </xf>
    <xf numFmtId="0" fontId="3" fillId="0" borderId="2" xfId="3" applyFont="1" applyBorder="1" applyAlignment="1">
      <alignment horizontal="center" vertical="center"/>
    </xf>
    <xf numFmtId="41" fontId="3" fillId="0" borderId="2" xfId="1" applyFont="1" applyBorder="1" applyAlignment="1">
      <alignment horizontal="center" vertical="center"/>
    </xf>
    <xf numFmtId="0" fontId="3" fillId="0" borderId="2" xfId="3" applyFont="1" applyBorder="1" applyAlignment="1">
      <alignment vertical="center"/>
    </xf>
    <xf numFmtId="0" fontId="9" fillId="0" borderId="0" xfId="2" applyFont="1">
      <alignment vertical="center"/>
    </xf>
    <xf numFmtId="0" fontId="10" fillId="2" borderId="3" xfId="3" applyFont="1" applyFill="1" applyBorder="1" applyAlignment="1">
      <alignment horizontal="center" vertical="center"/>
    </xf>
    <xf numFmtId="0" fontId="3" fillId="2" borderId="4" xfId="3" applyFont="1" applyFill="1" applyBorder="1" applyAlignment="1">
      <alignment horizontal="center" vertical="center"/>
    </xf>
    <xf numFmtId="0" fontId="3" fillId="2" borderId="6" xfId="3" applyFont="1" applyFill="1" applyBorder="1" applyAlignment="1">
      <alignment horizontal="center" vertical="center"/>
    </xf>
    <xf numFmtId="41" fontId="3" fillId="2" borderId="7" xfId="1" applyFont="1" applyFill="1" applyBorder="1" applyAlignment="1">
      <alignment horizontal="center" vertical="center"/>
    </xf>
    <xf numFmtId="41" fontId="3" fillId="2" borderId="6" xfId="1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10" fillId="2" borderId="1" xfId="3" applyFont="1" applyFill="1" applyBorder="1" applyAlignment="1">
      <alignment horizontal="center" vertical="center"/>
    </xf>
    <xf numFmtId="41" fontId="10" fillId="0" borderId="8" xfId="1" applyFont="1" applyFill="1" applyBorder="1" applyAlignment="1">
      <alignment horizontal="left" vertical="center"/>
    </xf>
    <xf numFmtId="0" fontId="12" fillId="0" borderId="9" xfId="3" applyFont="1" applyBorder="1" applyAlignment="1">
      <alignment horizontal="center" vertical="center"/>
    </xf>
    <xf numFmtId="41" fontId="12" fillId="0" borderId="10" xfId="1" quotePrefix="1" applyFont="1" applyFill="1" applyBorder="1" applyAlignment="1">
      <alignment horizontal="left" vertical="center"/>
    </xf>
    <xf numFmtId="14" fontId="13" fillId="0" borderId="11" xfId="3" applyNumberFormat="1" applyFont="1" applyBorder="1" applyAlignment="1">
      <alignment horizontal="center" vertical="center"/>
    </xf>
    <xf numFmtId="41" fontId="13" fillId="0" borderId="12" xfId="5" applyFont="1" applyFill="1" applyBorder="1" applyAlignment="1">
      <alignment horizontal="center" vertical="center"/>
    </xf>
    <xf numFmtId="41" fontId="12" fillId="0" borderId="11" xfId="5" applyFont="1" applyFill="1" applyBorder="1" applyAlignment="1">
      <alignment horizontal="center" vertical="center"/>
    </xf>
    <xf numFmtId="0" fontId="3" fillId="0" borderId="13" xfId="3" applyFont="1" applyBorder="1" applyAlignment="1">
      <alignment horizontal="center" vertical="center"/>
    </xf>
    <xf numFmtId="0" fontId="3" fillId="0" borderId="13" xfId="3" quotePrefix="1" applyFont="1" applyBorder="1" applyAlignment="1">
      <alignment horizontal="center" vertical="center"/>
    </xf>
    <xf numFmtId="43" fontId="10" fillId="0" borderId="0" xfId="2" applyNumberFormat="1" applyFont="1" applyAlignment="1">
      <alignment horizontal="right" vertical="center"/>
    </xf>
    <xf numFmtId="0" fontId="10" fillId="0" borderId="0" xfId="2" applyFont="1" applyAlignment="1">
      <alignment horizontal="left" vertical="center"/>
    </xf>
    <xf numFmtId="41" fontId="10" fillId="0" borderId="0" xfId="1" applyFont="1" applyAlignment="1">
      <alignment horizontal="left" vertical="center"/>
    </xf>
    <xf numFmtId="41" fontId="10" fillId="0" borderId="0" xfId="1" applyFont="1">
      <alignment vertical="center"/>
    </xf>
    <xf numFmtId="0" fontId="10" fillId="0" borderId="0" xfId="2" applyFont="1">
      <alignment vertical="center"/>
    </xf>
    <xf numFmtId="0" fontId="10" fillId="2" borderId="14" xfId="3" applyFont="1" applyFill="1" applyBorder="1" applyAlignment="1">
      <alignment horizontal="center" vertical="center"/>
    </xf>
    <xf numFmtId="0" fontId="10" fillId="0" borderId="14" xfId="3" applyFont="1" applyBorder="1" applyAlignment="1">
      <alignment horizontal="center" vertical="center"/>
    </xf>
    <xf numFmtId="0" fontId="10" fillId="0" borderId="15" xfId="3" applyFont="1" applyBorder="1" applyAlignment="1">
      <alignment horizontal="center" vertical="center"/>
    </xf>
    <xf numFmtId="42" fontId="10" fillId="0" borderId="16" xfId="1" quotePrefix="1" applyNumberFormat="1" applyFont="1" applyFill="1" applyBorder="1" applyAlignment="1">
      <alignment horizontal="left" vertical="center"/>
    </xf>
    <xf numFmtId="14" fontId="3" fillId="0" borderId="17" xfId="3" applyNumberFormat="1" applyFont="1" applyBorder="1" applyAlignment="1">
      <alignment horizontal="center" vertical="center"/>
    </xf>
    <xf numFmtId="41" fontId="3" fillId="0" borderId="18" xfId="5" applyFont="1" applyFill="1" applyBorder="1" applyAlignment="1">
      <alignment horizontal="center" vertical="center"/>
    </xf>
    <xf numFmtId="41" fontId="10" fillId="0" borderId="17" xfId="5" applyFont="1" applyFill="1" applyBorder="1" applyAlignment="1">
      <alignment horizontal="center" vertical="center"/>
    </xf>
    <xf numFmtId="0" fontId="3" fillId="0" borderId="19" xfId="3" applyFont="1" applyBorder="1" applyAlignment="1">
      <alignment horizontal="center" vertical="center"/>
    </xf>
    <xf numFmtId="0" fontId="3" fillId="0" borderId="19" xfId="3" quotePrefix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42" fontId="10" fillId="0" borderId="16" xfId="1" applyNumberFormat="1" applyFont="1" applyFill="1" applyBorder="1" applyAlignment="1">
      <alignment horizontal="left" vertical="center"/>
    </xf>
    <xf numFmtId="42" fontId="10" fillId="0" borderId="20" xfId="1" applyNumberFormat="1" applyFont="1" applyFill="1" applyBorder="1" applyAlignment="1">
      <alignment horizontal="left" vertical="center"/>
    </xf>
    <xf numFmtId="42" fontId="12" fillId="0" borderId="20" xfId="1" applyNumberFormat="1" applyFont="1" applyFill="1" applyBorder="1" applyAlignment="1">
      <alignment horizontal="left" vertical="center"/>
    </xf>
    <xf numFmtId="3" fontId="10" fillId="0" borderId="8" xfId="3" applyNumberFormat="1" applyFont="1" applyBorder="1" applyAlignment="1">
      <alignment horizontal="center" vertical="center"/>
    </xf>
    <xf numFmtId="41" fontId="12" fillId="0" borderId="20" xfId="1" applyFont="1" applyFill="1" applyBorder="1" applyAlignment="1">
      <alignment horizontal="left" vertical="center"/>
    </xf>
    <xf numFmtId="0" fontId="10" fillId="0" borderId="3" xfId="3" applyFont="1" applyBorder="1" applyAlignment="1">
      <alignment vertical="center"/>
    </xf>
    <xf numFmtId="41" fontId="12" fillId="0" borderId="16" xfId="1" applyFont="1" applyFill="1" applyBorder="1" applyAlignment="1">
      <alignment horizontal="left" vertical="center"/>
    </xf>
    <xf numFmtId="41" fontId="10" fillId="0" borderId="16" xfId="1" applyFont="1" applyFill="1" applyBorder="1" applyAlignment="1">
      <alignment horizontal="left" vertical="center"/>
    </xf>
    <xf numFmtId="41" fontId="10" fillId="0" borderId="20" xfId="1" applyFont="1" applyFill="1" applyBorder="1" applyAlignment="1">
      <alignment horizontal="left" vertical="center"/>
    </xf>
    <xf numFmtId="14" fontId="10" fillId="0" borderId="21" xfId="3" applyNumberFormat="1" applyFont="1" applyBorder="1" applyAlignment="1">
      <alignment horizontal="center" vertical="center"/>
    </xf>
    <xf numFmtId="0" fontId="10" fillId="0" borderId="22" xfId="3" applyFont="1" applyBorder="1" applyAlignment="1">
      <alignment horizontal="center" vertical="center"/>
    </xf>
    <xf numFmtId="0" fontId="10" fillId="0" borderId="23" xfId="3" applyFont="1" applyBorder="1" applyAlignment="1">
      <alignment horizontal="center" vertical="center"/>
    </xf>
    <xf numFmtId="3" fontId="10" fillId="0" borderId="24" xfId="3" applyNumberFormat="1" applyFont="1" applyBorder="1" applyAlignment="1">
      <alignment horizontal="left" vertical="center" indent="1"/>
    </xf>
    <xf numFmtId="14" fontId="3" fillId="0" borderId="25" xfId="3" applyNumberFormat="1" applyFont="1" applyBorder="1" applyAlignment="1">
      <alignment horizontal="center" vertical="center"/>
    </xf>
    <xf numFmtId="41" fontId="3" fillId="0" borderId="26" xfId="5" applyFont="1" applyFill="1" applyBorder="1" applyAlignment="1">
      <alignment horizontal="center" vertical="center"/>
    </xf>
    <xf numFmtId="41" fontId="10" fillId="0" borderId="25" xfId="5" applyFont="1" applyFill="1" applyBorder="1" applyAlignment="1">
      <alignment horizontal="center" vertical="center"/>
    </xf>
    <xf numFmtId="0" fontId="3" fillId="0" borderId="27" xfId="3" applyFont="1" applyBorder="1" applyAlignment="1">
      <alignment horizontal="center" vertical="center"/>
    </xf>
    <xf numFmtId="0" fontId="3" fillId="0" borderId="27" xfId="3" quotePrefix="1" applyFont="1" applyBorder="1" applyAlignment="1">
      <alignment horizontal="center" vertical="center"/>
    </xf>
    <xf numFmtId="0" fontId="3" fillId="2" borderId="3" xfId="3" applyFont="1" applyFill="1" applyBorder="1" applyAlignment="1">
      <alignment vertical="center"/>
    </xf>
    <xf numFmtId="0" fontId="3" fillId="2" borderId="28" xfId="3" applyFont="1" applyFill="1" applyBorder="1" applyAlignment="1">
      <alignment vertical="center"/>
    </xf>
    <xf numFmtId="0" fontId="3" fillId="2" borderId="6" xfId="3" applyFont="1" applyFill="1" applyBorder="1" applyAlignment="1">
      <alignment horizontal="right" vertical="center"/>
    </xf>
    <xf numFmtId="41" fontId="3" fillId="2" borderId="7" xfId="4" applyFont="1" applyFill="1" applyBorder="1" applyAlignment="1">
      <alignment horizontal="right" vertical="center"/>
    </xf>
    <xf numFmtId="41" fontId="10" fillId="2" borderId="7" xfId="4" applyFont="1" applyFill="1" applyBorder="1" applyAlignment="1">
      <alignment horizontal="right" vertical="center"/>
    </xf>
    <xf numFmtId="176" fontId="3" fillId="2" borderId="1" xfId="4" applyNumberFormat="1" applyFont="1" applyFill="1" applyBorder="1">
      <alignment vertical="center"/>
    </xf>
    <xf numFmtId="41" fontId="3" fillId="0" borderId="0" xfId="2" applyNumberFormat="1" applyFont="1">
      <alignment vertical="center"/>
    </xf>
    <xf numFmtId="41" fontId="10" fillId="0" borderId="29" xfId="1" applyFont="1" applyFill="1" applyBorder="1" applyAlignment="1">
      <alignment horizontal="left" vertical="center"/>
    </xf>
    <xf numFmtId="0" fontId="10" fillId="0" borderId="30" xfId="3" applyFont="1" applyBorder="1" applyAlignment="1">
      <alignment horizontal="center" vertical="center"/>
    </xf>
    <xf numFmtId="41" fontId="10" fillId="0" borderId="31" xfId="1" applyFont="1" applyFill="1" applyBorder="1" applyAlignment="1">
      <alignment horizontal="left" vertical="center"/>
    </xf>
    <xf numFmtId="14" fontId="3" fillId="0" borderId="32" xfId="3" applyNumberFormat="1" applyFont="1" applyBorder="1" applyAlignment="1">
      <alignment horizontal="center" vertical="center"/>
    </xf>
    <xf numFmtId="177" fontId="3" fillId="0" borderId="33" xfId="5" applyNumberFormat="1" applyFont="1" applyFill="1" applyBorder="1" applyAlignment="1">
      <alignment horizontal="center" vertical="center"/>
    </xf>
    <xf numFmtId="177" fontId="10" fillId="0" borderId="32" xfId="5" applyNumberFormat="1" applyFont="1" applyFill="1" applyBorder="1" applyAlignment="1">
      <alignment horizontal="center" vertical="center"/>
    </xf>
    <xf numFmtId="0" fontId="3" fillId="0" borderId="34" xfId="3" quotePrefix="1" applyFont="1" applyBorder="1" applyAlignment="1">
      <alignment horizontal="center" vertical="center"/>
    </xf>
    <xf numFmtId="0" fontId="10" fillId="0" borderId="35" xfId="3" applyFont="1" applyBorder="1" applyAlignment="1">
      <alignment horizontal="center" vertical="center"/>
    </xf>
    <xf numFmtId="177" fontId="3" fillId="2" borderId="36" xfId="4" applyNumberFormat="1" applyFont="1" applyFill="1" applyBorder="1" applyAlignment="1">
      <alignment horizontal="right" vertical="center"/>
    </xf>
    <xf numFmtId="177" fontId="10" fillId="2" borderId="5" xfId="4" applyNumberFormat="1" applyFont="1" applyFill="1" applyBorder="1" applyAlignment="1">
      <alignment horizontal="right" vertical="center"/>
    </xf>
    <xf numFmtId="0" fontId="3" fillId="0" borderId="36" xfId="3" applyFont="1" applyBorder="1" applyAlignment="1">
      <alignment horizontal="center" vertical="center"/>
    </xf>
    <xf numFmtId="42" fontId="3" fillId="0" borderId="36" xfId="4" applyNumberFormat="1" applyFont="1" applyFill="1" applyBorder="1" applyAlignment="1">
      <alignment horizontal="right" vertical="center"/>
    </xf>
    <xf numFmtId="176" fontId="3" fillId="0" borderId="36" xfId="4" applyNumberFormat="1" applyFont="1" applyFill="1" applyBorder="1">
      <alignment vertical="center"/>
    </xf>
    <xf numFmtId="42" fontId="3" fillId="0" borderId="2" xfId="1" applyNumberFormat="1" applyFont="1" applyBorder="1" applyAlignment="1">
      <alignment horizontal="center" vertical="center"/>
    </xf>
    <xf numFmtId="0" fontId="3" fillId="0" borderId="2" xfId="3" applyFont="1" applyBorder="1" applyAlignment="1">
      <alignment horizontal="right" vertical="center"/>
    </xf>
    <xf numFmtId="4" fontId="3" fillId="0" borderId="2" xfId="3" applyNumberFormat="1" applyFont="1" applyBorder="1" applyAlignment="1">
      <alignment horizontal="center" vertical="center"/>
    </xf>
    <xf numFmtId="43" fontId="10" fillId="0" borderId="0" xfId="2" applyNumberFormat="1" applyFont="1">
      <alignment vertical="center"/>
    </xf>
    <xf numFmtId="0" fontId="12" fillId="0" borderId="15" xfId="3" applyFont="1" applyBorder="1" applyAlignment="1">
      <alignment horizontal="center" vertical="center"/>
    </xf>
    <xf numFmtId="14" fontId="13" fillId="0" borderId="17" xfId="3" applyNumberFormat="1" applyFont="1" applyBorder="1" applyAlignment="1">
      <alignment horizontal="center" vertical="center"/>
    </xf>
    <xf numFmtId="41" fontId="13" fillId="0" borderId="18" xfId="5" applyFont="1" applyFill="1" applyBorder="1" applyAlignment="1">
      <alignment horizontal="center" vertical="center"/>
    </xf>
    <xf numFmtId="41" fontId="12" fillId="0" borderId="17" xfId="5" applyFont="1" applyFill="1" applyBorder="1" applyAlignment="1">
      <alignment horizontal="center" vertical="center"/>
    </xf>
    <xf numFmtId="0" fontId="13" fillId="0" borderId="19" xfId="3" applyFont="1" applyBorder="1" applyAlignment="1">
      <alignment horizontal="center" vertical="center"/>
    </xf>
    <xf numFmtId="42" fontId="10" fillId="0" borderId="20" xfId="1" quotePrefix="1" applyNumberFormat="1" applyFont="1" applyFill="1" applyBorder="1" applyAlignment="1">
      <alignment horizontal="left" vertical="center"/>
    </xf>
    <xf numFmtId="0" fontId="10" fillId="0" borderId="37" xfId="3" applyFont="1" applyBorder="1" applyAlignment="1">
      <alignment horizontal="center" vertical="center"/>
    </xf>
    <xf numFmtId="41" fontId="10" fillId="0" borderId="38" xfId="1" applyFont="1" applyFill="1" applyBorder="1" applyAlignment="1">
      <alignment horizontal="left" vertical="center"/>
    </xf>
    <xf numFmtId="0" fontId="10" fillId="0" borderId="39" xfId="3" applyFont="1" applyBorder="1" applyAlignment="1">
      <alignment horizontal="center" vertical="center"/>
    </xf>
    <xf numFmtId="41" fontId="10" fillId="0" borderId="40" xfId="1" applyFont="1" applyFill="1" applyBorder="1" applyAlignment="1">
      <alignment horizontal="left" vertical="center"/>
    </xf>
    <xf numFmtId="14" fontId="3" fillId="0" borderId="41" xfId="3" applyNumberFormat="1" applyFont="1" applyBorder="1" applyAlignment="1">
      <alignment horizontal="center" vertical="center"/>
    </xf>
    <xf numFmtId="177" fontId="3" fillId="0" borderId="42" xfId="5" applyNumberFormat="1" applyFont="1" applyFill="1" applyBorder="1" applyAlignment="1">
      <alignment horizontal="center" vertical="center"/>
    </xf>
    <xf numFmtId="177" fontId="10" fillId="0" borderId="41" xfId="5" applyNumberFormat="1" applyFont="1" applyFill="1" applyBorder="1" applyAlignment="1">
      <alignment horizontal="center" vertical="center"/>
    </xf>
    <xf numFmtId="0" fontId="3" fillId="0" borderId="8" xfId="3" applyFont="1" applyBorder="1" applyAlignment="1">
      <alignment horizontal="center" vertical="center"/>
    </xf>
    <xf numFmtId="0" fontId="3" fillId="0" borderId="8" xfId="3" quotePrefix="1" applyFont="1" applyBorder="1" applyAlignment="1">
      <alignment horizontal="center" vertical="center"/>
    </xf>
    <xf numFmtId="0" fontId="10" fillId="0" borderId="43" xfId="3" applyFont="1" applyBorder="1" applyAlignment="1">
      <alignment horizontal="center" vertical="center"/>
    </xf>
    <xf numFmtId="14" fontId="3" fillId="0" borderId="11" xfId="3" applyNumberFormat="1" applyFont="1" applyBorder="1" applyAlignment="1">
      <alignment horizontal="center" vertical="center"/>
    </xf>
    <xf numFmtId="177" fontId="3" fillId="0" borderId="12" xfId="5" applyNumberFormat="1" applyFont="1" applyFill="1" applyBorder="1" applyAlignment="1">
      <alignment horizontal="center" vertical="center"/>
    </xf>
    <xf numFmtId="177" fontId="10" fillId="0" borderId="11" xfId="5" applyNumberFormat="1" applyFont="1" applyFill="1" applyBorder="1" applyAlignment="1">
      <alignment horizontal="center" vertical="center"/>
    </xf>
    <xf numFmtId="0" fontId="10" fillId="0" borderId="44" xfId="3" applyFont="1" applyBorder="1" applyAlignment="1">
      <alignment horizontal="center" vertical="center"/>
    </xf>
    <xf numFmtId="41" fontId="10" fillId="0" borderId="45" xfId="1" applyFont="1" applyFill="1" applyBorder="1" applyAlignment="1">
      <alignment horizontal="left" vertical="center"/>
    </xf>
    <xf numFmtId="177" fontId="3" fillId="0" borderId="26" xfId="5" applyNumberFormat="1" applyFont="1" applyFill="1" applyBorder="1" applyAlignment="1">
      <alignment horizontal="center" vertical="center"/>
    </xf>
    <xf numFmtId="177" fontId="10" fillId="0" borderId="25" xfId="5" applyNumberFormat="1" applyFont="1" applyFill="1" applyBorder="1" applyAlignment="1">
      <alignment horizontal="center" vertical="center"/>
    </xf>
    <xf numFmtId="177" fontId="3" fillId="2" borderId="4" xfId="4" applyNumberFormat="1" applyFont="1" applyFill="1" applyBorder="1" applyAlignment="1">
      <alignment horizontal="right" vertical="center"/>
    </xf>
    <xf numFmtId="0" fontId="3" fillId="0" borderId="0" xfId="3" applyFont="1" applyAlignment="1">
      <alignment horizontal="left" vertical="center"/>
    </xf>
    <xf numFmtId="0" fontId="3" fillId="0" borderId="0" xfId="3" applyFont="1" applyAlignment="1">
      <alignment horizontal="center" vertical="center"/>
    </xf>
    <xf numFmtId="41" fontId="3" fillId="0" borderId="0" xfId="4" applyFont="1" applyAlignment="1">
      <alignment horizontal="right" vertical="center"/>
    </xf>
    <xf numFmtId="176" fontId="3" fillId="0" borderId="0" xfId="4" applyNumberFormat="1" applyFont="1">
      <alignment vertical="center"/>
    </xf>
    <xf numFmtId="41" fontId="3" fillId="0" borderId="2" xfId="1" applyFont="1" applyBorder="1" applyAlignment="1">
      <alignment horizontal="left" vertical="center"/>
    </xf>
    <xf numFmtId="178" fontId="3" fillId="0" borderId="0" xfId="3" applyNumberFormat="1" applyFont="1" applyAlignment="1">
      <alignment horizontal="center" vertical="center"/>
    </xf>
    <xf numFmtId="41" fontId="3" fillId="0" borderId="0" xfId="3" applyNumberFormat="1" applyFont="1" applyAlignment="1">
      <alignment horizontal="center" vertical="center"/>
    </xf>
    <xf numFmtId="0" fontId="3" fillId="0" borderId="0" xfId="3" applyFont="1" applyAlignment="1">
      <alignment horizontal="right" vertical="center"/>
    </xf>
    <xf numFmtId="0" fontId="12" fillId="0" borderId="37" xfId="3" applyFont="1" applyBorder="1" applyAlignment="1">
      <alignment horizontal="center" vertical="center"/>
    </xf>
    <xf numFmtId="41" fontId="12" fillId="0" borderId="46" xfId="1" applyFont="1" applyFill="1" applyBorder="1" applyAlignment="1">
      <alignment horizontal="left" vertical="center"/>
    </xf>
    <xf numFmtId="14" fontId="13" fillId="0" borderId="32" xfId="3" applyNumberFormat="1" applyFont="1" applyBorder="1" applyAlignment="1">
      <alignment horizontal="center" vertical="center"/>
    </xf>
    <xf numFmtId="41" fontId="13" fillId="0" borderId="33" xfId="5" applyFont="1" applyFill="1" applyBorder="1" applyAlignment="1">
      <alignment horizontal="center" vertical="center"/>
    </xf>
    <xf numFmtId="41" fontId="12" fillId="0" borderId="32" xfId="5" applyFont="1" applyFill="1" applyBorder="1" applyAlignment="1">
      <alignment horizontal="center" vertical="center"/>
    </xf>
    <xf numFmtId="41" fontId="3" fillId="0" borderId="36" xfId="4" applyFont="1" applyFill="1" applyBorder="1" applyAlignment="1">
      <alignment horizontal="right" vertical="center"/>
    </xf>
    <xf numFmtId="41" fontId="3" fillId="0" borderId="0" xfId="4" applyFo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3" fillId="2" borderId="47" xfId="3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1" fontId="13" fillId="0" borderId="4" xfId="1" applyFont="1" applyBorder="1" applyAlignment="1">
      <alignment horizontal="left" vertical="center"/>
    </xf>
    <xf numFmtId="41" fontId="13" fillId="0" borderId="6" xfId="1" applyFont="1" applyBorder="1" applyAlignment="1">
      <alignment horizontal="left" vertical="center"/>
    </xf>
    <xf numFmtId="41" fontId="13" fillId="0" borderId="1" xfId="1" applyFont="1" applyFill="1" applyBorder="1" applyAlignment="1">
      <alignment horizontal="right" vertical="center"/>
    </xf>
    <xf numFmtId="41" fontId="3" fillId="0" borderId="4" xfId="4" applyFont="1" applyBorder="1" applyAlignment="1">
      <alignment horizontal="right" vertical="center"/>
    </xf>
    <xf numFmtId="41" fontId="3" fillId="0" borderId="47" xfId="4" applyFont="1" applyBorder="1" applyAlignment="1">
      <alignment horizontal="right" vertical="center"/>
    </xf>
    <xf numFmtId="41" fontId="3" fillId="0" borderId="1" xfId="4" applyFont="1" applyFill="1" applyBorder="1" applyAlignment="1">
      <alignment horizontal="right" vertical="center"/>
    </xf>
    <xf numFmtId="0" fontId="3" fillId="0" borderId="1" xfId="2" applyFont="1" applyBorder="1">
      <alignment vertical="center"/>
    </xf>
    <xf numFmtId="179" fontId="10" fillId="0" borderId="0" xfId="3" applyNumberFormat="1" applyFont="1" applyAlignment="1">
      <alignment horizontal="center" vertical="center"/>
    </xf>
    <xf numFmtId="179" fontId="10" fillId="0" borderId="1" xfId="3" applyNumberFormat="1" applyFont="1" applyBorder="1" applyAlignment="1">
      <alignment horizontal="left" vertical="center"/>
    </xf>
    <xf numFmtId="41" fontId="3" fillId="0" borderId="1" xfId="4" applyFont="1" applyBorder="1" applyAlignment="1">
      <alignment horizontal="right" vertical="center"/>
    </xf>
    <xf numFmtId="0" fontId="10" fillId="0" borderId="1" xfId="2" applyFont="1" applyBorder="1">
      <alignment vertical="center"/>
    </xf>
    <xf numFmtId="0" fontId="13" fillId="2" borderId="14" xfId="0" applyFont="1" applyFill="1" applyBorder="1" applyAlignment="1">
      <alignment horizontal="center" vertical="center"/>
    </xf>
    <xf numFmtId="41" fontId="13" fillId="2" borderId="28" xfId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right" vertical="center" indent="1"/>
    </xf>
    <xf numFmtId="41" fontId="15" fillId="2" borderId="1" xfId="1" applyFont="1" applyFill="1" applyBorder="1" applyAlignment="1">
      <alignment horizontal="right" vertical="center"/>
    </xf>
    <xf numFmtId="41" fontId="3" fillId="2" borderId="4" xfId="3" applyNumberFormat="1" applyFont="1" applyFill="1" applyBorder="1" applyAlignment="1">
      <alignment horizontal="right" vertical="center"/>
    </xf>
    <xf numFmtId="41" fontId="3" fillId="2" borderId="6" xfId="3" applyNumberFormat="1" applyFont="1" applyFill="1" applyBorder="1" applyAlignment="1">
      <alignment horizontal="right" vertical="center"/>
    </xf>
    <xf numFmtId="41" fontId="9" fillId="2" borderId="1" xfId="3" applyNumberFormat="1" applyFont="1" applyFill="1" applyBorder="1" applyAlignment="1">
      <alignment horizontal="right" vertical="center"/>
    </xf>
    <xf numFmtId="0" fontId="3" fillId="2" borderId="1" xfId="4" applyNumberFormat="1" applyFont="1" applyFill="1" applyBorder="1" applyAlignment="1">
      <alignment horizontal="center" vertical="center"/>
    </xf>
    <xf numFmtId="41" fontId="3" fillId="0" borderId="36" xfId="3" applyNumberFormat="1" applyFont="1" applyBorder="1" applyAlignment="1">
      <alignment horizontal="right" vertical="center"/>
    </xf>
    <xf numFmtId="0" fontId="3" fillId="0" borderId="36" xfId="4" applyNumberFormat="1" applyFont="1" applyBorder="1" applyAlignment="1">
      <alignment horizontal="center" vertical="center"/>
    </xf>
    <xf numFmtId="177" fontId="13" fillId="0" borderId="1" xfId="1" applyNumberFormat="1" applyFont="1" applyBorder="1" applyAlignment="1">
      <alignment horizontal="right" vertical="center"/>
    </xf>
    <xf numFmtId="177" fontId="3" fillId="0" borderId="4" xfId="4" applyNumberFormat="1" applyFont="1" applyBorder="1" applyAlignment="1">
      <alignment horizontal="right" vertical="center"/>
    </xf>
    <xf numFmtId="177" fontId="3" fillId="0" borderId="47" xfId="4" applyNumberFormat="1" applyFont="1" applyBorder="1" applyAlignment="1">
      <alignment horizontal="right" vertical="center"/>
    </xf>
    <xf numFmtId="177" fontId="3" fillId="0" borderId="1" xfId="4" applyNumberFormat="1" applyFont="1" applyBorder="1" applyAlignment="1">
      <alignment horizontal="right" vertical="center"/>
    </xf>
    <xf numFmtId="179" fontId="16" fillId="0" borderId="1" xfId="3" applyNumberFormat="1" applyFont="1" applyBorder="1" applyAlignment="1">
      <alignment horizontal="center" vertical="center"/>
    </xf>
    <xf numFmtId="180" fontId="3" fillId="0" borderId="0" xfId="4" applyNumberFormat="1" applyFont="1" applyAlignment="1">
      <alignment horizontal="center" vertical="center"/>
    </xf>
    <xf numFmtId="177" fontId="15" fillId="2" borderId="1" xfId="1" applyNumberFormat="1" applyFont="1" applyFill="1" applyBorder="1" applyAlignment="1">
      <alignment horizontal="right" vertical="center"/>
    </xf>
    <xf numFmtId="177" fontId="15" fillId="2" borderId="4" xfId="1" applyNumberFormat="1" applyFont="1" applyFill="1" applyBorder="1" applyAlignment="1">
      <alignment horizontal="right" vertical="center"/>
    </xf>
    <xf numFmtId="177" fontId="15" fillId="2" borderId="47" xfId="1" applyNumberFormat="1" applyFont="1" applyFill="1" applyBorder="1" applyAlignment="1">
      <alignment horizontal="right" vertical="center"/>
    </xf>
    <xf numFmtId="41" fontId="13" fillId="0" borderId="47" xfId="1" applyFont="1" applyBorder="1" applyAlignment="1">
      <alignment horizontal="left" vertical="center"/>
    </xf>
    <xf numFmtId="41" fontId="13" fillId="0" borderId="1" xfId="1" applyFont="1" applyBorder="1" applyAlignment="1">
      <alignment horizontal="right" vertical="center"/>
    </xf>
    <xf numFmtId="41" fontId="3" fillId="0" borderId="3" xfId="4" applyFont="1" applyBorder="1" applyAlignment="1">
      <alignment horizontal="right" vertical="center"/>
    </xf>
    <xf numFmtId="41" fontId="15" fillId="2" borderId="4" xfId="1" applyFont="1" applyFill="1" applyBorder="1" applyAlignment="1">
      <alignment horizontal="right" vertical="center"/>
    </xf>
    <xf numFmtId="41" fontId="15" fillId="2" borderId="47" xfId="1" applyFont="1" applyFill="1" applyBorder="1" applyAlignment="1">
      <alignment horizontal="right" vertical="center"/>
    </xf>
    <xf numFmtId="0" fontId="3" fillId="0" borderId="0" xfId="2" applyFont="1" applyAlignment="1">
      <alignment horizontal="right" vertical="center"/>
    </xf>
    <xf numFmtId="0" fontId="17" fillId="0" borderId="1" xfId="1" applyNumberFormat="1" applyFont="1" applyBorder="1" applyAlignment="1">
      <alignment horizontal="center" vertical="center"/>
    </xf>
    <xf numFmtId="0" fontId="3" fillId="0" borderId="8" xfId="2" applyFont="1" applyBorder="1">
      <alignment vertical="center"/>
    </xf>
    <xf numFmtId="0" fontId="10" fillId="0" borderId="8" xfId="1" applyNumberFormat="1" applyFont="1" applyBorder="1">
      <alignment vertical="center"/>
    </xf>
    <xf numFmtId="41" fontId="3" fillId="0" borderId="8" xfId="1" applyFont="1" applyBorder="1">
      <alignment vertical="center"/>
    </xf>
    <xf numFmtId="0" fontId="3" fillId="0" borderId="22" xfId="2" applyFont="1" applyBorder="1">
      <alignment vertical="center"/>
    </xf>
    <xf numFmtId="0" fontId="10" fillId="0" borderId="1" xfId="1" applyNumberFormat="1" applyFont="1" applyBorder="1">
      <alignment vertical="center"/>
    </xf>
    <xf numFmtId="41" fontId="3" fillId="0" borderId="1" xfId="1" applyFont="1" applyBorder="1">
      <alignment vertical="center"/>
    </xf>
    <xf numFmtId="0" fontId="3" fillId="0" borderId="29" xfId="2" applyFont="1" applyBorder="1">
      <alignment vertical="center"/>
    </xf>
    <xf numFmtId="0" fontId="10" fillId="0" borderId="29" xfId="1" applyNumberFormat="1" applyFont="1" applyBorder="1">
      <alignment vertical="center"/>
    </xf>
    <xf numFmtId="41" fontId="3" fillId="0" borderId="29" xfId="1" applyFont="1" applyBorder="1">
      <alignment vertical="center"/>
    </xf>
    <xf numFmtId="41" fontId="3" fillId="0" borderId="22" xfId="1" applyFont="1" applyBorder="1">
      <alignment vertical="center"/>
    </xf>
    <xf numFmtId="41" fontId="18" fillId="0" borderId="8" xfId="2" applyNumberFormat="1" applyFont="1" applyBorder="1">
      <alignment vertical="center"/>
    </xf>
    <xf numFmtId="41" fontId="6" fillId="0" borderId="0" xfId="2" applyNumberFormat="1" applyFont="1">
      <alignment vertical="center"/>
    </xf>
    <xf numFmtId="0" fontId="17" fillId="0" borderId="1" xfId="1" applyNumberFormat="1" applyFont="1" applyBorder="1">
      <alignment vertical="center"/>
    </xf>
    <xf numFmtId="41" fontId="17" fillId="0" borderId="1" xfId="1" applyFont="1" applyBorder="1">
      <alignment vertical="center"/>
    </xf>
    <xf numFmtId="0" fontId="3" fillId="0" borderId="48" xfId="2" applyFont="1" applyBorder="1">
      <alignment vertical="center"/>
    </xf>
    <xf numFmtId="41" fontId="3" fillId="0" borderId="48" xfId="1" applyFont="1" applyBorder="1">
      <alignment vertical="center"/>
    </xf>
    <xf numFmtId="0" fontId="3" fillId="0" borderId="48" xfId="2" applyFont="1" applyBorder="1" applyAlignment="1">
      <alignment horizontal="center" vertical="center"/>
    </xf>
    <xf numFmtId="0" fontId="3" fillId="0" borderId="22" xfId="2" applyFont="1" applyBorder="1" applyAlignment="1">
      <alignment horizontal="center" vertical="center"/>
    </xf>
    <xf numFmtId="41" fontId="12" fillId="3" borderId="17" xfId="5" applyFont="1" applyFill="1" applyBorder="1" applyAlignment="1">
      <alignment horizontal="center" vertical="center"/>
    </xf>
    <xf numFmtId="41" fontId="10" fillId="3" borderId="17" xfId="5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3" fillId="2" borderId="5" xfId="3" applyFont="1" applyFill="1" applyBorder="1" applyAlignment="1">
      <alignment horizontal="center" vertical="center"/>
    </xf>
    <xf numFmtId="0" fontId="3" fillId="2" borderId="6" xfId="3" applyFont="1" applyFill="1" applyBorder="1" applyAlignment="1">
      <alignment horizontal="center" vertical="center"/>
    </xf>
    <xf numFmtId="0" fontId="3" fillId="2" borderId="28" xfId="3" applyFont="1" applyFill="1" applyBorder="1" applyAlignment="1">
      <alignment horizontal="center" vertical="center"/>
    </xf>
  </cellXfs>
  <cellStyles count="6">
    <cellStyle name="쉼표 [0]" xfId="1" builtinId="6"/>
    <cellStyle name="쉼표 [0] 2" xfId="4" xr:uid="{A8D31C7F-57AC-4117-AF2D-8052338D7558}"/>
    <cellStyle name="쉼표 [0] 2 3" xfId="5" xr:uid="{32066F12-E04B-4082-8834-8A2A182E288C}"/>
    <cellStyle name="표준" xfId="0" builtinId="0"/>
    <cellStyle name="표준 2" xfId="2" xr:uid="{95FDEAB8-1D97-4CA0-A80E-DD66EBB187AF}"/>
    <cellStyle name="표준_9월_5월" xfId="3" xr:uid="{DF4E38E0-FFC8-4773-82A4-B01F642E9E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3FD232-1E8A-4F7B-AEBA-3C7DAC721F6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6a15d5a-b3e5-4c2e-bc60-9cadb6f82c9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EC94-AC69-4B4D-9D8A-5E7DF16D88CC}">
  <dimension ref="A1:Q176"/>
  <sheetViews>
    <sheetView showWhiteSpace="0" view="pageBreakPreview" topLeftCell="B1" zoomScaleNormal="70" zoomScaleSheetLayoutView="100" zoomScalePageLayoutView="50" workbookViewId="0">
      <selection activeCell="B1" sqref="B1:E2"/>
    </sheetView>
  </sheetViews>
  <sheetFormatPr defaultColWidth="9" defaultRowHeight="24" customHeight="1" outlineLevelRow="1" outlineLevelCol="1" x14ac:dyDescent="0.3"/>
  <cols>
    <col min="1" max="1" width="21.875" style="1" hidden="1" customWidth="1" outlineLevel="1"/>
    <col min="2" max="2" width="13" style="3" customWidth="1" collapsed="1"/>
    <col min="3" max="3" width="24.75" style="3" customWidth="1"/>
    <col min="4" max="4" width="42.125" style="3" customWidth="1"/>
    <col min="5" max="5" width="16.625" style="3" customWidth="1"/>
    <col min="6" max="9" width="17.75" style="3" customWidth="1"/>
    <col min="10" max="10" width="19.875" style="3" customWidth="1"/>
    <col min="11" max="11" width="11" style="3" hidden="1" customWidth="1" outlineLevel="1"/>
    <col min="12" max="12" width="20" style="3" hidden="1" customWidth="1" outlineLevel="1"/>
    <col min="13" max="13" width="14.125" style="3" customWidth="1" collapsed="1"/>
    <col min="14" max="14" width="18.375" style="3" customWidth="1"/>
    <col min="15" max="15" width="11.25" style="3" bestFit="1" customWidth="1"/>
    <col min="16" max="16" width="9" style="3"/>
    <col min="17" max="17" width="10" style="3" bestFit="1" customWidth="1"/>
    <col min="18" max="16384" width="9" style="3"/>
  </cols>
  <sheetData>
    <row r="1" spans="1:15" ht="24" customHeight="1" x14ac:dyDescent="0.3">
      <c r="B1" s="192" t="s">
        <v>0</v>
      </c>
      <c r="C1" s="192"/>
      <c r="D1" s="192"/>
      <c r="E1" s="192"/>
      <c r="F1" s="2" t="s">
        <v>1</v>
      </c>
      <c r="G1" s="2" t="s">
        <v>2</v>
      </c>
      <c r="H1" s="2" t="s">
        <v>3</v>
      </c>
      <c r="I1" s="2" t="s">
        <v>4</v>
      </c>
    </row>
    <row r="2" spans="1:15" ht="57" customHeight="1" x14ac:dyDescent="0.3">
      <c r="B2" s="192"/>
      <c r="C2" s="192"/>
      <c r="D2" s="192"/>
      <c r="E2" s="192"/>
      <c r="F2" s="4"/>
      <c r="G2" s="4"/>
      <c r="H2" s="4"/>
      <c r="I2" s="4"/>
      <c r="K2" s="5"/>
      <c r="L2" s="5"/>
    </row>
    <row r="3" spans="1:15" ht="24" customHeight="1" x14ac:dyDescent="0.3">
      <c r="B3" s="193" t="s">
        <v>5</v>
      </c>
      <c r="C3" s="193"/>
      <c r="D3" s="193"/>
      <c r="E3" s="193"/>
      <c r="F3" s="2" t="s">
        <v>6</v>
      </c>
      <c r="G3" s="2" t="s">
        <v>7</v>
      </c>
      <c r="H3" s="2" t="s">
        <v>8</v>
      </c>
      <c r="I3" s="2" t="s">
        <v>9</v>
      </c>
      <c r="K3" s="5"/>
      <c r="L3" s="5"/>
    </row>
    <row r="4" spans="1:15" ht="24" customHeight="1" x14ac:dyDescent="0.3">
      <c r="B4" s="7"/>
      <c r="C4" s="7"/>
      <c r="D4" s="7"/>
      <c r="E4" s="7"/>
      <c r="F4" s="8" t="s">
        <v>10</v>
      </c>
      <c r="G4" s="2" t="s">
        <v>11</v>
      </c>
      <c r="H4" s="2" t="s">
        <v>12</v>
      </c>
      <c r="I4" s="2" t="s">
        <v>13</v>
      </c>
      <c r="K4" s="5"/>
      <c r="L4" s="5"/>
    </row>
    <row r="5" spans="1:15" ht="24" customHeight="1" x14ac:dyDescent="0.3">
      <c r="C5" s="9"/>
      <c r="D5" s="9"/>
      <c r="E5" s="9"/>
      <c r="F5" s="10"/>
      <c r="G5" s="10"/>
      <c r="H5" s="6"/>
      <c r="I5" s="11"/>
    </row>
    <row r="6" spans="1:15" s="1" customFormat="1" ht="24" customHeight="1" x14ac:dyDescent="0.3">
      <c r="B6" s="12" t="s">
        <v>14</v>
      </c>
      <c r="C6" s="13"/>
      <c r="D6" s="14"/>
      <c r="E6" s="14"/>
      <c r="F6" s="15"/>
      <c r="G6" s="15"/>
      <c r="H6" s="14"/>
      <c r="I6" s="16"/>
      <c r="K6" s="17" t="s">
        <v>15</v>
      </c>
    </row>
    <row r="7" spans="1:15" s="1" customFormat="1" ht="24" customHeight="1" x14ac:dyDescent="0.3">
      <c r="A7" s="18" t="s">
        <v>16</v>
      </c>
      <c r="B7" s="19" t="s">
        <v>17</v>
      </c>
      <c r="C7" s="19" t="s">
        <v>18</v>
      </c>
      <c r="D7" s="194" t="s">
        <v>19</v>
      </c>
      <c r="E7" s="195"/>
      <c r="F7" s="21" t="s">
        <v>20</v>
      </c>
      <c r="G7" s="22" t="s">
        <v>21</v>
      </c>
      <c r="H7" s="23" t="s">
        <v>22</v>
      </c>
      <c r="I7" s="20" t="s">
        <v>23</v>
      </c>
      <c r="K7" s="1" t="s">
        <v>24</v>
      </c>
    </row>
    <row r="8" spans="1:15" s="37" customFormat="1" ht="24" customHeight="1" x14ac:dyDescent="0.3">
      <c r="A8" s="24" t="s">
        <v>25</v>
      </c>
      <c r="B8" s="25" t="s">
        <v>26</v>
      </c>
      <c r="C8" s="26" t="s">
        <v>27</v>
      </c>
      <c r="D8" s="27" t="s">
        <v>28</v>
      </c>
      <c r="E8" s="28"/>
      <c r="F8" s="29">
        <v>56328</v>
      </c>
      <c r="G8" s="30"/>
      <c r="H8" s="31" t="s">
        <v>29</v>
      </c>
      <c r="I8" s="32"/>
      <c r="J8" s="33"/>
      <c r="K8" s="34"/>
      <c r="L8" s="34"/>
      <c r="M8" s="35"/>
      <c r="N8" s="35"/>
      <c r="O8" s="36"/>
    </row>
    <row r="9" spans="1:15" s="37" customFormat="1" ht="24" hidden="1" customHeight="1" x14ac:dyDescent="0.3">
      <c r="A9" s="38"/>
      <c r="B9" s="25"/>
      <c r="C9" s="26"/>
      <c r="D9" s="27"/>
      <c r="E9" s="28"/>
      <c r="F9" s="29"/>
      <c r="G9" s="30"/>
      <c r="H9" s="31"/>
      <c r="I9" s="32"/>
      <c r="J9" s="33"/>
      <c r="K9" s="34"/>
      <c r="L9" s="34"/>
      <c r="M9" s="35"/>
      <c r="N9" s="35"/>
      <c r="O9" s="36"/>
    </row>
    <row r="10" spans="1:15" s="1" customFormat="1" ht="24" hidden="1" customHeight="1" x14ac:dyDescent="0.3">
      <c r="A10" s="39"/>
      <c r="B10" s="25"/>
      <c r="C10" s="40"/>
      <c r="D10" s="41"/>
      <c r="E10" s="42"/>
      <c r="F10" s="43"/>
      <c r="G10" s="44"/>
      <c r="H10" s="45"/>
      <c r="I10" s="46"/>
    </row>
    <row r="11" spans="1:15" s="1" customFormat="1" ht="24" hidden="1" customHeight="1" x14ac:dyDescent="0.3">
      <c r="A11" s="47"/>
      <c r="B11" s="48"/>
      <c r="C11" s="40"/>
      <c r="D11" s="41"/>
      <c r="E11" s="42"/>
      <c r="F11" s="43"/>
      <c r="G11" s="44"/>
      <c r="H11" s="45"/>
      <c r="I11" s="46"/>
    </row>
    <row r="12" spans="1:15" s="1" customFormat="1" ht="24" hidden="1" customHeight="1" x14ac:dyDescent="0.3">
      <c r="A12" s="47"/>
      <c r="B12" s="48"/>
      <c r="C12" s="40"/>
      <c r="D12" s="41"/>
      <c r="E12" s="42"/>
      <c r="F12" s="43"/>
      <c r="G12" s="44"/>
      <c r="H12" s="45"/>
      <c r="I12" s="46"/>
    </row>
    <row r="13" spans="1:15" s="1" customFormat="1" ht="24" hidden="1" customHeight="1" x14ac:dyDescent="0.3">
      <c r="A13" s="47"/>
      <c r="B13" s="48"/>
      <c r="C13" s="40"/>
      <c r="D13" s="49"/>
      <c r="E13" s="42"/>
      <c r="F13" s="43"/>
      <c r="G13" s="44"/>
      <c r="H13" s="45"/>
      <c r="I13" s="46"/>
    </row>
    <row r="14" spans="1:15" s="1" customFormat="1" ht="24" hidden="1" customHeight="1" x14ac:dyDescent="0.3">
      <c r="A14" s="47"/>
      <c r="B14" s="48"/>
      <c r="C14" s="40"/>
      <c r="D14" s="49"/>
      <c r="E14" s="42"/>
      <c r="F14" s="43"/>
      <c r="G14" s="44"/>
      <c r="H14" s="45"/>
      <c r="I14" s="46"/>
    </row>
    <row r="15" spans="1:15" s="1" customFormat="1" ht="24" hidden="1" customHeight="1" x14ac:dyDescent="0.3">
      <c r="A15" s="47"/>
      <c r="B15" s="48"/>
      <c r="C15" s="40"/>
      <c r="D15" s="49"/>
      <c r="E15" s="42"/>
      <c r="F15" s="43"/>
      <c r="G15" s="44"/>
      <c r="H15" s="45"/>
      <c r="I15" s="46"/>
    </row>
    <row r="16" spans="1:15" s="1" customFormat="1" ht="24" hidden="1" customHeight="1" x14ac:dyDescent="0.3">
      <c r="A16" s="47"/>
      <c r="B16" s="48"/>
      <c r="C16" s="40"/>
      <c r="D16" s="49"/>
      <c r="E16" s="42"/>
      <c r="F16" s="43"/>
      <c r="G16" s="44"/>
      <c r="H16" s="45"/>
      <c r="I16" s="46"/>
    </row>
    <row r="17" spans="1:9" s="1" customFormat="1" ht="24" hidden="1" customHeight="1" x14ac:dyDescent="0.3">
      <c r="A17" s="47"/>
      <c r="B17" s="48"/>
      <c r="C17" s="40"/>
      <c r="D17" s="49"/>
      <c r="E17" s="42"/>
      <c r="F17" s="43"/>
      <c r="G17" s="44"/>
      <c r="H17" s="45"/>
      <c r="I17" s="46"/>
    </row>
    <row r="18" spans="1:9" s="1" customFormat="1" ht="24" hidden="1" customHeight="1" x14ac:dyDescent="0.3">
      <c r="A18" s="47"/>
      <c r="B18" s="48"/>
      <c r="C18" s="40"/>
      <c r="D18" s="49"/>
      <c r="E18" s="42"/>
      <c r="F18" s="43"/>
      <c r="G18" s="44"/>
      <c r="H18" s="45"/>
      <c r="I18" s="46"/>
    </row>
    <row r="19" spans="1:9" s="1" customFormat="1" ht="24" hidden="1" customHeight="1" x14ac:dyDescent="0.3">
      <c r="A19" s="47"/>
      <c r="B19" s="48"/>
      <c r="C19" s="40"/>
      <c r="D19" s="49"/>
      <c r="E19" s="42"/>
      <c r="F19" s="43"/>
      <c r="G19" s="44"/>
      <c r="H19" s="45"/>
      <c r="I19" s="46"/>
    </row>
    <row r="20" spans="1:9" s="1" customFormat="1" ht="24" hidden="1" customHeight="1" x14ac:dyDescent="0.3">
      <c r="A20" s="47"/>
      <c r="B20" s="48"/>
      <c r="C20" s="40"/>
      <c r="D20" s="49"/>
      <c r="E20" s="42"/>
      <c r="F20" s="43"/>
      <c r="G20" s="44"/>
      <c r="H20" s="45"/>
      <c r="I20" s="46"/>
    </row>
    <row r="21" spans="1:9" s="1" customFormat="1" ht="24" hidden="1" customHeight="1" x14ac:dyDescent="0.3">
      <c r="A21" s="47"/>
      <c r="B21" s="48"/>
      <c r="C21" s="40"/>
      <c r="D21" s="49"/>
      <c r="E21" s="42"/>
      <c r="F21" s="43"/>
      <c r="G21" s="44"/>
      <c r="H21" s="45"/>
      <c r="I21" s="46"/>
    </row>
    <row r="22" spans="1:9" s="1" customFormat="1" ht="24" hidden="1" customHeight="1" x14ac:dyDescent="0.3">
      <c r="A22" s="47"/>
      <c r="B22" s="48"/>
      <c r="C22" s="40"/>
      <c r="D22" s="49"/>
      <c r="E22" s="42"/>
      <c r="F22" s="43"/>
      <c r="G22" s="44"/>
      <c r="H22" s="45"/>
      <c r="I22" s="46"/>
    </row>
    <row r="23" spans="1:9" s="1" customFormat="1" ht="24" hidden="1" customHeight="1" x14ac:dyDescent="0.3">
      <c r="A23" s="47"/>
      <c r="B23" s="48"/>
      <c r="C23" s="40"/>
      <c r="D23" s="50"/>
      <c r="E23" s="42"/>
      <c r="F23" s="43"/>
      <c r="G23" s="44"/>
      <c r="H23" s="45"/>
      <c r="I23" s="46"/>
    </row>
    <row r="24" spans="1:9" s="1" customFormat="1" ht="24" hidden="1" customHeight="1" x14ac:dyDescent="0.3">
      <c r="A24" s="47"/>
      <c r="B24" s="48"/>
      <c r="C24" s="40"/>
      <c r="D24" s="50"/>
      <c r="E24" s="42"/>
      <c r="F24" s="43"/>
      <c r="G24" s="44"/>
      <c r="H24" s="45"/>
      <c r="I24" s="46"/>
    </row>
    <row r="25" spans="1:9" s="1" customFormat="1" ht="24" hidden="1" customHeight="1" x14ac:dyDescent="0.3">
      <c r="A25" s="47"/>
      <c r="B25" s="48"/>
      <c r="C25" s="40"/>
      <c r="D25" s="51"/>
      <c r="E25" s="42"/>
      <c r="F25" s="43"/>
      <c r="G25" s="44"/>
      <c r="H25" s="45"/>
      <c r="I25" s="46"/>
    </row>
    <row r="26" spans="1:9" s="1" customFormat="1" ht="24" hidden="1" customHeight="1" x14ac:dyDescent="0.3">
      <c r="A26" s="47"/>
      <c r="B26" s="52"/>
      <c r="C26" s="40"/>
      <c r="D26" s="51"/>
      <c r="E26" s="42"/>
      <c r="F26" s="43"/>
      <c r="G26" s="44"/>
      <c r="H26" s="45"/>
      <c r="I26" s="46"/>
    </row>
    <row r="27" spans="1:9" s="1" customFormat="1" ht="24" hidden="1" customHeight="1" x14ac:dyDescent="0.3">
      <c r="A27" s="47"/>
      <c r="B27" s="52"/>
      <c r="C27" s="40"/>
      <c r="D27" s="53"/>
      <c r="E27" s="42"/>
      <c r="F27" s="43"/>
      <c r="G27" s="44"/>
      <c r="H27" s="45"/>
      <c r="I27" s="46"/>
    </row>
    <row r="28" spans="1:9" s="1" customFormat="1" ht="24" hidden="1" customHeight="1" x14ac:dyDescent="0.3">
      <c r="A28" s="47"/>
      <c r="B28" s="52"/>
      <c r="C28" s="40"/>
      <c r="D28" s="53"/>
      <c r="E28" s="42"/>
      <c r="F28" s="43"/>
      <c r="G28" s="44"/>
      <c r="H28" s="45"/>
      <c r="I28" s="46"/>
    </row>
    <row r="29" spans="1:9" s="1" customFormat="1" ht="24" hidden="1" customHeight="1" x14ac:dyDescent="0.3">
      <c r="A29" s="47"/>
      <c r="B29" s="52"/>
      <c r="C29" s="40"/>
      <c r="D29" s="53"/>
      <c r="E29" s="42"/>
      <c r="F29" s="43"/>
      <c r="G29" s="44"/>
      <c r="H29" s="45"/>
      <c r="I29" s="46"/>
    </row>
    <row r="30" spans="1:9" s="1" customFormat="1" ht="24" hidden="1" customHeight="1" x14ac:dyDescent="0.3">
      <c r="A30" s="54"/>
      <c r="B30" s="52"/>
      <c r="C30" s="40"/>
      <c r="D30" s="53"/>
      <c r="E30" s="42"/>
      <c r="F30" s="43"/>
      <c r="G30" s="44"/>
      <c r="H30" s="45"/>
      <c r="I30" s="46"/>
    </row>
    <row r="31" spans="1:9" s="1" customFormat="1" ht="24" hidden="1" customHeight="1" x14ac:dyDescent="0.3">
      <c r="A31" s="54"/>
      <c r="B31" s="52"/>
      <c r="C31" s="40"/>
      <c r="D31" s="53"/>
      <c r="E31" s="42"/>
      <c r="F31" s="43"/>
      <c r="G31" s="44"/>
      <c r="H31" s="45"/>
      <c r="I31" s="46"/>
    </row>
    <row r="32" spans="1:9" s="1" customFormat="1" ht="24" hidden="1" customHeight="1" x14ac:dyDescent="0.3">
      <c r="A32" s="54"/>
      <c r="B32" s="52"/>
      <c r="C32" s="40"/>
      <c r="D32" s="53"/>
      <c r="E32" s="42"/>
      <c r="F32" s="43"/>
      <c r="G32" s="44"/>
      <c r="H32" s="45"/>
      <c r="I32" s="46"/>
    </row>
    <row r="33" spans="1:17" s="1" customFormat="1" ht="24" hidden="1" customHeight="1" x14ac:dyDescent="0.3">
      <c r="A33" s="54"/>
      <c r="B33" s="48"/>
      <c r="C33" s="40"/>
      <c r="D33" s="53"/>
      <c r="E33" s="42"/>
      <c r="F33" s="43"/>
      <c r="G33" s="44"/>
      <c r="H33" s="45"/>
      <c r="I33" s="46"/>
    </row>
    <row r="34" spans="1:17" s="1" customFormat="1" ht="24" hidden="1" customHeight="1" x14ac:dyDescent="0.3">
      <c r="A34" s="54"/>
      <c r="B34" s="48"/>
      <c r="C34" s="40"/>
      <c r="D34" s="55"/>
      <c r="E34" s="42"/>
      <c r="F34" s="43"/>
      <c r="G34" s="44"/>
      <c r="H34" s="45"/>
      <c r="I34" s="46"/>
    </row>
    <row r="35" spans="1:17" s="1" customFormat="1" ht="24" hidden="1" customHeight="1" x14ac:dyDescent="0.3">
      <c r="A35" s="54"/>
      <c r="B35" s="48"/>
      <c r="C35" s="40"/>
      <c r="D35" s="55"/>
      <c r="E35" s="42"/>
      <c r="F35" s="43"/>
      <c r="G35" s="44"/>
      <c r="H35" s="45"/>
      <c r="I35" s="46"/>
    </row>
    <row r="36" spans="1:17" s="1" customFormat="1" ht="24" hidden="1" customHeight="1" x14ac:dyDescent="0.3">
      <c r="A36" s="54"/>
      <c r="B36" s="48"/>
      <c r="C36" s="40"/>
      <c r="D36" s="56"/>
      <c r="E36" s="42"/>
      <c r="F36" s="43"/>
      <c r="G36" s="44"/>
      <c r="H36" s="45"/>
      <c r="I36" s="46"/>
    </row>
    <row r="37" spans="1:17" s="1" customFormat="1" ht="24" hidden="1" customHeight="1" x14ac:dyDescent="0.3">
      <c r="A37" s="54"/>
      <c r="B37" s="48"/>
      <c r="C37" s="40"/>
      <c r="D37" s="56"/>
      <c r="E37" s="42"/>
      <c r="F37" s="43"/>
      <c r="G37" s="44"/>
      <c r="H37" s="45"/>
      <c r="I37" s="46"/>
    </row>
    <row r="38" spans="1:17" s="1" customFormat="1" ht="24" hidden="1" customHeight="1" x14ac:dyDescent="0.3">
      <c r="A38" s="54"/>
      <c r="B38" s="48"/>
      <c r="C38" s="40"/>
      <c r="D38" s="57"/>
      <c r="E38" s="42"/>
      <c r="F38" s="43"/>
      <c r="G38" s="44"/>
      <c r="H38" s="45"/>
      <c r="I38" s="46"/>
    </row>
    <row r="39" spans="1:17" s="1" customFormat="1" ht="24" hidden="1" customHeight="1" x14ac:dyDescent="0.3">
      <c r="A39" s="58"/>
      <c r="B39" s="59"/>
      <c r="C39" s="60"/>
      <c r="D39" s="61"/>
      <c r="E39" s="62"/>
      <c r="F39" s="63"/>
      <c r="G39" s="64"/>
      <c r="H39" s="65"/>
      <c r="I39" s="66"/>
    </row>
    <row r="40" spans="1:17" s="1" customFormat="1" ht="24" customHeight="1" x14ac:dyDescent="0.3">
      <c r="A40" s="18"/>
      <c r="B40" s="67"/>
      <c r="C40" s="68"/>
      <c r="D40" s="68"/>
      <c r="E40" s="69" t="s">
        <v>30</v>
      </c>
      <c r="F40" s="70">
        <f>SUM(F8:F39)</f>
        <v>56328</v>
      </c>
      <c r="G40" s="71">
        <f>SUM(G8:G39)</f>
        <v>0</v>
      </c>
      <c r="H40" s="24"/>
      <c r="I40" s="72"/>
      <c r="O40" s="73"/>
    </row>
    <row r="41" spans="1:17" s="1" customFormat="1" ht="24" customHeight="1" x14ac:dyDescent="0.3">
      <c r="A41" s="18"/>
      <c r="B41" s="74" t="s">
        <v>31</v>
      </c>
      <c r="C41" s="75"/>
      <c r="D41" s="76"/>
      <c r="E41" s="77"/>
      <c r="F41" s="78"/>
      <c r="G41" s="79"/>
      <c r="H41" s="45"/>
      <c r="I41" s="80"/>
    </row>
    <row r="42" spans="1:17" s="1" customFormat="1" ht="24" hidden="1" customHeight="1" x14ac:dyDescent="0.3">
      <c r="A42" s="18"/>
      <c r="B42" s="48"/>
      <c r="C42" s="81"/>
      <c r="D42" s="56"/>
      <c r="E42" s="77"/>
      <c r="F42" s="78"/>
      <c r="G42" s="79"/>
      <c r="H42" s="45"/>
      <c r="I42" s="80"/>
    </row>
    <row r="43" spans="1:17" s="1" customFormat="1" ht="24" customHeight="1" x14ac:dyDescent="0.3">
      <c r="A43" s="18"/>
      <c r="B43" s="67"/>
      <c r="C43" s="68"/>
      <c r="D43" s="68"/>
      <c r="E43" s="69" t="s">
        <v>32</v>
      </c>
      <c r="F43" s="82">
        <f>SUM(F41:F42)</f>
        <v>0</v>
      </c>
      <c r="G43" s="83">
        <f>SUM(G41:G42)</f>
        <v>0</v>
      </c>
      <c r="H43" s="24"/>
      <c r="I43" s="72"/>
    </row>
    <row r="44" spans="1:17" s="37" customFormat="1" ht="24" customHeight="1" x14ac:dyDescent="0.3">
      <c r="C44" s="84"/>
      <c r="D44" s="84"/>
      <c r="E44" s="84"/>
      <c r="F44" s="85"/>
      <c r="G44" s="85"/>
      <c r="H44" s="84"/>
      <c r="I44" s="86"/>
      <c r="N44"/>
      <c r="O44"/>
      <c r="P44"/>
      <c r="Q44"/>
    </row>
    <row r="45" spans="1:17" s="37" customFormat="1" ht="24" customHeight="1" x14ac:dyDescent="0.3">
      <c r="B45" s="12" t="s">
        <v>33</v>
      </c>
      <c r="C45" s="13"/>
      <c r="D45" s="13"/>
      <c r="E45" s="14"/>
      <c r="F45" s="87"/>
      <c r="G45" s="87"/>
      <c r="H45" s="88"/>
      <c r="I45" s="89"/>
      <c r="J45" s="90"/>
      <c r="K45" s="37" t="s">
        <v>34</v>
      </c>
      <c r="N45"/>
      <c r="O45"/>
      <c r="P45"/>
      <c r="Q45"/>
    </row>
    <row r="46" spans="1:17" s="37" customFormat="1" ht="24" customHeight="1" x14ac:dyDescent="0.3">
      <c r="A46" s="18" t="s">
        <v>16</v>
      </c>
      <c r="B46" s="19" t="s">
        <v>17</v>
      </c>
      <c r="C46" s="19" t="s">
        <v>18</v>
      </c>
      <c r="D46" s="196" t="s">
        <v>19</v>
      </c>
      <c r="E46" s="195"/>
      <c r="F46" s="21" t="s">
        <v>20</v>
      </c>
      <c r="G46" s="22" t="s">
        <v>21</v>
      </c>
      <c r="H46" s="23" t="s">
        <v>22</v>
      </c>
      <c r="I46" s="20" t="s">
        <v>23</v>
      </c>
      <c r="J46" s="90"/>
      <c r="N46"/>
      <c r="O46"/>
      <c r="P46"/>
      <c r="Q46"/>
    </row>
    <row r="47" spans="1:17" s="37" customFormat="1" ht="24" customHeight="1" x14ac:dyDescent="0.3">
      <c r="A47" s="18"/>
      <c r="B47" s="25" t="s">
        <v>35</v>
      </c>
      <c r="C47" s="91"/>
      <c r="D47" s="53"/>
      <c r="E47" s="92"/>
      <c r="F47" s="93"/>
      <c r="G47" s="94"/>
      <c r="H47" s="95"/>
      <c r="I47" s="46"/>
      <c r="J47" s="33"/>
      <c r="K47" s="34"/>
      <c r="L47" s="34"/>
      <c r="M47" s="35"/>
      <c r="N47"/>
      <c r="O47"/>
      <c r="P47"/>
      <c r="Q47"/>
    </row>
    <row r="48" spans="1:17" s="37" customFormat="1" ht="24" hidden="1" customHeight="1" x14ac:dyDescent="0.3">
      <c r="A48" s="18"/>
      <c r="B48" s="25"/>
      <c r="C48" s="91"/>
      <c r="D48" s="53"/>
      <c r="E48" s="92"/>
      <c r="F48" s="93"/>
      <c r="G48" s="94"/>
      <c r="H48" s="95"/>
      <c r="I48" s="46"/>
      <c r="J48" s="33"/>
      <c r="K48" s="34"/>
      <c r="L48" s="34"/>
      <c r="M48" s="35"/>
      <c r="N48"/>
      <c r="O48"/>
      <c r="P48"/>
      <c r="Q48"/>
    </row>
    <row r="49" spans="1:17" s="37" customFormat="1" ht="24" hidden="1" customHeight="1" x14ac:dyDescent="0.3">
      <c r="A49" s="18"/>
      <c r="B49" s="48"/>
      <c r="C49" s="91"/>
      <c r="D49" s="55"/>
      <c r="E49" s="92"/>
      <c r="F49" s="93"/>
      <c r="G49" s="94"/>
      <c r="H49" s="95"/>
      <c r="I49" s="46"/>
      <c r="J49" s="33"/>
      <c r="K49" s="34"/>
      <c r="L49" s="34"/>
      <c r="M49" s="35"/>
      <c r="N49"/>
      <c r="O49"/>
      <c r="P49"/>
      <c r="Q49"/>
    </row>
    <row r="50" spans="1:17" s="37" customFormat="1" ht="24" hidden="1" customHeight="1" x14ac:dyDescent="0.3">
      <c r="A50" s="18"/>
      <c r="B50" s="25"/>
      <c r="C50" s="91"/>
      <c r="D50" s="53"/>
      <c r="E50" s="92"/>
      <c r="F50" s="93"/>
      <c r="G50" s="94"/>
      <c r="H50" s="95"/>
      <c r="I50" s="46"/>
      <c r="J50" s="33"/>
      <c r="K50" s="34"/>
      <c r="L50" s="34"/>
      <c r="M50" s="35"/>
      <c r="N50"/>
      <c r="O50"/>
      <c r="P50"/>
      <c r="Q50"/>
    </row>
    <row r="51" spans="1:17" s="37" customFormat="1" ht="24" hidden="1" customHeight="1" x14ac:dyDescent="0.3">
      <c r="A51" s="18"/>
      <c r="B51" s="25"/>
      <c r="C51" s="91"/>
      <c r="D51" s="53"/>
      <c r="E51" s="92"/>
      <c r="F51" s="93"/>
      <c r="G51" s="94"/>
      <c r="H51" s="95"/>
      <c r="I51" s="46"/>
      <c r="J51" s="33"/>
      <c r="K51" s="34"/>
      <c r="L51" s="34"/>
      <c r="M51" s="35"/>
      <c r="N51"/>
      <c r="O51"/>
      <c r="P51"/>
      <c r="Q51"/>
    </row>
    <row r="52" spans="1:17" s="37" customFormat="1" ht="24" hidden="1" customHeight="1" x14ac:dyDescent="0.3">
      <c r="A52" s="18"/>
      <c r="B52" s="25"/>
      <c r="C52" s="91"/>
      <c r="D52" s="53"/>
      <c r="E52" s="92"/>
      <c r="F52" s="93"/>
      <c r="G52" s="94"/>
      <c r="H52" s="95"/>
      <c r="I52" s="46"/>
      <c r="J52" s="33"/>
      <c r="K52" s="34"/>
      <c r="L52" s="34"/>
      <c r="M52" s="35"/>
      <c r="N52"/>
      <c r="O52"/>
      <c r="P52"/>
      <c r="Q52"/>
    </row>
    <row r="53" spans="1:17" s="37" customFormat="1" ht="24" hidden="1" customHeight="1" x14ac:dyDescent="0.3">
      <c r="A53" s="18"/>
      <c r="B53" s="25"/>
      <c r="C53" s="91"/>
      <c r="D53" s="53"/>
      <c r="E53" s="92"/>
      <c r="F53" s="93"/>
      <c r="G53" s="94"/>
      <c r="H53" s="95"/>
      <c r="I53" s="46"/>
      <c r="J53" s="33"/>
      <c r="K53" s="34"/>
      <c r="L53" s="34"/>
      <c r="M53" s="35"/>
      <c r="N53"/>
      <c r="O53"/>
      <c r="P53"/>
      <c r="Q53"/>
    </row>
    <row r="54" spans="1:17" s="1" customFormat="1" ht="24" hidden="1" customHeight="1" x14ac:dyDescent="0.3">
      <c r="A54" s="47"/>
      <c r="B54" s="25"/>
      <c r="C54" s="40"/>
      <c r="D54" s="96"/>
      <c r="E54" s="42"/>
      <c r="F54" s="43"/>
      <c r="G54" s="44"/>
      <c r="H54" s="45"/>
      <c r="I54" s="46"/>
      <c r="N54"/>
      <c r="O54"/>
      <c r="P54"/>
      <c r="Q54"/>
    </row>
    <row r="55" spans="1:17" s="1" customFormat="1" ht="24" hidden="1" customHeight="1" x14ac:dyDescent="0.3">
      <c r="A55" s="47"/>
      <c r="B55" s="25"/>
      <c r="C55" s="40"/>
      <c r="D55" s="96"/>
      <c r="E55" s="42"/>
      <c r="F55" s="43"/>
      <c r="G55" s="44"/>
      <c r="H55" s="45"/>
      <c r="I55" s="46"/>
      <c r="N55"/>
      <c r="O55"/>
      <c r="P55"/>
      <c r="Q55"/>
    </row>
    <row r="56" spans="1:17" s="1" customFormat="1" ht="24" hidden="1" customHeight="1" x14ac:dyDescent="0.3">
      <c r="A56" s="47"/>
      <c r="B56" s="25"/>
      <c r="C56" s="40"/>
      <c r="D56" s="96"/>
      <c r="E56" s="42"/>
      <c r="F56" s="43"/>
      <c r="G56" s="44"/>
      <c r="H56" s="45"/>
      <c r="I56" s="46"/>
    </row>
    <row r="57" spans="1:17" s="1" customFormat="1" ht="24" hidden="1" customHeight="1" x14ac:dyDescent="0.3">
      <c r="A57" s="47"/>
      <c r="B57" s="25"/>
      <c r="C57" s="40"/>
      <c r="D57" s="96"/>
      <c r="E57" s="42"/>
      <c r="F57" s="43"/>
      <c r="G57" s="44"/>
      <c r="H57" s="45"/>
      <c r="I57" s="46"/>
    </row>
    <row r="58" spans="1:17" s="37" customFormat="1" ht="24" hidden="1" customHeight="1" x14ac:dyDescent="0.3">
      <c r="A58" s="47"/>
      <c r="B58" s="48"/>
      <c r="C58" s="91"/>
      <c r="D58" s="53"/>
      <c r="E58" s="92"/>
      <c r="F58" s="93"/>
      <c r="G58" s="94"/>
      <c r="H58" s="45"/>
      <c r="I58" s="46"/>
      <c r="J58" s="90"/>
    </row>
    <row r="59" spans="1:17" s="37" customFormat="1" ht="24" hidden="1" customHeight="1" x14ac:dyDescent="0.3">
      <c r="A59" s="18"/>
      <c r="B59" s="48"/>
      <c r="C59" s="91"/>
      <c r="D59" s="53"/>
      <c r="E59" s="92"/>
      <c r="F59" s="93"/>
      <c r="G59" s="94"/>
      <c r="H59" s="45"/>
      <c r="I59" s="46"/>
      <c r="J59" s="90"/>
    </row>
    <row r="60" spans="1:17" s="37" customFormat="1" ht="24" hidden="1" customHeight="1" x14ac:dyDescent="0.3">
      <c r="A60" s="18"/>
      <c r="B60" s="48"/>
      <c r="C60" s="91"/>
      <c r="D60" s="53"/>
      <c r="E60" s="92"/>
      <c r="F60" s="93"/>
      <c r="G60" s="94"/>
      <c r="H60" s="45"/>
      <c r="I60" s="46"/>
      <c r="J60" s="90"/>
    </row>
    <row r="61" spans="1:17" s="37" customFormat="1" ht="24" hidden="1" customHeight="1" x14ac:dyDescent="0.3">
      <c r="A61" s="47"/>
      <c r="B61" s="48"/>
      <c r="C61" s="91"/>
      <c r="D61" s="53"/>
      <c r="E61" s="92"/>
      <c r="F61" s="93"/>
      <c r="G61" s="94"/>
      <c r="H61" s="45"/>
      <c r="I61" s="46"/>
      <c r="J61" s="90"/>
    </row>
    <row r="62" spans="1:17" s="37" customFormat="1" ht="24" hidden="1" customHeight="1" x14ac:dyDescent="0.3">
      <c r="A62" s="18"/>
      <c r="B62" s="48"/>
      <c r="C62" s="91"/>
      <c r="D62" s="53"/>
      <c r="E62" s="92"/>
      <c r="F62" s="93"/>
      <c r="G62" s="94"/>
      <c r="H62" s="95"/>
      <c r="I62" s="46"/>
      <c r="J62" s="90"/>
    </row>
    <row r="63" spans="1:17" s="37" customFormat="1" ht="24" hidden="1" customHeight="1" x14ac:dyDescent="0.3">
      <c r="A63" s="18"/>
      <c r="B63" s="48"/>
      <c r="C63" s="91"/>
      <c r="D63" s="53"/>
      <c r="E63" s="92"/>
      <c r="F63" s="93"/>
      <c r="G63" s="94"/>
      <c r="H63" s="95"/>
      <c r="I63" s="46"/>
      <c r="J63" s="90"/>
    </row>
    <row r="64" spans="1:17" s="37" customFormat="1" ht="24" hidden="1" customHeight="1" x14ac:dyDescent="0.3">
      <c r="A64" s="18"/>
      <c r="B64" s="48"/>
      <c r="C64" s="91"/>
      <c r="D64" s="53"/>
      <c r="E64" s="92"/>
      <c r="F64" s="93"/>
      <c r="G64" s="94"/>
      <c r="H64" s="95"/>
      <c r="I64" s="46"/>
      <c r="J64" s="90"/>
    </row>
    <row r="65" spans="1:14" s="37" customFormat="1" ht="24" hidden="1" customHeight="1" x14ac:dyDescent="0.3">
      <c r="A65" s="18"/>
      <c r="B65" s="48"/>
      <c r="C65" s="91"/>
      <c r="D65" s="53"/>
      <c r="E65" s="92"/>
      <c r="F65" s="93"/>
      <c r="G65" s="94"/>
      <c r="H65" s="95"/>
      <c r="I65" s="46"/>
      <c r="J65" s="33"/>
      <c r="K65" s="34"/>
      <c r="L65" s="34"/>
      <c r="M65" s="35"/>
      <c r="N65" s="34"/>
    </row>
    <row r="66" spans="1:14" s="37" customFormat="1" ht="24" hidden="1" customHeight="1" x14ac:dyDescent="0.3">
      <c r="A66" s="18"/>
      <c r="B66" s="48"/>
      <c r="C66" s="91"/>
      <c r="D66" s="53"/>
      <c r="E66" s="92"/>
      <c r="F66" s="93"/>
      <c r="G66" s="94"/>
      <c r="H66" s="95"/>
      <c r="I66" s="46"/>
      <c r="J66" s="90"/>
    </row>
    <row r="67" spans="1:14" s="37" customFormat="1" ht="24" hidden="1" customHeight="1" x14ac:dyDescent="0.3">
      <c r="A67" s="18"/>
      <c r="B67" s="48"/>
      <c r="C67" s="91"/>
      <c r="D67" s="53"/>
      <c r="E67" s="92"/>
      <c r="F67" s="93"/>
      <c r="G67" s="94"/>
      <c r="H67" s="95"/>
      <c r="I67" s="46"/>
      <c r="J67" s="90"/>
    </row>
    <row r="68" spans="1:14" s="37" customFormat="1" ht="24" hidden="1" customHeight="1" x14ac:dyDescent="0.3">
      <c r="A68" s="18"/>
      <c r="B68" s="48"/>
      <c r="C68" s="91"/>
      <c r="D68" s="53"/>
      <c r="E68" s="92"/>
      <c r="F68" s="93"/>
      <c r="G68" s="94"/>
      <c r="H68" s="95"/>
      <c r="I68" s="46"/>
      <c r="J68" s="90"/>
    </row>
    <row r="69" spans="1:14" s="37" customFormat="1" ht="24" hidden="1" customHeight="1" x14ac:dyDescent="0.3">
      <c r="A69" s="18"/>
      <c r="B69" s="48"/>
      <c r="C69" s="91"/>
      <c r="D69" s="53"/>
      <c r="E69" s="92"/>
      <c r="F69" s="93"/>
      <c r="G69" s="94"/>
      <c r="H69" s="95"/>
      <c r="I69" s="46"/>
      <c r="J69" s="90"/>
    </row>
    <row r="70" spans="1:14" s="37" customFormat="1" ht="24" hidden="1" customHeight="1" x14ac:dyDescent="0.3">
      <c r="A70" s="18"/>
      <c r="B70" s="48"/>
      <c r="C70" s="91"/>
      <c r="D70" s="53"/>
      <c r="E70" s="92"/>
      <c r="F70" s="93"/>
      <c r="G70" s="94"/>
      <c r="H70" s="95"/>
      <c r="I70" s="46"/>
      <c r="J70" s="90"/>
    </row>
    <row r="71" spans="1:14" s="37" customFormat="1" ht="24" hidden="1" customHeight="1" x14ac:dyDescent="0.3">
      <c r="A71" s="18"/>
      <c r="B71" s="48"/>
      <c r="C71" s="91"/>
      <c r="D71" s="53"/>
      <c r="E71" s="92"/>
      <c r="F71" s="93"/>
      <c r="G71" s="94"/>
      <c r="H71" s="95"/>
      <c r="I71" s="46"/>
      <c r="J71" s="90"/>
    </row>
    <row r="72" spans="1:14" s="37" customFormat="1" ht="24" hidden="1" customHeight="1" x14ac:dyDescent="0.3">
      <c r="A72" s="18"/>
      <c r="B72" s="48"/>
      <c r="C72" s="91"/>
      <c r="D72" s="53"/>
      <c r="E72" s="92"/>
      <c r="F72" s="93"/>
      <c r="G72" s="94"/>
      <c r="H72" s="95"/>
      <c r="I72" s="46"/>
      <c r="J72" s="90"/>
    </row>
    <row r="73" spans="1:14" s="37" customFormat="1" ht="24" hidden="1" customHeight="1" x14ac:dyDescent="0.3">
      <c r="A73" s="18"/>
      <c r="B73" s="48"/>
      <c r="C73" s="91"/>
      <c r="D73" s="53"/>
      <c r="E73" s="92"/>
      <c r="F73" s="93"/>
      <c r="G73" s="94"/>
      <c r="H73" s="95"/>
      <c r="I73" s="46"/>
      <c r="J73" s="90"/>
    </row>
    <row r="74" spans="1:14" s="37" customFormat="1" ht="24" hidden="1" customHeight="1" x14ac:dyDescent="0.3">
      <c r="A74" s="18"/>
      <c r="B74" s="48"/>
      <c r="C74" s="91"/>
      <c r="D74" s="53"/>
      <c r="E74" s="92"/>
      <c r="F74" s="93"/>
      <c r="G74" s="94"/>
      <c r="H74" s="95"/>
      <c r="I74" s="46"/>
      <c r="J74" s="90"/>
    </row>
    <row r="75" spans="1:14" s="37" customFormat="1" ht="24" hidden="1" customHeight="1" x14ac:dyDescent="0.3">
      <c r="A75" s="18"/>
      <c r="B75" s="48"/>
      <c r="C75" s="91"/>
      <c r="D75" s="53"/>
      <c r="E75" s="92"/>
      <c r="F75" s="93"/>
      <c r="G75" s="94"/>
      <c r="H75" s="95"/>
      <c r="I75" s="46"/>
      <c r="J75" s="90"/>
    </row>
    <row r="76" spans="1:14" s="37" customFormat="1" ht="24" hidden="1" customHeight="1" x14ac:dyDescent="0.3">
      <c r="A76" s="18"/>
      <c r="B76" s="48"/>
      <c r="C76" s="91"/>
      <c r="D76" s="53"/>
      <c r="E76" s="92"/>
      <c r="F76" s="93"/>
      <c r="G76" s="94"/>
      <c r="H76" s="95"/>
      <c r="I76" s="46"/>
      <c r="J76" s="90"/>
    </row>
    <row r="77" spans="1:14" s="37" customFormat="1" ht="24" hidden="1" customHeight="1" x14ac:dyDescent="0.3">
      <c r="A77" s="18"/>
      <c r="B77" s="48"/>
      <c r="C77" s="91"/>
      <c r="D77" s="53"/>
      <c r="E77" s="92"/>
      <c r="F77" s="93"/>
      <c r="G77" s="94"/>
      <c r="H77" s="95"/>
      <c r="I77" s="46"/>
      <c r="J77" s="90"/>
    </row>
    <row r="78" spans="1:14" s="37" customFormat="1" ht="24" hidden="1" customHeight="1" x14ac:dyDescent="0.3">
      <c r="A78" s="18"/>
      <c r="B78" s="48"/>
      <c r="C78" s="91"/>
      <c r="D78" s="53"/>
      <c r="E78" s="92"/>
      <c r="F78" s="93"/>
      <c r="G78" s="94"/>
      <c r="H78" s="95"/>
      <c r="I78" s="46"/>
      <c r="J78" s="90"/>
    </row>
    <row r="79" spans="1:14" s="37" customFormat="1" ht="24" hidden="1" customHeight="1" x14ac:dyDescent="0.3">
      <c r="A79" s="18"/>
      <c r="B79" s="48"/>
      <c r="C79" s="91"/>
      <c r="D79" s="53"/>
      <c r="E79" s="92"/>
      <c r="F79" s="93"/>
      <c r="G79" s="94"/>
      <c r="H79" s="95"/>
      <c r="I79" s="46"/>
      <c r="J79" s="90"/>
    </row>
    <row r="80" spans="1:14" s="37" customFormat="1" ht="24" hidden="1" customHeight="1" x14ac:dyDescent="0.3">
      <c r="A80" s="18"/>
      <c r="B80" s="48"/>
      <c r="C80" s="91"/>
      <c r="D80" s="53"/>
      <c r="E80" s="92"/>
      <c r="F80" s="93"/>
      <c r="G80" s="94"/>
      <c r="H80" s="95"/>
      <c r="I80" s="46"/>
      <c r="J80" s="90"/>
    </row>
    <row r="81" spans="1:10" s="37" customFormat="1" ht="24" hidden="1" customHeight="1" x14ac:dyDescent="0.3">
      <c r="A81" s="18"/>
      <c r="B81" s="48"/>
      <c r="C81" s="91"/>
      <c r="D81" s="53"/>
      <c r="E81" s="92"/>
      <c r="F81" s="93"/>
      <c r="G81" s="94"/>
      <c r="H81" s="95"/>
      <c r="I81" s="46"/>
      <c r="J81" s="90"/>
    </row>
    <row r="82" spans="1:10" s="37" customFormat="1" ht="24" hidden="1" customHeight="1" x14ac:dyDescent="0.3">
      <c r="A82" s="18"/>
      <c r="B82" s="48"/>
      <c r="C82" s="91"/>
      <c r="D82" s="53"/>
      <c r="E82" s="92"/>
      <c r="F82" s="93"/>
      <c r="G82" s="94"/>
      <c r="H82" s="95"/>
      <c r="I82" s="46"/>
      <c r="J82" s="90"/>
    </row>
    <row r="83" spans="1:10" s="37" customFormat="1" ht="24" hidden="1" customHeight="1" x14ac:dyDescent="0.3">
      <c r="A83" s="18"/>
      <c r="B83" s="48"/>
      <c r="C83" s="91"/>
      <c r="D83" s="53"/>
      <c r="E83" s="92"/>
      <c r="F83" s="93"/>
      <c r="G83" s="94"/>
      <c r="H83" s="95"/>
      <c r="I83" s="46"/>
      <c r="J83" s="90"/>
    </row>
    <row r="84" spans="1:10" s="37" customFormat="1" ht="24" hidden="1" customHeight="1" x14ac:dyDescent="0.3">
      <c r="A84" s="18"/>
      <c r="B84" s="48"/>
      <c r="C84" s="91"/>
      <c r="D84" s="53"/>
      <c r="E84" s="92"/>
      <c r="F84" s="93"/>
      <c r="G84" s="94"/>
      <c r="H84" s="95"/>
      <c r="I84" s="46"/>
      <c r="J84" s="90"/>
    </row>
    <row r="85" spans="1:10" s="37" customFormat="1" ht="24" hidden="1" customHeight="1" x14ac:dyDescent="0.3">
      <c r="A85" s="18"/>
      <c r="B85" s="48"/>
      <c r="C85" s="91"/>
      <c r="D85" s="53"/>
      <c r="E85" s="92"/>
      <c r="F85" s="93"/>
      <c r="G85" s="94"/>
      <c r="H85" s="95"/>
      <c r="I85" s="46"/>
      <c r="J85" s="90"/>
    </row>
    <row r="86" spans="1:10" s="37" customFormat="1" ht="24" hidden="1" customHeight="1" x14ac:dyDescent="0.3">
      <c r="A86" s="18"/>
      <c r="B86" s="48"/>
      <c r="C86" s="91"/>
      <c r="D86" s="53"/>
      <c r="E86" s="92"/>
      <c r="F86" s="93"/>
      <c r="G86" s="94"/>
      <c r="H86" s="95"/>
      <c r="I86" s="46"/>
      <c r="J86" s="90"/>
    </row>
    <row r="87" spans="1:10" s="37" customFormat="1" ht="24" hidden="1" customHeight="1" x14ac:dyDescent="0.3">
      <c r="A87" s="18"/>
      <c r="B87" s="48"/>
      <c r="C87" s="91"/>
      <c r="D87" s="53"/>
      <c r="E87" s="92"/>
      <c r="F87" s="93"/>
      <c r="G87" s="94"/>
      <c r="H87" s="95"/>
      <c r="I87" s="46"/>
      <c r="J87" s="90"/>
    </row>
    <row r="88" spans="1:10" s="37" customFormat="1" ht="24" hidden="1" customHeight="1" x14ac:dyDescent="0.3">
      <c r="A88" s="18"/>
      <c r="B88" s="48"/>
      <c r="C88" s="91"/>
      <c r="D88" s="53"/>
      <c r="E88" s="92"/>
      <c r="F88" s="93"/>
      <c r="G88" s="94"/>
      <c r="H88" s="95"/>
      <c r="I88" s="46"/>
      <c r="J88" s="90"/>
    </row>
    <row r="89" spans="1:10" s="37" customFormat="1" ht="24" hidden="1" customHeight="1" x14ac:dyDescent="0.3">
      <c r="A89" s="18"/>
      <c r="B89" s="48"/>
      <c r="C89" s="91"/>
      <c r="D89" s="53"/>
      <c r="E89" s="92"/>
      <c r="F89" s="93"/>
      <c r="G89" s="94"/>
      <c r="H89" s="95"/>
      <c r="I89" s="46"/>
      <c r="J89" s="90"/>
    </row>
    <row r="90" spans="1:10" s="37" customFormat="1" ht="24" hidden="1" customHeight="1" x14ac:dyDescent="0.3">
      <c r="A90" s="18"/>
      <c r="B90" s="48"/>
      <c r="C90" s="91"/>
      <c r="D90" s="53"/>
      <c r="E90" s="92"/>
      <c r="F90" s="93"/>
      <c r="G90" s="94"/>
      <c r="H90" s="95"/>
      <c r="I90" s="46"/>
      <c r="J90" s="90"/>
    </row>
    <row r="91" spans="1:10" s="37" customFormat="1" ht="24" hidden="1" customHeight="1" x14ac:dyDescent="0.3">
      <c r="A91" s="18"/>
      <c r="B91" s="48"/>
      <c r="C91" s="91"/>
      <c r="D91" s="53"/>
      <c r="E91" s="92"/>
      <c r="F91" s="93"/>
      <c r="G91" s="94"/>
      <c r="H91" s="95"/>
      <c r="I91" s="46"/>
      <c r="J91" s="90"/>
    </row>
    <row r="92" spans="1:10" s="37" customFormat="1" ht="24" hidden="1" customHeight="1" x14ac:dyDescent="0.3">
      <c r="A92" s="18"/>
      <c r="B92" s="48"/>
      <c r="C92" s="91"/>
      <c r="D92" s="53"/>
      <c r="E92" s="92"/>
      <c r="F92" s="93"/>
      <c r="G92" s="94"/>
      <c r="H92" s="95"/>
      <c r="I92" s="46"/>
      <c r="J92" s="90"/>
    </row>
    <row r="93" spans="1:10" s="37" customFormat="1" ht="24" hidden="1" customHeight="1" x14ac:dyDescent="0.3">
      <c r="A93" s="18"/>
      <c r="B93" s="48"/>
      <c r="C93" s="91"/>
      <c r="D93" s="53"/>
      <c r="E93" s="92"/>
      <c r="F93" s="93"/>
      <c r="G93" s="94"/>
      <c r="H93" s="95"/>
      <c r="I93" s="46"/>
      <c r="J93" s="90"/>
    </row>
    <row r="94" spans="1:10" s="37" customFormat="1" ht="24" hidden="1" customHeight="1" x14ac:dyDescent="0.3">
      <c r="A94" s="18"/>
      <c r="B94" s="48"/>
      <c r="C94" s="91"/>
      <c r="D94" s="53"/>
      <c r="E94" s="92"/>
      <c r="F94" s="93"/>
      <c r="G94" s="94"/>
      <c r="H94" s="95"/>
      <c r="I94" s="46"/>
      <c r="J94" s="90"/>
    </row>
    <row r="95" spans="1:10" s="37" customFormat="1" ht="24" hidden="1" customHeight="1" x14ac:dyDescent="0.3">
      <c r="A95" s="18"/>
      <c r="B95" s="48"/>
      <c r="C95" s="91"/>
      <c r="D95" s="53"/>
      <c r="E95" s="92"/>
      <c r="F95" s="93"/>
      <c r="G95" s="94"/>
      <c r="H95" s="95"/>
      <c r="I95" s="46"/>
      <c r="J95" s="90"/>
    </row>
    <row r="96" spans="1:10" s="37" customFormat="1" ht="24" hidden="1" customHeight="1" x14ac:dyDescent="0.3">
      <c r="A96" s="18"/>
      <c r="B96" s="48"/>
      <c r="C96" s="91"/>
      <c r="D96" s="53"/>
      <c r="E96" s="92"/>
      <c r="F96" s="93"/>
      <c r="G96" s="94"/>
      <c r="H96" s="95"/>
      <c r="I96" s="46"/>
      <c r="J96" s="90"/>
    </row>
    <row r="97" spans="1:13" s="37" customFormat="1" ht="24" hidden="1" customHeight="1" x14ac:dyDescent="0.3">
      <c r="A97" s="18"/>
      <c r="B97" s="48"/>
      <c r="C97" s="91"/>
      <c r="D97" s="53"/>
      <c r="E97" s="92"/>
      <c r="F97" s="93"/>
      <c r="G97" s="94"/>
      <c r="H97" s="95"/>
      <c r="I97" s="46"/>
      <c r="J97" s="90"/>
    </row>
    <row r="98" spans="1:13" s="37" customFormat="1" ht="24" hidden="1" customHeight="1" x14ac:dyDescent="0.3">
      <c r="A98" s="18"/>
      <c r="B98" s="48"/>
      <c r="C98" s="91"/>
      <c r="D98" s="53"/>
      <c r="E98" s="92"/>
      <c r="F98" s="93"/>
      <c r="G98" s="94"/>
      <c r="H98" s="95"/>
      <c r="I98" s="46"/>
      <c r="J98" s="90"/>
    </row>
    <row r="99" spans="1:13" s="37" customFormat="1" ht="24" customHeight="1" x14ac:dyDescent="0.3">
      <c r="A99" s="18"/>
      <c r="B99" s="67"/>
      <c r="C99" s="68"/>
      <c r="D99" s="68"/>
      <c r="E99" s="69" t="s">
        <v>30</v>
      </c>
      <c r="F99" s="70">
        <f>SUM(F47:F98)</f>
        <v>0</v>
      </c>
      <c r="G99" s="71">
        <f>SUM(G47:G98)</f>
        <v>0</v>
      </c>
      <c r="H99" s="24"/>
      <c r="I99" s="72"/>
      <c r="J99" s="90"/>
    </row>
    <row r="100" spans="1:13" s="37" customFormat="1" ht="24" customHeight="1" x14ac:dyDescent="0.3">
      <c r="A100" s="18"/>
      <c r="B100" s="74" t="s">
        <v>31</v>
      </c>
      <c r="C100" s="97"/>
      <c r="D100" s="98"/>
      <c r="E100" s="77"/>
      <c r="F100" s="78"/>
      <c r="G100" s="79"/>
      <c r="H100" s="45"/>
      <c r="I100" s="80"/>
      <c r="J100" s="90"/>
      <c r="M100" s="34"/>
    </row>
    <row r="101" spans="1:13" s="37" customFormat="1" ht="24" hidden="1" customHeight="1" x14ac:dyDescent="0.3">
      <c r="A101" s="18"/>
      <c r="B101" s="48"/>
      <c r="C101" s="99"/>
      <c r="D101" s="100"/>
      <c r="E101" s="101"/>
      <c r="F101" s="102"/>
      <c r="G101" s="103"/>
      <c r="H101" s="104"/>
      <c r="I101" s="105"/>
      <c r="J101" s="90"/>
      <c r="M101" s="34"/>
    </row>
    <row r="102" spans="1:13" s="37" customFormat="1" ht="24" hidden="1" customHeight="1" x14ac:dyDescent="0.3">
      <c r="A102" s="18"/>
      <c r="B102" s="48"/>
      <c r="C102" s="106"/>
      <c r="D102" s="100"/>
      <c r="E102" s="107"/>
      <c r="F102" s="108"/>
      <c r="G102" s="109"/>
      <c r="H102" s="31"/>
      <c r="I102" s="32"/>
      <c r="J102" s="90"/>
      <c r="M102" s="34"/>
    </row>
    <row r="103" spans="1:13" s="37" customFormat="1" ht="24" hidden="1" customHeight="1" x14ac:dyDescent="0.3">
      <c r="A103" s="18"/>
      <c r="B103" s="59"/>
      <c r="C103" s="110"/>
      <c r="D103" s="111"/>
      <c r="E103" s="62"/>
      <c r="F103" s="112"/>
      <c r="G103" s="113"/>
      <c r="H103" s="65"/>
      <c r="I103" s="66"/>
      <c r="J103" s="90"/>
      <c r="M103" s="34"/>
    </row>
    <row r="104" spans="1:13" s="37" customFormat="1" ht="24" customHeight="1" x14ac:dyDescent="0.3">
      <c r="A104" s="18"/>
      <c r="B104" s="67"/>
      <c r="C104" s="68"/>
      <c r="D104" s="68"/>
      <c r="E104" s="69" t="s">
        <v>32</v>
      </c>
      <c r="F104" s="114">
        <f>SUM(F100:F103)</f>
        <v>0</v>
      </c>
      <c r="G104" s="83">
        <f>SUM(G100:G103)</f>
        <v>0</v>
      </c>
      <c r="H104" s="24"/>
      <c r="I104" s="72"/>
      <c r="J104" s="90"/>
    </row>
    <row r="105" spans="1:13" s="37" customFormat="1" ht="24" hidden="1" customHeight="1" outlineLevel="1" x14ac:dyDescent="0.3">
      <c r="A105" s="18"/>
      <c r="B105" s="17" t="s">
        <v>36</v>
      </c>
      <c r="C105" s="115"/>
      <c r="D105" s="116"/>
      <c r="E105" s="116"/>
      <c r="F105" s="117"/>
      <c r="G105" s="117"/>
      <c r="H105" s="116"/>
      <c r="I105" s="118"/>
      <c r="J105" s="90"/>
    </row>
    <row r="106" spans="1:13" s="37" customFormat="1" ht="24" hidden="1" customHeight="1" outlineLevel="1" x14ac:dyDescent="0.3">
      <c r="A106" s="18"/>
      <c r="B106" s="119" t="s">
        <v>37</v>
      </c>
      <c r="C106" s="119"/>
      <c r="D106" s="116" t="s">
        <v>38</v>
      </c>
      <c r="E106" s="116"/>
      <c r="F106" s="120" t="s">
        <v>39</v>
      </c>
      <c r="G106" s="121" t="s">
        <v>39</v>
      </c>
      <c r="H106" s="116"/>
      <c r="I106" s="122" t="s">
        <v>40</v>
      </c>
      <c r="J106" s="90"/>
    </row>
    <row r="107" spans="1:13" s="37" customFormat="1" ht="24" hidden="1" customHeight="1" outlineLevel="1" x14ac:dyDescent="0.3">
      <c r="A107" s="18"/>
      <c r="B107" s="19" t="s">
        <v>17</v>
      </c>
      <c r="C107" s="19" t="s">
        <v>18</v>
      </c>
      <c r="D107" s="196" t="s">
        <v>19</v>
      </c>
      <c r="E107" s="195"/>
      <c r="F107" s="21" t="s">
        <v>20</v>
      </c>
      <c r="G107" s="22" t="s">
        <v>21</v>
      </c>
      <c r="H107" s="23" t="s">
        <v>22</v>
      </c>
      <c r="I107" s="20" t="s">
        <v>23</v>
      </c>
      <c r="J107" s="90"/>
    </row>
    <row r="108" spans="1:13" s="37" customFormat="1" ht="24" hidden="1" customHeight="1" outlineLevel="1" x14ac:dyDescent="0.3">
      <c r="A108" s="18"/>
      <c r="B108" s="25"/>
      <c r="C108" s="91"/>
      <c r="D108" s="53"/>
      <c r="E108" s="92"/>
      <c r="F108" s="93"/>
      <c r="G108" s="94"/>
      <c r="H108" s="95"/>
      <c r="I108" s="46"/>
      <c r="J108" s="90"/>
    </row>
    <row r="109" spans="1:13" s="37" customFormat="1" ht="24" hidden="1" customHeight="1" outlineLevel="1" x14ac:dyDescent="0.3">
      <c r="A109" s="18"/>
      <c r="B109" s="48"/>
      <c r="C109" s="91"/>
      <c r="D109" s="55"/>
      <c r="E109" s="92"/>
      <c r="F109" s="93"/>
      <c r="G109" s="94"/>
      <c r="H109" s="95"/>
      <c r="I109" s="46"/>
      <c r="J109" s="90"/>
    </row>
    <row r="110" spans="1:13" s="37" customFormat="1" ht="24" hidden="1" customHeight="1" outlineLevel="1" x14ac:dyDescent="0.3">
      <c r="A110" s="18"/>
      <c r="B110" s="25"/>
      <c r="C110" s="91"/>
      <c r="D110" s="53"/>
      <c r="E110" s="92"/>
      <c r="F110" s="93"/>
      <c r="G110" s="94"/>
      <c r="H110" s="95"/>
      <c r="I110" s="46"/>
      <c r="J110" s="90"/>
    </row>
    <row r="111" spans="1:13" s="37" customFormat="1" ht="24" hidden="1" customHeight="1" outlineLevel="1" x14ac:dyDescent="0.3">
      <c r="A111" s="18"/>
      <c r="B111" s="25"/>
      <c r="C111" s="91"/>
      <c r="D111" s="53"/>
      <c r="E111" s="92"/>
      <c r="F111" s="93"/>
      <c r="G111" s="94"/>
      <c r="H111" s="95"/>
      <c r="I111" s="46"/>
      <c r="J111" s="90"/>
    </row>
    <row r="112" spans="1:13" s="37" customFormat="1" ht="24" hidden="1" customHeight="1" outlineLevel="1" x14ac:dyDescent="0.3">
      <c r="A112" s="18"/>
      <c r="B112" s="25"/>
      <c r="C112" s="123"/>
      <c r="D112" s="124"/>
      <c r="E112" s="125"/>
      <c r="F112" s="126"/>
      <c r="G112" s="127"/>
      <c r="H112" s="95"/>
      <c r="I112" s="80"/>
      <c r="J112" s="90"/>
    </row>
    <row r="113" spans="1:13" s="37" customFormat="1" ht="24" hidden="1" customHeight="1" outlineLevel="1" x14ac:dyDescent="0.3">
      <c r="A113" s="18"/>
      <c r="B113" s="67"/>
      <c r="C113" s="68"/>
      <c r="D113" s="68"/>
      <c r="E113" s="69" t="s">
        <v>30</v>
      </c>
      <c r="F113" s="70">
        <f>SUM(F108:F112)</f>
        <v>0</v>
      </c>
      <c r="G113" s="71">
        <f>SUM(G108:G112)</f>
        <v>0</v>
      </c>
      <c r="H113" s="24"/>
      <c r="I113" s="72"/>
      <c r="J113" s="90"/>
    </row>
    <row r="114" spans="1:13" s="1" customFormat="1" ht="24" customHeight="1" collapsed="1" x14ac:dyDescent="0.3">
      <c r="C114" s="84"/>
      <c r="D114" s="84"/>
      <c r="E114" s="84"/>
      <c r="F114" s="128"/>
      <c r="G114" s="128"/>
      <c r="H114" s="84"/>
      <c r="I114" s="86"/>
      <c r="J114" s="129"/>
    </row>
    <row r="115" spans="1:13" s="1" customFormat="1" ht="24" customHeight="1" x14ac:dyDescent="0.3">
      <c r="B115" s="17" t="s">
        <v>41</v>
      </c>
      <c r="C115" s="115"/>
      <c r="D115" s="116"/>
      <c r="E115" s="116"/>
      <c r="F115" s="117"/>
      <c r="G115" s="117"/>
      <c r="H115" s="116"/>
      <c r="I115" s="118"/>
    </row>
    <row r="116" spans="1:13" s="1" customFormat="1" ht="24" customHeight="1" x14ac:dyDescent="0.3">
      <c r="B116" s="119" t="s">
        <v>37</v>
      </c>
      <c r="C116" s="119"/>
      <c r="D116" s="116" t="s">
        <v>38</v>
      </c>
      <c r="E116" s="116"/>
      <c r="F116" s="120" t="s">
        <v>39</v>
      </c>
      <c r="G116" s="121" t="s">
        <v>39</v>
      </c>
      <c r="H116" s="116"/>
      <c r="I116" s="122" t="s">
        <v>40</v>
      </c>
    </row>
    <row r="117" spans="1:13" s="1" customFormat="1" ht="24" customHeight="1" x14ac:dyDescent="0.3">
      <c r="B117" s="130" t="s">
        <v>42</v>
      </c>
      <c r="C117" s="190" t="s">
        <v>43</v>
      </c>
      <c r="D117" s="191"/>
      <c r="E117" s="130" t="s">
        <v>44</v>
      </c>
      <c r="F117" s="19" t="s">
        <v>45</v>
      </c>
      <c r="G117" s="131" t="s">
        <v>46</v>
      </c>
      <c r="H117" s="23" t="s">
        <v>47</v>
      </c>
      <c r="I117" s="23" t="s">
        <v>23</v>
      </c>
    </row>
    <row r="118" spans="1:13" s="1" customFormat="1" ht="24" customHeight="1" x14ac:dyDescent="0.3">
      <c r="B118" s="132" t="s">
        <v>48</v>
      </c>
      <c r="C118" s="133" t="s">
        <v>49</v>
      </c>
      <c r="D118" s="134" t="s">
        <v>50</v>
      </c>
      <c r="E118" s="135">
        <v>115935</v>
      </c>
      <c r="F118" s="136">
        <f>SUMIF($H$47:$H$99,J118,$F$47:$F$99)+SUMIF($H$107:$H$113,J118,$F$107:$F$113)</f>
        <v>0</v>
      </c>
      <c r="G118" s="137">
        <f>SUMIF($H$47:$H$99,J118,$G$47:$G$99)+SUMIF($H$107:$H$113,J118,$G$107:$G$113)</f>
        <v>0</v>
      </c>
      <c r="H118" s="138">
        <f>E118+F118-G118</f>
        <v>115935</v>
      </c>
      <c r="I118" s="139" t="s">
        <v>51</v>
      </c>
      <c r="J118" s="140" t="s">
        <v>29</v>
      </c>
    </row>
    <row r="119" spans="1:13" s="1" customFormat="1" ht="24" customHeight="1" x14ac:dyDescent="0.3">
      <c r="B119" s="132" t="s">
        <v>48</v>
      </c>
      <c r="C119" s="133" t="s">
        <v>52</v>
      </c>
      <c r="D119" s="134" t="s">
        <v>53</v>
      </c>
      <c r="E119" s="135">
        <v>297485654</v>
      </c>
      <c r="F119" s="136">
        <f>SUMIF($H$47:$H$98,J119,$F$47:$F$98)+F113</f>
        <v>0</v>
      </c>
      <c r="G119" s="137">
        <f>SUMIF($H$47:$H$98,J119,$G$47:$G$98)</f>
        <v>0</v>
      </c>
      <c r="H119" s="138">
        <f>E119+F119-G119</f>
        <v>297485654</v>
      </c>
      <c r="I119" s="139" t="s">
        <v>54</v>
      </c>
      <c r="J119" s="140" t="s">
        <v>55</v>
      </c>
      <c r="M119" s="73"/>
    </row>
    <row r="120" spans="1:13" s="1" customFormat="1" ht="24" customHeight="1" x14ac:dyDescent="0.3">
      <c r="B120" s="132" t="s">
        <v>48</v>
      </c>
      <c r="C120" s="133" t="s">
        <v>56</v>
      </c>
      <c r="D120" s="134" t="s">
        <v>53</v>
      </c>
      <c r="E120" s="135">
        <v>78020</v>
      </c>
      <c r="F120" s="136">
        <f>SUMIF($H$47:$H$98,J120,$F$47:$F$98)+SUMIF($H$107:$H$113,J120,$F$107:$F$113)</f>
        <v>0</v>
      </c>
      <c r="G120" s="137">
        <f>SUMIF($H$47:$H$98,J120,$G$47:$G$98)+SUMIF($H$107:$H$113,J120,$G$107:$G$113)</f>
        <v>0</v>
      </c>
      <c r="H120" s="138">
        <f>E120+F120-G120</f>
        <v>78020</v>
      </c>
      <c r="I120" s="139" t="s">
        <v>57</v>
      </c>
      <c r="J120" s="140" t="s">
        <v>58</v>
      </c>
    </row>
    <row r="121" spans="1:13" s="1" customFormat="1" ht="24" customHeight="1" x14ac:dyDescent="0.3">
      <c r="B121" s="132" t="s">
        <v>48</v>
      </c>
      <c r="C121" s="133" t="s">
        <v>59</v>
      </c>
      <c r="D121" s="134" t="s">
        <v>53</v>
      </c>
      <c r="E121" s="135">
        <v>0</v>
      </c>
      <c r="F121" s="136">
        <f t="shared" ref="F121:F126" si="0">SUMIF($H$47:$H$98,J121,$F$47:$F$98)</f>
        <v>0</v>
      </c>
      <c r="G121" s="137">
        <f t="shared" ref="G121:G126" si="1">SUMIF($H$47:$H$98,J121,$G$47:$G$98)</f>
        <v>0</v>
      </c>
      <c r="H121" s="138">
        <f t="shared" ref="H121:H126" si="2">E121+F121-G121</f>
        <v>0</v>
      </c>
      <c r="I121" s="139" t="s">
        <v>60</v>
      </c>
      <c r="J121" s="140" t="s">
        <v>61</v>
      </c>
    </row>
    <row r="122" spans="1:13" s="1" customFormat="1" ht="24" customHeight="1" x14ac:dyDescent="0.3">
      <c r="B122" s="132" t="s">
        <v>48</v>
      </c>
      <c r="C122" s="133" t="s">
        <v>62</v>
      </c>
      <c r="D122" s="134" t="s">
        <v>53</v>
      </c>
      <c r="E122" s="135">
        <v>0</v>
      </c>
      <c r="F122" s="136">
        <f t="shared" si="0"/>
        <v>0</v>
      </c>
      <c r="G122" s="137">
        <f t="shared" si="1"/>
        <v>0</v>
      </c>
      <c r="H122" s="138">
        <f t="shared" si="2"/>
        <v>0</v>
      </c>
      <c r="I122" s="139" t="s">
        <v>63</v>
      </c>
      <c r="J122" s="140" t="s">
        <v>64</v>
      </c>
    </row>
    <row r="123" spans="1:13" s="1" customFormat="1" ht="24" customHeight="1" x14ac:dyDescent="0.3">
      <c r="B123" s="132" t="s">
        <v>48</v>
      </c>
      <c r="C123" s="133" t="s">
        <v>65</v>
      </c>
      <c r="D123" s="134" t="s">
        <v>53</v>
      </c>
      <c r="E123" s="135">
        <v>0</v>
      </c>
      <c r="F123" s="136">
        <f t="shared" si="0"/>
        <v>0</v>
      </c>
      <c r="G123" s="137">
        <f t="shared" si="1"/>
        <v>0</v>
      </c>
      <c r="H123" s="138">
        <f t="shared" si="2"/>
        <v>0</v>
      </c>
      <c r="I123" s="141" t="s">
        <v>66</v>
      </c>
      <c r="J123" s="140" t="s">
        <v>67</v>
      </c>
    </row>
    <row r="124" spans="1:13" s="1" customFormat="1" ht="24" customHeight="1" x14ac:dyDescent="0.3">
      <c r="B124" s="132" t="s">
        <v>68</v>
      </c>
      <c r="C124" s="133" t="s">
        <v>69</v>
      </c>
      <c r="D124" s="134" t="s">
        <v>53</v>
      </c>
      <c r="E124" s="135">
        <v>23643752</v>
      </c>
      <c r="F124" s="136">
        <f t="shared" si="0"/>
        <v>0</v>
      </c>
      <c r="G124" s="137">
        <f t="shared" si="1"/>
        <v>0</v>
      </c>
      <c r="H124" s="142">
        <f t="shared" si="2"/>
        <v>23643752</v>
      </c>
      <c r="I124" s="139" t="s">
        <v>54</v>
      </c>
      <c r="J124" s="140" t="s">
        <v>70</v>
      </c>
    </row>
    <row r="125" spans="1:13" s="1" customFormat="1" ht="24" customHeight="1" x14ac:dyDescent="0.3">
      <c r="B125" s="132" t="s">
        <v>71</v>
      </c>
      <c r="C125" s="133" t="s">
        <v>72</v>
      </c>
      <c r="D125" s="134" t="s">
        <v>53</v>
      </c>
      <c r="E125" s="135">
        <v>0</v>
      </c>
      <c r="F125" s="136">
        <f t="shared" si="0"/>
        <v>0</v>
      </c>
      <c r="G125" s="137">
        <f t="shared" si="1"/>
        <v>0</v>
      </c>
      <c r="H125" s="142">
        <f t="shared" si="2"/>
        <v>0</v>
      </c>
      <c r="I125" s="139" t="s">
        <v>73</v>
      </c>
      <c r="J125" s="140" t="s">
        <v>74</v>
      </c>
    </row>
    <row r="126" spans="1:13" s="1" customFormat="1" ht="24" customHeight="1" x14ac:dyDescent="0.3">
      <c r="B126" s="132" t="s">
        <v>75</v>
      </c>
      <c r="C126" s="133" t="s">
        <v>76</v>
      </c>
      <c r="D126" s="134" t="s">
        <v>50</v>
      </c>
      <c r="E126" s="135">
        <v>33952</v>
      </c>
      <c r="F126" s="136">
        <f t="shared" si="0"/>
        <v>0</v>
      </c>
      <c r="G126" s="137">
        <f t="shared" si="1"/>
        <v>0</v>
      </c>
      <c r="H126" s="142">
        <f t="shared" si="2"/>
        <v>33952</v>
      </c>
      <c r="I126" s="143" t="s">
        <v>73</v>
      </c>
      <c r="J126" s="140" t="s">
        <v>77</v>
      </c>
    </row>
    <row r="127" spans="1:13" s="1" customFormat="1" ht="22.5" customHeight="1" x14ac:dyDescent="0.3">
      <c r="B127" s="144"/>
      <c r="C127" s="145"/>
      <c r="D127" s="146" t="s">
        <v>78</v>
      </c>
      <c r="E127" s="147">
        <f>SUM(E118:E126)</f>
        <v>321357313</v>
      </c>
      <c r="F127" s="148">
        <f>SUM(F118:F125)</f>
        <v>0</v>
      </c>
      <c r="G127" s="149">
        <f>SUM(G118:G125)</f>
        <v>0</v>
      </c>
      <c r="H127" s="150">
        <f>SUM(H118:H126)</f>
        <v>321357313</v>
      </c>
      <c r="I127" s="151"/>
      <c r="J127" s="37"/>
    </row>
    <row r="128" spans="1:13" s="1" customFormat="1" ht="22.5" customHeight="1" x14ac:dyDescent="0.3">
      <c r="C128" s="84"/>
      <c r="D128" s="84"/>
      <c r="E128" s="152"/>
      <c r="F128" s="152"/>
      <c r="G128" s="152"/>
      <c r="H128" s="152"/>
      <c r="I128" s="153"/>
    </row>
    <row r="129" spans="1:13" s="1" customFormat="1" ht="24" customHeight="1" x14ac:dyDescent="0.3">
      <c r="B129" s="119" t="s">
        <v>79</v>
      </c>
      <c r="C129" s="119"/>
      <c r="D129" s="116" t="s">
        <v>38</v>
      </c>
      <c r="E129" s="116"/>
      <c r="F129" s="120" t="s">
        <v>39</v>
      </c>
      <c r="G129" s="121" t="s">
        <v>39</v>
      </c>
      <c r="H129" s="116"/>
      <c r="I129" s="122" t="s">
        <v>80</v>
      </c>
    </row>
    <row r="130" spans="1:13" s="1" customFormat="1" ht="24" customHeight="1" x14ac:dyDescent="0.3">
      <c r="B130" s="130" t="s">
        <v>42</v>
      </c>
      <c r="C130" s="190" t="s">
        <v>43</v>
      </c>
      <c r="D130" s="191"/>
      <c r="E130" s="130" t="s">
        <v>44</v>
      </c>
      <c r="F130" s="19" t="s">
        <v>45</v>
      </c>
      <c r="G130" s="131" t="s">
        <v>46</v>
      </c>
      <c r="H130" s="23" t="s">
        <v>47</v>
      </c>
      <c r="I130" s="23" t="s">
        <v>23</v>
      </c>
    </row>
    <row r="131" spans="1:13" s="1" customFormat="1" ht="24" customHeight="1" x14ac:dyDescent="0.3">
      <c r="B131" s="132" t="s">
        <v>81</v>
      </c>
      <c r="C131" s="133" t="s">
        <v>82</v>
      </c>
      <c r="D131" s="134" t="s">
        <v>83</v>
      </c>
      <c r="E131" s="154">
        <v>0</v>
      </c>
      <c r="F131" s="155">
        <f>SUMIF($H$100:$H$103,J131,$F$100:$F$103)</f>
        <v>0</v>
      </c>
      <c r="G131" s="156">
        <f>SUMIF($H$100:$H$103,J131,$G$100:$G$103)</f>
        <v>0</v>
      </c>
      <c r="H131" s="157">
        <f>E131+F131-G131</f>
        <v>0</v>
      </c>
      <c r="I131" s="158" t="s">
        <v>84</v>
      </c>
      <c r="J131" s="159" t="s">
        <v>84</v>
      </c>
    </row>
    <row r="132" spans="1:13" s="1" customFormat="1" ht="22.5" customHeight="1" x14ac:dyDescent="0.3">
      <c r="B132" s="144"/>
      <c r="C132" s="145"/>
      <c r="D132" s="146" t="s">
        <v>78</v>
      </c>
      <c r="E132" s="160">
        <f>SUM(E131)</f>
        <v>0</v>
      </c>
      <c r="F132" s="161">
        <f>SUM(F131)</f>
        <v>0</v>
      </c>
      <c r="G132" s="162">
        <f>SUM(G131)</f>
        <v>0</v>
      </c>
      <c r="H132" s="160">
        <f>SUM(H131)</f>
        <v>0</v>
      </c>
      <c r="I132" s="151"/>
    </row>
    <row r="133" spans="1:13" s="1" customFormat="1" ht="24" customHeight="1" x14ac:dyDescent="0.3"/>
    <row r="134" spans="1:13" s="1" customFormat="1" ht="24" customHeight="1" x14ac:dyDescent="0.3">
      <c r="B134" s="119" t="s">
        <v>85</v>
      </c>
      <c r="C134" s="119"/>
      <c r="D134" s="116" t="s">
        <v>38</v>
      </c>
      <c r="E134" s="116"/>
      <c r="F134" s="120" t="s">
        <v>39</v>
      </c>
      <c r="G134" s="121" t="s">
        <v>39</v>
      </c>
      <c r="H134" s="116"/>
      <c r="I134" s="122" t="s">
        <v>40</v>
      </c>
    </row>
    <row r="135" spans="1:13" s="1" customFormat="1" ht="24" customHeight="1" x14ac:dyDescent="0.3">
      <c r="B135" s="130" t="s">
        <v>42</v>
      </c>
      <c r="C135" s="190" t="s">
        <v>43</v>
      </c>
      <c r="D135" s="191"/>
      <c r="E135" s="130" t="s">
        <v>44</v>
      </c>
      <c r="F135" s="19" t="s">
        <v>45</v>
      </c>
      <c r="G135" s="131" t="s">
        <v>46</v>
      </c>
      <c r="H135" s="23" t="s">
        <v>47</v>
      </c>
      <c r="I135" s="23" t="s">
        <v>23</v>
      </c>
    </row>
    <row r="136" spans="1:13" s="1" customFormat="1" ht="24" customHeight="1" x14ac:dyDescent="0.3">
      <c r="B136" s="132" t="s">
        <v>48</v>
      </c>
      <c r="C136" s="133" t="s">
        <v>86</v>
      </c>
      <c r="D136" s="163" t="s">
        <v>87</v>
      </c>
      <c r="E136" s="164">
        <v>2100000000</v>
      </c>
      <c r="F136" s="136"/>
      <c r="G136" s="137"/>
      <c r="H136" s="142">
        <f>E136+F136-G136</f>
        <v>2100000000</v>
      </c>
      <c r="I136" s="141" t="s">
        <v>88</v>
      </c>
      <c r="J136" s="1" t="s">
        <v>89</v>
      </c>
      <c r="M136" s="73">
        <f>H136-2057169001</f>
        <v>42830999</v>
      </c>
    </row>
    <row r="137" spans="1:13" s="1" customFormat="1" ht="24" hidden="1" customHeight="1" x14ac:dyDescent="0.3">
      <c r="B137" s="132" t="s">
        <v>48</v>
      </c>
      <c r="C137" s="133" t="s">
        <v>90</v>
      </c>
      <c r="D137" s="163" t="s">
        <v>91</v>
      </c>
      <c r="E137" s="165">
        <v>0</v>
      </c>
      <c r="F137" s="136"/>
      <c r="G137" s="137"/>
      <c r="H137" s="142">
        <f>E137+F137-G137</f>
        <v>0</v>
      </c>
      <c r="I137" s="141"/>
      <c r="J137" s="1" t="s">
        <v>92</v>
      </c>
    </row>
    <row r="138" spans="1:13" s="1" customFormat="1" ht="22.5" customHeight="1" x14ac:dyDescent="0.3">
      <c r="B138" s="144"/>
      <c r="C138" s="145"/>
      <c r="D138" s="146" t="s">
        <v>78</v>
      </c>
      <c r="E138" s="147">
        <f>SUM(E136:E137)</f>
        <v>2100000000</v>
      </c>
      <c r="F138" s="166">
        <f>SUM(F136:F137)</f>
        <v>0</v>
      </c>
      <c r="G138" s="167">
        <f>SUM(G136:G137)</f>
        <v>0</v>
      </c>
      <c r="H138" s="147">
        <f>SUM(H136:H137)</f>
        <v>2100000000</v>
      </c>
      <c r="I138" s="151"/>
    </row>
    <row r="143" spans="1:13" ht="23.45" customHeight="1" outlineLevel="1" x14ac:dyDescent="0.3">
      <c r="B143" s="1"/>
      <c r="C143" s="1"/>
      <c r="D143" s="168" t="s">
        <v>93</v>
      </c>
    </row>
    <row r="144" spans="1:13" ht="24" customHeight="1" outlineLevel="1" x14ac:dyDescent="0.3">
      <c r="A144" s="169" t="s">
        <v>94</v>
      </c>
      <c r="B144" s="169" t="s">
        <v>95</v>
      </c>
      <c r="C144" s="169" t="s">
        <v>96</v>
      </c>
      <c r="D144" s="169" t="s">
        <v>23</v>
      </c>
    </row>
    <row r="145" spans="1:4" ht="24" customHeight="1" outlineLevel="1" x14ac:dyDescent="0.3">
      <c r="A145" s="170" t="s">
        <v>97</v>
      </c>
      <c r="B145" s="171" t="s">
        <v>25</v>
      </c>
      <c r="C145" s="172">
        <f>SUMIF($A$46:$A$98,$B145,$F$46:$F$98)</f>
        <v>0</v>
      </c>
      <c r="D145" s="170"/>
    </row>
    <row r="146" spans="1:4" ht="24" customHeight="1" outlineLevel="1" x14ac:dyDescent="0.3">
      <c r="A146" s="170"/>
      <c r="B146" s="171" t="s">
        <v>98</v>
      </c>
      <c r="C146" s="172">
        <f>SUMIF($A$46:$A$98,$B146,$F$46:$F$98)</f>
        <v>0</v>
      </c>
      <c r="D146" s="170"/>
    </row>
    <row r="147" spans="1:4" ht="24" customHeight="1" outlineLevel="1" x14ac:dyDescent="0.3">
      <c r="A147" s="170"/>
      <c r="B147" s="171" t="s">
        <v>99</v>
      </c>
      <c r="C147" s="172">
        <f>SUMIF($A$46:$A$98,$B147,$F$46:$F$98)</f>
        <v>0</v>
      </c>
      <c r="D147" s="170"/>
    </row>
    <row r="148" spans="1:4" ht="24" customHeight="1" outlineLevel="1" x14ac:dyDescent="0.3">
      <c r="A148" s="170"/>
      <c r="B148" s="171" t="s">
        <v>100</v>
      </c>
      <c r="C148" s="172">
        <f>SUMIF($A$46:$A$98,$B148,$F$46:$F$98)</f>
        <v>0</v>
      </c>
      <c r="D148" s="170"/>
    </row>
    <row r="149" spans="1:4" ht="24" customHeight="1" outlineLevel="1" x14ac:dyDescent="0.3">
      <c r="A149" s="170"/>
      <c r="B149" s="171" t="s">
        <v>101</v>
      </c>
      <c r="C149" s="172">
        <f>SUMIF($A$46:$A$98,$B149,$F$46:$F$98)</f>
        <v>0</v>
      </c>
      <c r="D149" s="170"/>
    </row>
    <row r="150" spans="1:4" ht="24" customHeight="1" outlineLevel="1" x14ac:dyDescent="0.3">
      <c r="A150" s="173"/>
      <c r="B150" s="174" t="s">
        <v>102</v>
      </c>
      <c r="C150" s="175">
        <f>SUM(C145:C149)</f>
        <v>0</v>
      </c>
      <c r="D150" s="139"/>
    </row>
    <row r="151" spans="1:4" ht="24" customHeight="1" outlineLevel="1" x14ac:dyDescent="0.3">
      <c r="A151" s="176" t="s">
        <v>103</v>
      </c>
      <c r="B151" s="177" t="s">
        <v>104</v>
      </c>
      <c r="C151" s="178">
        <f t="shared" ref="C151:C164" si="3">SUMIF($A$46:$A$98,$B151,$G$46:$G$98)</f>
        <v>0</v>
      </c>
      <c r="D151" s="176"/>
    </row>
    <row r="152" spans="1:4" ht="24" customHeight="1" outlineLevel="1" x14ac:dyDescent="0.3">
      <c r="A152" s="170"/>
      <c r="B152" s="171" t="s">
        <v>105</v>
      </c>
      <c r="C152" s="172">
        <f t="shared" si="3"/>
        <v>0</v>
      </c>
      <c r="D152" s="170"/>
    </row>
    <row r="153" spans="1:4" ht="24" customHeight="1" outlineLevel="1" x14ac:dyDescent="0.3">
      <c r="A153" s="170"/>
      <c r="B153" s="171" t="s">
        <v>106</v>
      </c>
      <c r="C153" s="172">
        <f t="shared" si="3"/>
        <v>0</v>
      </c>
      <c r="D153" s="170"/>
    </row>
    <row r="154" spans="1:4" ht="24" customHeight="1" outlineLevel="1" x14ac:dyDescent="0.3">
      <c r="A154" s="170"/>
      <c r="B154" s="171" t="s">
        <v>107</v>
      </c>
      <c r="C154" s="172">
        <f t="shared" si="3"/>
        <v>0</v>
      </c>
      <c r="D154" s="170"/>
    </row>
    <row r="155" spans="1:4" ht="24" customHeight="1" outlineLevel="1" x14ac:dyDescent="0.3">
      <c r="A155" s="170"/>
      <c r="B155" s="171" t="s">
        <v>108</v>
      </c>
      <c r="C155" s="172">
        <f t="shared" si="3"/>
        <v>0</v>
      </c>
      <c r="D155" s="170"/>
    </row>
    <row r="156" spans="1:4" ht="24" customHeight="1" outlineLevel="1" x14ac:dyDescent="0.3">
      <c r="A156" s="170"/>
      <c r="B156" s="171" t="s">
        <v>109</v>
      </c>
      <c r="C156" s="172">
        <f t="shared" si="3"/>
        <v>0</v>
      </c>
      <c r="D156" s="170"/>
    </row>
    <row r="157" spans="1:4" ht="24" customHeight="1" outlineLevel="1" x14ac:dyDescent="0.3">
      <c r="A157" s="170"/>
      <c r="B157" s="171" t="s">
        <v>110</v>
      </c>
      <c r="C157" s="172">
        <f t="shared" si="3"/>
        <v>0</v>
      </c>
      <c r="D157" s="170"/>
    </row>
    <row r="158" spans="1:4" ht="24" customHeight="1" outlineLevel="1" x14ac:dyDescent="0.3">
      <c r="A158" s="170"/>
      <c r="B158" s="171" t="s">
        <v>111</v>
      </c>
      <c r="C158" s="172">
        <f t="shared" si="3"/>
        <v>0</v>
      </c>
      <c r="D158" s="170"/>
    </row>
    <row r="159" spans="1:4" ht="24" customHeight="1" outlineLevel="1" x14ac:dyDescent="0.3">
      <c r="A159" s="170"/>
      <c r="B159" s="171" t="s">
        <v>112</v>
      </c>
      <c r="C159" s="172">
        <f t="shared" si="3"/>
        <v>0</v>
      </c>
      <c r="D159" s="170"/>
    </row>
    <row r="160" spans="1:4" ht="24" customHeight="1" outlineLevel="1" x14ac:dyDescent="0.3">
      <c r="A160" s="170"/>
      <c r="B160" s="171" t="s">
        <v>113</v>
      </c>
      <c r="C160" s="172">
        <f t="shared" si="3"/>
        <v>0</v>
      </c>
      <c r="D160" s="170"/>
    </row>
    <row r="161" spans="1:14" ht="24" customHeight="1" outlineLevel="1" x14ac:dyDescent="0.3">
      <c r="A161" s="170"/>
      <c r="B161" s="171" t="s">
        <v>114</v>
      </c>
      <c r="C161" s="172">
        <f t="shared" si="3"/>
        <v>0</v>
      </c>
      <c r="D161" s="170"/>
    </row>
    <row r="162" spans="1:14" ht="24" customHeight="1" outlineLevel="1" x14ac:dyDescent="0.3">
      <c r="A162" s="170"/>
      <c r="B162" s="171" t="s">
        <v>115</v>
      </c>
      <c r="C162" s="172">
        <f t="shared" si="3"/>
        <v>0</v>
      </c>
      <c r="D162" s="170"/>
    </row>
    <row r="163" spans="1:14" ht="24" customHeight="1" outlineLevel="1" x14ac:dyDescent="0.3">
      <c r="A163" s="170"/>
      <c r="B163" s="171" t="s">
        <v>116</v>
      </c>
      <c r="C163" s="172">
        <f t="shared" si="3"/>
        <v>0</v>
      </c>
      <c r="D163" s="170"/>
    </row>
    <row r="164" spans="1:14" ht="24" customHeight="1" outlineLevel="1" x14ac:dyDescent="0.3">
      <c r="A164" s="170"/>
      <c r="B164" s="171" t="s">
        <v>117</v>
      </c>
      <c r="C164" s="172">
        <f t="shared" si="3"/>
        <v>0</v>
      </c>
      <c r="D164" s="170"/>
    </row>
    <row r="165" spans="1:14" ht="24" customHeight="1" outlineLevel="1" x14ac:dyDescent="0.3">
      <c r="A165" s="170"/>
      <c r="B165" s="171" t="s">
        <v>118</v>
      </c>
      <c r="C165" s="172">
        <f>SUMIF($A$46:$A$98,"전산유지비",$G$46:$G$98)</f>
        <v>0</v>
      </c>
      <c r="D165" s="170"/>
    </row>
    <row r="166" spans="1:14" ht="24" customHeight="1" outlineLevel="1" x14ac:dyDescent="0.3">
      <c r="A166" s="170"/>
      <c r="B166" s="171" t="s">
        <v>119</v>
      </c>
      <c r="C166" s="172">
        <f>SUMIF($A$46:$A$98,$B166,$G$46:$G$98)</f>
        <v>0</v>
      </c>
      <c r="D166" s="170" t="s">
        <v>120</v>
      </c>
    </row>
    <row r="167" spans="1:14" ht="24" customHeight="1" outlineLevel="1" x14ac:dyDescent="0.3">
      <c r="A167" s="170"/>
      <c r="B167" s="171" t="s">
        <v>121</v>
      </c>
      <c r="C167" s="172">
        <f>SUMIF($A$46:$A$98,$B167,$G$46:$G$98)</f>
        <v>0</v>
      </c>
      <c r="D167" s="170"/>
    </row>
    <row r="168" spans="1:14" ht="24" customHeight="1" outlineLevel="1" x14ac:dyDescent="0.3">
      <c r="A168" s="170"/>
      <c r="B168" s="171" t="s">
        <v>122</v>
      </c>
      <c r="C168" s="172">
        <f>SUMIF($A$46:$A$98,$B168,$G$46:$G$98)</f>
        <v>0</v>
      </c>
      <c r="D168" s="170"/>
    </row>
    <row r="169" spans="1:14" ht="24" customHeight="1" outlineLevel="1" x14ac:dyDescent="0.3">
      <c r="A169" s="170"/>
      <c r="B169" s="171" t="s">
        <v>123</v>
      </c>
      <c r="C169" s="172">
        <f>SUMIF($A$46:$A$98,$B169,$G$46:$G$98)</f>
        <v>0</v>
      </c>
      <c r="D169" s="170"/>
    </row>
    <row r="170" spans="1:14" ht="24" customHeight="1" outlineLevel="1" x14ac:dyDescent="0.3">
      <c r="A170" s="170"/>
      <c r="B170" s="171" t="s">
        <v>124</v>
      </c>
      <c r="C170" s="179">
        <f>SUMIF($A$46:$A$98,$B170,$G$46:$G$98)+SUMIF($A$46:$A$98,$D170,$G$46:$G$98)</f>
        <v>0</v>
      </c>
      <c r="D170" s="180" t="s">
        <v>125</v>
      </c>
      <c r="F170" s="181"/>
    </row>
    <row r="171" spans="1:14" ht="24" customHeight="1" outlineLevel="1" x14ac:dyDescent="0.3">
      <c r="A171" s="173"/>
      <c r="B171" s="182" t="s">
        <v>126</v>
      </c>
      <c r="C171" s="183">
        <f>SUM(C151:C170)</f>
        <v>0</v>
      </c>
      <c r="D171" s="182"/>
    </row>
    <row r="172" spans="1:14" ht="24" customHeight="1" outlineLevel="1" x14ac:dyDescent="0.3">
      <c r="A172" s="176" t="s">
        <v>127</v>
      </c>
      <c r="B172" s="177" t="s">
        <v>128</v>
      </c>
      <c r="C172" s="172">
        <f>SUMIF($A$7:$A$39,$B172,$F$7:$F$39)+SUMIF($A$46:$A$98,$B172,$F$46:$F$98)</f>
        <v>0</v>
      </c>
      <c r="D172" s="176"/>
    </row>
    <row r="173" spans="1:14" ht="24" customHeight="1" outlineLevel="1" x14ac:dyDescent="0.3">
      <c r="A173" s="184" t="s">
        <v>129</v>
      </c>
      <c r="B173" s="184" t="s">
        <v>50</v>
      </c>
      <c r="C173" s="185">
        <f>SUMIF($A$7:$A$39,$B173,$F$7:$F$39)+SUMIF($A$46:$A$98,$B173,$F$46:$F$98)</f>
        <v>0</v>
      </c>
      <c r="D173" s="186" t="str">
        <f>IF($C$150+$C$173=$F$127-$F$113,"TRUE","FALSE")</f>
        <v>TRUE</v>
      </c>
      <c r="E173" s="181"/>
      <c r="F173" s="181"/>
    </row>
    <row r="174" spans="1:14" ht="24" customHeight="1" outlineLevel="1" x14ac:dyDescent="0.3">
      <c r="A174" s="173" t="s">
        <v>130</v>
      </c>
      <c r="B174" s="173" t="s">
        <v>50</v>
      </c>
      <c r="C174" s="179">
        <f>SUMIF($A$7:$A$39,$B174,$G$7:$G$39)+SUMIF($A$46:$A$98,$B174,$G$46:$G$98)</f>
        <v>0</v>
      </c>
      <c r="D174" s="187" t="str">
        <f>IF($C$171+$C$174=$G$127-$G$113,"TRUE","FALSE")</f>
        <v>TRUE</v>
      </c>
    </row>
    <row r="175" spans="1:14" s="1" customFormat="1" ht="24" customHeight="1" outlineLevel="1" x14ac:dyDescent="0.3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s="1" customFormat="1" ht="24" customHeight="1" x14ac:dyDescent="0.3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</sheetData>
  <mergeCells count="8">
    <mergeCell ref="C130:D130"/>
    <mergeCell ref="C135:D135"/>
    <mergeCell ref="B1:E2"/>
    <mergeCell ref="B3:E3"/>
    <mergeCell ref="D7:E7"/>
    <mergeCell ref="D46:E46"/>
    <mergeCell ref="D107:E107"/>
    <mergeCell ref="C117:D117"/>
  </mergeCells>
  <phoneticPr fontId="4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8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75931-BD37-440B-8366-61E34CB10A82}">
  <dimension ref="A1:Q179"/>
  <sheetViews>
    <sheetView showWhiteSpace="0" view="pageBreakPreview" topLeftCell="B8" zoomScaleNormal="70" zoomScaleSheetLayoutView="100" zoomScalePageLayoutView="50" workbookViewId="0">
      <selection activeCell="G102" sqref="G102"/>
    </sheetView>
  </sheetViews>
  <sheetFormatPr defaultColWidth="9" defaultRowHeight="24" customHeight="1" outlineLevelRow="1" outlineLevelCol="1" x14ac:dyDescent="0.3"/>
  <cols>
    <col min="1" max="1" width="21.875" style="1" hidden="1" customWidth="1" outlineLevel="1"/>
    <col min="2" max="2" width="13" style="3" customWidth="1" collapsed="1"/>
    <col min="3" max="3" width="24.75" style="3" customWidth="1"/>
    <col min="4" max="4" width="42.125" style="3" customWidth="1"/>
    <col min="5" max="5" width="16.625" style="3" customWidth="1"/>
    <col min="6" max="9" width="17.75" style="3" customWidth="1"/>
    <col min="10" max="10" width="19.875" style="3" customWidth="1"/>
    <col min="11" max="11" width="11" style="3" hidden="1" customWidth="1" outlineLevel="1"/>
    <col min="12" max="12" width="20" style="3" hidden="1" customWidth="1" outlineLevel="1"/>
    <col min="13" max="13" width="14.125" style="3" customWidth="1" collapsed="1"/>
    <col min="14" max="14" width="18.375" style="3" customWidth="1"/>
    <col min="15" max="15" width="11.25" style="3" bestFit="1" customWidth="1"/>
    <col min="16" max="16" width="9" style="3"/>
    <col min="17" max="17" width="10" style="3" bestFit="1" customWidth="1"/>
    <col min="18" max="16384" width="9" style="3"/>
  </cols>
  <sheetData>
    <row r="1" spans="1:15" ht="24" customHeight="1" x14ac:dyDescent="0.3">
      <c r="B1" s="192" t="s">
        <v>0</v>
      </c>
      <c r="C1" s="192"/>
      <c r="D1" s="192"/>
      <c r="E1" s="192"/>
      <c r="F1" s="2" t="s">
        <v>1</v>
      </c>
      <c r="G1" s="2" t="s">
        <v>2</v>
      </c>
      <c r="H1" s="2" t="s">
        <v>3</v>
      </c>
      <c r="I1" s="2" t="s">
        <v>4</v>
      </c>
    </row>
    <row r="2" spans="1:15" ht="57" customHeight="1" x14ac:dyDescent="0.3">
      <c r="B2" s="192"/>
      <c r="C2" s="192"/>
      <c r="D2" s="192"/>
      <c r="E2" s="192"/>
      <c r="F2" s="4"/>
      <c r="G2" s="4"/>
      <c r="H2" s="4"/>
      <c r="I2" s="4"/>
      <c r="K2" s="5"/>
      <c r="L2" s="5"/>
    </row>
    <row r="3" spans="1:15" ht="24" customHeight="1" x14ac:dyDescent="0.3">
      <c r="B3" s="193" t="s">
        <v>5</v>
      </c>
      <c r="C3" s="193"/>
      <c r="D3" s="193"/>
      <c r="E3" s="193"/>
      <c r="F3" s="2" t="s">
        <v>6</v>
      </c>
      <c r="G3" s="2" t="s">
        <v>7</v>
      </c>
      <c r="H3" s="2" t="s">
        <v>8</v>
      </c>
      <c r="I3" s="2" t="s">
        <v>9</v>
      </c>
      <c r="K3" s="5"/>
      <c r="L3" s="5"/>
    </row>
    <row r="4" spans="1:15" ht="24" customHeight="1" x14ac:dyDescent="0.3">
      <c r="B4" s="7"/>
      <c r="C4" s="7"/>
      <c r="D4" s="7"/>
      <c r="E4" s="7"/>
      <c r="F4" s="8">
        <v>46244</v>
      </c>
      <c r="G4" s="2" t="s">
        <v>131</v>
      </c>
      <c r="H4" s="2" t="s">
        <v>12</v>
      </c>
      <c r="I4" s="2" t="s">
        <v>13</v>
      </c>
      <c r="K4" s="5"/>
      <c r="L4" s="5"/>
    </row>
    <row r="5" spans="1:15" ht="24" customHeight="1" x14ac:dyDescent="0.3">
      <c r="C5" s="9"/>
      <c r="D5" s="9"/>
      <c r="E5" s="9"/>
      <c r="F5" s="10"/>
      <c r="G5" s="10"/>
      <c r="H5" s="6"/>
      <c r="I5" s="11"/>
    </row>
    <row r="6" spans="1:15" s="1" customFormat="1" ht="24" customHeight="1" x14ac:dyDescent="0.3">
      <c r="B6" s="12" t="s">
        <v>14</v>
      </c>
      <c r="C6" s="13"/>
      <c r="D6" s="14"/>
      <c r="E6" s="14"/>
      <c r="F6" s="15"/>
      <c r="G6" s="15"/>
      <c r="H6" s="14"/>
      <c r="I6" s="16"/>
      <c r="K6" s="17" t="s">
        <v>15</v>
      </c>
    </row>
    <row r="7" spans="1:15" s="1" customFormat="1" ht="24" customHeight="1" x14ac:dyDescent="0.3">
      <c r="A7" s="18" t="s">
        <v>16</v>
      </c>
      <c r="B7" s="19" t="s">
        <v>17</v>
      </c>
      <c r="C7" s="19" t="s">
        <v>18</v>
      </c>
      <c r="D7" s="194" t="s">
        <v>19</v>
      </c>
      <c r="E7" s="195"/>
      <c r="F7" s="21" t="s">
        <v>20</v>
      </c>
      <c r="G7" s="22" t="s">
        <v>21</v>
      </c>
      <c r="H7" s="23" t="s">
        <v>22</v>
      </c>
      <c r="I7" s="20" t="s">
        <v>23</v>
      </c>
      <c r="K7" s="1" t="s">
        <v>24</v>
      </c>
    </row>
    <row r="8" spans="1:15" s="37" customFormat="1" ht="24" customHeight="1" x14ac:dyDescent="0.3">
      <c r="A8" s="24"/>
      <c r="B8" s="25" t="s">
        <v>26</v>
      </c>
      <c r="C8" s="26"/>
      <c r="D8" s="27"/>
      <c r="E8" s="28"/>
      <c r="F8" s="29"/>
      <c r="G8" s="30"/>
      <c r="H8" s="31"/>
      <c r="I8" s="32"/>
      <c r="J8" s="33"/>
      <c r="K8" s="34"/>
      <c r="L8" s="34"/>
      <c r="M8" s="35"/>
      <c r="N8" s="35"/>
      <c r="O8" s="36"/>
    </row>
    <row r="9" spans="1:15" s="37" customFormat="1" ht="24" hidden="1" customHeight="1" x14ac:dyDescent="0.3">
      <c r="A9" s="38"/>
      <c r="B9" s="25"/>
      <c r="C9" s="26"/>
      <c r="D9" s="27"/>
      <c r="E9" s="28"/>
      <c r="F9" s="29"/>
      <c r="G9" s="30"/>
      <c r="H9" s="31"/>
      <c r="I9" s="32"/>
      <c r="J9" s="33"/>
      <c r="K9" s="34"/>
      <c r="L9" s="34"/>
      <c r="M9" s="35"/>
      <c r="N9" s="35"/>
      <c r="O9" s="36"/>
    </row>
    <row r="10" spans="1:15" s="1" customFormat="1" ht="24" hidden="1" customHeight="1" x14ac:dyDescent="0.3">
      <c r="A10" s="39"/>
      <c r="B10" s="25"/>
      <c r="C10" s="40"/>
      <c r="D10" s="41"/>
      <c r="E10" s="42"/>
      <c r="F10" s="43"/>
      <c r="G10" s="44"/>
      <c r="H10" s="45"/>
      <c r="I10" s="46"/>
    </row>
    <row r="11" spans="1:15" s="1" customFormat="1" ht="24" hidden="1" customHeight="1" x14ac:dyDescent="0.3">
      <c r="A11" s="47"/>
      <c r="B11" s="48"/>
      <c r="C11" s="40"/>
      <c r="D11" s="41"/>
      <c r="E11" s="42"/>
      <c r="F11" s="43"/>
      <c r="G11" s="44"/>
      <c r="H11" s="45"/>
      <c r="I11" s="46"/>
    </row>
    <row r="12" spans="1:15" s="1" customFormat="1" ht="24" hidden="1" customHeight="1" x14ac:dyDescent="0.3">
      <c r="A12" s="47"/>
      <c r="B12" s="48"/>
      <c r="C12" s="40"/>
      <c r="D12" s="41"/>
      <c r="E12" s="42"/>
      <c r="F12" s="43"/>
      <c r="G12" s="44"/>
      <c r="H12" s="45"/>
      <c r="I12" s="46"/>
    </row>
    <row r="13" spans="1:15" s="1" customFormat="1" ht="24" hidden="1" customHeight="1" x14ac:dyDescent="0.3">
      <c r="A13" s="47"/>
      <c r="B13" s="48"/>
      <c r="C13" s="40"/>
      <c r="D13" s="49"/>
      <c r="E13" s="42"/>
      <c r="F13" s="43"/>
      <c r="G13" s="44"/>
      <c r="H13" s="45"/>
      <c r="I13" s="46"/>
    </row>
    <row r="14" spans="1:15" s="1" customFormat="1" ht="24" hidden="1" customHeight="1" x14ac:dyDescent="0.3">
      <c r="A14" s="47"/>
      <c r="B14" s="48"/>
      <c r="C14" s="40"/>
      <c r="D14" s="49"/>
      <c r="E14" s="42"/>
      <c r="F14" s="43"/>
      <c r="G14" s="44"/>
      <c r="H14" s="45"/>
      <c r="I14" s="46"/>
    </row>
    <row r="15" spans="1:15" s="1" customFormat="1" ht="24" hidden="1" customHeight="1" x14ac:dyDescent="0.3">
      <c r="A15" s="47"/>
      <c r="B15" s="48"/>
      <c r="C15" s="40"/>
      <c r="D15" s="49"/>
      <c r="E15" s="42"/>
      <c r="F15" s="43"/>
      <c r="G15" s="44"/>
      <c r="H15" s="45"/>
      <c r="I15" s="46"/>
    </row>
    <row r="16" spans="1:15" s="1" customFormat="1" ht="24" hidden="1" customHeight="1" x14ac:dyDescent="0.3">
      <c r="A16" s="47"/>
      <c r="B16" s="48"/>
      <c r="C16" s="40"/>
      <c r="D16" s="49"/>
      <c r="E16" s="42"/>
      <c r="F16" s="43"/>
      <c r="G16" s="44"/>
      <c r="H16" s="45"/>
      <c r="I16" s="46"/>
    </row>
    <row r="17" spans="1:9" s="1" customFormat="1" ht="24" hidden="1" customHeight="1" x14ac:dyDescent="0.3">
      <c r="A17" s="47"/>
      <c r="B17" s="48"/>
      <c r="C17" s="40"/>
      <c r="D17" s="49"/>
      <c r="E17" s="42"/>
      <c r="F17" s="43"/>
      <c r="G17" s="44"/>
      <c r="H17" s="45"/>
      <c r="I17" s="46"/>
    </row>
    <row r="18" spans="1:9" s="1" customFormat="1" ht="24" hidden="1" customHeight="1" x14ac:dyDescent="0.3">
      <c r="A18" s="47"/>
      <c r="B18" s="48"/>
      <c r="C18" s="40"/>
      <c r="D18" s="49"/>
      <c r="E18" s="42"/>
      <c r="F18" s="43"/>
      <c r="G18" s="44"/>
      <c r="H18" s="45"/>
      <c r="I18" s="46"/>
    </row>
    <row r="19" spans="1:9" s="1" customFormat="1" ht="24" hidden="1" customHeight="1" x14ac:dyDescent="0.3">
      <c r="A19" s="47"/>
      <c r="B19" s="48"/>
      <c r="C19" s="40"/>
      <c r="D19" s="49"/>
      <c r="E19" s="42"/>
      <c r="F19" s="43"/>
      <c r="G19" s="44"/>
      <c r="H19" s="45"/>
      <c r="I19" s="46"/>
    </row>
    <row r="20" spans="1:9" s="1" customFormat="1" ht="24" hidden="1" customHeight="1" x14ac:dyDescent="0.3">
      <c r="A20" s="47"/>
      <c r="B20" s="48"/>
      <c r="C20" s="40"/>
      <c r="D20" s="49"/>
      <c r="E20" s="42"/>
      <c r="F20" s="43"/>
      <c r="G20" s="44"/>
      <c r="H20" s="45"/>
      <c r="I20" s="46"/>
    </row>
    <row r="21" spans="1:9" s="1" customFormat="1" ht="24" hidden="1" customHeight="1" x14ac:dyDescent="0.3">
      <c r="A21" s="47"/>
      <c r="B21" s="48"/>
      <c r="C21" s="40"/>
      <c r="D21" s="49"/>
      <c r="E21" s="42"/>
      <c r="F21" s="43"/>
      <c r="G21" s="44"/>
      <c r="H21" s="45"/>
      <c r="I21" s="46"/>
    </row>
    <row r="22" spans="1:9" s="1" customFormat="1" ht="24" hidden="1" customHeight="1" x14ac:dyDescent="0.3">
      <c r="A22" s="47"/>
      <c r="B22" s="48"/>
      <c r="C22" s="40"/>
      <c r="D22" s="49"/>
      <c r="E22" s="42"/>
      <c r="F22" s="43"/>
      <c r="G22" s="44"/>
      <c r="H22" s="45"/>
      <c r="I22" s="46"/>
    </row>
    <row r="23" spans="1:9" s="1" customFormat="1" ht="24" hidden="1" customHeight="1" x14ac:dyDescent="0.3">
      <c r="A23" s="47"/>
      <c r="B23" s="48"/>
      <c r="C23" s="40"/>
      <c r="D23" s="50"/>
      <c r="E23" s="42"/>
      <c r="F23" s="43"/>
      <c r="G23" s="44"/>
      <c r="H23" s="45"/>
      <c r="I23" s="46"/>
    </row>
    <row r="24" spans="1:9" s="1" customFormat="1" ht="24" hidden="1" customHeight="1" x14ac:dyDescent="0.3">
      <c r="A24" s="47"/>
      <c r="B24" s="48"/>
      <c r="C24" s="40"/>
      <c r="D24" s="50"/>
      <c r="E24" s="42"/>
      <c r="F24" s="43"/>
      <c r="G24" s="44"/>
      <c r="H24" s="45"/>
      <c r="I24" s="46"/>
    </row>
    <row r="25" spans="1:9" s="1" customFormat="1" ht="24" hidden="1" customHeight="1" x14ac:dyDescent="0.3">
      <c r="A25" s="47"/>
      <c r="B25" s="48"/>
      <c r="C25" s="40"/>
      <c r="D25" s="51"/>
      <c r="E25" s="42"/>
      <c r="F25" s="43"/>
      <c r="G25" s="44"/>
      <c r="H25" s="45"/>
      <c r="I25" s="46"/>
    </row>
    <row r="26" spans="1:9" s="1" customFormat="1" ht="24" hidden="1" customHeight="1" x14ac:dyDescent="0.3">
      <c r="A26" s="47"/>
      <c r="B26" s="52"/>
      <c r="C26" s="40"/>
      <c r="D26" s="51"/>
      <c r="E26" s="42"/>
      <c r="F26" s="43"/>
      <c r="G26" s="44"/>
      <c r="H26" s="45"/>
      <c r="I26" s="46"/>
    </row>
    <row r="27" spans="1:9" s="1" customFormat="1" ht="24" hidden="1" customHeight="1" x14ac:dyDescent="0.3">
      <c r="A27" s="47"/>
      <c r="B27" s="52"/>
      <c r="C27" s="40"/>
      <c r="D27" s="53"/>
      <c r="E27" s="42"/>
      <c r="F27" s="43"/>
      <c r="G27" s="44"/>
      <c r="H27" s="45"/>
      <c r="I27" s="46"/>
    </row>
    <row r="28" spans="1:9" s="1" customFormat="1" ht="24" hidden="1" customHeight="1" x14ac:dyDescent="0.3">
      <c r="A28" s="47"/>
      <c r="B28" s="52"/>
      <c r="C28" s="40"/>
      <c r="D28" s="53"/>
      <c r="E28" s="42"/>
      <c r="F28" s="43"/>
      <c r="G28" s="44"/>
      <c r="H28" s="45"/>
      <c r="I28" s="46"/>
    </row>
    <row r="29" spans="1:9" s="1" customFormat="1" ht="24" hidden="1" customHeight="1" x14ac:dyDescent="0.3">
      <c r="A29" s="47"/>
      <c r="B29" s="52"/>
      <c r="C29" s="40"/>
      <c r="D29" s="53"/>
      <c r="E29" s="42"/>
      <c r="F29" s="43"/>
      <c r="G29" s="44"/>
      <c r="H29" s="45"/>
      <c r="I29" s="46"/>
    </row>
    <row r="30" spans="1:9" s="1" customFormat="1" ht="24" hidden="1" customHeight="1" x14ac:dyDescent="0.3">
      <c r="A30" s="54"/>
      <c r="B30" s="52"/>
      <c r="C30" s="40"/>
      <c r="D30" s="53"/>
      <c r="E30" s="42"/>
      <c r="F30" s="43"/>
      <c r="G30" s="44"/>
      <c r="H30" s="45"/>
      <c r="I30" s="46"/>
    </row>
    <row r="31" spans="1:9" s="1" customFormat="1" ht="24" hidden="1" customHeight="1" x14ac:dyDescent="0.3">
      <c r="A31" s="54"/>
      <c r="B31" s="52"/>
      <c r="C31" s="40"/>
      <c r="D31" s="53"/>
      <c r="E31" s="42"/>
      <c r="F31" s="43"/>
      <c r="G31" s="44"/>
      <c r="H31" s="45"/>
      <c r="I31" s="46"/>
    </row>
    <row r="32" spans="1:9" s="1" customFormat="1" ht="24" hidden="1" customHeight="1" x14ac:dyDescent="0.3">
      <c r="A32" s="54"/>
      <c r="B32" s="52"/>
      <c r="C32" s="40"/>
      <c r="D32" s="53"/>
      <c r="E32" s="42"/>
      <c r="F32" s="43"/>
      <c r="G32" s="44"/>
      <c r="H32" s="45"/>
      <c r="I32" s="46"/>
    </row>
    <row r="33" spans="1:17" s="1" customFormat="1" ht="24" hidden="1" customHeight="1" x14ac:dyDescent="0.3">
      <c r="A33" s="54"/>
      <c r="B33" s="48"/>
      <c r="C33" s="40"/>
      <c r="D33" s="53"/>
      <c r="E33" s="42"/>
      <c r="F33" s="43"/>
      <c r="G33" s="44"/>
      <c r="H33" s="45"/>
      <c r="I33" s="46"/>
    </row>
    <row r="34" spans="1:17" s="1" customFormat="1" ht="24" hidden="1" customHeight="1" x14ac:dyDescent="0.3">
      <c r="A34" s="54"/>
      <c r="B34" s="48"/>
      <c r="C34" s="40"/>
      <c r="D34" s="55"/>
      <c r="E34" s="42"/>
      <c r="F34" s="43"/>
      <c r="G34" s="44"/>
      <c r="H34" s="45"/>
      <c r="I34" s="46"/>
    </row>
    <row r="35" spans="1:17" s="1" customFormat="1" ht="24" hidden="1" customHeight="1" x14ac:dyDescent="0.3">
      <c r="A35" s="54"/>
      <c r="B35" s="48"/>
      <c r="C35" s="40"/>
      <c r="D35" s="55"/>
      <c r="E35" s="42"/>
      <c r="F35" s="43"/>
      <c r="G35" s="44"/>
      <c r="H35" s="45"/>
      <c r="I35" s="46"/>
    </row>
    <row r="36" spans="1:17" s="1" customFormat="1" ht="24" hidden="1" customHeight="1" x14ac:dyDescent="0.3">
      <c r="A36" s="54"/>
      <c r="B36" s="48"/>
      <c r="C36" s="40"/>
      <c r="D36" s="56"/>
      <c r="E36" s="42"/>
      <c r="F36" s="43"/>
      <c r="G36" s="44"/>
      <c r="H36" s="45"/>
      <c r="I36" s="46"/>
    </row>
    <row r="37" spans="1:17" s="1" customFormat="1" ht="24" hidden="1" customHeight="1" x14ac:dyDescent="0.3">
      <c r="A37" s="54"/>
      <c r="B37" s="48"/>
      <c r="C37" s="40"/>
      <c r="D37" s="56"/>
      <c r="E37" s="42"/>
      <c r="F37" s="43"/>
      <c r="G37" s="44"/>
      <c r="H37" s="45"/>
      <c r="I37" s="46"/>
    </row>
    <row r="38" spans="1:17" s="1" customFormat="1" ht="24" hidden="1" customHeight="1" x14ac:dyDescent="0.3">
      <c r="A38" s="54"/>
      <c r="B38" s="48"/>
      <c r="C38" s="40"/>
      <c r="D38" s="57"/>
      <c r="E38" s="42"/>
      <c r="F38" s="43"/>
      <c r="G38" s="44"/>
      <c r="H38" s="45"/>
      <c r="I38" s="46"/>
    </row>
    <row r="39" spans="1:17" s="1" customFormat="1" ht="24" hidden="1" customHeight="1" x14ac:dyDescent="0.3">
      <c r="A39" s="58"/>
      <c r="B39" s="59"/>
      <c r="C39" s="60"/>
      <c r="D39" s="61"/>
      <c r="E39" s="62"/>
      <c r="F39" s="63"/>
      <c r="G39" s="64"/>
      <c r="H39" s="65"/>
      <c r="I39" s="66"/>
    </row>
    <row r="40" spans="1:17" s="1" customFormat="1" ht="24" customHeight="1" x14ac:dyDescent="0.3">
      <c r="A40" s="18"/>
      <c r="B40" s="67"/>
      <c r="C40" s="68"/>
      <c r="D40" s="68"/>
      <c r="E40" s="69" t="s">
        <v>30</v>
      </c>
      <c r="F40" s="70">
        <f>SUM(F8:F39)</f>
        <v>0</v>
      </c>
      <c r="G40" s="71">
        <f>SUM(G8:G39)</f>
        <v>0</v>
      </c>
      <c r="H40" s="24"/>
      <c r="I40" s="72"/>
      <c r="O40" s="73"/>
    </row>
    <row r="41" spans="1:17" s="1" customFormat="1" ht="24" customHeight="1" x14ac:dyDescent="0.3">
      <c r="A41" s="18"/>
      <c r="B41" s="74" t="s">
        <v>31</v>
      </c>
      <c r="C41" s="75"/>
      <c r="D41" s="76"/>
      <c r="E41" s="77"/>
      <c r="F41" s="78"/>
      <c r="G41" s="79"/>
      <c r="H41" s="45"/>
      <c r="I41" s="80"/>
    </row>
    <row r="42" spans="1:17" s="1" customFormat="1" ht="24" hidden="1" customHeight="1" x14ac:dyDescent="0.3">
      <c r="A42" s="18"/>
      <c r="B42" s="48"/>
      <c r="C42" s="81"/>
      <c r="D42" s="56"/>
      <c r="E42" s="77"/>
      <c r="F42" s="78"/>
      <c r="G42" s="79"/>
      <c r="H42" s="45"/>
      <c r="I42" s="80"/>
    </row>
    <row r="43" spans="1:17" s="1" customFormat="1" ht="24" customHeight="1" x14ac:dyDescent="0.3">
      <c r="A43" s="18"/>
      <c r="B43" s="67"/>
      <c r="C43" s="68"/>
      <c r="D43" s="68"/>
      <c r="E43" s="69" t="s">
        <v>32</v>
      </c>
      <c r="F43" s="82">
        <f>SUM(F41:F42)</f>
        <v>0</v>
      </c>
      <c r="G43" s="83">
        <f>SUM(G41:G42)</f>
        <v>0</v>
      </c>
      <c r="H43" s="24"/>
      <c r="I43" s="72"/>
    </row>
    <row r="44" spans="1:17" s="37" customFormat="1" ht="24" customHeight="1" x14ac:dyDescent="0.3">
      <c r="C44" s="84"/>
      <c r="D44" s="84"/>
      <c r="E44" s="84"/>
      <c r="F44" s="85"/>
      <c r="G44" s="85"/>
      <c r="H44" s="84"/>
      <c r="I44" s="86"/>
      <c r="N44"/>
      <c r="O44"/>
      <c r="P44"/>
      <c r="Q44"/>
    </row>
    <row r="45" spans="1:17" s="37" customFormat="1" ht="24" customHeight="1" x14ac:dyDescent="0.3">
      <c r="B45" s="12" t="s">
        <v>33</v>
      </c>
      <c r="C45" s="13"/>
      <c r="D45" s="13"/>
      <c r="E45" s="14"/>
      <c r="F45" s="87"/>
      <c r="G45" s="87"/>
      <c r="H45" s="88"/>
      <c r="I45" s="89"/>
      <c r="J45" s="90"/>
      <c r="K45" s="37" t="s">
        <v>34</v>
      </c>
      <c r="N45"/>
      <c r="O45"/>
      <c r="P45"/>
      <c r="Q45"/>
    </row>
    <row r="46" spans="1:17" s="37" customFormat="1" ht="24" customHeight="1" x14ac:dyDescent="0.3">
      <c r="A46" s="18" t="s">
        <v>16</v>
      </c>
      <c r="B46" s="19" t="s">
        <v>17</v>
      </c>
      <c r="C46" s="19" t="s">
        <v>18</v>
      </c>
      <c r="D46" s="196" t="s">
        <v>19</v>
      </c>
      <c r="E46" s="195"/>
      <c r="F46" s="21" t="s">
        <v>20</v>
      </c>
      <c r="G46" s="22" t="s">
        <v>21</v>
      </c>
      <c r="H46" s="23" t="s">
        <v>22</v>
      </c>
      <c r="I46" s="20" t="s">
        <v>23</v>
      </c>
      <c r="J46" s="90"/>
      <c r="N46"/>
      <c r="O46"/>
      <c r="P46"/>
      <c r="Q46"/>
    </row>
    <row r="47" spans="1:17" s="37" customFormat="1" ht="24" customHeight="1" x14ac:dyDescent="0.3">
      <c r="A47" s="18" t="s">
        <v>158</v>
      </c>
      <c r="B47" s="25" t="s">
        <v>35</v>
      </c>
      <c r="C47" s="91" t="s">
        <v>132</v>
      </c>
      <c r="D47" s="53" t="s">
        <v>141</v>
      </c>
      <c r="E47" s="92"/>
      <c r="F47" s="93"/>
      <c r="G47" s="188">
        <v>3563860</v>
      </c>
      <c r="H47" s="95" t="s">
        <v>152</v>
      </c>
      <c r="I47" s="46" t="s">
        <v>153</v>
      </c>
      <c r="J47" s="33"/>
      <c r="K47" s="34"/>
      <c r="L47" s="34"/>
      <c r="M47" s="35"/>
      <c r="N47"/>
      <c r="O47"/>
      <c r="P47"/>
      <c r="Q47"/>
    </row>
    <row r="48" spans="1:17" s="37" customFormat="1" ht="24" customHeight="1" x14ac:dyDescent="0.3">
      <c r="A48" s="18" t="s">
        <v>158</v>
      </c>
      <c r="B48" s="48"/>
      <c r="C48" s="91" t="s">
        <v>133</v>
      </c>
      <c r="D48" s="55" t="s">
        <v>142</v>
      </c>
      <c r="E48" s="92"/>
      <c r="F48" s="93"/>
      <c r="G48" s="188">
        <v>356380</v>
      </c>
      <c r="H48" s="95" t="s">
        <v>151</v>
      </c>
      <c r="I48" s="46" t="s">
        <v>155</v>
      </c>
      <c r="J48" s="33"/>
      <c r="K48" s="34"/>
      <c r="L48" s="34"/>
      <c r="M48" s="35"/>
      <c r="N48"/>
      <c r="O48"/>
      <c r="P48"/>
      <c r="Q48"/>
    </row>
    <row r="49" spans="1:17" s="37" customFormat="1" ht="24" customHeight="1" x14ac:dyDescent="0.3">
      <c r="A49" s="18" t="s">
        <v>159</v>
      </c>
      <c r="B49" s="25"/>
      <c r="C49" s="91" t="s">
        <v>165</v>
      </c>
      <c r="D49" s="53" t="s">
        <v>167</v>
      </c>
      <c r="E49" s="92"/>
      <c r="F49" s="93"/>
      <c r="G49" s="188">
        <v>1678060</v>
      </c>
      <c r="H49" s="95" t="s">
        <v>151</v>
      </c>
      <c r="I49" s="46" t="s">
        <v>154</v>
      </c>
      <c r="J49" s="33"/>
      <c r="K49" s="34"/>
      <c r="L49" s="34"/>
      <c r="M49" s="35"/>
      <c r="N49"/>
      <c r="O49"/>
      <c r="P49"/>
      <c r="Q49"/>
    </row>
    <row r="50" spans="1:17" s="37" customFormat="1" ht="24" customHeight="1" x14ac:dyDescent="0.3">
      <c r="A50" s="18" t="s">
        <v>170</v>
      </c>
      <c r="B50" s="25"/>
      <c r="C50" s="91" t="s">
        <v>164</v>
      </c>
      <c r="D50" s="53" t="s">
        <v>168</v>
      </c>
      <c r="E50" s="92"/>
      <c r="F50" s="93"/>
      <c r="G50" s="188">
        <v>1165240</v>
      </c>
      <c r="H50" s="95" t="s">
        <v>151</v>
      </c>
      <c r="I50" s="46" t="s">
        <v>171</v>
      </c>
      <c r="J50" s="33"/>
      <c r="K50" s="34"/>
      <c r="L50" s="34"/>
      <c r="M50" s="35"/>
      <c r="N50"/>
      <c r="O50"/>
      <c r="P50"/>
      <c r="Q50"/>
    </row>
    <row r="51" spans="1:17" s="37" customFormat="1" ht="24" customHeight="1" x14ac:dyDescent="0.3">
      <c r="A51" s="18" t="s">
        <v>170</v>
      </c>
      <c r="B51" s="25"/>
      <c r="C51" s="91" t="s">
        <v>166</v>
      </c>
      <c r="D51" s="53" t="s">
        <v>169</v>
      </c>
      <c r="E51" s="92"/>
      <c r="F51" s="93"/>
      <c r="G51" s="188">
        <f>118010-250</f>
        <v>117760</v>
      </c>
      <c r="H51" s="95" t="s">
        <v>151</v>
      </c>
      <c r="I51" s="46" t="s">
        <v>171</v>
      </c>
      <c r="J51" s="33"/>
      <c r="K51" s="34"/>
      <c r="L51" s="34"/>
      <c r="M51" s="35"/>
      <c r="N51"/>
      <c r="O51"/>
      <c r="P51"/>
      <c r="Q51"/>
    </row>
    <row r="52" spans="1:17" s="37" customFormat="1" ht="24" customHeight="1" x14ac:dyDescent="0.3">
      <c r="A52" s="18" t="s">
        <v>170</v>
      </c>
      <c r="B52" s="25"/>
      <c r="C52" s="91" t="s">
        <v>166</v>
      </c>
      <c r="D52" s="53" t="s">
        <v>169</v>
      </c>
      <c r="E52" s="92"/>
      <c r="F52" s="93"/>
      <c r="G52" s="188">
        <f>43180-250</f>
        <v>42930</v>
      </c>
      <c r="H52" s="95" t="s">
        <v>151</v>
      </c>
      <c r="I52" s="46" t="s">
        <v>171</v>
      </c>
      <c r="J52" s="33"/>
      <c r="K52" s="34"/>
      <c r="L52" s="34"/>
      <c r="M52" s="35"/>
      <c r="N52"/>
      <c r="O52"/>
      <c r="P52"/>
      <c r="Q52"/>
    </row>
    <row r="53" spans="1:17" s="37" customFormat="1" ht="24" customHeight="1" x14ac:dyDescent="0.3">
      <c r="A53" s="18" t="s">
        <v>160</v>
      </c>
      <c r="B53" s="25"/>
      <c r="C53" s="91" t="s">
        <v>134</v>
      </c>
      <c r="D53" s="53" t="s">
        <v>143</v>
      </c>
      <c r="E53" s="92"/>
      <c r="F53" s="93"/>
      <c r="G53" s="188">
        <v>1466670</v>
      </c>
      <c r="H53" s="95" t="s">
        <v>156</v>
      </c>
      <c r="I53" s="46" t="s">
        <v>154</v>
      </c>
      <c r="J53" s="33"/>
      <c r="K53" s="34"/>
      <c r="L53" s="34"/>
      <c r="M53" s="35"/>
      <c r="N53"/>
      <c r="O53"/>
      <c r="P53"/>
      <c r="Q53"/>
    </row>
    <row r="54" spans="1:17" s="37" customFormat="1" ht="24" customHeight="1" x14ac:dyDescent="0.3">
      <c r="A54" s="18" t="s">
        <v>161</v>
      </c>
      <c r="B54" s="25"/>
      <c r="C54" s="91" t="s">
        <v>134</v>
      </c>
      <c r="D54" s="53" t="s">
        <v>144</v>
      </c>
      <c r="E54" s="92"/>
      <c r="F54" s="93"/>
      <c r="G54" s="188">
        <v>476281</v>
      </c>
      <c r="H54" s="95" t="s">
        <v>151</v>
      </c>
      <c r="I54" s="46" t="s">
        <v>157</v>
      </c>
      <c r="J54" s="33"/>
      <c r="K54" s="34"/>
      <c r="L54" s="34"/>
      <c r="M54" s="35"/>
      <c r="N54"/>
      <c r="O54"/>
      <c r="P54"/>
      <c r="Q54"/>
    </row>
    <row r="55" spans="1:17" s="37" customFormat="1" ht="24" customHeight="1" x14ac:dyDescent="0.3">
      <c r="A55" s="18" t="s">
        <v>160</v>
      </c>
      <c r="B55" s="25"/>
      <c r="C55" s="91" t="s">
        <v>135</v>
      </c>
      <c r="D55" s="53" t="s">
        <v>145</v>
      </c>
      <c r="E55" s="92"/>
      <c r="F55" s="93"/>
      <c r="G55" s="188">
        <v>461810</v>
      </c>
      <c r="H55" s="95" t="s">
        <v>151</v>
      </c>
      <c r="I55" s="46"/>
      <c r="J55" s="33"/>
      <c r="K55" s="34"/>
      <c r="L55" s="34"/>
      <c r="M55" s="35"/>
      <c r="N55"/>
      <c r="O55"/>
      <c r="P55"/>
      <c r="Q55"/>
    </row>
    <row r="56" spans="1:17" s="37" customFormat="1" ht="24" customHeight="1" x14ac:dyDescent="0.3">
      <c r="A56" s="18" t="s">
        <v>162</v>
      </c>
      <c r="B56" s="25"/>
      <c r="C56" s="91" t="s">
        <v>136</v>
      </c>
      <c r="D56" s="53" t="s">
        <v>146</v>
      </c>
      <c r="E56" s="92"/>
      <c r="F56" s="93"/>
      <c r="G56" s="188">
        <v>216000</v>
      </c>
      <c r="H56" s="95" t="s">
        <v>151</v>
      </c>
      <c r="I56" s="46"/>
      <c r="J56" s="33"/>
      <c r="K56" s="34"/>
      <c r="L56" s="34"/>
      <c r="M56" s="35"/>
      <c r="N56"/>
      <c r="O56"/>
      <c r="P56"/>
      <c r="Q56"/>
    </row>
    <row r="57" spans="1:17" s="1" customFormat="1" ht="24" customHeight="1" x14ac:dyDescent="0.3">
      <c r="A57" s="47" t="s">
        <v>163</v>
      </c>
      <c r="B57" s="25"/>
      <c r="C57" s="40" t="s">
        <v>137</v>
      </c>
      <c r="D57" s="96" t="s">
        <v>147</v>
      </c>
      <c r="E57" s="42"/>
      <c r="F57" s="43"/>
      <c r="G57" s="189">
        <v>110000</v>
      </c>
      <c r="H57" s="45" t="s">
        <v>151</v>
      </c>
      <c r="I57" s="46"/>
      <c r="N57"/>
      <c r="O57"/>
      <c r="P57"/>
      <c r="Q57"/>
    </row>
    <row r="58" spans="1:17" s="1" customFormat="1" ht="24" customHeight="1" x14ac:dyDescent="0.3">
      <c r="A58" s="47" t="s">
        <v>163</v>
      </c>
      <c r="B58" s="25"/>
      <c r="C58" s="40" t="s">
        <v>138</v>
      </c>
      <c r="D58" s="96" t="s">
        <v>148</v>
      </c>
      <c r="E58" s="42"/>
      <c r="F58" s="43"/>
      <c r="G58" s="189">
        <v>99000</v>
      </c>
      <c r="H58" s="45" t="s">
        <v>151</v>
      </c>
      <c r="I58" s="46"/>
      <c r="N58"/>
      <c r="O58"/>
      <c r="P58"/>
      <c r="Q58"/>
    </row>
    <row r="59" spans="1:17" s="1" customFormat="1" ht="24" customHeight="1" x14ac:dyDescent="0.3">
      <c r="A59" s="47" t="s">
        <v>162</v>
      </c>
      <c r="B59" s="25"/>
      <c r="C59" s="40" t="s">
        <v>139</v>
      </c>
      <c r="D59" s="96" t="s">
        <v>149</v>
      </c>
      <c r="E59" s="42"/>
      <c r="F59" s="43"/>
      <c r="G59" s="189">
        <v>55956</v>
      </c>
      <c r="H59" s="45" t="s">
        <v>151</v>
      </c>
      <c r="I59" s="46"/>
    </row>
    <row r="60" spans="1:17" s="1" customFormat="1" ht="24" customHeight="1" x14ac:dyDescent="0.3">
      <c r="A60" s="47" t="s">
        <v>162</v>
      </c>
      <c r="B60" s="25"/>
      <c r="C60" s="40" t="s">
        <v>140</v>
      </c>
      <c r="D60" s="96" t="s">
        <v>150</v>
      </c>
      <c r="E60" s="42"/>
      <c r="F60" s="43"/>
      <c r="G60" s="189">
        <v>13700</v>
      </c>
      <c r="H60" s="45" t="s">
        <v>151</v>
      </c>
      <c r="I60" s="46"/>
    </row>
    <row r="61" spans="1:17" s="37" customFormat="1" ht="24" hidden="1" customHeight="1" x14ac:dyDescent="0.3">
      <c r="A61" s="47"/>
      <c r="B61" s="48"/>
      <c r="C61" s="91"/>
      <c r="D61" s="53"/>
      <c r="E61" s="92"/>
      <c r="F61" s="93"/>
      <c r="G61" s="94"/>
      <c r="H61" s="45"/>
      <c r="I61" s="46"/>
      <c r="J61" s="90"/>
    </row>
    <row r="62" spans="1:17" s="37" customFormat="1" ht="24" hidden="1" customHeight="1" x14ac:dyDescent="0.3">
      <c r="A62" s="18"/>
      <c r="B62" s="48"/>
      <c r="C62" s="91"/>
      <c r="D62" s="53"/>
      <c r="E62" s="92"/>
      <c r="F62" s="93"/>
      <c r="G62" s="94"/>
      <c r="H62" s="45"/>
      <c r="I62" s="46"/>
      <c r="J62" s="90"/>
    </row>
    <row r="63" spans="1:17" s="37" customFormat="1" ht="24" hidden="1" customHeight="1" x14ac:dyDescent="0.3">
      <c r="A63" s="18"/>
      <c r="B63" s="48"/>
      <c r="C63" s="91"/>
      <c r="D63" s="53"/>
      <c r="E63" s="92"/>
      <c r="F63" s="93"/>
      <c r="G63" s="94"/>
      <c r="H63" s="45"/>
      <c r="I63" s="46"/>
      <c r="J63" s="90"/>
    </row>
    <row r="64" spans="1:17" s="37" customFormat="1" ht="24" hidden="1" customHeight="1" x14ac:dyDescent="0.3">
      <c r="A64" s="47"/>
      <c r="B64" s="48"/>
      <c r="C64" s="91"/>
      <c r="D64" s="53"/>
      <c r="E64" s="92"/>
      <c r="F64" s="93"/>
      <c r="G64" s="94"/>
      <c r="H64" s="45"/>
      <c r="I64" s="46"/>
      <c r="J64" s="90"/>
    </row>
    <row r="65" spans="1:14" s="37" customFormat="1" ht="24" hidden="1" customHeight="1" x14ac:dyDescent="0.3">
      <c r="A65" s="18"/>
      <c r="B65" s="48"/>
      <c r="C65" s="91"/>
      <c r="D65" s="53"/>
      <c r="E65" s="92"/>
      <c r="F65" s="93"/>
      <c r="G65" s="94"/>
      <c r="H65" s="95"/>
      <c r="I65" s="46"/>
      <c r="J65" s="90"/>
    </row>
    <row r="66" spans="1:14" s="37" customFormat="1" ht="24" hidden="1" customHeight="1" x14ac:dyDescent="0.3">
      <c r="A66" s="18"/>
      <c r="B66" s="48"/>
      <c r="C66" s="91"/>
      <c r="D66" s="53"/>
      <c r="E66" s="92"/>
      <c r="F66" s="93"/>
      <c r="G66" s="94"/>
      <c r="H66" s="95"/>
      <c r="I66" s="46"/>
      <c r="J66" s="90"/>
    </row>
    <row r="67" spans="1:14" s="37" customFormat="1" ht="24" hidden="1" customHeight="1" x14ac:dyDescent="0.3">
      <c r="A67" s="18"/>
      <c r="B67" s="48"/>
      <c r="C67" s="91"/>
      <c r="D67" s="53"/>
      <c r="E67" s="92"/>
      <c r="F67" s="93"/>
      <c r="G67" s="94"/>
      <c r="H67" s="95"/>
      <c r="I67" s="46"/>
      <c r="J67" s="90"/>
    </row>
    <row r="68" spans="1:14" s="37" customFormat="1" ht="24" hidden="1" customHeight="1" x14ac:dyDescent="0.3">
      <c r="A68" s="18"/>
      <c r="B68" s="48"/>
      <c r="C68" s="91"/>
      <c r="D68" s="53"/>
      <c r="E68" s="92"/>
      <c r="F68" s="93"/>
      <c r="G68" s="94"/>
      <c r="H68" s="95"/>
      <c r="I68" s="46"/>
      <c r="J68" s="33"/>
      <c r="K68" s="34"/>
      <c r="L68" s="34"/>
      <c r="M68" s="35"/>
      <c r="N68" s="34"/>
    </row>
    <row r="69" spans="1:14" s="37" customFormat="1" ht="24" hidden="1" customHeight="1" x14ac:dyDescent="0.3">
      <c r="A69" s="18"/>
      <c r="B69" s="48"/>
      <c r="C69" s="91"/>
      <c r="D69" s="53"/>
      <c r="E69" s="92"/>
      <c r="F69" s="93"/>
      <c r="G69" s="94"/>
      <c r="H69" s="95"/>
      <c r="I69" s="46"/>
      <c r="J69" s="90"/>
    </row>
    <row r="70" spans="1:14" s="37" customFormat="1" ht="24" hidden="1" customHeight="1" x14ac:dyDescent="0.3">
      <c r="A70" s="18"/>
      <c r="B70" s="48"/>
      <c r="C70" s="91"/>
      <c r="D70" s="53"/>
      <c r="E70" s="92"/>
      <c r="F70" s="93"/>
      <c r="G70" s="94"/>
      <c r="H70" s="95"/>
      <c r="I70" s="46"/>
      <c r="J70" s="90"/>
    </row>
    <row r="71" spans="1:14" s="37" customFormat="1" ht="24" hidden="1" customHeight="1" x14ac:dyDescent="0.3">
      <c r="A71" s="18"/>
      <c r="B71" s="48"/>
      <c r="C71" s="91"/>
      <c r="D71" s="53"/>
      <c r="E71" s="92"/>
      <c r="F71" s="93"/>
      <c r="G71" s="94"/>
      <c r="H71" s="95"/>
      <c r="I71" s="46"/>
      <c r="J71" s="90"/>
    </row>
    <row r="72" spans="1:14" s="37" customFormat="1" ht="24" hidden="1" customHeight="1" x14ac:dyDescent="0.3">
      <c r="A72" s="18"/>
      <c r="B72" s="48"/>
      <c r="C72" s="91"/>
      <c r="D72" s="53"/>
      <c r="E72" s="92"/>
      <c r="F72" s="93"/>
      <c r="G72" s="94"/>
      <c r="H72" s="95"/>
      <c r="I72" s="46"/>
      <c r="J72" s="90"/>
    </row>
    <row r="73" spans="1:14" s="37" customFormat="1" ht="24" hidden="1" customHeight="1" x14ac:dyDescent="0.3">
      <c r="A73" s="18"/>
      <c r="B73" s="48"/>
      <c r="C73" s="91"/>
      <c r="D73" s="53"/>
      <c r="E73" s="92"/>
      <c r="F73" s="93"/>
      <c r="G73" s="94"/>
      <c r="H73" s="95"/>
      <c r="I73" s="46"/>
      <c r="J73" s="90"/>
    </row>
    <row r="74" spans="1:14" s="37" customFormat="1" ht="24" hidden="1" customHeight="1" x14ac:dyDescent="0.3">
      <c r="A74" s="18"/>
      <c r="B74" s="48"/>
      <c r="C74" s="91"/>
      <c r="D74" s="53"/>
      <c r="E74" s="92"/>
      <c r="F74" s="93"/>
      <c r="G74" s="94"/>
      <c r="H74" s="95"/>
      <c r="I74" s="46"/>
      <c r="J74" s="90"/>
    </row>
    <row r="75" spans="1:14" s="37" customFormat="1" ht="24" hidden="1" customHeight="1" x14ac:dyDescent="0.3">
      <c r="A75" s="18"/>
      <c r="B75" s="48"/>
      <c r="C75" s="91"/>
      <c r="D75" s="53"/>
      <c r="E75" s="92"/>
      <c r="F75" s="93"/>
      <c r="G75" s="94"/>
      <c r="H75" s="95"/>
      <c r="I75" s="46"/>
      <c r="J75" s="90"/>
    </row>
    <row r="76" spans="1:14" s="37" customFormat="1" ht="24" hidden="1" customHeight="1" x14ac:dyDescent="0.3">
      <c r="A76" s="18"/>
      <c r="B76" s="48"/>
      <c r="C76" s="91"/>
      <c r="D76" s="53"/>
      <c r="E76" s="92"/>
      <c r="F76" s="93"/>
      <c r="G76" s="94"/>
      <c r="H76" s="95"/>
      <c r="I76" s="46"/>
      <c r="J76" s="90"/>
    </row>
    <row r="77" spans="1:14" s="37" customFormat="1" ht="24" hidden="1" customHeight="1" x14ac:dyDescent="0.3">
      <c r="A77" s="18"/>
      <c r="B77" s="48"/>
      <c r="C77" s="91"/>
      <c r="D77" s="53"/>
      <c r="E77" s="92"/>
      <c r="F77" s="93"/>
      <c r="G77" s="94"/>
      <c r="H77" s="95"/>
      <c r="I77" s="46"/>
      <c r="J77" s="90"/>
    </row>
    <row r="78" spans="1:14" s="37" customFormat="1" ht="24" hidden="1" customHeight="1" x14ac:dyDescent="0.3">
      <c r="A78" s="18"/>
      <c r="B78" s="48"/>
      <c r="C78" s="91"/>
      <c r="D78" s="53"/>
      <c r="E78" s="92"/>
      <c r="F78" s="93"/>
      <c r="G78" s="94"/>
      <c r="H78" s="95"/>
      <c r="I78" s="46"/>
      <c r="J78" s="90"/>
    </row>
    <row r="79" spans="1:14" s="37" customFormat="1" ht="24" hidden="1" customHeight="1" x14ac:dyDescent="0.3">
      <c r="A79" s="18"/>
      <c r="B79" s="48"/>
      <c r="C79" s="91"/>
      <c r="D79" s="53"/>
      <c r="E79" s="92"/>
      <c r="F79" s="93"/>
      <c r="G79" s="94"/>
      <c r="H79" s="95"/>
      <c r="I79" s="46"/>
      <c r="J79" s="90"/>
    </row>
    <row r="80" spans="1:14" s="37" customFormat="1" ht="24" hidden="1" customHeight="1" x14ac:dyDescent="0.3">
      <c r="A80" s="18"/>
      <c r="B80" s="48"/>
      <c r="C80" s="91"/>
      <c r="D80" s="53"/>
      <c r="E80" s="92"/>
      <c r="F80" s="93"/>
      <c r="G80" s="94"/>
      <c r="H80" s="95"/>
      <c r="I80" s="46"/>
      <c r="J80" s="90"/>
    </row>
    <row r="81" spans="1:10" s="37" customFormat="1" ht="24" hidden="1" customHeight="1" x14ac:dyDescent="0.3">
      <c r="A81" s="18"/>
      <c r="B81" s="48"/>
      <c r="C81" s="91"/>
      <c r="D81" s="53"/>
      <c r="E81" s="92"/>
      <c r="F81" s="93"/>
      <c r="G81" s="94"/>
      <c r="H81" s="95"/>
      <c r="I81" s="46"/>
      <c r="J81" s="90"/>
    </row>
    <row r="82" spans="1:10" s="37" customFormat="1" ht="24" hidden="1" customHeight="1" x14ac:dyDescent="0.3">
      <c r="A82" s="18"/>
      <c r="B82" s="48"/>
      <c r="C82" s="91"/>
      <c r="D82" s="53"/>
      <c r="E82" s="92"/>
      <c r="F82" s="93"/>
      <c r="G82" s="94"/>
      <c r="H82" s="95"/>
      <c r="I82" s="46"/>
      <c r="J82" s="90"/>
    </row>
    <row r="83" spans="1:10" s="37" customFormat="1" ht="24" hidden="1" customHeight="1" x14ac:dyDescent="0.3">
      <c r="A83" s="18"/>
      <c r="B83" s="48"/>
      <c r="C83" s="91"/>
      <c r="D83" s="53"/>
      <c r="E83" s="92"/>
      <c r="F83" s="93"/>
      <c r="G83" s="94"/>
      <c r="H83" s="95"/>
      <c r="I83" s="46"/>
      <c r="J83" s="90"/>
    </row>
    <row r="84" spans="1:10" s="37" customFormat="1" ht="24" hidden="1" customHeight="1" x14ac:dyDescent="0.3">
      <c r="A84" s="18"/>
      <c r="B84" s="48"/>
      <c r="C84" s="91"/>
      <c r="D84" s="53"/>
      <c r="E84" s="92"/>
      <c r="F84" s="93"/>
      <c r="G84" s="94"/>
      <c r="H84" s="95"/>
      <c r="I84" s="46"/>
      <c r="J84" s="90"/>
    </row>
    <row r="85" spans="1:10" s="37" customFormat="1" ht="24" hidden="1" customHeight="1" x14ac:dyDescent="0.3">
      <c r="A85" s="18"/>
      <c r="B85" s="48"/>
      <c r="C85" s="91"/>
      <c r="D85" s="53"/>
      <c r="E85" s="92"/>
      <c r="F85" s="93"/>
      <c r="G85" s="94"/>
      <c r="H85" s="95"/>
      <c r="I85" s="46"/>
      <c r="J85" s="90"/>
    </row>
    <row r="86" spans="1:10" s="37" customFormat="1" ht="24" hidden="1" customHeight="1" x14ac:dyDescent="0.3">
      <c r="A86" s="18"/>
      <c r="B86" s="48"/>
      <c r="C86" s="91"/>
      <c r="D86" s="53"/>
      <c r="E86" s="92"/>
      <c r="F86" s="93"/>
      <c r="G86" s="94"/>
      <c r="H86" s="95"/>
      <c r="I86" s="46"/>
      <c r="J86" s="90"/>
    </row>
    <row r="87" spans="1:10" s="37" customFormat="1" ht="24" hidden="1" customHeight="1" x14ac:dyDescent="0.3">
      <c r="A87" s="18"/>
      <c r="B87" s="48"/>
      <c r="C87" s="91"/>
      <c r="D87" s="53"/>
      <c r="E87" s="92"/>
      <c r="F87" s="93"/>
      <c r="G87" s="94"/>
      <c r="H87" s="95"/>
      <c r="I87" s="46"/>
      <c r="J87" s="90"/>
    </row>
    <row r="88" spans="1:10" s="37" customFormat="1" ht="24" hidden="1" customHeight="1" x14ac:dyDescent="0.3">
      <c r="A88" s="18"/>
      <c r="B88" s="48"/>
      <c r="C88" s="91"/>
      <c r="D88" s="53"/>
      <c r="E88" s="92"/>
      <c r="F88" s="93"/>
      <c r="G88" s="94"/>
      <c r="H88" s="95"/>
      <c r="I88" s="46"/>
      <c r="J88" s="90"/>
    </row>
    <row r="89" spans="1:10" s="37" customFormat="1" ht="24" hidden="1" customHeight="1" x14ac:dyDescent="0.3">
      <c r="A89" s="18"/>
      <c r="B89" s="48"/>
      <c r="C89" s="91"/>
      <c r="D89" s="53"/>
      <c r="E89" s="92"/>
      <c r="F89" s="93"/>
      <c r="G89" s="94"/>
      <c r="H89" s="95"/>
      <c r="I89" s="46"/>
      <c r="J89" s="90"/>
    </row>
    <row r="90" spans="1:10" s="37" customFormat="1" ht="24" hidden="1" customHeight="1" x14ac:dyDescent="0.3">
      <c r="A90" s="18"/>
      <c r="B90" s="48"/>
      <c r="C90" s="91"/>
      <c r="D90" s="53"/>
      <c r="E90" s="92"/>
      <c r="F90" s="93"/>
      <c r="G90" s="94"/>
      <c r="H90" s="95"/>
      <c r="I90" s="46"/>
      <c r="J90" s="90"/>
    </row>
    <row r="91" spans="1:10" s="37" customFormat="1" ht="24" hidden="1" customHeight="1" x14ac:dyDescent="0.3">
      <c r="A91" s="18"/>
      <c r="B91" s="48"/>
      <c r="C91" s="91"/>
      <c r="D91" s="53"/>
      <c r="E91" s="92"/>
      <c r="F91" s="93"/>
      <c r="G91" s="94"/>
      <c r="H91" s="95"/>
      <c r="I91" s="46"/>
      <c r="J91" s="90"/>
    </row>
    <row r="92" spans="1:10" s="37" customFormat="1" ht="24" hidden="1" customHeight="1" x14ac:dyDescent="0.3">
      <c r="A92" s="18"/>
      <c r="B92" s="48"/>
      <c r="C92" s="91"/>
      <c r="D92" s="53"/>
      <c r="E92" s="92"/>
      <c r="F92" s="93"/>
      <c r="G92" s="94"/>
      <c r="H92" s="95"/>
      <c r="I92" s="46"/>
      <c r="J92" s="90"/>
    </row>
    <row r="93" spans="1:10" s="37" customFormat="1" ht="24" hidden="1" customHeight="1" x14ac:dyDescent="0.3">
      <c r="A93" s="18"/>
      <c r="B93" s="48"/>
      <c r="C93" s="91"/>
      <c r="D93" s="53"/>
      <c r="E93" s="92"/>
      <c r="F93" s="93"/>
      <c r="G93" s="94"/>
      <c r="H93" s="95"/>
      <c r="I93" s="46"/>
      <c r="J93" s="90"/>
    </row>
    <row r="94" spans="1:10" s="37" customFormat="1" ht="24" hidden="1" customHeight="1" x14ac:dyDescent="0.3">
      <c r="A94" s="18"/>
      <c r="B94" s="48"/>
      <c r="C94" s="91"/>
      <c r="D94" s="53"/>
      <c r="E94" s="92"/>
      <c r="F94" s="93"/>
      <c r="G94" s="94"/>
      <c r="H94" s="95"/>
      <c r="I94" s="46"/>
      <c r="J94" s="90"/>
    </row>
    <row r="95" spans="1:10" s="37" customFormat="1" ht="24" hidden="1" customHeight="1" x14ac:dyDescent="0.3">
      <c r="A95" s="18"/>
      <c r="B95" s="48"/>
      <c r="C95" s="91"/>
      <c r="D95" s="53"/>
      <c r="E95" s="92"/>
      <c r="F95" s="93"/>
      <c r="G95" s="94"/>
      <c r="H95" s="95"/>
      <c r="I95" s="46"/>
      <c r="J95" s="90"/>
    </row>
    <row r="96" spans="1:10" s="37" customFormat="1" ht="24" hidden="1" customHeight="1" x14ac:dyDescent="0.3">
      <c r="A96" s="18"/>
      <c r="B96" s="48"/>
      <c r="C96" s="91"/>
      <c r="D96" s="53"/>
      <c r="E96" s="92"/>
      <c r="F96" s="93"/>
      <c r="G96" s="94"/>
      <c r="H96" s="95"/>
      <c r="I96" s="46"/>
      <c r="J96" s="90"/>
    </row>
    <row r="97" spans="1:13" s="37" customFormat="1" ht="24" hidden="1" customHeight="1" x14ac:dyDescent="0.3">
      <c r="A97" s="18"/>
      <c r="B97" s="48"/>
      <c r="C97" s="91"/>
      <c r="D97" s="53"/>
      <c r="E97" s="92"/>
      <c r="F97" s="93"/>
      <c r="G97" s="94"/>
      <c r="H97" s="95"/>
      <c r="I97" s="46"/>
      <c r="J97" s="90"/>
    </row>
    <row r="98" spans="1:13" s="37" customFormat="1" ht="24" hidden="1" customHeight="1" x14ac:dyDescent="0.3">
      <c r="A98" s="18"/>
      <c r="B98" s="48"/>
      <c r="C98" s="91"/>
      <c r="D98" s="53"/>
      <c r="E98" s="92"/>
      <c r="F98" s="93"/>
      <c r="G98" s="94"/>
      <c r="H98" s="95"/>
      <c r="I98" s="46"/>
      <c r="J98" s="90"/>
    </row>
    <row r="99" spans="1:13" s="37" customFormat="1" ht="24" hidden="1" customHeight="1" x14ac:dyDescent="0.3">
      <c r="A99" s="18"/>
      <c r="B99" s="48"/>
      <c r="C99" s="91"/>
      <c r="D99" s="53"/>
      <c r="E99" s="92"/>
      <c r="F99" s="93"/>
      <c r="G99" s="94"/>
      <c r="H99" s="95"/>
      <c r="I99" s="46"/>
      <c r="J99" s="90"/>
    </row>
    <row r="100" spans="1:13" s="37" customFormat="1" ht="24" hidden="1" customHeight="1" x14ac:dyDescent="0.3">
      <c r="A100" s="18"/>
      <c r="B100" s="48"/>
      <c r="C100" s="91"/>
      <c r="D100" s="53"/>
      <c r="E100" s="92"/>
      <c r="F100" s="93"/>
      <c r="G100" s="94"/>
      <c r="H100" s="95"/>
      <c r="I100" s="46"/>
      <c r="J100" s="90"/>
    </row>
    <row r="101" spans="1:13" s="37" customFormat="1" ht="24" hidden="1" customHeight="1" x14ac:dyDescent="0.3">
      <c r="A101" s="18"/>
      <c r="B101" s="48"/>
      <c r="C101" s="91"/>
      <c r="D101" s="53"/>
      <c r="E101" s="92"/>
      <c r="F101" s="93"/>
      <c r="G101" s="94"/>
      <c r="H101" s="95"/>
      <c r="I101" s="46"/>
      <c r="J101" s="90"/>
    </row>
    <row r="102" spans="1:13" s="37" customFormat="1" ht="24" customHeight="1" x14ac:dyDescent="0.3">
      <c r="A102" s="18"/>
      <c r="B102" s="67"/>
      <c r="C102" s="68"/>
      <c r="D102" s="68"/>
      <c r="E102" s="69" t="s">
        <v>30</v>
      </c>
      <c r="F102" s="70">
        <f>SUM(F47:F101)</f>
        <v>0</v>
      </c>
      <c r="G102" s="71">
        <f>SUM(G47:G101)</f>
        <v>9823647</v>
      </c>
      <c r="H102" s="24"/>
      <c r="I102" s="72"/>
      <c r="J102" s="90"/>
    </row>
    <row r="103" spans="1:13" s="37" customFormat="1" ht="24" customHeight="1" x14ac:dyDescent="0.3">
      <c r="A103" s="18"/>
      <c r="B103" s="74" t="s">
        <v>31</v>
      </c>
      <c r="C103" s="97"/>
      <c r="D103" s="98"/>
      <c r="E103" s="77"/>
      <c r="F103" s="78"/>
      <c r="G103" s="79"/>
      <c r="H103" s="45"/>
      <c r="I103" s="80"/>
      <c r="J103" s="90"/>
      <c r="M103" s="34"/>
    </row>
    <row r="104" spans="1:13" s="37" customFormat="1" ht="24" hidden="1" customHeight="1" x14ac:dyDescent="0.3">
      <c r="A104" s="18"/>
      <c r="B104" s="48"/>
      <c r="C104" s="99"/>
      <c r="D104" s="100"/>
      <c r="E104" s="101"/>
      <c r="F104" s="102"/>
      <c r="G104" s="103"/>
      <c r="H104" s="104"/>
      <c r="I104" s="105"/>
      <c r="J104" s="90"/>
      <c r="M104" s="34"/>
    </row>
    <row r="105" spans="1:13" s="37" customFormat="1" ht="24" hidden="1" customHeight="1" x14ac:dyDescent="0.3">
      <c r="A105" s="18"/>
      <c r="B105" s="48"/>
      <c r="C105" s="106"/>
      <c r="D105" s="100"/>
      <c r="E105" s="107"/>
      <c r="F105" s="108"/>
      <c r="G105" s="109"/>
      <c r="H105" s="31"/>
      <c r="I105" s="32"/>
      <c r="J105" s="90"/>
      <c r="M105" s="34"/>
    </row>
    <row r="106" spans="1:13" s="37" customFormat="1" ht="24" hidden="1" customHeight="1" x14ac:dyDescent="0.3">
      <c r="A106" s="18"/>
      <c r="B106" s="59"/>
      <c r="C106" s="110"/>
      <c r="D106" s="111"/>
      <c r="E106" s="62"/>
      <c r="F106" s="112"/>
      <c r="G106" s="113"/>
      <c r="H106" s="65"/>
      <c r="I106" s="66"/>
      <c r="J106" s="90"/>
      <c r="M106" s="34"/>
    </row>
    <row r="107" spans="1:13" s="37" customFormat="1" ht="24" customHeight="1" x14ac:dyDescent="0.3">
      <c r="A107" s="18"/>
      <c r="B107" s="67"/>
      <c r="C107" s="68"/>
      <c r="D107" s="68"/>
      <c r="E107" s="69" t="s">
        <v>32</v>
      </c>
      <c r="F107" s="114">
        <f>SUM(F103:F106)</f>
        <v>0</v>
      </c>
      <c r="G107" s="83">
        <f>SUM(G103:G106)</f>
        <v>0</v>
      </c>
      <c r="H107" s="24"/>
      <c r="I107" s="72"/>
      <c r="J107" s="90"/>
    </row>
    <row r="108" spans="1:13" s="37" customFormat="1" ht="24" hidden="1" customHeight="1" outlineLevel="1" x14ac:dyDescent="0.3">
      <c r="A108" s="18"/>
      <c r="B108" s="17" t="s">
        <v>36</v>
      </c>
      <c r="C108" s="115"/>
      <c r="D108" s="116"/>
      <c r="E108" s="116"/>
      <c r="F108" s="117"/>
      <c r="G108" s="117"/>
      <c r="H108" s="116"/>
      <c r="I108" s="118"/>
      <c r="J108" s="90"/>
    </row>
    <row r="109" spans="1:13" s="37" customFormat="1" ht="24" hidden="1" customHeight="1" outlineLevel="1" x14ac:dyDescent="0.3">
      <c r="A109" s="18"/>
      <c r="B109" s="119" t="s">
        <v>37</v>
      </c>
      <c r="C109" s="119"/>
      <c r="D109" s="116" t="s">
        <v>38</v>
      </c>
      <c r="E109" s="116"/>
      <c r="F109" s="120" t="s">
        <v>39</v>
      </c>
      <c r="G109" s="121" t="s">
        <v>39</v>
      </c>
      <c r="H109" s="116"/>
      <c r="I109" s="122" t="s">
        <v>40</v>
      </c>
      <c r="J109" s="90"/>
    </row>
    <row r="110" spans="1:13" s="37" customFormat="1" ht="24" hidden="1" customHeight="1" outlineLevel="1" x14ac:dyDescent="0.3">
      <c r="A110" s="18"/>
      <c r="B110" s="19" t="s">
        <v>17</v>
      </c>
      <c r="C110" s="19" t="s">
        <v>18</v>
      </c>
      <c r="D110" s="196" t="s">
        <v>19</v>
      </c>
      <c r="E110" s="195"/>
      <c r="F110" s="21" t="s">
        <v>20</v>
      </c>
      <c r="G110" s="22" t="s">
        <v>21</v>
      </c>
      <c r="H110" s="23" t="s">
        <v>22</v>
      </c>
      <c r="I110" s="20" t="s">
        <v>23</v>
      </c>
      <c r="J110" s="90"/>
    </row>
    <row r="111" spans="1:13" s="37" customFormat="1" ht="24" hidden="1" customHeight="1" outlineLevel="1" x14ac:dyDescent="0.3">
      <c r="A111" s="18"/>
      <c r="B111" s="25"/>
      <c r="C111" s="91"/>
      <c r="D111" s="53"/>
      <c r="E111" s="92"/>
      <c r="F111" s="93"/>
      <c r="G111" s="94"/>
      <c r="H111" s="95"/>
      <c r="I111" s="46"/>
      <c r="J111" s="90"/>
    </row>
    <row r="112" spans="1:13" s="37" customFormat="1" ht="24" hidden="1" customHeight="1" outlineLevel="1" x14ac:dyDescent="0.3">
      <c r="A112" s="18"/>
      <c r="B112" s="48"/>
      <c r="C112" s="91"/>
      <c r="D112" s="55"/>
      <c r="E112" s="92"/>
      <c r="F112" s="93"/>
      <c r="G112" s="94"/>
      <c r="H112" s="95"/>
      <c r="I112" s="46"/>
      <c r="J112" s="90"/>
    </row>
    <row r="113" spans="1:13" s="37" customFormat="1" ht="24" hidden="1" customHeight="1" outlineLevel="1" x14ac:dyDescent="0.3">
      <c r="A113" s="18"/>
      <c r="B113" s="25"/>
      <c r="C113" s="91"/>
      <c r="D113" s="53"/>
      <c r="E113" s="92"/>
      <c r="F113" s="93"/>
      <c r="G113" s="94"/>
      <c r="H113" s="95"/>
      <c r="I113" s="46"/>
      <c r="J113" s="90"/>
    </row>
    <row r="114" spans="1:13" s="37" customFormat="1" ht="24" hidden="1" customHeight="1" outlineLevel="1" x14ac:dyDescent="0.3">
      <c r="A114" s="18"/>
      <c r="B114" s="25"/>
      <c r="C114" s="91"/>
      <c r="D114" s="53"/>
      <c r="E114" s="92"/>
      <c r="F114" s="93"/>
      <c r="G114" s="94"/>
      <c r="H114" s="95"/>
      <c r="I114" s="46"/>
      <c r="J114" s="90"/>
    </row>
    <row r="115" spans="1:13" s="37" customFormat="1" ht="24" hidden="1" customHeight="1" outlineLevel="1" x14ac:dyDescent="0.3">
      <c r="A115" s="18"/>
      <c r="B115" s="25"/>
      <c r="C115" s="123"/>
      <c r="D115" s="124"/>
      <c r="E115" s="125"/>
      <c r="F115" s="126"/>
      <c r="G115" s="127"/>
      <c r="H115" s="95"/>
      <c r="I115" s="80"/>
      <c r="J115" s="90"/>
    </row>
    <row r="116" spans="1:13" s="37" customFormat="1" ht="24" hidden="1" customHeight="1" outlineLevel="1" x14ac:dyDescent="0.3">
      <c r="A116" s="18"/>
      <c r="B116" s="67"/>
      <c r="C116" s="68"/>
      <c r="D116" s="68"/>
      <c r="E116" s="69" t="s">
        <v>30</v>
      </c>
      <c r="F116" s="70">
        <f>SUM(F111:F115)</f>
        <v>0</v>
      </c>
      <c r="G116" s="71">
        <f>SUM(G111:G115)</f>
        <v>0</v>
      </c>
      <c r="H116" s="24"/>
      <c r="I116" s="72"/>
      <c r="J116" s="90"/>
    </row>
    <row r="117" spans="1:13" s="1" customFormat="1" ht="24" customHeight="1" collapsed="1" x14ac:dyDescent="0.3">
      <c r="C117" s="84"/>
      <c r="D117" s="84"/>
      <c r="E117" s="84"/>
      <c r="F117" s="128"/>
      <c r="G117" s="128"/>
      <c r="H117" s="84"/>
      <c r="I117" s="86"/>
      <c r="J117" s="129"/>
    </row>
    <row r="118" spans="1:13" s="1" customFormat="1" ht="24" customHeight="1" x14ac:dyDescent="0.3">
      <c r="B118" s="17" t="s">
        <v>41</v>
      </c>
      <c r="C118" s="115"/>
      <c r="D118" s="116"/>
      <c r="E118" s="116"/>
      <c r="F118" s="117"/>
      <c r="G118" s="117"/>
      <c r="H118" s="116"/>
      <c r="I118" s="118"/>
    </row>
    <row r="119" spans="1:13" s="1" customFormat="1" ht="24" customHeight="1" x14ac:dyDescent="0.3">
      <c r="B119" s="119" t="s">
        <v>37</v>
      </c>
      <c r="C119" s="119"/>
      <c r="D119" s="116" t="s">
        <v>38</v>
      </c>
      <c r="E119" s="116"/>
      <c r="F119" s="120" t="s">
        <v>39</v>
      </c>
      <c r="G119" s="121" t="s">
        <v>39</v>
      </c>
      <c r="H119" s="116"/>
      <c r="I119" s="122" t="s">
        <v>40</v>
      </c>
    </row>
    <row r="120" spans="1:13" s="1" customFormat="1" ht="24" customHeight="1" x14ac:dyDescent="0.3">
      <c r="B120" s="130" t="s">
        <v>42</v>
      </c>
      <c r="C120" s="190" t="s">
        <v>43</v>
      </c>
      <c r="D120" s="191"/>
      <c r="E120" s="130" t="s">
        <v>44</v>
      </c>
      <c r="F120" s="19" t="s">
        <v>45</v>
      </c>
      <c r="G120" s="131" t="s">
        <v>46</v>
      </c>
      <c r="H120" s="23" t="s">
        <v>47</v>
      </c>
      <c r="I120" s="23" t="s">
        <v>23</v>
      </c>
    </row>
    <row r="121" spans="1:13" s="1" customFormat="1" ht="24" customHeight="1" x14ac:dyDescent="0.3">
      <c r="B121" s="132" t="s">
        <v>48</v>
      </c>
      <c r="C121" s="133" t="s">
        <v>49</v>
      </c>
      <c r="D121" s="134" t="s">
        <v>50</v>
      </c>
      <c r="E121" s="135">
        <f>'0731-1'!H118+SUMIF($H$8:$H$35,J121,$F$8:$F$35)-SUMIF($H$8:$H$35,J121,$G$8:$G$35)</f>
        <v>115935</v>
      </c>
      <c r="F121" s="136">
        <f>SUMIF($H$47:$H$102,J121,$F$47:$F$102)+SUMIF($H$110:$H$116,J121,$F$110:$F$116)</f>
        <v>0</v>
      </c>
      <c r="G121" s="137">
        <f>SUMIF($H$47:$H$102,J121,$G$47:$G$102)+SUMIF($H$110:$H$116,J121,$G$110:$G$116)</f>
        <v>0</v>
      </c>
      <c r="H121" s="138">
        <f>E121+F121-G121</f>
        <v>115935</v>
      </c>
      <c r="I121" s="139" t="s">
        <v>51</v>
      </c>
      <c r="J121" s="140" t="s">
        <v>29</v>
      </c>
    </row>
    <row r="122" spans="1:13" s="1" customFormat="1" ht="24" customHeight="1" x14ac:dyDescent="0.3">
      <c r="B122" s="132" t="s">
        <v>48</v>
      </c>
      <c r="C122" s="133" t="s">
        <v>52</v>
      </c>
      <c r="D122" s="134" t="s">
        <v>53</v>
      </c>
      <c r="E122" s="135">
        <f>'0731-1'!H119+SUMIF($H$8:$H$35,J122,$F$8:$F$35)-SUMIF($H$8:$H$35,J122,$G$8:$G$35)</f>
        <v>297485654</v>
      </c>
      <c r="F122" s="136">
        <f>SUMIF($H$47:$H$101,J122,$F$47:$F$101)+F116</f>
        <v>0</v>
      </c>
      <c r="G122" s="137">
        <f>SUMIF($H$47:$H$101,J122,$G$47:$G$101)</f>
        <v>8356977</v>
      </c>
      <c r="H122" s="138">
        <f>E122+F122-G122</f>
        <v>289128677</v>
      </c>
      <c r="I122" s="139" t="s">
        <v>54</v>
      </c>
      <c r="J122" s="140" t="s">
        <v>55</v>
      </c>
      <c r="M122" s="73"/>
    </row>
    <row r="123" spans="1:13" s="1" customFormat="1" ht="24" customHeight="1" x14ac:dyDescent="0.3">
      <c r="B123" s="132" t="s">
        <v>48</v>
      </c>
      <c r="C123" s="133" t="s">
        <v>56</v>
      </c>
      <c r="D123" s="134" t="s">
        <v>53</v>
      </c>
      <c r="E123" s="135">
        <f>'0731-1'!H120+SUMIF($H$8:$H$35,J123,$F$8:$F$35)-SUMIF($H$8:$H$35,J123,$G$8:$G$35)+SUMIF($H$110:$H$116,J123,$F$110:$F$116)</f>
        <v>78020</v>
      </c>
      <c r="F123" s="136">
        <f>SUMIF($H$47:$H$101,J123,$F$47:$F$101)+SUMIF($H$110:$H$116,J123,$F$110:$F$116)</f>
        <v>0</v>
      </c>
      <c r="G123" s="137">
        <f>SUMIF($H$47:$H$101,J123,$G$47:$G$101)+SUMIF($H$110:$H$116,J123,$G$110:$G$116)</f>
        <v>0</v>
      </c>
      <c r="H123" s="138">
        <f>E123+F123-G123</f>
        <v>78020</v>
      </c>
      <c r="I123" s="139" t="s">
        <v>57</v>
      </c>
      <c r="J123" s="140" t="s">
        <v>58</v>
      </c>
    </row>
    <row r="124" spans="1:13" s="1" customFormat="1" ht="24" customHeight="1" x14ac:dyDescent="0.3">
      <c r="B124" s="132" t="s">
        <v>48</v>
      </c>
      <c r="C124" s="133" t="s">
        <v>59</v>
      </c>
      <c r="D124" s="134" t="s">
        <v>53</v>
      </c>
      <c r="E124" s="135">
        <f>'0731-1'!H121+SUMIF($H$8:$H$35,J124,$F$8:$F$35)-SUMIF($H$8:$H$35,J124,$G$8:$G$35)</f>
        <v>0</v>
      </c>
      <c r="F124" s="136">
        <f t="shared" ref="F124:F129" si="0">SUMIF($H$47:$H$101,J124,$F$47:$F$101)</f>
        <v>0</v>
      </c>
      <c r="G124" s="137">
        <f t="shared" ref="G124:G129" si="1">SUMIF($H$47:$H$101,J124,$G$47:$G$101)</f>
        <v>0</v>
      </c>
      <c r="H124" s="138">
        <f t="shared" ref="H124:H129" si="2">E124+F124-G124</f>
        <v>0</v>
      </c>
      <c r="I124" s="139" t="s">
        <v>60</v>
      </c>
      <c r="J124" s="140" t="s">
        <v>61</v>
      </c>
    </row>
    <row r="125" spans="1:13" s="1" customFormat="1" ht="24" customHeight="1" x14ac:dyDescent="0.3">
      <c r="B125" s="132" t="s">
        <v>48</v>
      </c>
      <c r="C125" s="133" t="s">
        <v>62</v>
      </c>
      <c r="D125" s="134" t="s">
        <v>53</v>
      </c>
      <c r="E125" s="135">
        <f>'0731-1'!H122+SUMIF($H$8:$H$35,J125,$F$8:$F$35)-SUMIF($H$8:$H$35,J125,$G$8:$G$35)</f>
        <v>0</v>
      </c>
      <c r="F125" s="136">
        <f t="shared" si="0"/>
        <v>0</v>
      </c>
      <c r="G125" s="137">
        <f t="shared" si="1"/>
        <v>0</v>
      </c>
      <c r="H125" s="138">
        <f t="shared" si="2"/>
        <v>0</v>
      </c>
      <c r="I125" s="139" t="s">
        <v>63</v>
      </c>
      <c r="J125" s="140" t="s">
        <v>64</v>
      </c>
    </row>
    <row r="126" spans="1:13" s="1" customFormat="1" ht="24" customHeight="1" x14ac:dyDescent="0.3">
      <c r="B126" s="132" t="s">
        <v>48</v>
      </c>
      <c r="C126" s="133" t="s">
        <v>65</v>
      </c>
      <c r="D126" s="134" t="s">
        <v>53</v>
      </c>
      <c r="E126" s="135">
        <f>'0731-1'!H123+SUMIF($H$8:$H$35,J126,$F$8:$F$35)-SUMIF($H$8:$H$35,J126,$G$8:$G$35)</f>
        <v>0</v>
      </c>
      <c r="F126" s="136">
        <f t="shared" si="0"/>
        <v>0</v>
      </c>
      <c r="G126" s="137">
        <f t="shared" si="1"/>
        <v>0</v>
      </c>
      <c r="H126" s="138">
        <f t="shared" si="2"/>
        <v>0</v>
      </c>
      <c r="I126" s="141" t="s">
        <v>66</v>
      </c>
      <c r="J126" s="140" t="s">
        <v>67</v>
      </c>
    </row>
    <row r="127" spans="1:13" s="1" customFormat="1" ht="24" customHeight="1" x14ac:dyDescent="0.3">
      <c r="B127" s="132" t="s">
        <v>68</v>
      </c>
      <c r="C127" s="133" t="s">
        <v>69</v>
      </c>
      <c r="D127" s="134" t="s">
        <v>53</v>
      </c>
      <c r="E127" s="135">
        <f>'0731-1'!H124+SUMIF($H$8:$H$35,J127,$F$8:$F$35)-SUMIF($H$8:$H$35,J127,$G$8:$G$35)</f>
        <v>23643752</v>
      </c>
      <c r="F127" s="136">
        <f t="shared" si="0"/>
        <v>0</v>
      </c>
      <c r="G127" s="137">
        <f t="shared" si="1"/>
        <v>1466670</v>
      </c>
      <c r="H127" s="142">
        <f t="shared" si="2"/>
        <v>22177082</v>
      </c>
      <c r="I127" s="139" t="s">
        <v>54</v>
      </c>
      <c r="J127" s="140" t="s">
        <v>70</v>
      </c>
    </row>
    <row r="128" spans="1:13" s="1" customFormat="1" ht="24" customHeight="1" x14ac:dyDescent="0.3">
      <c r="B128" s="132" t="s">
        <v>71</v>
      </c>
      <c r="C128" s="133" t="s">
        <v>72</v>
      </c>
      <c r="D128" s="134" t="s">
        <v>53</v>
      </c>
      <c r="E128" s="135">
        <f>'0731-1'!H125+SUMIF($H$8:$H$35,J128,$F$8:$F$35)-SUMIF($H$8:$H$35,J128,$G$8:$G$35)</f>
        <v>0</v>
      </c>
      <c r="F128" s="136">
        <f t="shared" si="0"/>
        <v>0</v>
      </c>
      <c r="G128" s="137">
        <f t="shared" si="1"/>
        <v>0</v>
      </c>
      <c r="H128" s="142">
        <f t="shared" si="2"/>
        <v>0</v>
      </c>
      <c r="I128" s="139" t="s">
        <v>73</v>
      </c>
      <c r="J128" s="140" t="s">
        <v>74</v>
      </c>
    </row>
    <row r="129" spans="2:13" s="1" customFormat="1" ht="24" customHeight="1" x14ac:dyDescent="0.3">
      <c r="B129" s="132" t="s">
        <v>75</v>
      </c>
      <c r="C129" s="133" t="s">
        <v>76</v>
      </c>
      <c r="D129" s="134" t="s">
        <v>50</v>
      </c>
      <c r="E129" s="135">
        <f>'0731-1'!H126+SUMIF($H$8:$H$35,J129,$F$8:$F$35)-SUMIF($H$8:$H$35,J129,$G$8:$G$35)</f>
        <v>33952</v>
      </c>
      <c r="F129" s="136">
        <f t="shared" si="0"/>
        <v>0</v>
      </c>
      <c r="G129" s="137">
        <f t="shared" si="1"/>
        <v>0</v>
      </c>
      <c r="H129" s="142">
        <f t="shared" si="2"/>
        <v>33952</v>
      </c>
      <c r="I129" s="143" t="s">
        <v>73</v>
      </c>
      <c r="J129" s="140" t="s">
        <v>77</v>
      </c>
    </row>
    <row r="130" spans="2:13" s="1" customFormat="1" ht="22.5" customHeight="1" x14ac:dyDescent="0.3">
      <c r="B130" s="144"/>
      <c r="C130" s="145"/>
      <c r="D130" s="146" t="s">
        <v>78</v>
      </c>
      <c r="E130" s="147">
        <f>SUM(E121:E129)</f>
        <v>321357313</v>
      </c>
      <c r="F130" s="148">
        <f>SUM(F121:F128)</f>
        <v>0</v>
      </c>
      <c r="G130" s="149">
        <f>SUM(G121:G128)</f>
        <v>9823647</v>
      </c>
      <c r="H130" s="150">
        <f>SUM(H121:H129)</f>
        <v>311533666</v>
      </c>
      <c r="I130" s="151"/>
      <c r="J130" s="37"/>
    </row>
    <row r="131" spans="2:13" s="1" customFormat="1" ht="22.5" customHeight="1" x14ac:dyDescent="0.3">
      <c r="C131" s="84"/>
      <c r="D131" s="84"/>
      <c r="E131" s="152"/>
      <c r="F131" s="152"/>
      <c r="G131" s="152"/>
      <c r="H131" s="152"/>
      <c r="I131" s="153"/>
    </row>
    <row r="132" spans="2:13" s="1" customFormat="1" ht="24" customHeight="1" x14ac:dyDescent="0.3">
      <c r="B132" s="119" t="s">
        <v>79</v>
      </c>
      <c r="C132" s="119"/>
      <c r="D132" s="116" t="s">
        <v>38</v>
      </c>
      <c r="E132" s="116"/>
      <c r="F132" s="120" t="s">
        <v>39</v>
      </c>
      <c r="G132" s="121" t="s">
        <v>39</v>
      </c>
      <c r="H132" s="116"/>
      <c r="I132" s="122" t="s">
        <v>80</v>
      </c>
    </row>
    <row r="133" spans="2:13" s="1" customFormat="1" ht="24" customHeight="1" x14ac:dyDescent="0.3">
      <c r="B133" s="130" t="s">
        <v>42</v>
      </c>
      <c r="C133" s="190" t="s">
        <v>43</v>
      </c>
      <c r="D133" s="191"/>
      <c r="E133" s="130" t="s">
        <v>44</v>
      </c>
      <c r="F133" s="19" t="s">
        <v>45</v>
      </c>
      <c r="G133" s="131" t="s">
        <v>46</v>
      </c>
      <c r="H133" s="23" t="s">
        <v>47</v>
      </c>
      <c r="I133" s="23" t="s">
        <v>23</v>
      </c>
    </row>
    <row r="134" spans="2:13" s="1" customFormat="1" ht="24" customHeight="1" x14ac:dyDescent="0.3">
      <c r="B134" s="132" t="s">
        <v>81</v>
      </c>
      <c r="C134" s="133" t="s">
        <v>82</v>
      </c>
      <c r="D134" s="134" t="s">
        <v>83</v>
      </c>
      <c r="E134" s="154">
        <f>'0731-1'!H131</f>
        <v>0</v>
      </c>
      <c r="F134" s="155">
        <f>SUMIF($H$103:$H$106,J134,$F$103:$F$106)</f>
        <v>0</v>
      </c>
      <c r="G134" s="156">
        <f>SUMIF($H$103:$H$106,J134,$G$103:$G$106)</f>
        <v>0</v>
      </c>
      <c r="H134" s="157">
        <f>E134+F134-G134</f>
        <v>0</v>
      </c>
      <c r="I134" s="158" t="s">
        <v>84</v>
      </c>
      <c r="J134" s="159" t="s">
        <v>84</v>
      </c>
    </row>
    <row r="135" spans="2:13" s="1" customFormat="1" ht="22.5" customHeight="1" x14ac:dyDescent="0.3">
      <c r="B135" s="144"/>
      <c r="C135" s="145"/>
      <c r="D135" s="146" t="s">
        <v>78</v>
      </c>
      <c r="E135" s="160">
        <f>SUM(E134)</f>
        <v>0</v>
      </c>
      <c r="F135" s="161">
        <f>SUM(F134)</f>
        <v>0</v>
      </c>
      <c r="G135" s="162">
        <f>SUM(G134)</f>
        <v>0</v>
      </c>
      <c r="H135" s="160">
        <f>SUM(H134)</f>
        <v>0</v>
      </c>
      <c r="I135" s="151"/>
    </row>
    <row r="136" spans="2:13" s="1" customFormat="1" ht="24" customHeight="1" x14ac:dyDescent="0.3"/>
    <row r="137" spans="2:13" s="1" customFormat="1" ht="24" customHeight="1" x14ac:dyDescent="0.3">
      <c r="B137" s="119" t="s">
        <v>85</v>
      </c>
      <c r="C137" s="119"/>
      <c r="D137" s="116" t="s">
        <v>38</v>
      </c>
      <c r="E137" s="116"/>
      <c r="F137" s="120" t="s">
        <v>39</v>
      </c>
      <c r="G137" s="121" t="s">
        <v>39</v>
      </c>
      <c r="H137" s="116"/>
      <c r="I137" s="122" t="s">
        <v>40</v>
      </c>
    </row>
    <row r="138" spans="2:13" s="1" customFormat="1" ht="24" customHeight="1" x14ac:dyDescent="0.3">
      <c r="B138" s="130" t="s">
        <v>42</v>
      </c>
      <c r="C138" s="190" t="s">
        <v>43</v>
      </c>
      <c r="D138" s="191"/>
      <c r="E138" s="130" t="s">
        <v>44</v>
      </c>
      <c r="F138" s="19" t="s">
        <v>45</v>
      </c>
      <c r="G138" s="131" t="s">
        <v>46</v>
      </c>
      <c r="H138" s="23" t="s">
        <v>47</v>
      </c>
      <c r="I138" s="23" t="s">
        <v>23</v>
      </c>
    </row>
    <row r="139" spans="2:13" s="1" customFormat="1" ht="24" customHeight="1" x14ac:dyDescent="0.3">
      <c r="B139" s="132" t="s">
        <v>48</v>
      </c>
      <c r="C139" s="133" t="s">
        <v>86</v>
      </c>
      <c r="D139" s="163" t="s">
        <v>87</v>
      </c>
      <c r="E139" s="164">
        <f>'0731-1'!H136</f>
        <v>2100000000</v>
      </c>
      <c r="F139" s="136"/>
      <c r="G139" s="137"/>
      <c r="H139" s="142">
        <f>E139+F139-G139</f>
        <v>2100000000</v>
      </c>
      <c r="I139" s="141" t="s">
        <v>88</v>
      </c>
      <c r="J139" s="1" t="s">
        <v>89</v>
      </c>
      <c r="M139" s="73">
        <f>H139-2057169001</f>
        <v>42830999</v>
      </c>
    </row>
    <row r="140" spans="2:13" s="1" customFormat="1" ht="24" hidden="1" customHeight="1" x14ac:dyDescent="0.3">
      <c r="B140" s="132" t="s">
        <v>48</v>
      </c>
      <c r="C140" s="133" t="s">
        <v>90</v>
      </c>
      <c r="D140" s="163" t="s">
        <v>91</v>
      </c>
      <c r="E140" s="165">
        <f>'0731-1'!H137</f>
        <v>0</v>
      </c>
      <c r="F140" s="136"/>
      <c r="G140" s="137"/>
      <c r="H140" s="142">
        <f>E140+F140-G140</f>
        <v>0</v>
      </c>
      <c r="I140" s="141"/>
      <c r="J140" s="1" t="s">
        <v>92</v>
      </c>
    </row>
    <row r="141" spans="2:13" s="1" customFormat="1" ht="22.5" customHeight="1" x14ac:dyDescent="0.3">
      <c r="B141" s="144"/>
      <c r="C141" s="145"/>
      <c r="D141" s="146" t="s">
        <v>78</v>
      </c>
      <c r="E141" s="147">
        <f>SUM(E139:E140)</f>
        <v>2100000000</v>
      </c>
      <c r="F141" s="166">
        <f>SUM(F139:F140)</f>
        <v>0</v>
      </c>
      <c r="G141" s="167">
        <f>SUM(G139:G140)</f>
        <v>0</v>
      </c>
      <c r="H141" s="147">
        <f>SUM(H139:H140)</f>
        <v>2100000000</v>
      </c>
      <c r="I141" s="151"/>
    </row>
    <row r="146" spans="1:4" ht="23.45" customHeight="1" outlineLevel="1" x14ac:dyDescent="0.3">
      <c r="B146" s="1"/>
      <c r="C146" s="1"/>
      <c r="D146" s="168" t="s">
        <v>93</v>
      </c>
    </row>
    <row r="147" spans="1:4" ht="24" customHeight="1" outlineLevel="1" x14ac:dyDescent="0.3">
      <c r="A147" s="169" t="s">
        <v>94</v>
      </c>
      <c r="B147" s="169" t="s">
        <v>95</v>
      </c>
      <c r="C147" s="169" t="s">
        <v>96</v>
      </c>
      <c r="D147" s="169" t="s">
        <v>23</v>
      </c>
    </row>
    <row r="148" spans="1:4" ht="24" customHeight="1" outlineLevel="1" x14ac:dyDescent="0.3">
      <c r="A148" s="170" t="s">
        <v>97</v>
      </c>
      <c r="B148" s="171" t="s">
        <v>25</v>
      </c>
      <c r="C148" s="172">
        <f>SUMIF($A$46:$A$101,$B148,$F$46:$F$101)</f>
        <v>0</v>
      </c>
      <c r="D148" s="170"/>
    </row>
    <row r="149" spans="1:4" ht="24" customHeight="1" outlineLevel="1" x14ac:dyDescent="0.3">
      <c r="A149" s="170"/>
      <c r="B149" s="171" t="s">
        <v>98</v>
      </c>
      <c r="C149" s="172">
        <f>SUMIF($A$46:$A$101,$B149,$F$46:$F$101)</f>
        <v>0</v>
      </c>
      <c r="D149" s="170"/>
    </row>
    <row r="150" spans="1:4" ht="24" customHeight="1" outlineLevel="1" x14ac:dyDescent="0.3">
      <c r="A150" s="170"/>
      <c r="B150" s="171" t="s">
        <v>99</v>
      </c>
      <c r="C150" s="172">
        <f>SUMIF($A$46:$A$101,$B150,$F$46:$F$101)</f>
        <v>0</v>
      </c>
      <c r="D150" s="170"/>
    </row>
    <row r="151" spans="1:4" ht="24" customHeight="1" outlineLevel="1" x14ac:dyDescent="0.3">
      <c r="A151" s="170"/>
      <c r="B151" s="171" t="s">
        <v>100</v>
      </c>
      <c r="C151" s="172">
        <f>SUMIF($A$46:$A$101,$B151,$F$46:$F$101)</f>
        <v>0</v>
      </c>
      <c r="D151" s="170"/>
    </row>
    <row r="152" spans="1:4" ht="24" customHeight="1" outlineLevel="1" x14ac:dyDescent="0.3">
      <c r="A152" s="170"/>
      <c r="B152" s="171" t="s">
        <v>101</v>
      </c>
      <c r="C152" s="172">
        <f>SUMIF($A$46:$A$101,$B152,$F$46:$F$101)</f>
        <v>0</v>
      </c>
      <c r="D152" s="170"/>
    </row>
    <row r="153" spans="1:4" ht="24" customHeight="1" outlineLevel="1" x14ac:dyDescent="0.3">
      <c r="A153" s="173"/>
      <c r="B153" s="174" t="s">
        <v>102</v>
      </c>
      <c r="C153" s="175">
        <f>SUM(C148:C152)</f>
        <v>0</v>
      </c>
      <c r="D153" s="139"/>
    </row>
    <row r="154" spans="1:4" ht="24" customHeight="1" outlineLevel="1" x14ac:dyDescent="0.3">
      <c r="A154" s="176" t="s">
        <v>103</v>
      </c>
      <c r="B154" s="177" t="s">
        <v>104</v>
      </c>
      <c r="C154" s="178">
        <f t="shared" ref="C154:C167" si="3">SUMIF($A$46:$A$101,$B154,$G$46:$G$101)</f>
        <v>0</v>
      </c>
      <c r="D154" s="176"/>
    </row>
    <row r="155" spans="1:4" ht="24" customHeight="1" outlineLevel="1" x14ac:dyDescent="0.3">
      <c r="A155" s="170"/>
      <c r="B155" s="171" t="s">
        <v>105</v>
      </c>
      <c r="C155" s="172">
        <f t="shared" si="3"/>
        <v>0</v>
      </c>
      <c r="D155" s="170"/>
    </row>
    <row r="156" spans="1:4" ht="24" customHeight="1" outlineLevel="1" x14ac:dyDescent="0.3">
      <c r="A156" s="170"/>
      <c r="B156" s="171" t="s">
        <v>106</v>
      </c>
      <c r="C156" s="172">
        <f t="shared" si="3"/>
        <v>1928480</v>
      </c>
      <c r="D156" s="170"/>
    </row>
    <row r="157" spans="1:4" ht="24" customHeight="1" outlineLevel="1" x14ac:dyDescent="0.3">
      <c r="A157" s="170"/>
      <c r="B157" s="171" t="s">
        <v>107</v>
      </c>
      <c r="C157" s="172">
        <f t="shared" si="3"/>
        <v>3003990</v>
      </c>
      <c r="D157" s="170"/>
    </row>
    <row r="158" spans="1:4" ht="24" customHeight="1" outlineLevel="1" x14ac:dyDescent="0.3">
      <c r="A158" s="170"/>
      <c r="B158" s="171" t="s">
        <v>108</v>
      </c>
      <c r="C158" s="172">
        <f t="shared" si="3"/>
        <v>0</v>
      </c>
      <c r="D158" s="170"/>
    </row>
    <row r="159" spans="1:4" ht="24" customHeight="1" outlineLevel="1" x14ac:dyDescent="0.3">
      <c r="A159" s="170"/>
      <c r="B159" s="171" t="s">
        <v>109</v>
      </c>
      <c r="C159" s="172">
        <f t="shared" si="3"/>
        <v>0</v>
      </c>
      <c r="D159" s="170"/>
    </row>
    <row r="160" spans="1:4" ht="24" customHeight="1" outlineLevel="1" x14ac:dyDescent="0.3">
      <c r="A160" s="170"/>
      <c r="B160" s="171" t="s">
        <v>110</v>
      </c>
      <c r="C160" s="172">
        <f t="shared" si="3"/>
        <v>0</v>
      </c>
      <c r="D160" s="170"/>
    </row>
    <row r="161" spans="1:6" ht="24" customHeight="1" outlineLevel="1" x14ac:dyDescent="0.3">
      <c r="A161" s="170"/>
      <c r="B161" s="171" t="s">
        <v>111</v>
      </c>
      <c r="C161" s="172">
        <f t="shared" si="3"/>
        <v>3920240</v>
      </c>
      <c r="D161" s="170"/>
    </row>
    <row r="162" spans="1:6" ht="24" customHeight="1" outlineLevel="1" x14ac:dyDescent="0.3">
      <c r="A162" s="170"/>
      <c r="B162" s="171" t="s">
        <v>112</v>
      </c>
      <c r="C162" s="172">
        <f t="shared" si="3"/>
        <v>0</v>
      </c>
      <c r="D162" s="170"/>
    </row>
    <row r="163" spans="1:6" ht="24" customHeight="1" outlineLevel="1" x14ac:dyDescent="0.3">
      <c r="A163" s="170"/>
      <c r="B163" s="171" t="s">
        <v>113</v>
      </c>
      <c r="C163" s="172">
        <f t="shared" si="3"/>
        <v>0</v>
      </c>
      <c r="D163" s="170"/>
    </row>
    <row r="164" spans="1:6" ht="24" customHeight="1" outlineLevel="1" x14ac:dyDescent="0.3">
      <c r="A164" s="170"/>
      <c r="B164" s="171" t="s">
        <v>114</v>
      </c>
      <c r="C164" s="172">
        <f t="shared" si="3"/>
        <v>0</v>
      </c>
      <c r="D164" s="170"/>
    </row>
    <row r="165" spans="1:6" ht="24" customHeight="1" outlineLevel="1" x14ac:dyDescent="0.3">
      <c r="A165" s="170"/>
      <c r="B165" s="171" t="s">
        <v>115</v>
      </c>
      <c r="C165" s="172">
        <f t="shared" si="3"/>
        <v>0</v>
      </c>
      <c r="D165" s="170"/>
    </row>
    <row r="166" spans="1:6" ht="24" customHeight="1" outlineLevel="1" x14ac:dyDescent="0.3">
      <c r="A166" s="170"/>
      <c r="B166" s="171" t="s">
        <v>116</v>
      </c>
      <c r="C166" s="172">
        <f t="shared" si="3"/>
        <v>0</v>
      </c>
      <c r="D166" s="170"/>
    </row>
    <row r="167" spans="1:6" ht="24" customHeight="1" outlineLevel="1" x14ac:dyDescent="0.3">
      <c r="A167" s="170"/>
      <c r="B167" s="171" t="s">
        <v>117</v>
      </c>
      <c r="C167" s="172">
        <f t="shared" si="3"/>
        <v>476281</v>
      </c>
      <c r="D167" s="170"/>
    </row>
    <row r="168" spans="1:6" ht="24" customHeight="1" outlineLevel="1" x14ac:dyDescent="0.3">
      <c r="A168" s="170"/>
      <c r="B168" s="171" t="s">
        <v>118</v>
      </c>
      <c r="C168" s="172">
        <f>SUMIF($A$46:$A$101,"전산유지비",$G$46:$G$101)</f>
        <v>0</v>
      </c>
      <c r="D168" s="170"/>
    </row>
    <row r="169" spans="1:6" ht="24" customHeight="1" outlineLevel="1" x14ac:dyDescent="0.3">
      <c r="A169" s="170"/>
      <c r="B169" s="171" t="s">
        <v>119</v>
      </c>
      <c r="C169" s="172">
        <f>SUMIF($A$46:$A$101,$B169,$G$46:$G$101)</f>
        <v>0</v>
      </c>
      <c r="D169" s="170" t="s">
        <v>120</v>
      </c>
    </row>
    <row r="170" spans="1:6" ht="24" customHeight="1" outlineLevel="1" x14ac:dyDescent="0.3">
      <c r="A170" s="170"/>
      <c r="B170" s="171" t="s">
        <v>121</v>
      </c>
      <c r="C170" s="172">
        <f>SUMIF($A$46:$A$101,$B170,$G$46:$G$101)</f>
        <v>0</v>
      </c>
      <c r="D170" s="170"/>
    </row>
    <row r="171" spans="1:6" ht="24" customHeight="1" outlineLevel="1" x14ac:dyDescent="0.3">
      <c r="A171" s="170"/>
      <c r="B171" s="171" t="s">
        <v>122</v>
      </c>
      <c r="C171" s="172">
        <f>SUMIF($A$46:$A$101,$B171,$G$46:$G$101)</f>
        <v>0</v>
      </c>
      <c r="D171" s="170"/>
    </row>
    <row r="172" spans="1:6" ht="24" customHeight="1" outlineLevel="1" x14ac:dyDescent="0.3">
      <c r="A172" s="170"/>
      <c r="B172" s="171" t="s">
        <v>123</v>
      </c>
      <c r="C172" s="172">
        <f>SUMIF($A$46:$A$101,$B172,$G$46:$G$101)</f>
        <v>285656</v>
      </c>
      <c r="D172" s="170"/>
    </row>
    <row r="173" spans="1:6" ht="24" customHeight="1" outlineLevel="1" x14ac:dyDescent="0.3">
      <c r="A173" s="170"/>
      <c r="B173" s="171" t="s">
        <v>124</v>
      </c>
      <c r="C173" s="179">
        <f>SUMIF($A$46:$A$101,$B173,$G$46:$G$101)+SUMIF($A$46:$A$101,$D173,$G$46:$G$101)</f>
        <v>209000</v>
      </c>
      <c r="D173" s="180" t="s">
        <v>125</v>
      </c>
      <c r="F173" s="181"/>
    </row>
    <row r="174" spans="1:6" ht="24" customHeight="1" outlineLevel="1" x14ac:dyDescent="0.3">
      <c r="A174" s="173"/>
      <c r="B174" s="182" t="s">
        <v>126</v>
      </c>
      <c r="C174" s="183">
        <f>SUM(C154:C173)</f>
        <v>9823647</v>
      </c>
      <c r="D174" s="182"/>
    </row>
    <row r="175" spans="1:6" ht="24" customHeight="1" outlineLevel="1" x14ac:dyDescent="0.3">
      <c r="A175" s="176" t="s">
        <v>127</v>
      </c>
      <c r="B175" s="177" t="s">
        <v>128</v>
      </c>
      <c r="C175" s="172">
        <f>SUMIF($A$7:$A$39,$B175,$F$7:$F$39)+SUMIF($A$46:$A$101,$B175,$F$46:$F$101)</f>
        <v>0</v>
      </c>
      <c r="D175" s="176"/>
    </row>
    <row r="176" spans="1:6" ht="24" customHeight="1" outlineLevel="1" x14ac:dyDescent="0.3">
      <c r="A176" s="184" t="s">
        <v>129</v>
      </c>
      <c r="B176" s="184" t="s">
        <v>50</v>
      </c>
      <c r="C176" s="185">
        <f>SUMIF($A$7:$A$39,$B176,$F$7:$F$39)+SUMIF($A$46:$A$101,$B176,$F$46:$F$101)</f>
        <v>0</v>
      </c>
      <c r="D176" s="186" t="str">
        <f>IF($C$153+$C$176=$F$130-$F$116,"TRUE","FALSE")</f>
        <v>TRUE</v>
      </c>
      <c r="E176" s="181"/>
      <c r="F176" s="181"/>
    </row>
    <row r="177" spans="1:14" ht="24" customHeight="1" outlineLevel="1" x14ac:dyDescent="0.3">
      <c r="A177" s="173" t="s">
        <v>130</v>
      </c>
      <c r="B177" s="173" t="s">
        <v>50</v>
      </c>
      <c r="C177" s="179">
        <f>SUMIF($A$7:$A$39,$B177,$G$7:$G$39)+SUMIF($A$46:$A$101,$B177,$G$46:$G$101)</f>
        <v>0</v>
      </c>
      <c r="D177" s="187" t="str">
        <f>IF($C$174+$C$177=$G$130-$G$116,"TRUE","FALSE")</f>
        <v>TRUE</v>
      </c>
    </row>
    <row r="178" spans="1:14" s="1" customFormat="1" ht="24" customHeight="1" outlineLevel="1" x14ac:dyDescent="0.3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s="1" customFormat="1" ht="24" customHeight="1" x14ac:dyDescent="0.3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</sheetData>
  <mergeCells count="8">
    <mergeCell ref="C133:D133"/>
    <mergeCell ref="C138:D138"/>
    <mergeCell ref="B1:E2"/>
    <mergeCell ref="B3:E3"/>
    <mergeCell ref="D7:E7"/>
    <mergeCell ref="D46:E46"/>
    <mergeCell ref="D110:E110"/>
    <mergeCell ref="C120:D120"/>
  </mergeCells>
  <phoneticPr fontId="4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8" fitToHeight="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695C-2B50-4853-BE30-94C84D2A9D0F}">
  <dimension ref="A1:Q179"/>
  <sheetViews>
    <sheetView showWhiteSpace="0" view="pageBreakPreview" topLeftCell="B1" zoomScaleNormal="70" zoomScaleSheetLayoutView="100" zoomScalePageLayoutView="50" workbookViewId="0">
      <selection activeCell="B1" sqref="B1:E2"/>
    </sheetView>
  </sheetViews>
  <sheetFormatPr defaultColWidth="9" defaultRowHeight="24" customHeight="1" outlineLevelRow="1" outlineLevelCol="1" x14ac:dyDescent="0.3"/>
  <cols>
    <col min="1" max="1" width="21.875" style="1" hidden="1" customWidth="1" outlineLevel="1"/>
    <col min="2" max="2" width="13" style="3" customWidth="1" collapsed="1"/>
    <col min="3" max="3" width="24.75" style="3" customWidth="1"/>
    <col min="4" max="4" width="42.125" style="3" customWidth="1"/>
    <col min="5" max="5" width="16.625" style="3" customWidth="1"/>
    <col min="6" max="9" width="17.75" style="3" customWidth="1"/>
    <col min="10" max="10" width="19.875" style="3" customWidth="1"/>
    <col min="11" max="11" width="11" style="3" hidden="1" customWidth="1" outlineLevel="1"/>
    <col min="12" max="12" width="20" style="3" hidden="1" customWidth="1" outlineLevel="1"/>
    <col min="13" max="13" width="14.125" style="3" customWidth="1" collapsed="1"/>
    <col min="14" max="14" width="18.375" style="3" customWidth="1"/>
    <col min="15" max="15" width="11.25" style="3" bestFit="1" customWidth="1"/>
    <col min="16" max="16" width="9" style="3"/>
    <col min="17" max="17" width="10" style="3" bestFit="1" customWidth="1"/>
    <col min="18" max="16384" width="9" style="3"/>
  </cols>
  <sheetData>
    <row r="1" spans="1:15" ht="24" customHeight="1" x14ac:dyDescent="0.3">
      <c r="B1" s="192" t="s">
        <v>0</v>
      </c>
      <c r="C1" s="192"/>
      <c r="D1" s="192"/>
      <c r="E1" s="192"/>
      <c r="F1" s="2" t="s">
        <v>1</v>
      </c>
      <c r="G1" s="2" t="s">
        <v>2</v>
      </c>
      <c r="H1" s="2" t="s">
        <v>3</v>
      </c>
      <c r="I1" s="2" t="s">
        <v>4</v>
      </c>
    </row>
    <row r="2" spans="1:15" ht="57" customHeight="1" x14ac:dyDescent="0.3">
      <c r="B2" s="192"/>
      <c r="C2" s="192"/>
      <c r="D2" s="192"/>
      <c r="E2" s="192"/>
      <c r="F2" s="4"/>
      <c r="G2" s="4"/>
      <c r="H2" s="4"/>
      <c r="I2" s="4"/>
      <c r="K2" s="5"/>
      <c r="L2" s="5"/>
    </row>
    <row r="3" spans="1:15" ht="24" customHeight="1" x14ac:dyDescent="0.3">
      <c r="B3" s="193" t="s">
        <v>5</v>
      </c>
      <c r="C3" s="193"/>
      <c r="D3" s="193"/>
      <c r="E3" s="193"/>
      <c r="F3" s="2" t="s">
        <v>6</v>
      </c>
      <c r="G3" s="2" t="s">
        <v>7</v>
      </c>
      <c r="H3" s="2" t="s">
        <v>8</v>
      </c>
      <c r="I3" s="2" t="s">
        <v>9</v>
      </c>
      <c r="K3" s="5"/>
      <c r="L3" s="5"/>
    </row>
    <row r="4" spans="1:15" ht="24" customHeight="1" x14ac:dyDescent="0.3">
      <c r="B4" s="7"/>
      <c r="C4" s="7"/>
      <c r="D4" s="7"/>
      <c r="E4" s="7"/>
      <c r="F4" s="8">
        <v>46254</v>
      </c>
      <c r="G4" s="2" t="s">
        <v>172</v>
      </c>
      <c r="H4" s="2" t="s">
        <v>12</v>
      </c>
      <c r="I4" s="2" t="s">
        <v>13</v>
      </c>
      <c r="K4" s="5"/>
      <c r="L4" s="5"/>
    </row>
    <row r="5" spans="1:15" ht="24" customHeight="1" x14ac:dyDescent="0.3">
      <c r="C5" s="9"/>
      <c r="D5" s="9"/>
      <c r="E5" s="9"/>
      <c r="F5" s="10"/>
      <c r="G5" s="10"/>
      <c r="H5" s="6"/>
      <c r="I5" s="11"/>
    </row>
    <row r="6" spans="1:15" s="1" customFormat="1" ht="24" customHeight="1" x14ac:dyDescent="0.3">
      <c r="B6" s="12" t="s">
        <v>14</v>
      </c>
      <c r="C6" s="13"/>
      <c r="D6" s="14"/>
      <c r="E6" s="14"/>
      <c r="F6" s="15"/>
      <c r="G6" s="15"/>
      <c r="H6" s="14"/>
      <c r="I6" s="16"/>
      <c r="K6" s="17" t="s">
        <v>15</v>
      </c>
    </row>
    <row r="7" spans="1:15" s="1" customFormat="1" ht="24" customHeight="1" x14ac:dyDescent="0.3">
      <c r="A7" s="18" t="s">
        <v>16</v>
      </c>
      <c r="B7" s="19" t="s">
        <v>17</v>
      </c>
      <c r="C7" s="19" t="s">
        <v>18</v>
      </c>
      <c r="D7" s="194" t="s">
        <v>19</v>
      </c>
      <c r="E7" s="195"/>
      <c r="F7" s="21" t="s">
        <v>20</v>
      </c>
      <c r="G7" s="22" t="s">
        <v>21</v>
      </c>
      <c r="H7" s="23" t="s">
        <v>22</v>
      </c>
      <c r="I7" s="20" t="s">
        <v>23</v>
      </c>
      <c r="K7" s="1" t="s">
        <v>24</v>
      </c>
    </row>
    <row r="8" spans="1:15" s="37" customFormat="1" ht="24" customHeight="1" x14ac:dyDescent="0.3">
      <c r="A8" s="24" t="s">
        <v>124</v>
      </c>
      <c r="B8" s="25" t="s">
        <v>26</v>
      </c>
      <c r="C8" s="26" t="s">
        <v>180</v>
      </c>
      <c r="D8" s="27" t="s">
        <v>181</v>
      </c>
      <c r="E8" s="28"/>
      <c r="F8" s="29"/>
      <c r="G8" s="30">
        <v>2656646</v>
      </c>
      <c r="H8" s="31" t="s">
        <v>55</v>
      </c>
      <c r="I8" s="32"/>
      <c r="J8" s="33"/>
      <c r="K8" s="34"/>
      <c r="L8" s="34"/>
      <c r="M8" s="35"/>
      <c r="N8" s="35"/>
      <c r="O8" s="36"/>
    </row>
    <row r="9" spans="1:15" s="37" customFormat="1" ht="24" customHeight="1" x14ac:dyDescent="0.3">
      <c r="A9" s="38" t="s">
        <v>124</v>
      </c>
      <c r="B9" s="25"/>
      <c r="C9" s="26" t="s">
        <v>182</v>
      </c>
      <c r="D9" s="27" t="s">
        <v>183</v>
      </c>
      <c r="E9" s="28"/>
      <c r="F9" s="29"/>
      <c r="G9" s="30">
        <v>1289900</v>
      </c>
      <c r="H9" s="31" t="s">
        <v>151</v>
      </c>
      <c r="I9" s="32"/>
      <c r="J9" s="33"/>
      <c r="K9" s="34"/>
      <c r="L9" s="34"/>
      <c r="M9" s="35"/>
      <c r="N9" s="35"/>
      <c r="O9" s="36"/>
    </row>
    <row r="10" spans="1:15" s="37" customFormat="1" ht="24" customHeight="1" x14ac:dyDescent="0.3">
      <c r="A10" s="38" t="s">
        <v>124</v>
      </c>
      <c r="B10" s="25"/>
      <c r="C10" s="26" t="s">
        <v>182</v>
      </c>
      <c r="D10" s="27" t="s">
        <v>183</v>
      </c>
      <c r="E10" s="28"/>
      <c r="F10" s="29"/>
      <c r="G10" s="30">
        <v>78166</v>
      </c>
      <c r="H10" s="31" t="s">
        <v>151</v>
      </c>
      <c r="I10" s="32"/>
      <c r="J10" s="33"/>
      <c r="K10" s="34"/>
      <c r="L10" s="34"/>
      <c r="M10" s="35"/>
      <c r="N10" s="35"/>
      <c r="O10" s="36"/>
    </row>
    <row r="11" spans="1:15" s="1" customFormat="1" ht="24" hidden="1" customHeight="1" x14ac:dyDescent="0.3">
      <c r="A11" s="47"/>
      <c r="B11" s="48"/>
      <c r="C11" s="40"/>
      <c r="D11" s="41"/>
      <c r="E11" s="42"/>
      <c r="F11" s="43"/>
      <c r="G11" s="44"/>
      <c r="H11" s="45"/>
      <c r="I11" s="46"/>
    </row>
    <row r="12" spans="1:15" s="1" customFormat="1" ht="24" hidden="1" customHeight="1" x14ac:dyDescent="0.3">
      <c r="A12" s="47"/>
      <c r="B12" s="48"/>
      <c r="C12" s="40"/>
      <c r="D12" s="41"/>
      <c r="E12" s="42"/>
      <c r="F12" s="43"/>
      <c r="G12" s="44"/>
      <c r="H12" s="45"/>
      <c r="I12" s="46"/>
    </row>
    <row r="13" spans="1:15" s="1" customFormat="1" ht="24" hidden="1" customHeight="1" x14ac:dyDescent="0.3">
      <c r="A13" s="47"/>
      <c r="B13" s="48"/>
      <c r="C13" s="40"/>
      <c r="D13" s="49"/>
      <c r="E13" s="42"/>
      <c r="F13" s="43"/>
      <c r="G13" s="44"/>
      <c r="H13" s="45"/>
      <c r="I13" s="46"/>
    </row>
    <row r="14" spans="1:15" s="1" customFormat="1" ht="24" hidden="1" customHeight="1" x14ac:dyDescent="0.3">
      <c r="A14" s="47"/>
      <c r="B14" s="48"/>
      <c r="C14" s="40"/>
      <c r="D14" s="49"/>
      <c r="E14" s="42"/>
      <c r="F14" s="43"/>
      <c r="G14" s="44"/>
      <c r="H14" s="45"/>
      <c r="I14" s="46"/>
    </row>
    <row r="15" spans="1:15" s="1" customFormat="1" ht="24" hidden="1" customHeight="1" x14ac:dyDescent="0.3">
      <c r="A15" s="47"/>
      <c r="B15" s="48"/>
      <c r="C15" s="40"/>
      <c r="D15" s="49"/>
      <c r="E15" s="42"/>
      <c r="F15" s="43"/>
      <c r="G15" s="44"/>
      <c r="H15" s="45"/>
      <c r="I15" s="46"/>
    </row>
    <row r="16" spans="1:15" s="1" customFormat="1" ht="24" hidden="1" customHeight="1" x14ac:dyDescent="0.3">
      <c r="A16" s="47"/>
      <c r="B16" s="48"/>
      <c r="C16" s="40"/>
      <c r="D16" s="49"/>
      <c r="E16" s="42"/>
      <c r="F16" s="43"/>
      <c r="G16" s="44"/>
      <c r="H16" s="45"/>
      <c r="I16" s="46"/>
    </row>
    <row r="17" spans="1:9" s="1" customFormat="1" ht="24" hidden="1" customHeight="1" x14ac:dyDescent="0.3">
      <c r="A17" s="47"/>
      <c r="B17" s="48"/>
      <c r="C17" s="40"/>
      <c r="D17" s="49"/>
      <c r="E17" s="42"/>
      <c r="F17" s="43"/>
      <c r="G17" s="44"/>
      <c r="H17" s="45"/>
      <c r="I17" s="46"/>
    </row>
    <row r="18" spans="1:9" s="1" customFormat="1" ht="24" hidden="1" customHeight="1" x14ac:dyDescent="0.3">
      <c r="A18" s="47"/>
      <c r="B18" s="48"/>
      <c r="C18" s="40"/>
      <c r="D18" s="49"/>
      <c r="E18" s="42"/>
      <c r="F18" s="43"/>
      <c r="G18" s="44"/>
      <c r="H18" s="45"/>
      <c r="I18" s="46"/>
    </row>
    <row r="19" spans="1:9" s="1" customFormat="1" ht="24" hidden="1" customHeight="1" x14ac:dyDescent="0.3">
      <c r="A19" s="47"/>
      <c r="B19" s="48"/>
      <c r="C19" s="40"/>
      <c r="D19" s="49"/>
      <c r="E19" s="42"/>
      <c r="F19" s="43"/>
      <c r="G19" s="44"/>
      <c r="H19" s="45"/>
      <c r="I19" s="46"/>
    </row>
    <row r="20" spans="1:9" s="1" customFormat="1" ht="24" hidden="1" customHeight="1" x14ac:dyDescent="0.3">
      <c r="A20" s="47"/>
      <c r="B20" s="48"/>
      <c r="C20" s="40"/>
      <c r="D20" s="49"/>
      <c r="E20" s="42"/>
      <c r="F20" s="43"/>
      <c r="G20" s="44"/>
      <c r="H20" s="45"/>
      <c r="I20" s="46"/>
    </row>
    <row r="21" spans="1:9" s="1" customFormat="1" ht="24" hidden="1" customHeight="1" x14ac:dyDescent="0.3">
      <c r="A21" s="47"/>
      <c r="B21" s="48"/>
      <c r="C21" s="40"/>
      <c r="D21" s="49"/>
      <c r="E21" s="42"/>
      <c r="F21" s="43"/>
      <c r="G21" s="44"/>
      <c r="H21" s="45"/>
      <c r="I21" s="46"/>
    </row>
    <row r="22" spans="1:9" s="1" customFormat="1" ht="24" hidden="1" customHeight="1" x14ac:dyDescent="0.3">
      <c r="A22" s="47"/>
      <c r="B22" s="48"/>
      <c r="C22" s="40"/>
      <c r="D22" s="49"/>
      <c r="E22" s="42"/>
      <c r="F22" s="43"/>
      <c r="G22" s="44"/>
      <c r="H22" s="45"/>
      <c r="I22" s="46"/>
    </row>
    <row r="23" spans="1:9" s="1" customFormat="1" ht="24" hidden="1" customHeight="1" x14ac:dyDescent="0.3">
      <c r="A23" s="47"/>
      <c r="B23" s="48"/>
      <c r="C23" s="40"/>
      <c r="D23" s="50"/>
      <c r="E23" s="42"/>
      <c r="F23" s="43"/>
      <c r="G23" s="44"/>
      <c r="H23" s="45"/>
      <c r="I23" s="46"/>
    </row>
    <row r="24" spans="1:9" s="1" customFormat="1" ht="24" hidden="1" customHeight="1" x14ac:dyDescent="0.3">
      <c r="A24" s="47"/>
      <c r="B24" s="48"/>
      <c r="C24" s="40"/>
      <c r="D24" s="50"/>
      <c r="E24" s="42"/>
      <c r="F24" s="43"/>
      <c r="G24" s="44"/>
      <c r="H24" s="45"/>
      <c r="I24" s="46"/>
    </row>
    <row r="25" spans="1:9" s="1" customFormat="1" ht="24" hidden="1" customHeight="1" x14ac:dyDescent="0.3">
      <c r="A25" s="47"/>
      <c r="B25" s="48"/>
      <c r="C25" s="40"/>
      <c r="D25" s="51"/>
      <c r="E25" s="42"/>
      <c r="F25" s="43"/>
      <c r="G25" s="44"/>
      <c r="H25" s="45"/>
      <c r="I25" s="46"/>
    </row>
    <row r="26" spans="1:9" s="1" customFormat="1" ht="24" hidden="1" customHeight="1" x14ac:dyDescent="0.3">
      <c r="A26" s="47"/>
      <c r="B26" s="52"/>
      <c r="C26" s="40"/>
      <c r="D26" s="51"/>
      <c r="E26" s="42"/>
      <c r="F26" s="43"/>
      <c r="G26" s="44"/>
      <c r="H26" s="45"/>
      <c r="I26" s="46"/>
    </row>
    <row r="27" spans="1:9" s="1" customFormat="1" ht="24" hidden="1" customHeight="1" x14ac:dyDescent="0.3">
      <c r="A27" s="47"/>
      <c r="B27" s="52"/>
      <c r="C27" s="40"/>
      <c r="D27" s="53"/>
      <c r="E27" s="42"/>
      <c r="F27" s="43"/>
      <c r="G27" s="44"/>
      <c r="H27" s="45"/>
      <c r="I27" s="46"/>
    </row>
    <row r="28" spans="1:9" s="1" customFormat="1" ht="24" hidden="1" customHeight="1" x14ac:dyDescent="0.3">
      <c r="A28" s="47"/>
      <c r="B28" s="52"/>
      <c r="C28" s="40"/>
      <c r="D28" s="53"/>
      <c r="E28" s="42"/>
      <c r="F28" s="43"/>
      <c r="G28" s="44"/>
      <c r="H28" s="45"/>
      <c r="I28" s="46"/>
    </row>
    <row r="29" spans="1:9" s="1" customFormat="1" ht="24" hidden="1" customHeight="1" x14ac:dyDescent="0.3">
      <c r="A29" s="47"/>
      <c r="B29" s="52"/>
      <c r="C29" s="40"/>
      <c r="D29" s="53"/>
      <c r="E29" s="42"/>
      <c r="F29" s="43"/>
      <c r="G29" s="44"/>
      <c r="H29" s="45"/>
      <c r="I29" s="46"/>
    </row>
    <row r="30" spans="1:9" s="1" customFormat="1" ht="24" hidden="1" customHeight="1" x14ac:dyDescent="0.3">
      <c r="A30" s="54"/>
      <c r="B30" s="52"/>
      <c r="C30" s="40"/>
      <c r="D30" s="53"/>
      <c r="E30" s="42"/>
      <c r="F30" s="43"/>
      <c r="G30" s="44"/>
      <c r="H30" s="45"/>
      <c r="I30" s="46"/>
    </row>
    <row r="31" spans="1:9" s="1" customFormat="1" ht="24" hidden="1" customHeight="1" x14ac:dyDescent="0.3">
      <c r="A31" s="54"/>
      <c r="B31" s="52"/>
      <c r="C31" s="40"/>
      <c r="D31" s="53"/>
      <c r="E31" s="42"/>
      <c r="F31" s="43"/>
      <c r="G31" s="44"/>
      <c r="H31" s="45"/>
      <c r="I31" s="46"/>
    </row>
    <row r="32" spans="1:9" s="1" customFormat="1" ht="24" hidden="1" customHeight="1" x14ac:dyDescent="0.3">
      <c r="A32" s="54"/>
      <c r="B32" s="52"/>
      <c r="C32" s="40"/>
      <c r="D32" s="53"/>
      <c r="E32" s="42"/>
      <c r="F32" s="43"/>
      <c r="G32" s="44"/>
      <c r="H32" s="45"/>
      <c r="I32" s="46"/>
    </row>
    <row r="33" spans="1:17" s="1" customFormat="1" ht="24" hidden="1" customHeight="1" x14ac:dyDescent="0.3">
      <c r="A33" s="54"/>
      <c r="B33" s="48"/>
      <c r="C33" s="40"/>
      <c r="D33" s="53"/>
      <c r="E33" s="42"/>
      <c r="F33" s="43"/>
      <c r="G33" s="44"/>
      <c r="H33" s="45"/>
      <c r="I33" s="46"/>
    </row>
    <row r="34" spans="1:17" s="1" customFormat="1" ht="24" hidden="1" customHeight="1" x14ac:dyDescent="0.3">
      <c r="A34" s="54"/>
      <c r="B34" s="48"/>
      <c r="C34" s="40"/>
      <c r="D34" s="55"/>
      <c r="E34" s="42"/>
      <c r="F34" s="43"/>
      <c r="G34" s="44"/>
      <c r="H34" s="45"/>
      <c r="I34" s="46"/>
    </row>
    <row r="35" spans="1:17" s="1" customFormat="1" ht="24" hidden="1" customHeight="1" x14ac:dyDescent="0.3">
      <c r="A35" s="54"/>
      <c r="B35" s="48"/>
      <c r="C35" s="40"/>
      <c r="D35" s="55"/>
      <c r="E35" s="42"/>
      <c r="F35" s="43"/>
      <c r="G35" s="44"/>
      <c r="H35" s="45"/>
      <c r="I35" s="46"/>
    </row>
    <row r="36" spans="1:17" s="1" customFormat="1" ht="24" hidden="1" customHeight="1" x14ac:dyDescent="0.3">
      <c r="A36" s="54"/>
      <c r="B36" s="48"/>
      <c r="C36" s="40"/>
      <c r="D36" s="56"/>
      <c r="E36" s="42"/>
      <c r="F36" s="43"/>
      <c r="G36" s="44"/>
      <c r="H36" s="45"/>
      <c r="I36" s="46"/>
    </row>
    <row r="37" spans="1:17" s="1" customFormat="1" ht="24" hidden="1" customHeight="1" x14ac:dyDescent="0.3">
      <c r="A37" s="54"/>
      <c r="B37" s="48"/>
      <c r="C37" s="40"/>
      <c r="D37" s="56"/>
      <c r="E37" s="42"/>
      <c r="F37" s="43"/>
      <c r="G37" s="44"/>
      <c r="H37" s="45"/>
      <c r="I37" s="46"/>
    </row>
    <row r="38" spans="1:17" s="1" customFormat="1" ht="24" hidden="1" customHeight="1" x14ac:dyDescent="0.3">
      <c r="A38" s="54"/>
      <c r="B38" s="48"/>
      <c r="C38" s="40"/>
      <c r="D38" s="57"/>
      <c r="E38" s="42"/>
      <c r="F38" s="43"/>
      <c r="G38" s="44"/>
      <c r="H38" s="45"/>
      <c r="I38" s="46"/>
    </row>
    <row r="39" spans="1:17" s="1" customFormat="1" ht="24" hidden="1" customHeight="1" x14ac:dyDescent="0.3">
      <c r="A39" s="58"/>
      <c r="B39" s="59"/>
      <c r="C39" s="60"/>
      <c r="D39" s="61"/>
      <c r="E39" s="62"/>
      <c r="F39" s="63"/>
      <c r="G39" s="64"/>
      <c r="H39" s="65"/>
      <c r="I39" s="66"/>
    </row>
    <row r="40" spans="1:17" s="1" customFormat="1" ht="24" customHeight="1" x14ac:dyDescent="0.3">
      <c r="A40" s="18"/>
      <c r="B40" s="67"/>
      <c r="C40" s="68"/>
      <c r="D40" s="68"/>
      <c r="E40" s="69" t="s">
        <v>30</v>
      </c>
      <c r="F40" s="70">
        <f>SUM(F8:F39)</f>
        <v>0</v>
      </c>
      <c r="G40" s="71">
        <f>SUM(G8:G39)</f>
        <v>4024712</v>
      </c>
      <c r="H40" s="24"/>
      <c r="I40" s="72"/>
      <c r="O40" s="73"/>
    </row>
    <row r="41" spans="1:17" s="1" customFormat="1" ht="24" customHeight="1" x14ac:dyDescent="0.3">
      <c r="A41" s="18"/>
      <c r="B41" s="74" t="s">
        <v>31</v>
      </c>
      <c r="C41" s="75"/>
      <c r="D41" s="76"/>
      <c r="E41" s="77"/>
      <c r="F41" s="78"/>
      <c r="G41" s="79"/>
      <c r="H41" s="45"/>
      <c r="I41" s="80"/>
    </row>
    <row r="42" spans="1:17" s="1" customFormat="1" ht="24" hidden="1" customHeight="1" x14ac:dyDescent="0.3">
      <c r="A42" s="18"/>
      <c r="B42" s="48"/>
      <c r="C42" s="81"/>
      <c r="D42" s="56"/>
      <c r="E42" s="77"/>
      <c r="F42" s="78"/>
      <c r="G42" s="79"/>
      <c r="H42" s="45"/>
      <c r="I42" s="80"/>
    </row>
    <row r="43" spans="1:17" s="1" customFormat="1" ht="24" customHeight="1" x14ac:dyDescent="0.3">
      <c r="A43" s="18"/>
      <c r="B43" s="67"/>
      <c r="C43" s="68"/>
      <c r="D43" s="68"/>
      <c r="E43" s="69" t="s">
        <v>32</v>
      </c>
      <c r="F43" s="82">
        <f>SUM(F41:F42)</f>
        <v>0</v>
      </c>
      <c r="G43" s="83">
        <f>SUM(G41:G42)</f>
        <v>0</v>
      </c>
      <c r="H43" s="24"/>
      <c r="I43" s="72"/>
    </row>
    <row r="44" spans="1:17" s="37" customFormat="1" ht="24" customHeight="1" x14ac:dyDescent="0.3">
      <c r="C44" s="84"/>
      <c r="D44" s="84"/>
      <c r="E44" s="84"/>
      <c r="F44" s="85"/>
      <c r="G44" s="85"/>
      <c r="H44" s="84"/>
      <c r="I44" s="86"/>
      <c r="N44"/>
      <c r="O44"/>
      <c r="P44"/>
      <c r="Q44"/>
    </row>
    <row r="45" spans="1:17" s="37" customFormat="1" ht="24" customHeight="1" x14ac:dyDescent="0.3">
      <c r="B45" s="12" t="s">
        <v>33</v>
      </c>
      <c r="C45" s="13"/>
      <c r="D45" s="13"/>
      <c r="E45" s="14"/>
      <c r="F45" s="87"/>
      <c r="G45" s="87"/>
      <c r="H45" s="88"/>
      <c r="I45" s="89"/>
      <c r="J45" s="90"/>
      <c r="K45" s="37" t="s">
        <v>34</v>
      </c>
      <c r="N45"/>
      <c r="O45"/>
      <c r="P45"/>
      <c r="Q45"/>
    </row>
    <row r="46" spans="1:17" s="37" customFormat="1" ht="24" customHeight="1" x14ac:dyDescent="0.3">
      <c r="A46" s="18" t="s">
        <v>16</v>
      </c>
      <c r="B46" s="19" t="s">
        <v>17</v>
      </c>
      <c r="C46" s="19" t="s">
        <v>18</v>
      </c>
      <c r="D46" s="196" t="s">
        <v>19</v>
      </c>
      <c r="E46" s="195"/>
      <c r="F46" s="21" t="s">
        <v>20</v>
      </c>
      <c r="G46" s="22" t="s">
        <v>21</v>
      </c>
      <c r="H46" s="23" t="s">
        <v>22</v>
      </c>
      <c r="I46" s="20" t="s">
        <v>23</v>
      </c>
      <c r="J46" s="90"/>
      <c r="N46"/>
      <c r="O46"/>
      <c r="P46"/>
      <c r="Q46"/>
    </row>
    <row r="47" spans="1:17" s="37" customFormat="1" ht="24" customHeight="1" x14ac:dyDescent="0.3">
      <c r="A47" s="18" t="s">
        <v>121</v>
      </c>
      <c r="B47" s="25" t="s">
        <v>35</v>
      </c>
      <c r="C47" s="91" t="s">
        <v>173</v>
      </c>
      <c r="D47" s="53" t="s">
        <v>175</v>
      </c>
      <c r="E47" s="92"/>
      <c r="F47" s="93"/>
      <c r="G47" s="94">
        <v>919248</v>
      </c>
      <c r="H47" s="95" t="s">
        <v>55</v>
      </c>
      <c r="I47" s="46" t="s">
        <v>157</v>
      </c>
      <c r="J47" s="33"/>
      <c r="K47" s="34"/>
      <c r="L47" s="34"/>
      <c r="M47" s="35"/>
      <c r="N47"/>
      <c r="O47"/>
      <c r="P47"/>
      <c r="Q47"/>
    </row>
    <row r="48" spans="1:17" s="37" customFormat="1" ht="24" customHeight="1" x14ac:dyDescent="0.3">
      <c r="A48" s="18" t="s">
        <v>112</v>
      </c>
      <c r="B48" s="48"/>
      <c r="C48" s="91" t="s">
        <v>133</v>
      </c>
      <c r="D48" s="55" t="s">
        <v>176</v>
      </c>
      <c r="E48" s="92"/>
      <c r="F48" s="93"/>
      <c r="G48" s="94">
        <v>250000</v>
      </c>
      <c r="H48" s="95" t="s">
        <v>55</v>
      </c>
      <c r="I48" s="46"/>
      <c r="J48" s="33"/>
      <c r="K48" s="34"/>
      <c r="L48" s="34"/>
      <c r="M48" s="35"/>
      <c r="N48"/>
      <c r="O48"/>
      <c r="P48"/>
      <c r="Q48"/>
    </row>
    <row r="49" spans="1:17" s="37" customFormat="1" ht="24" customHeight="1" x14ac:dyDescent="0.3">
      <c r="A49" s="18" t="s">
        <v>119</v>
      </c>
      <c r="B49" s="25"/>
      <c r="C49" s="91" t="s">
        <v>173</v>
      </c>
      <c r="D49" s="53" t="s">
        <v>177</v>
      </c>
      <c r="E49" s="92"/>
      <c r="F49" s="93"/>
      <c r="G49" s="94">
        <v>43689</v>
      </c>
      <c r="H49" s="95" t="s">
        <v>55</v>
      </c>
      <c r="I49" s="46"/>
      <c r="J49" s="33"/>
      <c r="K49" s="34"/>
      <c r="L49" s="34"/>
      <c r="M49" s="35"/>
      <c r="N49"/>
      <c r="O49"/>
      <c r="P49"/>
      <c r="Q49"/>
    </row>
    <row r="50" spans="1:17" s="37" customFormat="1" ht="24" customHeight="1" x14ac:dyDescent="0.3">
      <c r="A50" s="18" t="s">
        <v>179</v>
      </c>
      <c r="B50" s="25"/>
      <c r="C50" s="91" t="s">
        <v>174</v>
      </c>
      <c r="D50" s="53" t="s">
        <v>178</v>
      </c>
      <c r="E50" s="92"/>
      <c r="F50" s="93"/>
      <c r="G50" s="94">
        <v>825</v>
      </c>
      <c r="H50" s="95" t="s">
        <v>55</v>
      </c>
      <c r="I50" s="46"/>
      <c r="J50" s="33"/>
      <c r="K50" s="34"/>
      <c r="L50" s="34"/>
      <c r="M50" s="35"/>
      <c r="N50"/>
      <c r="O50"/>
      <c r="P50"/>
      <c r="Q50"/>
    </row>
    <row r="51" spans="1:17" s="37" customFormat="1" ht="24" hidden="1" customHeight="1" x14ac:dyDescent="0.3">
      <c r="A51" s="18"/>
      <c r="B51" s="25"/>
      <c r="C51" s="91"/>
      <c r="D51" s="53"/>
      <c r="E51" s="92"/>
      <c r="F51" s="93"/>
      <c r="G51" s="94"/>
      <c r="H51" s="95"/>
      <c r="I51" s="46"/>
      <c r="J51" s="33"/>
      <c r="K51" s="34"/>
      <c r="L51" s="34"/>
      <c r="M51" s="35"/>
      <c r="N51"/>
      <c r="O51"/>
      <c r="P51"/>
      <c r="Q51"/>
    </row>
    <row r="52" spans="1:17" s="37" customFormat="1" ht="24" hidden="1" customHeight="1" x14ac:dyDescent="0.3">
      <c r="A52" s="18"/>
      <c r="B52" s="25"/>
      <c r="C52" s="91"/>
      <c r="D52" s="53"/>
      <c r="E52" s="92"/>
      <c r="F52" s="93"/>
      <c r="G52" s="94"/>
      <c r="H52" s="95"/>
      <c r="I52" s="46"/>
      <c r="J52" s="33"/>
      <c r="K52" s="34"/>
      <c r="L52" s="34"/>
      <c r="M52" s="35"/>
      <c r="N52"/>
      <c r="O52"/>
      <c r="P52"/>
      <c r="Q52"/>
    </row>
    <row r="53" spans="1:17" s="37" customFormat="1" ht="24" hidden="1" customHeight="1" x14ac:dyDescent="0.3">
      <c r="A53" s="18"/>
      <c r="B53" s="25"/>
      <c r="C53" s="91"/>
      <c r="D53" s="53"/>
      <c r="E53" s="92"/>
      <c r="F53" s="93"/>
      <c r="G53" s="94"/>
      <c r="H53" s="95"/>
      <c r="I53" s="46"/>
      <c r="J53" s="33"/>
      <c r="K53" s="34"/>
      <c r="L53" s="34"/>
      <c r="M53" s="35"/>
      <c r="N53"/>
      <c r="O53"/>
      <c r="P53"/>
      <c r="Q53"/>
    </row>
    <row r="54" spans="1:17" s="37" customFormat="1" ht="24" hidden="1" customHeight="1" x14ac:dyDescent="0.3">
      <c r="A54" s="18"/>
      <c r="B54" s="25"/>
      <c r="C54" s="91"/>
      <c r="D54" s="53"/>
      <c r="E54" s="92"/>
      <c r="F54" s="93"/>
      <c r="G54" s="94"/>
      <c r="H54" s="95"/>
      <c r="I54" s="46"/>
      <c r="J54" s="33"/>
      <c r="K54" s="34"/>
      <c r="L54" s="34"/>
      <c r="M54" s="35"/>
      <c r="N54"/>
      <c r="O54"/>
      <c r="P54"/>
      <c r="Q54"/>
    </row>
    <row r="55" spans="1:17" s="37" customFormat="1" ht="24" hidden="1" customHeight="1" x14ac:dyDescent="0.3">
      <c r="A55" s="18"/>
      <c r="B55" s="25"/>
      <c r="C55" s="91"/>
      <c r="D55" s="53"/>
      <c r="E55" s="92"/>
      <c r="F55" s="93"/>
      <c r="G55" s="94"/>
      <c r="H55" s="95"/>
      <c r="I55" s="46"/>
      <c r="J55" s="33"/>
      <c r="K55" s="34"/>
      <c r="L55" s="34"/>
      <c r="M55" s="35"/>
      <c r="N55"/>
      <c r="O55"/>
      <c r="P55"/>
      <c r="Q55"/>
    </row>
    <row r="56" spans="1:17" s="37" customFormat="1" ht="24" hidden="1" customHeight="1" x14ac:dyDescent="0.3">
      <c r="A56" s="18"/>
      <c r="B56" s="25"/>
      <c r="C56" s="91"/>
      <c r="D56" s="53"/>
      <c r="E56" s="92"/>
      <c r="F56" s="93"/>
      <c r="G56" s="94"/>
      <c r="H56" s="95"/>
      <c r="I56" s="46"/>
      <c r="J56" s="33"/>
      <c r="K56" s="34"/>
      <c r="L56" s="34"/>
      <c r="M56" s="35"/>
      <c r="N56"/>
      <c r="O56"/>
      <c r="P56"/>
      <c r="Q56"/>
    </row>
    <row r="57" spans="1:17" s="1" customFormat="1" ht="24" hidden="1" customHeight="1" x14ac:dyDescent="0.3">
      <c r="A57" s="47"/>
      <c r="B57" s="25"/>
      <c r="C57" s="40"/>
      <c r="D57" s="96"/>
      <c r="E57" s="42"/>
      <c r="F57" s="43"/>
      <c r="G57" s="44"/>
      <c r="H57" s="45"/>
      <c r="I57" s="46"/>
      <c r="N57"/>
      <c r="O57"/>
      <c r="P57"/>
      <c r="Q57"/>
    </row>
    <row r="58" spans="1:17" s="1" customFormat="1" ht="24" hidden="1" customHeight="1" x14ac:dyDescent="0.3">
      <c r="A58" s="47"/>
      <c r="B58" s="25"/>
      <c r="C58" s="40"/>
      <c r="D58" s="96"/>
      <c r="E58" s="42"/>
      <c r="F58" s="43"/>
      <c r="G58" s="44"/>
      <c r="H58" s="45"/>
      <c r="I58" s="46"/>
      <c r="N58"/>
      <c r="O58"/>
      <c r="P58"/>
      <c r="Q58"/>
    </row>
    <row r="59" spans="1:17" s="1" customFormat="1" ht="24" hidden="1" customHeight="1" x14ac:dyDescent="0.3">
      <c r="A59" s="47"/>
      <c r="B59" s="25"/>
      <c r="C59" s="40"/>
      <c r="D59" s="96"/>
      <c r="E59" s="42"/>
      <c r="F59" s="43"/>
      <c r="G59" s="44"/>
      <c r="H59" s="45"/>
      <c r="I59" s="46"/>
    </row>
    <row r="60" spans="1:17" s="1" customFormat="1" ht="24" hidden="1" customHeight="1" x14ac:dyDescent="0.3">
      <c r="A60" s="47"/>
      <c r="B60" s="25"/>
      <c r="C60" s="40"/>
      <c r="D60" s="96"/>
      <c r="E60" s="42"/>
      <c r="F60" s="43"/>
      <c r="G60" s="44"/>
      <c r="H60" s="45"/>
      <c r="I60" s="46"/>
    </row>
    <row r="61" spans="1:17" s="37" customFormat="1" ht="24" hidden="1" customHeight="1" x14ac:dyDescent="0.3">
      <c r="A61" s="47"/>
      <c r="B61" s="48"/>
      <c r="C61" s="91"/>
      <c r="D61" s="53"/>
      <c r="E61" s="92"/>
      <c r="F61" s="93"/>
      <c r="G61" s="94"/>
      <c r="H61" s="45"/>
      <c r="I61" s="46"/>
      <c r="J61" s="90"/>
    </row>
    <row r="62" spans="1:17" s="37" customFormat="1" ht="24" hidden="1" customHeight="1" x14ac:dyDescent="0.3">
      <c r="A62" s="18"/>
      <c r="B62" s="48"/>
      <c r="C62" s="91"/>
      <c r="D62" s="53"/>
      <c r="E62" s="92"/>
      <c r="F62" s="93"/>
      <c r="G62" s="94"/>
      <c r="H62" s="45"/>
      <c r="I62" s="46"/>
      <c r="J62" s="90"/>
    </row>
    <row r="63" spans="1:17" s="37" customFormat="1" ht="24" hidden="1" customHeight="1" x14ac:dyDescent="0.3">
      <c r="A63" s="18"/>
      <c r="B63" s="48"/>
      <c r="C63" s="91"/>
      <c r="D63" s="53"/>
      <c r="E63" s="92"/>
      <c r="F63" s="93"/>
      <c r="G63" s="94"/>
      <c r="H63" s="45"/>
      <c r="I63" s="46"/>
      <c r="J63" s="90"/>
    </row>
    <row r="64" spans="1:17" s="37" customFormat="1" ht="24" hidden="1" customHeight="1" x14ac:dyDescent="0.3">
      <c r="A64" s="47"/>
      <c r="B64" s="48"/>
      <c r="C64" s="91"/>
      <c r="D64" s="53"/>
      <c r="E64" s="92"/>
      <c r="F64" s="93"/>
      <c r="G64" s="94"/>
      <c r="H64" s="45"/>
      <c r="I64" s="46"/>
      <c r="J64" s="90"/>
    </row>
    <row r="65" spans="1:14" s="37" customFormat="1" ht="24" hidden="1" customHeight="1" x14ac:dyDescent="0.3">
      <c r="A65" s="18"/>
      <c r="B65" s="48"/>
      <c r="C65" s="91"/>
      <c r="D65" s="53"/>
      <c r="E65" s="92"/>
      <c r="F65" s="93"/>
      <c r="G65" s="94"/>
      <c r="H65" s="95"/>
      <c r="I65" s="46"/>
      <c r="J65" s="90"/>
    </row>
    <row r="66" spans="1:14" s="37" customFormat="1" ht="24" hidden="1" customHeight="1" x14ac:dyDescent="0.3">
      <c r="A66" s="18"/>
      <c r="B66" s="48"/>
      <c r="C66" s="91"/>
      <c r="D66" s="53"/>
      <c r="E66" s="92"/>
      <c r="F66" s="93"/>
      <c r="G66" s="94"/>
      <c r="H66" s="95"/>
      <c r="I66" s="46"/>
      <c r="J66" s="90"/>
    </row>
    <row r="67" spans="1:14" s="37" customFormat="1" ht="24" hidden="1" customHeight="1" x14ac:dyDescent="0.3">
      <c r="A67" s="18"/>
      <c r="B67" s="48"/>
      <c r="C67" s="91"/>
      <c r="D67" s="53"/>
      <c r="E67" s="92"/>
      <c r="F67" s="93"/>
      <c r="G67" s="94"/>
      <c r="H67" s="95"/>
      <c r="I67" s="46"/>
      <c r="J67" s="90"/>
    </row>
    <row r="68" spans="1:14" s="37" customFormat="1" ht="24" hidden="1" customHeight="1" x14ac:dyDescent="0.3">
      <c r="A68" s="18"/>
      <c r="B68" s="48"/>
      <c r="C68" s="91"/>
      <c r="D68" s="53"/>
      <c r="E68" s="92"/>
      <c r="F68" s="93"/>
      <c r="G68" s="94"/>
      <c r="H68" s="95"/>
      <c r="I68" s="46"/>
      <c r="J68" s="33"/>
      <c r="K68" s="34"/>
      <c r="L68" s="34"/>
      <c r="M68" s="35"/>
      <c r="N68" s="34"/>
    </row>
    <row r="69" spans="1:14" s="37" customFormat="1" ht="24" hidden="1" customHeight="1" x14ac:dyDescent="0.3">
      <c r="A69" s="18"/>
      <c r="B69" s="48"/>
      <c r="C69" s="91"/>
      <c r="D69" s="53"/>
      <c r="E69" s="92"/>
      <c r="F69" s="93"/>
      <c r="G69" s="94"/>
      <c r="H69" s="95"/>
      <c r="I69" s="46"/>
      <c r="J69" s="90"/>
    </row>
    <row r="70" spans="1:14" s="37" customFormat="1" ht="24" hidden="1" customHeight="1" x14ac:dyDescent="0.3">
      <c r="A70" s="18"/>
      <c r="B70" s="48"/>
      <c r="C70" s="91"/>
      <c r="D70" s="53"/>
      <c r="E70" s="92"/>
      <c r="F70" s="93"/>
      <c r="G70" s="94"/>
      <c r="H70" s="95"/>
      <c r="I70" s="46"/>
      <c r="J70" s="90"/>
    </row>
    <row r="71" spans="1:14" s="37" customFormat="1" ht="24" hidden="1" customHeight="1" x14ac:dyDescent="0.3">
      <c r="A71" s="18"/>
      <c r="B71" s="48"/>
      <c r="C71" s="91"/>
      <c r="D71" s="53"/>
      <c r="E71" s="92"/>
      <c r="F71" s="93"/>
      <c r="G71" s="94"/>
      <c r="H71" s="95"/>
      <c r="I71" s="46"/>
      <c r="J71" s="90"/>
    </row>
    <row r="72" spans="1:14" s="37" customFormat="1" ht="24" hidden="1" customHeight="1" x14ac:dyDescent="0.3">
      <c r="A72" s="18"/>
      <c r="B72" s="48"/>
      <c r="C72" s="91"/>
      <c r="D72" s="53"/>
      <c r="E72" s="92"/>
      <c r="F72" s="93"/>
      <c r="G72" s="94"/>
      <c r="H72" s="95"/>
      <c r="I72" s="46"/>
      <c r="J72" s="90"/>
    </row>
    <row r="73" spans="1:14" s="37" customFormat="1" ht="24" hidden="1" customHeight="1" x14ac:dyDescent="0.3">
      <c r="A73" s="18"/>
      <c r="B73" s="48"/>
      <c r="C73" s="91"/>
      <c r="D73" s="53"/>
      <c r="E73" s="92"/>
      <c r="F73" s="93"/>
      <c r="G73" s="94"/>
      <c r="H73" s="95"/>
      <c r="I73" s="46"/>
      <c r="J73" s="90"/>
    </row>
    <row r="74" spans="1:14" s="37" customFormat="1" ht="24" hidden="1" customHeight="1" x14ac:dyDescent="0.3">
      <c r="A74" s="18"/>
      <c r="B74" s="48"/>
      <c r="C74" s="91"/>
      <c r="D74" s="53"/>
      <c r="E74" s="92"/>
      <c r="F74" s="93"/>
      <c r="G74" s="94"/>
      <c r="H74" s="95"/>
      <c r="I74" s="46"/>
      <c r="J74" s="90"/>
    </row>
    <row r="75" spans="1:14" s="37" customFormat="1" ht="24" hidden="1" customHeight="1" x14ac:dyDescent="0.3">
      <c r="A75" s="18"/>
      <c r="B75" s="48"/>
      <c r="C75" s="91"/>
      <c r="D75" s="53"/>
      <c r="E75" s="92"/>
      <c r="F75" s="93"/>
      <c r="G75" s="94"/>
      <c r="H75" s="95"/>
      <c r="I75" s="46"/>
      <c r="J75" s="90"/>
    </row>
    <row r="76" spans="1:14" s="37" customFormat="1" ht="24" hidden="1" customHeight="1" x14ac:dyDescent="0.3">
      <c r="A76" s="18"/>
      <c r="B76" s="48"/>
      <c r="C76" s="91"/>
      <c r="D76" s="53"/>
      <c r="E76" s="92"/>
      <c r="F76" s="93"/>
      <c r="G76" s="94"/>
      <c r="H76" s="95"/>
      <c r="I76" s="46"/>
      <c r="J76" s="90"/>
    </row>
    <row r="77" spans="1:14" s="37" customFormat="1" ht="24" hidden="1" customHeight="1" x14ac:dyDescent="0.3">
      <c r="A77" s="18"/>
      <c r="B77" s="48"/>
      <c r="C77" s="91"/>
      <c r="D77" s="53"/>
      <c r="E77" s="92"/>
      <c r="F77" s="93"/>
      <c r="G77" s="94"/>
      <c r="H77" s="95"/>
      <c r="I77" s="46"/>
      <c r="J77" s="90"/>
    </row>
    <row r="78" spans="1:14" s="37" customFormat="1" ht="24" hidden="1" customHeight="1" x14ac:dyDescent="0.3">
      <c r="A78" s="18"/>
      <c r="B78" s="48"/>
      <c r="C78" s="91"/>
      <c r="D78" s="53"/>
      <c r="E78" s="92"/>
      <c r="F78" s="93"/>
      <c r="G78" s="94"/>
      <c r="H78" s="95"/>
      <c r="I78" s="46"/>
      <c r="J78" s="90"/>
    </row>
    <row r="79" spans="1:14" s="37" customFormat="1" ht="24" hidden="1" customHeight="1" x14ac:dyDescent="0.3">
      <c r="A79" s="18"/>
      <c r="B79" s="48"/>
      <c r="C79" s="91"/>
      <c r="D79" s="53"/>
      <c r="E79" s="92"/>
      <c r="F79" s="93"/>
      <c r="G79" s="94"/>
      <c r="H79" s="95"/>
      <c r="I79" s="46"/>
      <c r="J79" s="90"/>
    </row>
    <row r="80" spans="1:14" s="37" customFormat="1" ht="24" hidden="1" customHeight="1" x14ac:dyDescent="0.3">
      <c r="A80" s="18"/>
      <c r="B80" s="48"/>
      <c r="C80" s="91"/>
      <c r="D80" s="53"/>
      <c r="E80" s="92"/>
      <c r="F80" s="93"/>
      <c r="G80" s="94"/>
      <c r="H80" s="95"/>
      <c r="I80" s="46"/>
      <c r="J80" s="90"/>
    </row>
    <row r="81" spans="1:10" s="37" customFormat="1" ht="24" hidden="1" customHeight="1" x14ac:dyDescent="0.3">
      <c r="A81" s="18"/>
      <c r="B81" s="48"/>
      <c r="C81" s="91"/>
      <c r="D81" s="53"/>
      <c r="E81" s="92"/>
      <c r="F81" s="93"/>
      <c r="G81" s="94"/>
      <c r="H81" s="95"/>
      <c r="I81" s="46"/>
      <c r="J81" s="90"/>
    </row>
    <row r="82" spans="1:10" s="37" customFormat="1" ht="24" hidden="1" customHeight="1" x14ac:dyDescent="0.3">
      <c r="A82" s="18"/>
      <c r="B82" s="48"/>
      <c r="C82" s="91"/>
      <c r="D82" s="53"/>
      <c r="E82" s="92"/>
      <c r="F82" s="93"/>
      <c r="G82" s="94"/>
      <c r="H82" s="95"/>
      <c r="I82" s="46"/>
      <c r="J82" s="90"/>
    </row>
    <row r="83" spans="1:10" s="37" customFormat="1" ht="24" hidden="1" customHeight="1" x14ac:dyDescent="0.3">
      <c r="A83" s="18"/>
      <c r="B83" s="48"/>
      <c r="C83" s="91"/>
      <c r="D83" s="53"/>
      <c r="E83" s="92"/>
      <c r="F83" s="93"/>
      <c r="G83" s="94"/>
      <c r="H83" s="95"/>
      <c r="I83" s="46"/>
      <c r="J83" s="90"/>
    </row>
    <row r="84" spans="1:10" s="37" customFormat="1" ht="24" hidden="1" customHeight="1" x14ac:dyDescent="0.3">
      <c r="A84" s="18"/>
      <c r="B84" s="48"/>
      <c r="C84" s="91"/>
      <c r="D84" s="53"/>
      <c r="E84" s="92"/>
      <c r="F84" s="93"/>
      <c r="G84" s="94"/>
      <c r="H84" s="95"/>
      <c r="I84" s="46"/>
      <c r="J84" s="90"/>
    </row>
    <row r="85" spans="1:10" s="37" customFormat="1" ht="24" hidden="1" customHeight="1" x14ac:dyDescent="0.3">
      <c r="A85" s="18"/>
      <c r="B85" s="48"/>
      <c r="C85" s="91"/>
      <c r="D85" s="53"/>
      <c r="E85" s="92"/>
      <c r="F85" s="93"/>
      <c r="G85" s="94"/>
      <c r="H85" s="95"/>
      <c r="I85" s="46"/>
      <c r="J85" s="90"/>
    </row>
    <row r="86" spans="1:10" s="37" customFormat="1" ht="24" hidden="1" customHeight="1" x14ac:dyDescent="0.3">
      <c r="A86" s="18"/>
      <c r="B86" s="48"/>
      <c r="C86" s="91"/>
      <c r="D86" s="53"/>
      <c r="E86" s="92"/>
      <c r="F86" s="93"/>
      <c r="G86" s="94"/>
      <c r="H86" s="95"/>
      <c r="I86" s="46"/>
      <c r="J86" s="90"/>
    </row>
    <row r="87" spans="1:10" s="37" customFormat="1" ht="24" hidden="1" customHeight="1" x14ac:dyDescent="0.3">
      <c r="A87" s="18"/>
      <c r="B87" s="48"/>
      <c r="C87" s="91"/>
      <c r="D87" s="53"/>
      <c r="E87" s="92"/>
      <c r="F87" s="93"/>
      <c r="G87" s="94"/>
      <c r="H87" s="95"/>
      <c r="I87" s="46"/>
      <c r="J87" s="90"/>
    </row>
    <row r="88" spans="1:10" s="37" customFormat="1" ht="24" hidden="1" customHeight="1" x14ac:dyDescent="0.3">
      <c r="A88" s="18"/>
      <c r="B88" s="48"/>
      <c r="C88" s="91"/>
      <c r="D88" s="53"/>
      <c r="E88" s="92"/>
      <c r="F88" s="93"/>
      <c r="G88" s="94"/>
      <c r="H88" s="95"/>
      <c r="I88" s="46"/>
      <c r="J88" s="90"/>
    </row>
    <row r="89" spans="1:10" s="37" customFormat="1" ht="24" hidden="1" customHeight="1" x14ac:dyDescent="0.3">
      <c r="A89" s="18"/>
      <c r="B89" s="48"/>
      <c r="C89" s="91"/>
      <c r="D89" s="53"/>
      <c r="E89" s="92"/>
      <c r="F89" s="93"/>
      <c r="G89" s="94"/>
      <c r="H89" s="95"/>
      <c r="I89" s="46"/>
      <c r="J89" s="90"/>
    </row>
    <row r="90" spans="1:10" s="37" customFormat="1" ht="24" hidden="1" customHeight="1" x14ac:dyDescent="0.3">
      <c r="A90" s="18"/>
      <c r="B90" s="48"/>
      <c r="C90" s="91"/>
      <c r="D90" s="53"/>
      <c r="E90" s="92"/>
      <c r="F90" s="93"/>
      <c r="G90" s="94"/>
      <c r="H90" s="95"/>
      <c r="I90" s="46"/>
      <c r="J90" s="90"/>
    </row>
    <row r="91" spans="1:10" s="37" customFormat="1" ht="24" hidden="1" customHeight="1" x14ac:dyDescent="0.3">
      <c r="A91" s="18"/>
      <c r="B91" s="48"/>
      <c r="C91" s="91"/>
      <c r="D91" s="53"/>
      <c r="E91" s="92"/>
      <c r="F91" s="93"/>
      <c r="G91" s="94"/>
      <c r="H91" s="95"/>
      <c r="I91" s="46"/>
      <c r="J91" s="90"/>
    </row>
    <row r="92" spans="1:10" s="37" customFormat="1" ht="24" hidden="1" customHeight="1" x14ac:dyDescent="0.3">
      <c r="A92" s="18"/>
      <c r="B92" s="48"/>
      <c r="C92" s="91"/>
      <c r="D92" s="53"/>
      <c r="E92" s="92"/>
      <c r="F92" s="93"/>
      <c r="G92" s="94"/>
      <c r="H92" s="95"/>
      <c r="I92" s="46"/>
      <c r="J92" s="90"/>
    </row>
    <row r="93" spans="1:10" s="37" customFormat="1" ht="24" hidden="1" customHeight="1" x14ac:dyDescent="0.3">
      <c r="A93" s="18"/>
      <c r="B93" s="48"/>
      <c r="C93" s="91"/>
      <c r="D93" s="53"/>
      <c r="E93" s="92"/>
      <c r="F93" s="93"/>
      <c r="G93" s="94"/>
      <c r="H93" s="95"/>
      <c r="I93" s="46"/>
      <c r="J93" s="90"/>
    </row>
    <row r="94" spans="1:10" s="37" customFormat="1" ht="24" hidden="1" customHeight="1" x14ac:dyDescent="0.3">
      <c r="A94" s="18"/>
      <c r="B94" s="48"/>
      <c r="C94" s="91"/>
      <c r="D94" s="53"/>
      <c r="E94" s="92"/>
      <c r="F94" s="93"/>
      <c r="G94" s="94"/>
      <c r="H94" s="95"/>
      <c r="I94" s="46"/>
      <c r="J94" s="90"/>
    </row>
    <row r="95" spans="1:10" s="37" customFormat="1" ht="24" hidden="1" customHeight="1" x14ac:dyDescent="0.3">
      <c r="A95" s="18"/>
      <c r="B95" s="48"/>
      <c r="C95" s="91"/>
      <c r="D95" s="53"/>
      <c r="E95" s="92"/>
      <c r="F95" s="93"/>
      <c r="G95" s="94"/>
      <c r="H95" s="95"/>
      <c r="I95" s="46"/>
      <c r="J95" s="90"/>
    </row>
    <row r="96" spans="1:10" s="37" customFormat="1" ht="24" hidden="1" customHeight="1" x14ac:dyDescent="0.3">
      <c r="A96" s="18"/>
      <c r="B96" s="48"/>
      <c r="C96" s="91"/>
      <c r="D96" s="53"/>
      <c r="E96" s="92"/>
      <c r="F96" s="93"/>
      <c r="G96" s="94"/>
      <c r="H96" s="95"/>
      <c r="I96" s="46"/>
      <c r="J96" s="90"/>
    </row>
    <row r="97" spans="1:13" s="37" customFormat="1" ht="24" hidden="1" customHeight="1" x14ac:dyDescent="0.3">
      <c r="A97" s="18"/>
      <c r="B97" s="48"/>
      <c r="C97" s="91"/>
      <c r="D97" s="53"/>
      <c r="E97" s="92"/>
      <c r="F97" s="93"/>
      <c r="G97" s="94"/>
      <c r="H97" s="95"/>
      <c r="I97" s="46"/>
      <c r="J97" s="90"/>
    </row>
    <row r="98" spans="1:13" s="37" customFormat="1" ht="24" hidden="1" customHeight="1" x14ac:dyDescent="0.3">
      <c r="A98" s="18"/>
      <c r="B98" s="48"/>
      <c r="C98" s="91"/>
      <c r="D98" s="53"/>
      <c r="E98" s="92"/>
      <c r="F98" s="93"/>
      <c r="G98" s="94"/>
      <c r="H98" s="95"/>
      <c r="I98" s="46"/>
      <c r="J98" s="90"/>
    </row>
    <row r="99" spans="1:13" s="37" customFormat="1" ht="24" hidden="1" customHeight="1" x14ac:dyDescent="0.3">
      <c r="A99" s="18"/>
      <c r="B99" s="48"/>
      <c r="C99" s="91"/>
      <c r="D99" s="53"/>
      <c r="E99" s="92"/>
      <c r="F99" s="93"/>
      <c r="G99" s="94"/>
      <c r="H99" s="95"/>
      <c r="I99" s="46"/>
      <c r="J99" s="90"/>
    </row>
    <row r="100" spans="1:13" s="37" customFormat="1" ht="24" hidden="1" customHeight="1" x14ac:dyDescent="0.3">
      <c r="A100" s="18"/>
      <c r="B100" s="48"/>
      <c r="C100" s="91"/>
      <c r="D100" s="53"/>
      <c r="E100" s="92"/>
      <c r="F100" s="93"/>
      <c r="G100" s="94"/>
      <c r="H100" s="95"/>
      <c r="I100" s="46"/>
      <c r="J100" s="90"/>
    </row>
    <row r="101" spans="1:13" s="37" customFormat="1" ht="24" hidden="1" customHeight="1" x14ac:dyDescent="0.3">
      <c r="A101" s="18"/>
      <c r="B101" s="48"/>
      <c r="C101" s="91"/>
      <c r="D101" s="53"/>
      <c r="E101" s="92"/>
      <c r="F101" s="93"/>
      <c r="G101" s="94"/>
      <c r="H101" s="95"/>
      <c r="I101" s="46"/>
      <c r="J101" s="90"/>
    </row>
    <row r="102" spans="1:13" s="37" customFormat="1" ht="24" customHeight="1" x14ac:dyDescent="0.3">
      <c r="A102" s="18"/>
      <c r="B102" s="67"/>
      <c r="C102" s="68"/>
      <c r="D102" s="68"/>
      <c r="E102" s="69" t="s">
        <v>30</v>
      </c>
      <c r="F102" s="70">
        <f>SUM(F47:F101)</f>
        <v>0</v>
      </c>
      <c r="G102" s="71">
        <f>SUM(G47:G101)</f>
        <v>1213762</v>
      </c>
      <c r="H102" s="24"/>
      <c r="I102" s="72"/>
      <c r="J102" s="90"/>
    </row>
    <row r="103" spans="1:13" s="37" customFormat="1" ht="24" customHeight="1" x14ac:dyDescent="0.3">
      <c r="A103" s="18"/>
      <c r="B103" s="74" t="s">
        <v>31</v>
      </c>
      <c r="C103" s="97"/>
      <c r="D103" s="98"/>
      <c r="E103" s="77"/>
      <c r="F103" s="78"/>
      <c r="G103" s="79"/>
      <c r="H103" s="45"/>
      <c r="I103" s="80"/>
      <c r="J103" s="90"/>
      <c r="M103" s="34"/>
    </row>
    <row r="104" spans="1:13" s="37" customFormat="1" ht="24" hidden="1" customHeight="1" x14ac:dyDescent="0.3">
      <c r="A104" s="18"/>
      <c r="B104" s="48"/>
      <c r="C104" s="99"/>
      <c r="D104" s="100"/>
      <c r="E104" s="101"/>
      <c r="F104" s="102"/>
      <c r="G104" s="103"/>
      <c r="H104" s="104"/>
      <c r="I104" s="105"/>
      <c r="J104" s="90"/>
      <c r="M104" s="34"/>
    </row>
    <row r="105" spans="1:13" s="37" customFormat="1" ht="24" hidden="1" customHeight="1" x14ac:dyDescent="0.3">
      <c r="A105" s="18"/>
      <c r="B105" s="48"/>
      <c r="C105" s="106"/>
      <c r="D105" s="100"/>
      <c r="E105" s="107"/>
      <c r="F105" s="108"/>
      <c r="G105" s="109"/>
      <c r="H105" s="31"/>
      <c r="I105" s="32"/>
      <c r="J105" s="90"/>
      <c r="M105" s="34"/>
    </row>
    <row r="106" spans="1:13" s="37" customFormat="1" ht="24" hidden="1" customHeight="1" x14ac:dyDescent="0.3">
      <c r="A106" s="18"/>
      <c r="B106" s="59"/>
      <c r="C106" s="110"/>
      <c r="D106" s="111"/>
      <c r="E106" s="62"/>
      <c r="F106" s="112"/>
      <c r="G106" s="113"/>
      <c r="H106" s="65"/>
      <c r="I106" s="66"/>
      <c r="J106" s="90"/>
      <c r="M106" s="34"/>
    </row>
    <row r="107" spans="1:13" s="37" customFormat="1" ht="24" customHeight="1" x14ac:dyDescent="0.3">
      <c r="A107" s="18"/>
      <c r="B107" s="67"/>
      <c r="C107" s="68"/>
      <c r="D107" s="68"/>
      <c r="E107" s="69" t="s">
        <v>32</v>
      </c>
      <c r="F107" s="114">
        <f>SUM(F103:F106)</f>
        <v>0</v>
      </c>
      <c r="G107" s="83">
        <f>SUM(G103:G106)</f>
        <v>0</v>
      </c>
      <c r="H107" s="24"/>
      <c r="I107" s="72"/>
      <c r="J107" s="90"/>
    </row>
    <row r="108" spans="1:13" s="37" customFormat="1" ht="24" hidden="1" customHeight="1" outlineLevel="1" x14ac:dyDescent="0.3">
      <c r="A108" s="18"/>
      <c r="B108" s="17" t="s">
        <v>36</v>
      </c>
      <c r="C108" s="115"/>
      <c r="D108" s="116"/>
      <c r="E108" s="116"/>
      <c r="F108" s="117"/>
      <c r="G108" s="117"/>
      <c r="H108" s="116"/>
      <c r="I108" s="118"/>
      <c r="J108" s="90"/>
    </row>
    <row r="109" spans="1:13" s="37" customFormat="1" ht="24" hidden="1" customHeight="1" outlineLevel="1" x14ac:dyDescent="0.3">
      <c r="A109" s="18"/>
      <c r="B109" s="119" t="s">
        <v>37</v>
      </c>
      <c r="C109" s="119"/>
      <c r="D109" s="116" t="s">
        <v>38</v>
      </c>
      <c r="E109" s="116"/>
      <c r="F109" s="120" t="s">
        <v>39</v>
      </c>
      <c r="G109" s="121" t="s">
        <v>39</v>
      </c>
      <c r="H109" s="116"/>
      <c r="I109" s="122" t="s">
        <v>40</v>
      </c>
      <c r="J109" s="90"/>
    </row>
    <row r="110" spans="1:13" s="37" customFormat="1" ht="24" hidden="1" customHeight="1" outlineLevel="1" x14ac:dyDescent="0.3">
      <c r="A110" s="18"/>
      <c r="B110" s="19" t="s">
        <v>17</v>
      </c>
      <c r="C110" s="19" t="s">
        <v>18</v>
      </c>
      <c r="D110" s="196" t="s">
        <v>19</v>
      </c>
      <c r="E110" s="195"/>
      <c r="F110" s="21" t="s">
        <v>20</v>
      </c>
      <c r="G110" s="22" t="s">
        <v>21</v>
      </c>
      <c r="H110" s="23" t="s">
        <v>22</v>
      </c>
      <c r="I110" s="20" t="s">
        <v>23</v>
      </c>
      <c r="J110" s="90"/>
    </row>
    <row r="111" spans="1:13" s="37" customFormat="1" ht="24" hidden="1" customHeight="1" outlineLevel="1" x14ac:dyDescent="0.3">
      <c r="A111" s="18"/>
      <c r="B111" s="25"/>
      <c r="C111" s="91"/>
      <c r="D111" s="53"/>
      <c r="E111" s="92"/>
      <c r="F111" s="93"/>
      <c r="G111" s="94"/>
      <c r="H111" s="95"/>
      <c r="I111" s="46"/>
      <c r="J111" s="90"/>
    </row>
    <row r="112" spans="1:13" s="37" customFormat="1" ht="24" hidden="1" customHeight="1" outlineLevel="1" x14ac:dyDescent="0.3">
      <c r="A112" s="18"/>
      <c r="B112" s="48"/>
      <c r="C112" s="91"/>
      <c r="D112" s="55"/>
      <c r="E112" s="92"/>
      <c r="F112" s="93"/>
      <c r="G112" s="94"/>
      <c r="H112" s="95"/>
      <c r="I112" s="46"/>
      <c r="J112" s="90"/>
    </row>
    <row r="113" spans="1:13" s="37" customFormat="1" ht="24" hidden="1" customHeight="1" outlineLevel="1" x14ac:dyDescent="0.3">
      <c r="A113" s="18"/>
      <c r="B113" s="25"/>
      <c r="C113" s="91"/>
      <c r="D113" s="53"/>
      <c r="E113" s="92"/>
      <c r="F113" s="93"/>
      <c r="G113" s="94"/>
      <c r="H113" s="95"/>
      <c r="I113" s="46"/>
      <c r="J113" s="90"/>
    </row>
    <row r="114" spans="1:13" s="37" customFormat="1" ht="24" hidden="1" customHeight="1" outlineLevel="1" x14ac:dyDescent="0.3">
      <c r="A114" s="18"/>
      <c r="B114" s="25"/>
      <c r="C114" s="91"/>
      <c r="D114" s="53"/>
      <c r="E114" s="92"/>
      <c r="F114" s="93"/>
      <c r="G114" s="94"/>
      <c r="H114" s="95"/>
      <c r="I114" s="46"/>
      <c r="J114" s="90"/>
    </row>
    <row r="115" spans="1:13" s="37" customFormat="1" ht="24" hidden="1" customHeight="1" outlineLevel="1" x14ac:dyDescent="0.3">
      <c r="A115" s="18"/>
      <c r="B115" s="25"/>
      <c r="C115" s="123"/>
      <c r="D115" s="124"/>
      <c r="E115" s="125"/>
      <c r="F115" s="126"/>
      <c r="G115" s="127"/>
      <c r="H115" s="95"/>
      <c r="I115" s="80"/>
      <c r="J115" s="90"/>
    </row>
    <row r="116" spans="1:13" s="37" customFormat="1" ht="24" hidden="1" customHeight="1" outlineLevel="1" x14ac:dyDescent="0.3">
      <c r="A116" s="18"/>
      <c r="B116" s="67"/>
      <c r="C116" s="68"/>
      <c r="D116" s="68"/>
      <c r="E116" s="69" t="s">
        <v>30</v>
      </c>
      <c r="F116" s="70">
        <f>SUM(F111:F115)</f>
        <v>0</v>
      </c>
      <c r="G116" s="71">
        <f>SUM(G111:G115)</f>
        <v>0</v>
      </c>
      <c r="H116" s="24"/>
      <c r="I116" s="72"/>
      <c r="J116" s="90"/>
    </row>
    <row r="117" spans="1:13" s="1" customFormat="1" ht="24" customHeight="1" collapsed="1" x14ac:dyDescent="0.3">
      <c r="C117" s="84"/>
      <c r="D117" s="84"/>
      <c r="E117" s="84"/>
      <c r="F117" s="128"/>
      <c r="G117" s="128"/>
      <c r="H117" s="84"/>
      <c r="I117" s="86"/>
      <c r="J117" s="129"/>
    </row>
    <row r="118" spans="1:13" s="1" customFormat="1" ht="24" customHeight="1" x14ac:dyDescent="0.3">
      <c r="B118" s="17" t="s">
        <v>41</v>
      </c>
      <c r="C118" s="115"/>
      <c r="D118" s="116"/>
      <c r="E118" s="116"/>
      <c r="F118" s="117"/>
      <c r="G118" s="117"/>
      <c r="H118" s="116"/>
      <c r="I118" s="118"/>
    </row>
    <row r="119" spans="1:13" s="1" customFormat="1" ht="24" customHeight="1" x14ac:dyDescent="0.3">
      <c r="B119" s="119" t="s">
        <v>37</v>
      </c>
      <c r="C119" s="119"/>
      <c r="D119" s="116" t="s">
        <v>38</v>
      </c>
      <c r="E119" s="116"/>
      <c r="F119" s="120" t="s">
        <v>39</v>
      </c>
      <c r="G119" s="121" t="s">
        <v>39</v>
      </c>
      <c r="H119" s="116"/>
      <c r="I119" s="122" t="s">
        <v>40</v>
      </c>
    </row>
    <row r="120" spans="1:13" s="1" customFormat="1" ht="24" customHeight="1" x14ac:dyDescent="0.3">
      <c r="B120" s="130" t="s">
        <v>42</v>
      </c>
      <c r="C120" s="190" t="s">
        <v>43</v>
      </c>
      <c r="D120" s="191"/>
      <c r="E120" s="130" t="s">
        <v>44</v>
      </c>
      <c r="F120" s="19" t="s">
        <v>45</v>
      </c>
      <c r="G120" s="131" t="s">
        <v>46</v>
      </c>
      <c r="H120" s="23" t="s">
        <v>47</v>
      </c>
      <c r="I120" s="23" t="s">
        <v>23</v>
      </c>
    </row>
    <row r="121" spans="1:13" s="1" customFormat="1" ht="24" customHeight="1" x14ac:dyDescent="0.3">
      <c r="B121" s="132" t="s">
        <v>48</v>
      </c>
      <c r="C121" s="133" t="s">
        <v>49</v>
      </c>
      <c r="D121" s="134" t="s">
        <v>50</v>
      </c>
      <c r="E121" s="135">
        <f>'0810'!H121+SUMIF($H$8:$H$35,J121,$F$8:$F$35)-SUMIF($H$8:$H$35,J121,$G$8:$G$35)</f>
        <v>115935</v>
      </c>
      <c r="F121" s="136">
        <f>SUMIF($H$47:$H$102,J121,$F$47:$F$102)+SUMIF($H$110:$H$116,J121,$F$110:$F$116)</f>
        <v>0</v>
      </c>
      <c r="G121" s="137">
        <f>SUMIF($H$47:$H$102,J121,$G$47:$G$102)+SUMIF($H$110:$H$116,J121,$G$110:$G$116)</f>
        <v>0</v>
      </c>
      <c r="H121" s="138">
        <f>E121+F121-G121</f>
        <v>115935</v>
      </c>
      <c r="I121" s="139" t="s">
        <v>51</v>
      </c>
      <c r="J121" s="140" t="s">
        <v>29</v>
      </c>
    </row>
    <row r="122" spans="1:13" s="1" customFormat="1" ht="24" customHeight="1" x14ac:dyDescent="0.3">
      <c r="B122" s="132" t="s">
        <v>48</v>
      </c>
      <c r="C122" s="133" t="s">
        <v>52</v>
      </c>
      <c r="D122" s="134" t="s">
        <v>53</v>
      </c>
      <c r="E122" s="135">
        <f>'0810'!H122+SUMIF($H$8:$H$35,J122,$F$8:$F$35)-SUMIF($H$8:$H$35,J122,$G$8:$G$35)</f>
        <v>285103965</v>
      </c>
      <c r="F122" s="136">
        <f>SUMIF($H$47:$H$101,J122,$F$47:$F$101)+F116</f>
        <v>0</v>
      </c>
      <c r="G122" s="137">
        <f>SUMIF($H$47:$H$101,J122,$G$47:$G$101)</f>
        <v>1213762</v>
      </c>
      <c r="H122" s="138">
        <f>E122+F122-G122</f>
        <v>283890203</v>
      </c>
      <c r="I122" s="139" t="s">
        <v>54</v>
      </c>
      <c r="J122" s="140" t="s">
        <v>55</v>
      </c>
      <c r="M122" s="73"/>
    </row>
    <row r="123" spans="1:13" s="1" customFormat="1" ht="24" customHeight="1" x14ac:dyDescent="0.3">
      <c r="B123" s="132" t="s">
        <v>48</v>
      </c>
      <c r="C123" s="133" t="s">
        <v>56</v>
      </c>
      <c r="D123" s="134" t="s">
        <v>53</v>
      </c>
      <c r="E123" s="135">
        <f>'0810'!H123+SUMIF($H$8:$H$35,J123,$F$8:$F$35)-SUMIF($H$8:$H$35,J123,$G$8:$G$35)+SUMIF($H$110:$H$116,J123,$F$110:$F$116)</f>
        <v>78020</v>
      </c>
      <c r="F123" s="136">
        <f>SUMIF($H$47:$H$101,J123,$F$47:$F$101)+SUMIF($H$110:$H$116,J123,$F$110:$F$116)</f>
        <v>0</v>
      </c>
      <c r="G123" s="137">
        <f>SUMIF($H$47:$H$101,J123,$G$47:$G$101)+SUMIF($H$110:$H$116,J123,$G$110:$G$116)</f>
        <v>0</v>
      </c>
      <c r="H123" s="138">
        <f>E123+F123-G123</f>
        <v>78020</v>
      </c>
      <c r="I123" s="139" t="s">
        <v>57</v>
      </c>
      <c r="J123" s="140" t="s">
        <v>58</v>
      </c>
    </row>
    <row r="124" spans="1:13" s="1" customFormat="1" ht="24" customHeight="1" x14ac:dyDescent="0.3">
      <c r="B124" s="132" t="s">
        <v>48</v>
      </c>
      <c r="C124" s="133" t="s">
        <v>59</v>
      </c>
      <c r="D124" s="134" t="s">
        <v>53</v>
      </c>
      <c r="E124" s="135">
        <f>'0810'!H124+SUMIF($H$8:$H$35,J124,$F$8:$F$35)-SUMIF($H$8:$H$35,J124,$G$8:$G$35)</f>
        <v>0</v>
      </c>
      <c r="F124" s="136">
        <f t="shared" ref="F124:F129" si="0">SUMIF($H$47:$H$101,J124,$F$47:$F$101)</f>
        <v>0</v>
      </c>
      <c r="G124" s="137">
        <f t="shared" ref="G124:G129" si="1">SUMIF($H$47:$H$101,J124,$G$47:$G$101)</f>
        <v>0</v>
      </c>
      <c r="H124" s="138">
        <f t="shared" ref="H124:H129" si="2">E124+F124-G124</f>
        <v>0</v>
      </c>
      <c r="I124" s="139" t="s">
        <v>60</v>
      </c>
      <c r="J124" s="140" t="s">
        <v>61</v>
      </c>
    </row>
    <row r="125" spans="1:13" s="1" customFormat="1" ht="24" customHeight="1" x14ac:dyDescent="0.3">
      <c r="B125" s="132" t="s">
        <v>48</v>
      </c>
      <c r="C125" s="133" t="s">
        <v>62</v>
      </c>
      <c r="D125" s="134" t="s">
        <v>53</v>
      </c>
      <c r="E125" s="135">
        <f>'0810'!H125+SUMIF($H$8:$H$35,J125,$F$8:$F$35)-SUMIF($H$8:$H$35,J125,$G$8:$G$35)</f>
        <v>0</v>
      </c>
      <c r="F125" s="136">
        <f t="shared" si="0"/>
        <v>0</v>
      </c>
      <c r="G125" s="137">
        <f t="shared" si="1"/>
        <v>0</v>
      </c>
      <c r="H125" s="138">
        <f t="shared" si="2"/>
        <v>0</v>
      </c>
      <c r="I125" s="139" t="s">
        <v>63</v>
      </c>
      <c r="J125" s="140" t="s">
        <v>64</v>
      </c>
    </row>
    <row r="126" spans="1:13" s="1" customFormat="1" ht="24" customHeight="1" x14ac:dyDescent="0.3">
      <c r="B126" s="132" t="s">
        <v>48</v>
      </c>
      <c r="C126" s="133" t="s">
        <v>65</v>
      </c>
      <c r="D126" s="134" t="s">
        <v>53</v>
      </c>
      <c r="E126" s="135">
        <f>'0810'!H126+SUMIF($H$8:$H$35,J126,$F$8:$F$35)-SUMIF($H$8:$H$35,J126,$G$8:$G$35)</f>
        <v>0</v>
      </c>
      <c r="F126" s="136">
        <f t="shared" si="0"/>
        <v>0</v>
      </c>
      <c r="G126" s="137">
        <f t="shared" si="1"/>
        <v>0</v>
      </c>
      <c r="H126" s="138">
        <f t="shared" si="2"/>
        <v>0</v>
      </c>
      <c r="I126" s="141" t="s">
        <v>66</v>
      </c>
      <c r="J126" s="140" t="s">
        <v>67</v>
      </c>
    </row>
    <row r="127" spans="1:13" s="1" customFormat="1" ht="24" customHeight="1" x14ac:dyDescent="0.3">
      <c r="B127" s="132" t="s">
        <v>68</v>
      </c>
      <c r="C127" s="133" t="s">
        <v>69</v>
      </c>
      <c r="D127" s="134" t="s">
        <v>53</v>
      </c>
      <c r="E127" s="135">
        <f>'0810'!H127+SUMIF($H$8:$H$35,J127,$F$8:$F$35)-SUMIF($H$8:$H$35,J127,$G$8:$G$35)</f>
        <v>22177082</v>
      </c>
      <c r="F127" s="136">
        <f t="shared" si="0"/>
        <v>0</v>
      </c>
      <c r="G127" s="137">
        <f t="shared" si="1"/>
        <v>0</v>
      </c>
      <c r="H127" s="142">
        <f t="shared" si="2"/>
        <v>22177082</v>
      </c>
      <c r="I127" s="139" t="s">
        <v>54</v>
      </c>
      <c r="J127" s="140" t="s">
        <v>70</v>
      </c>
    </row>
    <row r="128" spans="1:13" s="1" customFormat="1" ht="24" customHeight="1" x14ac:dyDescent="0.3">
      <c r="B128" s="132" t="s">
        <v>71</v>
      </c>
      <c r="C128" s="133" t="s">
        <v>72</v>
      </c>
      <c r="D128" s="134" t="s">
        <v>53</v>
      </c>
      <c r="E128" s="135">
        <f>'0810'!H128+SUMIF($H$8:$H$35,J128,$F$8:$F$35)-SUMIF($H$8:$H$35,J128,$G$8:$G$35)</f>
        <v>0</v>
      </c>
      <c r="F128" s="136">
        <f t="shared" si="0"/>
        <v>0</v>
      </c>
      <c r="G128" s="137">
        <f t="shared" si="1"/>
        <v>0</v>
      </c>
      <c r="H128" s="142">
        <f t="shared" si="2"/>
        <v>0</v>
      </c>
      <c r="I128" s="139" t="s">
        <v>73</v>
      </c>
      <c r="J128" s="140" t="s">
        <v>74</v>
      </c>
    </row>
    <row r="129" spans="2:13" s="1" customFormat="1" ht="24" customHeight="1" x14ac:dyDescent="0.3">
      <c r="B129" s="132" t="s">
        <v>75</v>
      </c>
      <c r="C129" s="133" t="s">
        <v>76</v>
      </c>
      <c r="D129" s="134" t="s">
        <v>50</v>
      </c>
      <c r="E129" s="135">
        <f>'0810'!H129+SUMIF($H$8:$H$35,J129,$F$8:$F$35)-SUMIF($H$8:$H$35,J129,$G$8:$G$35)</f>
        <v>33952</v>
      </c>
      <c r="F129" s="136">
        <f t="shared" si="0"/>
        <v>0</v>
      </c>
      <c r="G129" s="137">
        <f t="shared" si="1"/>
        <v>0</v>
      </c>
      <c r="H129" s="142">
        <f t="shared" si="2"/>
        <v>33952</v>
      </c>
      <c r="I129" s="143" t="s">
        <v>73</v>
      </c>
      <c r="J129" s="140" t="s">
        <v>77</v>
      </c>
    </row>
    <row r="130" spans="2:13" s="1" customFormat="1" ht="22.5" customHeight="1" x14ac:dyDescent="0.3">
      <c r="B130" s="144"/>
      <c r="C130" s="145"/>
      <c r="D130" s="146" t="s">
        <v>78</v>
      </c>
      <c r="E130" s="147">
        <f>SUM(E121:E129)</f>
        <v>307508954</v>
      </c>
      <c r="F130" s="148">
        <f>SUM(F121:F128)</f>
        <v>0</v>
      </c>
      <c r="G130" s="149">
        <f>SUM(G121:G128)</f>
        <v>1213762</v>
      </c>
      <c r="H130" s="150">
        <f>SUM(H121:H129)</f>
        <v>306295192</v>
      </c>
      <c r="I130" s="151"/>
      <c r="J130" s="37"/>
    </row>
    <row r="131" spans="2:13" s="1" customFormat="1" ht="22.5" customHeight="1" x14ac:dyDescent="0.3">
      <c r="C131" s="84"/>
      <c r="D131" s="84"/>
      <c r="E131" s="152"/>
      <c r="F131" s="152"/>
      <c r="G131" s="152"/>
      <c r="H131" s="152"/>
      <c r="I131" s="153"/>
    </row>
    <row r="132" spans="2:13" s="1" customFormat="1" ht="24" customHeight="1" x14ac:dyDescent="0.3">
      <c r="B132" s="119" t="s">
        <v>79</v>
      </c>
      <c r="C132" s="119"/>
      <c r="D132" s="116" t="s">
        <v>38</v>
      </c>
      <c r="E132" s="116"/>
      <c r="F132" s="120" t="s">
        <v>39</v>
      </c>
      <c r="G132" s="121" t="s">
        <v>39</v>
      </c>
      <c r="H132" s="116"/>
      <c r="I132" s="122" t="s">
        <v>80</v>
      </c>
    </row>
    <row r="133" spans="2:13" s="1" customFormat="1" ht="24" customHeight="1" x14ac:dyDescent="0.3">
      <c r="B133" s="130" t="s">
        <v>42</v>
      </c>
      <c r="C133" s="190" t="s">
        <v>43</v>
      </c>
      <c r="D133" s="191"/>
      <c r="E133" s="130" t="s">
        <v>44</v>
      </c>
      <c r="F133" s="19" t="s">
        <v>45</v>
      </c>
      <c r="G133" s="131" t="s">
        <v>46</v>
      </c>
      <c r="H133" s="23" t="s">
        <v>47</v>
      </c>
      <c r="I133" s="23" t="s">
        <v>23</v>
      </c>
    </row>
    <row r="134" spans="2:13" s="1" customFormat="1" ht="24" customHeight="1" x14ac:dyDescent="0.3">
      <c r="B134" s="132" t="s">
        <v>81</v>
      </c>
      <c r="C134" s="133" t="s">
        <v>82</v>
      </c>
      <c r="D134" s="134" t="s">
        <v>83</v>
      </c>
      <c r="E134" s="154">
        <f>'0810'!H134</f>
        <v>0</v>
      </c>
      <c r="F134" s="155">
        <f>SUMIF($H$103:$H$106,J134,$F$103:$F$106)</f>
        <v>0</v>
      </c>
      <c r="G134" s="156">
        <f>SUMIF($H$103:$H$106,J134,$G$103:$G$106)</f>
        <v>0</v>
      </c>
      <c r="H134" s="157">
        <f>E134+F134-G134</f>
        <v>0</v>
      </c>
      <c r="I134" s="158" t="s">
        <v>84</v>
      </c>
      <c r="J134" s="159" t="s">
        <v>84</v>
      </c>
    </row>
    <row r="135" spans="2:13" s="1" customFormat="1" ht="22.5" customHeight="1" x14ac:dyDescent="0.3">
      <c r="B135" s="144"/>
      <c r="C135" s="145"/>
      <c r="D135" s="146" t="s">
        <v>78</v>
      </c>
      <c r="E135" s="160">
        <f>SUM(E134)</f>
        <v>0</v>
      </c>
      <c r="F135" s="161">
        <f>SUM(F134)</f>
        <v>0</v>
      </c>
      <c r="G135" s="162">
        <f>SUM(G134)</f>
        <v>0</v>
      </c>
      <c r="H135" s="160">
        <f>SUM(H134)</f>
        <v>0</v>
      </c>
      <c r="I135" s="151"/>
    </row>
    <row r="136" spans="2:13" s="1" customFormat="1" ht="24" customHeight="1" x14ac:dyDescent="0.3"/>
    <row r="137" spans="2:13" s="1" customFormat="1" ht="24" customHeight="1" x14ac:dyDescent="0.3">
      <c r="B137" s="119" t="s">
        <v>85</v>
      </c>
      <c r="C137" s="119"/>
      <c r="D137" s="116" t="s">
        <v>38</v>
      </c>
      <c r="E137" s="116"/>
      <c r="F137" s="120" t="s">
        <v>39</v>
      </c>
      <c r="G137" s="121" t="s">
        <v>39</v>
      </c>
      <c r="H137" s="116"/>
      <c r="I137" s="122" t="s">
        <v>40</v>
      </c>
    </row>
    <row r="138" spans="2:13" s="1" customFormat="1" ht="24" customHeight="1" x14ac:dyDescent="0.3">
      <c r="B138" s="130" t="s">
        <v>42</v>
      </c>
      <c r="C138" s="190" t="s">
        <v>43</v>
      </c>
      <c r="D138" s="191"/>
      <c r="E138" s="130" t="s">
        <v>44</v>
      </c>
      <c r="F138" s="19" t="s">
        <v>45</v>
      </c>
      <c r="G138" s="131" t="s">
        <v>46</v>
      </c>
      <c r="H138" s="23" t="s">
        <v>47</v>
      </c>
      <c r="I138" s="23" t="s">
        <v>23</v>
      </c>
    </row>
    <row r="139" spans="2:13" s="1" customFormat="1" ht="24" customHeight="1" x14ac:dyDescent="0.3">
      <c r="B139" s="132" t="s">
        <v>48</v>
      </c>
      <c r="C139" s="133" t="s">
        <v>86</v>
      </c>
      <c r="D139" s="163" t="s">
        <v>87</v>
      </c>
      <c r="E139" s="164">
        <f>'0810'!H139</f>
        <v>2100000000</v>
      </c>
      <c r="F139" s="136"/>
      <c r="G139" s="137"/>
      <c r="H139" s="142">
        <f>E139+F139-G139</f>
        <v>2100000000</v>
      </c>
      <c r="I139" s="141" t="s">
        <v>88</v>
      </c>
      <c r="J139" s="1" t="s">
        <v>89</v>
      </c>
      <c r="M139" s="73">
        <f>H139-2057169001</f>
        <v>42830999</v>
      </c>
    </row>
    <row r="140" spans="2:13" s="1" customFormat="1" ht="24" hidden="1" customHeight="1" x14ac:dyDescent="0.3">
      <c r="B140" s="132" t="s">
        <v>48</v>
      </c>
      <c r="C140" s="133" t="s">
        <v>90</v>
      </c>
      <c r="D140" s="163" t="s">
        <v>91</v>
      </c>
      <c r="E140" s="165">
        <f>'0810'!H140</f>
        <v>0</v>
      </c>
      <c r="F140" s="136"/>
      <c r="G140" s="137"/>
      <c r="H140" s="142">
        <f>E140+F140-G140</f>
        <v>0</v>
      </c>
      <c r="I140" s="141"/>
      <c r="J140" s="1" t="s">
        <v>92</v>
      </c>
    </row>
    <row r="141" spans="2:13" s="1" customFormat="1" ht="22.5" customHeight="1" x14ac:dyDescent="0.3">
      <c r="B141" s="144"/>
      <c r="C141" s="145"/>
      <c r="D141" s="146" t="s">
        <v>78</v>
      </c>
      <c r="E141" s="147">
        <f>SUM(E139:E140)</f>
        <v>2100000000</v>
      </c>
      <c r="F141" s="166">
        <f>SUM(F139:F140)</f>
        <v>0</v>
      </c>
      <c r="G141" s="167">
        <f>SUM(G139:G140)</f>
        <v>0</v>
      </c>
      <c r="H141" s="147">
        <f>SUM(H139:H140)</f>
        <v>2100000000</v>
      </c>
      <c r="I141" s="151"/>
    </row>
    <row r="146" spans="1:4" ht="23.45" customHeight="1" outlineLevel="1" x14ac:dyDescent="0.3">
      <c r="B146" s="1"/>
      <c r="C146" s="1"/>
      <c r="D146" s="168" t="s">
        <v>93</v>
      </c>
    </row>
    <row r="147" spans="1:4" ht="24" customHeight="1" outlineLevel="1" x14ac:dyDescent="0.3">
      <c r="A147" s="169" t="s">
        <v>94</v>
      </c>
      <c r="B147" s="169" t="s">
        <v>95</v>
      </c>
      <c r="C147" s="169" t="s">
        <v>96</v>
      </c>
      <c r="D147" s="169" t="s">
        <v>23</v>
      </c>
    </row>
    <row r="148" spans="1:4" ht="24" customHeight="1" outlineLevel="1" x14ac:dyDescent="0.3">
      <c r="A148" s="170" t="s">
        <v>97</v>
      </c>
      <c r="B148" s="171" t="s">
        <v>25</v>
      </c>
      <c r="C148" s="172">
        <f>SUMIF($A$46:$A$101,$B148,$F$46:$F$101)</f>
        <v>0</v>
      </c>
      <c r="D148" s="170"/>
    </row>
    <row r="149" spans="1:4" ht="24" customHeight="1" outlineLevel="1" x14ac:dyDescent="0.3">
      <c r="A149" s="170"/>
      <c r="B149" s="171" t="s">
        <v>98</v>
      </c>
      <c r="C149" s="172">
        <f>SUMIF($A$46:$A$101,$B149,$F$46:$F$101)</f>
        <v>0</v>
      </c>
      <c r="D149" s="170"/>
    </row>
    <row r="150" spans="1:4" ht="24" customHeight="1" outlineLevel="1" x14ac:dyDescent="0.3">
      <c r="A150" s="170"/>
      <c r="B150" s="171" t="s">
        <v>99</v>
      </c>
      <c r="C150" s="172">
        <f>SUMIF($A$46:$A$101,$B150,$F$46:$F$101)</f>
        <v>0</v>
      </c>
      <c r="D150" s="170"/>
    </row>
    <row r="151" spans="1:4" ht="24" customHeight="1" outlineLevel="1" x14ac:dyDescent="0.3">
      <c r="A151" s="170"/>
      <c r="B151" s="171" t="s">
        <v>100</v>
      </c>
      <c r="C151" s="172">
        <f>SUMIF($A$46:$A$101,$B151,$F$46:$F$101)</f>
        <v>0</v>
      </c>
      <c r="D151" s="170"/>
    </row>
    <row r="152" spans="1:4" ht="24" customHeight="1" outlineLevel="1" x14ac:dyDescent="0.3">
      <c r="A152" s="170"/>
      <c r="B152" s="171" t="s">
        <v>101</v>
      </c>
      <c r="C152" s="172">
        <f>SUMIF($A$46:$A$101,$B152,$F$46:$F$101)</f>
        <v>0</v>
      </c>
      <c r="D152" s="170"/>
    </row>
    <row r="153" spans="1:4" ht="24" customHeight="1" outlineLevel="1" x14ac:dyDescent="0.3">
      <c r="A153" s="173"/>
      <c r="B153" s="174" t="s">
        <v>102</v>
      </c>
      <c r="C153" s="175">
        <f>SUM(C148:C152)</f>
        <v>0</v>
      </c>
      <c r="D153" s="139"/>
    </row>
    <row r="154" spans="1:4" ht="24" customHeight="1" outlineLevel="1" x14ac:dyDescent="0.3">
      <c r="A154" s="176" t="s">
        <v>103</v>
      </c>
      <c r="B154" s="177" t="s">
        <v>104</v>
      </c>
      <c r="C154" s="178">
        <f t="shared" ref="C154:C167" si="3">SUMIF($A$46:$A$101,$B154,$G$46:$G$101)</f>
        <v>0</v>
      </c>
      <c r="D154" s="176"/>
    </row>
    <row r="155" spans="1:4" ht="24" customHeight="1" outlineLevel="1" x14ac:dyDescent="0.3">
      <c r="A155" s="170"/>
      <c r="B155" s="171" t="s">
        <v>105</v>
      </c>
      <c r="C155" s="172">
        <f t="shared" si="3"/>
        <v>0</v>
      </c>
      <c r="D155" s="170"/>
    </row>
    <row r="156" spans="1:4" ht="24" customHeight="1" outlineLevel="1" x14ac:dyDescent="0.3">
      <c r="A156" s="170"/>
      <c r="B156" s="171" t="s">
        <v>106</v>
      </c>
      <c r="C156" s="172">
        <f t="shared" si="3"/>
        <v>0</v>
      </c>
      <c r="D156" s="170"/>
    </row>
    <row r="157" spans="1:4" ht="24" customHeight="1" outlineLevel="1" x14ac:dyDescent="0.3">
      <c r="A157" s="170"/>
      <c r="B157" s="171" t="s">
        <v>107</v>
      </c>
      <c r="C157" s="172">
        <f t="shared" si="3"/>
        <v>0</v>
      </c>
      <c r="D157" s="170"/>
    </row>
    <row r="158" spans="1:4" ht="24" customHeight="1" outlineLevel="1" x14ac:dyDescent="0.3">
      <c r="A158" s="170"/>
      <c r="B158" s="171" t="s">
        <v>108</v>
      </c>
      <c r="C158" s="172">
        <f t="shared" si="3"/>
        <v>0</v>
      </c>
      <c r="D158" s="170"/>
    </row>
    <row r="159" spans="1:4" ht="24" customHeight="1" outlineLevel="1" x14ac:dyDescent="0.3">
      <c r="A159" s="170"/>
      <c r="B159" s="171" t="s">
        <v>109</v>
      </c>
      <c r="C159" s="172">
        <f t="shared" si="3"/>
        <v>0</v>
      </c>
      <c r="D159" s="170"/>
    </row>
    <row r="160" spans="1:4" ht="24" customHeight="1" outlineLevel="1" x14ac:dyDescent="0.3">
      <c r="A160" s="170"/>
      <c r="B160" s="171" t="s">
        <v>110</v>
      </c>
      <c r="C160" s="172">
        <f t="shared" si="3"/>
        <v>0</v>
      </c>
      <c r="D160" s="170"/>
    </row>
    <row r="161" spans="1:6" ht="24" customHeight="1" outlineLevel="1" x14ac:dyDescent="0.3">
      <c r="A161" s="170"/>
      <c r="B161" s="171" t="s">
        <v>111</v>
      </c>
      <c r="C161" s="172">
        <f t="shared" si="3"/>
        <v>0</v>
      </c>
      <c r="D161" s="170"/>
    </row>
    <row r="162" spans="1:6" ht="24" customHeight="1" outlineLevel="1" x14ac:dyDescent="0.3">
      <c r="A162" s="170"/>
      <c r="B162" s="171" t="s">
        <v>112</v>
      </c>
      <c r="C162" s="172">
        <f t="shared" si="3"/>
        <v>250000</v>
      </c>
      <c r="D162" s="170"/>
    </row>
    <row r="163" spans="1:6" ht="24" customHeight="1" outlineLevel="1" x14ac:dyDescent="0.3">
      <c r="A163" s="170"/>
      <c r="B163" s="171" t="s">
        <v>113</v>
      </c>
      <c r="C163" s="172">
        <f t="shared" si="3"/>
        <v>0</v>
      </c>
      <c r="D163" s="170"/>
    </row>
    <row r="164" spans="1:6" ht="24" customHeight="1" outlineLevel="1" x14ac:dyDescent="0.3">
      <c r="A164" s="170"/>
      <c r="B164" s="171" t="s">
        <v>114</v>
      </c>
      <c r="C164" s="172">
        <f t="shared" si="3"/>
        <v>0</v>
      </c>
      <c r="D164" s="170"/>
    </row>
    <row r="165" spans="1:6" ht="24" customHeight="1" outlineLevel="1" x14ac:dyDescent="0.3">
      <c r="A165" s="170"/>
      <c r="B165" s="171" t="s">
        <v>115</v>
      </c>
      <c r="C165" s="172">
        <f t="shared" si="3"/>
        <v>0</v>
      </c>
      <c r="D165" s="170"/>
    </row>
    <row r="166" spans="1:6" ht="24" customHeight="1" outlineLevel="1" x14ac:dyDescent="0.3">
      <c r="A166" s="170"/>
      <c r="B166" s="171" t="s">
        <v>116</v>
      </c>
      <c r="C166" s="172">
        <f t="shared" si="3"/>
        <v>0</v>
      </c>
      <c r="D166" s="170"/>
    </row>
    <row r="167" spans="1:6" ht="24" customHeight="1" outlineLevel="1" x14ac:dyDescent="0.3">
      <c r="A167" s="170"/>
      <c r="B167" s="171" t="s">
        <v>117</v>
      </c>
      <c r="C167" s="172">
        <f t="shared" si="3"/>
        <v>0</v>
      </c>
      <c r="D167" s="170"/>
    </row>
    <row r="168" spans="1:6" ht="24" customHeight="1" outlineLevel="1" x14ac:dyDescent="0.3">
      <c r="A168" s="170"/>
      <c r="B168" s="171" t="s">
        <v>118</v>
      </c>
      <c r="C168" s="172">
        <f>SUMIF($A$46:$A$101,"전산유지비",$G$46:$G$101)</f>
        <v>825</v>
      </c>
      <c r="D168" s="170"/>
    </row>
    <row r="169" spans="1:6" ht="24" customHeight="1" outlineLevel="1" x14ac:dyDescent="0.3">
      <c r="A169" s="170"/>
      <c r="B169" s="171" t="s">
        <v>119</v>
      </c>
      <c r="C169" s="172">
        <f>SUMIF($A$46:$A$101,$B169,$G$46:$G$101)</f>
        <v>43689</v>
      </c>
      <c r="D169" s="170" t="s">
        <v>120</v>
      </c>
    </row>
    <row r="170" spans="1:6" ht="24" customHeight="1" outlineLevel="1" x14ac:dyDescent="0.3">
      <c r="A170" s="170"/>
      <c r="B170" s="171" t="s">
        <v>121</v>
      </c>
      <c r="C170" s="172">
        <f>SUMIF($A$46:$A$101,$B170,$G$46:$G$101)</f>
        <v>919248</v>
      </c>
      <c r="D170" s="170"/>
    </row>
    <row r="171" spans="1:6" ht="24" customHeight="1" outlineLevel="1" x14ac:dyDescent="0.3">
      <c r="A171" s="170"/>
      <c r="B171" s="171" t="s">
        <v>122</v>
      </c>
      <c r="C171" s="172">
        <f>SUMIF($A$46:$A$101,$B171,$G$46:$G$101)</f>
        <v>0</v>
      </c>
      <c r="D171" s="170"/>
    </row>
    <row r="172" spans="1:6" ht="24" customHeight="1" outlineLevel="1" x14ac:dyDescent="0.3">
      <c r="A172" s="170"/>
      <c r="B172" s="171" t="s">
        <v>123</v>
      </c>
      <c r="C172" s="172">
        <f>SUMIF($A$46:$A$101,$B172,$G$46:$G$101)</f>
        <v>0</v>
      </c>
      <c r="D172" s="170"/>
    </row>
    <row r="173" spans="1:6" ht="24" customHeight="1" outlineLevel="1" x14ac:dyDescent="0.3">
      <c r="A173" s="170"/>
      <c r="B173" s="171" t="s">
        <v>124</v>
      </c>
      <c r="C173" s="179">
        <f>SUMIF($A$46:$A$101,$B173,$G$46:$G$101)+SUMIF($A$46:$A$101,$D173,$G$46:$G$101)</f>
        <v>0</v>
      </c>
      <c r="D173" s="180" t="s">
        <v>125</v>
      </c>
      <c r="F173" s="181"/>
    </row>
    <row r="174" spans="1:6" ht="24" customHeight="1" outlineLevel="1" x14ac:dyDescent="0.3">
      <c r="A174" s="173"/>
      <c r="B174" s="182" t="s">
        <v>126</v>
      </c>
      <c r="C174" s="183">
        <f>SUM(C154:C173)</f>
        <v>1213762</v>
      </c>
      <c r="D174" s="182"/>
    </row>
    <row r="175" spans="1:6" ht="24" customHeight="1" outlineLevel="1" x14ac:dyDescent="0.3">
      <c r="A175" s="176" t="s">
        <v>127</v>
      </c>
      <c r="B175" s="177" t="s">
        <v>128</v>
      </c>
      <c r="C175" s="172">
        <f>SUMIF($A$7:$A$39,$B175,$F$7:$F$39)+SUMIF($A$46:$A$101,$B175,$F$46:$F$101)</f>
        <v>0</v>
      </c>
      <c r="D175" s="176"/>
    </row>
    <row r="176" spans="1:6" ht="24" customHeight="1" outlineLevel="1" x14ac:dyDescent="0.3">
      <c r="A176" s="184" t="s">
        <v>129</v>
      </c>
      <c r="B176" s="184" t="s">
        <v>50</v>
      </c>
      <c r="C176" s="185">
        <f>SUMIF($A$7:$A$39,$B176,$F$7:$F$39)+SUMIF($A$46:$A$101,$B176,$F$46:$F$101)</f>
        <v>0</v>
      </c>
      <c r="D176" s="186" t="str">
        <f>IF($C$153+$C$176=$F$130-$F$116,"TRUE","FALSE")</f>
        <v>TRUE</v>
      </c>
      <c r="E176" s="181"/>
      <c r="F176" s="181"/>
    </row>
    <row r="177" spans="1:14" ht="24" customHeight="1" outlineLevel="1" x14ac:dyDescent="0.3">
      <c r="A177" s="173" t="s">
        <v>130</v>
      </c>
      <c r="B177" s="173" t="s">
        <v>50</v>
      </c>
      <c r="C177" s="179">
        <f>SUMIF($A$7:$A$39,$B177,$G$7:$G$39)+SUMIF($A$46:$A$101,$B177,$G$46:$G$101)</f>
        <v>0</v>
      </c>
      <c r="D177" s="187" t="str">
        <f>IF($C$174+$C$177=$G$130-$G$116,"TRUE","FALSE")</f>
        <v>TRUE</v>
      </c>
    </row>
    <row r="178" spans="1:14" s="1" customFormat="1" ht="24" customHeight="1" outlineLevel="1" x14ac:dyDescent="0.3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s="1" customFormat="1" ht="24" customHeight="1" x14ac:dyDescent="0.3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</sheetData>
  <mergeCells count="8">
    <mergeCell ref="C133:D133"/>
    <mergeCell ref="C138:D138"/>
    <mergeCell ref="B1:E2"/>
    <mergeCell ref="B3:E3"/>
    <mergeCell ref="D7:E7"/>
    <mergeCell ref="D46:E46"/>
    <mergeCell ref="D110:E110"/>
    <mergeCell ref="C120:D120"/>
  </mergeCells>
  <phoneticPr fontId="4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8" fitToHeight="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EBDC-0B14-4811-90B7-F45379929A5B}">
  <dimension ref="A1:Q179"/>
  <sheetViews>
    <sheetView showWhiteSpace="0" view="pageBreakPreview" topLeftCell="B1" zoomScaleNormal="70" zoomScaleSheetLayoutView="100" zoomScalePageLayoutView="50" workbookViewId="0">
      <selection activeCell="B1" sqref="B1:E2"/>
    </sheetView>
  </sheetViews>
  <sheetFormatPr defaultColWidth="9" defaultRowHeight="24" customHeight="1" outlineLevelRow="1" outlineLevelCol="1" x14ac:dyDescent="0.3"/>
  <cols>
    <col min="1" max="1" width="21.875" style="1" hidden="1" customWidth="1" outlineLevel="1"/>
    <col min="2" max="2" width="13" style="3" customWidth="1" collapsed="1"/>
    <col min="3" max="3" width="24.75" style="3" customWidth="1"/>
    <col min="4" max="4" width="42.125" style="3" customWidth="1"/>
    <col min="5" max="5" width="16.625" style="3" customWidth="1"/>
    <col min="6" max="9" width="17.75" style="3" customWidth="1"/>
    <col min="10" max="10" width="19.875" style="3" customWidth="1"/>
    <col min="11" max="11" width="11" style="3" hidden="1" customWidth="1" outlineLevel="1"/>
    <col min="12" max="12" width="20" style="3" hidden="1" customWidth="1" outlineLevel="1"/>
    <col min="13" max="13" width="14.125" style="3" customWidth="1" collapsed="1"/>
    <col min="14" max="14" width="18.375" style="3" customWidth="1"/>
    <col min="15" max="15" width="11.25" style="3" bestFit="1" customWidth="1"/>
    <col min="16" max="16" width="9" style="3"/>
    <col min="17" max="17" width="10" style="3" bestFit="1" customWidth="1"/>
    <col min="18" max="16384" width="9" style="3"/>
  </cols>
  <sheetData>
    <row r="1" spans="1:15" ht="24" customHeight="1" x14ac:dyDescent="0.3">
      <c r="B1" s="192" t="s">
        <v>0</v>
      </c>
      <c r="C1" s="192"/>
      <c r="D1" s="192"/>
      <c r="E1" s="192"/>
      <c r="F1" s="2" t="s">
        <v>1</v>
      </c>
      <c r="G1" s="2" t="s">
        <v>2</v>
      </c>
      <c r="H1" s="2" t="s">
        <v>3</v>
      </c>
      <c r="I1" s="2" t="s">
        <v>4</v>
      </c>
    </row>
    <row r="2" spans="1:15" ht="57" customHeight="1" x14ac:dyDescent="0.3">
      <c r="B2" s="192"/>
      <c r="C2" s="192"/>
      <c r="D2" s="192"/>
      <c r="E2" s="192"/>
      <c r="F2" s="4"/>
      <c r="G2" s="4"/>
      <c r="H2" s="4"/>
      <c r="I2" s="4"/>
      <c r="K2" s="5"/>
      <c r="L2" s="5"/>
    </row>
    <row r="3" spans="1:15" ht="24" customHeight="1" x14ac:dyDescent="0.3">
      <c r="B3" s="193" t="s">
        <v>5</v>
      </c>
      <c r="C3" s="193"/>
      <c r="D3" s="193"/>
      <c r="E3" s="193"/>
      <c r="F3" s="2" t="s">
        <v>6</v>
      </c>
      <c r="G3" s="2" t="s">
        <v>7</v>
      </c>
      <c r="H3" s="2" t="s">
        <v>8</v>
      </c>
      <c r="I3" s="2" t="s">
        <v>9</v>
      </c>
      <c r="K3" s="5"/>
      <c r="L3" s="5"/>
    </row>
    <row r="4" spans="1:15" ht="24" customHeight="1" x14ac:dyDescent="0.3">
      <c r="B4" s="7"/>
      <c r="C4" s="7"/>
      <c r="D4" s="7"/>
      <c r="E4" s="7"/>
      <c r="F4" s="8">
        <v>46265</v>
      </c>
      <c r="G4" s="2" t="s">
        <v>184</v>
      </c>
      <c r="H4" s="2" t="s">
        <v>12</v>
      </c>
      <c r="I4" s="2" t="s">
        <v>13</v>
      </c>
      <c r="K4" s="5"/>
      <c r="L4" s="5"/>
    </row>
    <row r="5" spans="1:15" ht="24" customHeight="1" x14ac:dyDescent="0.3">
      <c r="C5" s="9"/>
      <c r="D5" s="9"/>
      <c r="E5" s="9"/>
      <c r="F5" s="10"/>
      <c r="G5" s="10"/>
      <c r="H5" s="6"/>
      <c r="I5" s="11"/>
    </row>
    <row r="6" spans="1:15" s="1" customFormat="1" ht="24" customHeight="1" x14ac:dyDescent="0.3">
      <c r="B6" s="12" t="s">
        <v>14</v>
      </c>
      <c r="C6" s="13"/>
      <c r="D6" s="14"/>
      <c r="E6" s="14"/>
      <c r="F6" s="15"/>
      <c r="G6" s="15"/>
      <c r="H6" s="14"/>
      <c r="I6" s="16"/>
      <c r="K6" s="17" t="s">
        <v>15</v>
      </c>
    </row>
    <row r="7" spans="1:15" s="1" customFormat="1" ht="24" customHeight="1" x14ac:dyDescent="0.3">
      <c r="A7" s="18" t="s">
        <v>16</v>
      </c>
      <c r="B7" s="19" t="s">
        <v>17</v>
      </c>
      <c r="C7" s="19" t="s">
        <v>18</v>
      </c>
      <c r="D7" s="194" t="s">
        <v>19</v>
      </c>
      <c r="E7" s="195"/>
      <c r="F7" s="21" t="s">
        <v>20</v>
      </c>
      <c r="G7" s="22" t="s">
        <v>21</v>
      </c>
      <c r="H7" s="23" t="s">
        <v>22</v>
      </c>
      <c r="I7" s="20" t="s">
        <v>23</v>
      </c>
      <c r="K7" s="1" t="s">
        <v>24</v>
      </c>
    </row>
    <row r="8" spans="1:15" s="37" customFormat="1" ht="24" customHeight="1" x14ac:dyDescent="0.3">
      <c r="A8" s="24" t="s">
        <v>199</v>
      </c>
      <c r="B8" s="25" t="s">
        <v>26</v>
      </c>
      <c r="C8" s="26" t="s">
        <v>197</v>
      </c>
      <c r="D8" s="27" t="s">
        <v>198</v>
      </c>
      <c r="E8" s="28"/>
      <c r="F8" s="29"/>
      <c r="G8" s="30">
        <v>14809777</v>
      </c>
      <c r="H8" s="31" t="s">
        <v>195</v>
      </c>
      <c r="I8" s="32"/>
      <c r="J8" s="33"/>
      <c r="K8" s="34"/>
      <c r="L8" s="34"/>
      <c r="M8" s="35"/>
      <c r="N8" s="35"/>
      <c r="O8" s="36"/>
    </row>
    <row r="9" spans="1:15" s="37" customFormat="1" ht="24" hidden="1" customHeight="1" x14ac:dyDescent="0.3">
      <c r="A9" s="38"/>
      <c r="B9" s="25"/>
      <c r="C9" s="26"/>
      <c r="D9" s="27"/>
      <c r="E9" s="28"/>
      <c r="F9" s="29"/>
      <c r="G9" s="30"/>
      <c r="H9" s="31"/>
      <c r="I9" s="32"/>
      <c r="J9" s="33"/>
      <c r="K9" s="34"/>
      <c r="L9" s="34"/>
      <c r="M9" s="35"/>
      <c r="N9" s="35"/>
      <c r="O9" s="36"/>
    </row>
    <row r="10" spans="1:15" s="37" customFormat="1" ht="24" hidden="1" customHeight="1" x14ac:dyDescent="0.3">
      <c r="A10" s="38"/>
      <c r="B10" s="25"/>
      <c r="C10" s="26"/>
      <c r="D10" s="27"/>
      <c r="E10" s="28"/>
      <c r="F10" s="29"/>
      <c r="G10" s="30"/>
      <c r="H10" s="31"/>
      <c r="I10" s="32"/>
      <c r="J10" s="33"/>
      <c r="K10" s="34"/>
      <c r="L10" s="34"/>
      <c r="M10" s="35"/>
      <c r="N10" s="35"/>
      <c r="O10" s="36"/>
    </row>
    <row r="11" spans="1:15" s="1" customFormat="1" ht="24" hidden="1" customHeight="1" x14ac:dyDescent="0.3">
      <c r="A11" s="47"/>
      <c r="B11" s="48"/>
      <c r="C11" s="40"/>
      <c r="D11" s="41"/>
      <c r="E11" s="42"/>
      <c r="F11" s="43"/>
      <c r="G11" s="44"/>
      <c r="H11" s="45"/>
      <c r="I11" s="46"/>
    </row>
    <row r="12" spans="1:15" s="1" customFormat="1" ht="24" hidden="1" customHeight="1" x14ac:dyDescent="0.3">
      <c r="A12" s="47"/>
      <c r="B12" s="48"/>
      <c r="C12" s="40"/>
      <c r="D12" s="41"/>
      <c r="E12" s="42"/>
      <c r="F12" s="43"/>
      <c r="G12" s="44"/>
      <c r="H12" s="45"/>
      <c r="I12" s="46"/>
    </row>
    <row r="13" spans="1:15" s="1" customFormat="1" ht="24" hidden="1" customHeight="1" x14ac:dyDescent="0.3">
      <c r="A13" s="47"/>
      <c r="B13" s="48"/>
      <c r="C13" s="40"/>
      <c r="D13" s="49"/>
      <c r="E13" s="42"/>
      <c r="F13" s="43"/>
      <c r="G13" s="44"/>
      <c r="H13" s="45"/>
      <c r="I13" s="46"/>
    </row>
    <row r="14" spans="1:15" s="1" customFormat="1" ht="24" hidden="1" customHeight="1" x14ac:dyDescent="0.3">
      <c r="A14" s="47"/>
      <c r="B14" s="48"/>
      <c r="C14" s="40"/>
      <c r="D14" s="49"/>
      <c r="E14" s="42"/>
      <c r="F14" s="43"/>
      <c r="G14" s="44"/>
      <c r="H14" s="45"/>
      <c r="I14" s="46"/>
    </row>
    <row r="15" spans="1:15" s="1" customFormat="1" ht="24" hidden="1" customHeight="1" x14ac:dyDescent="0.3">
      <c r="A15" s="47"/>
      <c r="B15" s="48"/>
      <c r="C15" s="40"/>
      <c r="D15" s="49"/>
      <c r="E15" s="42"/>
      <c r="F15" s="43"/>
      <c r="G15" s="44"/>
      <c r="H15" s="45"/>
      <c r="I15" s="46"/>
    </row>
    <row r="16" spans="1:15" s="1" customFormat="1" ht="24" hidden="1" customHeight="1" x14ac:dyDescent="0.3">
      <c r="A16" s="47"/>
      <c r="B16" s="48"/>
      <c r="C16" s="40"/>
      <c r="D16" s="49"/>
      <c r="E16" s="42"/>
      <c r="F16" s="43"/>
      <c r="G16" s="44"/>
      <c r="H16" s="45"/>
      <c r="I16" s="46"/>
    </row>
    <row r="17" spans="1:9" s="1" customFormat="1" ht="24" hidden="1" customHeight="1" x14ac:dyDescent="0.3">
      <c r="A17" s="47"/>
      <c r="B17" s="48"/>
      <c r="C17" s="40"/>
      <c r="D17" s="49"/>
      <c r="E17" s="42"/>
      <c r="F17" s="43"/>
      <c r="G17" s="44"/>
      <c r="H17" s="45"/>
      <c r="I17" s="46"/>
    </row>
    <row r="18" spans="1:9" s="1" customFormat="1" ht="24" hidden="1" customHeight="1" x14ac:dyDescent="0.3">
      <c r="A18" s="47"/>
      <c r="B18" s="48"/>
      <c r="C18" s="40"/>
      <c r="D18" s="49"/>
      <c r="E18" s="42"/>
      <c r="F18" s="43"/>
      <c r="G18" s="44"/>
      <c r="H18" s="45"/>
      <c r="I18" s="46"/>
    </row>
    <row r="19" spans="1:9" s="1" customFormat="1" ht="24" hidden="1" customHeight="1" x14ac:dyDescent="0.3">
      <c r="A19" s="47"/>
      <c r="B19" s="48"/>
      <c r="C19" s="40"/>
      <c r="D19" s="49"/>
      <c r="E19" s="42"/>
      <c r="F19" s="43"/>
      <c r="G19" s="44"/>
      <c r="H19" s="45"/>
      <c r="I19" s="46"/>
    </row>
    <row r="20" spans="1:9" s="1" customFormat="1" ht="24" hidden="1" customHeight="1" x14ac:dyDescent="0.3">
      <c r="A20" s="47"/>
      <c r="B20" s="48"/>
      <c r="C20" s="40"/>
      <c r="D20" s="49"/>
      <c r="E20" s="42"/>
      <c r="F20" s="43"/>
      <c r="G20" s="44"/>
      <c r="H20" s="45"/>
      <c r="I20" s="46"/>
    </row>
    <row r="21" spans="1:9" s="1" customFormat="1" ht="24" hidden="1" customHeight="1" x14ac:dyDescent="0.3">
      <c r="A21" s="47"/>
      <c r="B21" s="48"/>
      <c r="C21" s="40"/>
      <c r="D21" s="49"/>
      <c r="E21" s="42"/>
      <c r="F21" s="43"/>
      <c r="G21" s="44"/>
      <c r="H21" s="45"/>
      <c r="I21" s="46"/>
    </row>
    <row r="22" spans="1:9" s="1" customFormat="1" ht="24" hidden="1" customHeight="1" x14ac:dyDescent="0.3">
      <c r="A22" s="47"/>
      <c r="B22" s="48"/>
      <c r="C22" s="40"/>
      <c r="D22" s="49"/>
      <c r="E22" s="42"/>
      <c r="F22" s="43"/>
      <c r="G22" s="44"/>
      <c r="H22" s="45"/>
      <c r="I22" s="46"/>
    </row>
    <row r="23" spans="1:9" s="1" customFormat="1" ht="24" hidden="1" customHeight="1" x14ac:dyDescent="0.3">
      <c r="A23" s="47"/>
      <c r="B23" s="48"/>
      <c r="C23" s="40"/>
      <c r="D23" s="50"/>
      <c r="E23" s="42"/>
      <c r="F23" s="43"/>
      <c r="G23" s="44"/>
      <c r="H23" s="45"/>
      <c r="I23" s="46"/>
    </row>
    <row r="24" spans="1:9" s="1" customFormat="1" ht="24" hidden="1" customHeight="1" x14ac:dyDescent="0.3">
      <c r="A24" s="47"/>
      <c r="B24" s="48"/>
      <c r="C24" s="40"/>
      <c r="D24" s="50"/>
      <c r="E24" s="42"/>
      <c r="F24" s="43"/>
      <c r="G24" s="44"/>
      <c r="H24" s="45"/>
      <c r="I24" s="46"/>
    </row>
    <row r="25" spans="1:9" s="1" customFormat="1" ht="24" hidden="1" customHeight="1" x14ac:dyDescent="0.3">
      <c r="A25" s="47"/>
      <c r="B25" s="48"/>
      <c r="C25" s="40"/>
      <c r="D25" s="51"/>
      <c r="E25" s="42"/>
      <c r="F25" s="43"/>
      <c r="G25" s="44"/>
      <c r="H25" s="45"/>
      <c r="I25" s="46"/>
    </row>
    <row r="26" spans="1:9" s="1" customFormat="1" ht="24" hidden="1" customHeight="1" x14ac:dyDescent="0.3">
      <c r="A26" s="47"/>
      <c r="B26" s="52"/>
      <c r="C26" s="40"/>
      <c r="D26" s="51"/>
      <c r="E26" s="42"/>
      <c r="F26" s="43"/>
      <c r="G26" s="44"/>
      <c r="H26" s="45"/>
      <c r="I26" s="46"/>
    </row>
    <row r="27" spans="1:9" s="1" customFormat="1" ht="24" hidden="1" customHeight="1" x14ac:dyDescent="0.3">
      <c r="A27" s="47"/>
      <c r="B27" s="52"/>
      <c r="C27" s="40"/>
      <c r="D27" s="53"/>
      <c r="E27" s="42"/>
      <c r="F27" s="43"/>
      <c r="G27" s="44"/>
      <c r="H27" s="45"/>
      <c r="I27" s="46"/>
    </row>
    <row r="28" spans="1:9" s="1" customFormat="1" ht="24" hidden="1" customHeight="1" x14ac:dyDescent="0.3">
      <c r="A28" s="47"/>
      <c r="B28" s="52"/>
      <c r="C28" s="40"/>
      <c r="D28" s="53"/>
      <c r="E28" s="42"/>
      <c r="F28" s="43"/>
      <c r="G28" s="44"/>
      <c r="H28" s="45"/>
      <c r="I28" s="46"/>
    </row>
    <row r="29" spans="1:9" s="1" customFormat="1" ht="24" hidden="1" customHeight="1" x14ac:dyDescent="0.3">
      <c r="A29" s="47"/>
      <c r="B29" s="52"/>
      <c r="C29" s="40"/>
      <c r="D29" s="53"/>
      <c r="E29" s="42"/>
      <c r="F29" s="43"/>
      <c r="G29" s="44"/>
      <c r="H29" s="45"/>
      <c r="I29" s="46"/>
    </row>
    <row r="30" spans="1:9" s="1" customFormat="1" ht="24" hidden="1" customHeight="1" x14ac:dyDescent="0.3">
      <c r="A30" s="54"/>
      <c r="B30" s="52"/>
      <c r="C30" s="40"/>
      <c r="D30" s="53"/>
      <c r="E30" s="42"/>
      <c r="F30" s="43"/>
      <c r="G30" s="44"/>
      <c r="H30" s="45"/>
      <c r="I30" s="46"/>
    </row>
    <row r="31" spans="1:9" s="1" customFormat="1" ht="24" hidden="1" customHeight="1" x14ac:dyDescent="0.3">
      <c r="A31" s="54"/>
      <c r="B31" s="52"/>
      <c r="C31" s="40"/>
      <c r="D31" s="53"/>
      <c r="E31" s="42"/>
      <c r="F31" s="43"/>
      <c r="G31" s="44"/>
      <c r="H31" s="45"/>
      <c r="I31" s="46"/>
    </row>
    <row r="32" spans="1:9" s="1" customFormat="1" ht="24" hidden="1" customHeight="1" x14ac:dyDescent="0.3">
      <c r="A32" s="54"/>
      <c r="B32" s="52"/>
      <c r="C32" s="40"/>
      <c r="D32" s="53"/>
      <c r="E32" s="42"/>
      <c r="F32" s="43"/>
      <c r="G32" s="44"/>
      <c r="H32" s="45"/>
      <c r="I32" s="46"/>
    </row>
    <row r="33" spans="1:17" s="1" customFormat="1" ht="24" hidden="1" customHeight="1" x14ac:dyDescent="0.3">
      <c r="A33" s="54"/>
      <c r="B33" s="48"/>
      <c r="C33" s="40"/>
      <c r="D33" s="53"/>
      <c r="E33" s="42"/>
      <c r="F33" s="43"/>
      <c r="G33" s="44"/>
      <c r="H33" s="45"/>
      <c r="I33" s="46"/>
    </row>
    <row r="34" spans="1:17" s="1" customFormat="1" ht="24" hidden="1" customHeight="1" x14ac:dyDescent="0.3">
      <c r="A34" s="54"/>
      <c r="B34" s="48"/>
      <c r="C34" s="40"/>
      <c r="D34" s="55"/>
      <c r="E34" s="42"/>
      <c r="F34" s="43"/>
      <c r="G34" s="44"/>
      <c r="H34" s="45"/>
      <c r="I34" s="46"/>
    </row>
    <row r="35" spans="1:17" s="1" customFormat="1" ht="24" hidden="1" customHeight="1" x14ac:dyDescent="0.3">
      <c r="A35" s="54"/>
      <c r="B35" s="48"/>
      <c r="C35" s="40"/>
      <c r="D35" s="55"/>
      <c r="E35" s="42"/>
      <c r="F35" s="43"/>
      <c r="G35" s="44"/>
      <c r="H35" s="45"/>
      <c r="I35" s="46"/>
    </row>
    <row r="36" spans="1:17" s="1" customFormat="1" ht="24" hidden="1" customHeight="1" x14ac:dyDescent="0.3">
      <c r="A36" s="54"/>
      <c r="B36" s="48"/>
      <c r="C36" s="40"/>
      <c r="D36" s="56"/>
      <c r="E36" s="42"/>
      <c r="F36" s="43"/>
      <c r="G36" s="44"/>
      <c r="H36" s="45"/>
      <c r="I36" s="46"/>
    </row>
    <row r="37" spans="1:17" s="1" customFormat="1" ht="24" hidden="1" customHeight="1" x14ac:dyDescent="0.3">
      <c r="A37" s="54"/>
      <c r="B37" s="48"/>
      <c r="C37" s="40"/>
      <c r="D37" s="56"/>
      <c r="E37" s="42"/>
      <c r="F37" s="43"/>
      <c r="G37" s="44"/>
      <c r="H37" s="45"/>
      <c r="I37" s="46"/>
    </row>
    <row r="38" spans="1:17" s="1" customFormat="1" ht="24" hidden="1" customHeight="1" x14ac:dyDescent="0.3">
      <c r="A38" s="54"/>
      <c r="B38" s="48"/>
      <c r="C38" s="40"/>
      <c r="D38" s="57"/>
      <c r="E38" s="42"/>
      <c r="F38" s="43"/>
      <c r="G38" s="44"/>
      <c r="H38" s="45"/>
      <c r="I38" s="46"/>
    </row>
    <row r="39" spans="1:17" s="1" customFormat="1" ht="24" hidden="1" customHeight="1" x14ac:dyDescent="0.3">
      <c r="A39" s="58"/>
      <c r="B39" s="59"/>
      <c r="C39" s="60"/>
      <c r="D39" s="61"/>
      <c r="E39" s="62"/>
      <c r="F39" s="63"/>
      <c r="G39" s="64"/>
      <c r="H39" s="65"/>
      <c r="I39" s="66"/>
    </row>
    <row r="40" spans="1:17" s="1" customFormat="1" ht="24" customHeight="1" x14ac:dyDescent="0.3">
      <c r="A40" s="18"/>
      <c r="B40" s="67"/>
      <c r="C40" s="68"/>
      <c r="D40" s="68"/>
      <c r="E40" s="69" t="s">
        <v>30</v>
      </c>
      <c r="F40" s="70">
        <f>SUM(F8:F39)</f>
        <v>0</v>
      </c>
      <c r="G40" s="71">
        <f>SUM(G8:G39)</f>
        <v>14809777</v>
      </c>
      <c r="H40" s="24"/>
      <c r="I40" s="72"/>
      <c r="O40" s="73"/>
    </row>
    <row r="41" spans="1:17" s="1" customFormat="1" ht="24" customHeight="1" x14ac:dyDescent="0.3">
      <c r="A41" s="18"/>
      <c r="B41" s="74" t="s">
        <v>31</v>
      </c>
      <c r="C41" s="75"/>
      <c r="D41" s="76"/>
      <c r="E41" s="77"/>
      <c r="F41" s="78"/>
      <c r="G41" s="79"/>
      <c r="H41" s="45"/>
      <c r="I41" s="80"/>
    </row>
    <row r="42" spans="1:17" s="1" customFormat="1" ht="24" hidden="1" customHeight="1" x14ac:dyDescent="0.3">
      <c r="A42" s="18"/>
      <c r="B42" s="48"/>
      <c r="C42" s="81"/>
      <c r="D42" s="56"/>
      <c r="E42" s="77"/>
      <c r="F42" s="78"/>
      <c r="G42" s="79"/>
      <c r="H42" s="45"/>
      <c r="I42" s="80"/>
    </row>
    <row r="43" spans="1:17" s="1" customFormat="1" ht="24" customHeight="1" x14ac:dyDescent="0.3">
      <c r="A43" s="18"/>
      <c r="B43" s="67"/>
      <c r="C43" s="68"/>
      <c r="D43" s="68"/>
      <c r="E43" s="69" t="s">
        <v>32</v>
      </c>
      <c r="F43" s="82">
        <f>SUM(F41:F42)</f>
        <v>0</v>
      </c>
      <c r="G43" s="83">
        <f>SUM(G41:G42)</f>
        <v>0</v>
      </c>
      <c r="H43" s="24"/>
      <c r="I43" s="72"/>
    </row>
    <row r="44" spans="1:17" s="37" customFormat="1" ht="24" customHeight="1" x14ac:dyDescent="0.3">
      <c r="C44" s="84"/>
      <c r="D44" s="84"/>
      <c r="E44" s="84"/>
      <c r="F44" s="85"/>
      <c r="G44" s="85"/>
      <c r="H44" s="84"/>
      <c r="I44" s="86"/>
      <c r="N44"/>
      <c r="O44"/>
      <c r="P44"/>
      <c r="Q44"/>
    </row>
    <row r="45" spans="1:17" s="37" customFormat="1" ht="24" customHeight="1" x14ac:dyDescent="0.3">
      <c r="B45" s="12" t="s">
        <v>33</v>
      </c>
      <c r="C45" s="13"/>
      <c r="D45" s="13"/>
      <c r="E45" s="14"/>
      <c r="F45" s="87"/>
      <c r="G45" s="87"/>
      <c r="H45" s="88"/>
      <c r="I45" s="89"/>
      <c r="J45" s="90"/>
      <c r="K45" s="37" t="s">
        <v>34</v>
      </c>
      <c r="N45"/>
      <c r="O45"/>
      <c r="P45"/>
      <c r="Q45"/>
    </row>
    <row r="46" spans="1:17" s="37" customFormat="1" ht="24" customHeight="1" x14ac:dyDescent="0.3">
      <c r="A46" s="18" t="s">
        <v>16</v>
      </c>
      <c r="B46" s="19" t="s">
        <v>17</v>
      </c>
      <c r="C46" s="19" t="s">
        <v>18</v>
      </c>
      <c r="D46" s="196" t="s">
        <v>19</v>
      </c>
      <c r="E46" s="195"/>
      <c r="F46" s="21" t="s">
        <v>20</v>
      </c>
      <c r="G46" s="22" t="s">
        <v>21</v>
      </c>
      <c r="H46" s="23" t="s">
        <v>22</v>
      </c>
      <c r="I46" s="20" t="s">
        <v>23</v>
      </c>
      <c r="J46" s="90"/>
      <c r="N46"/>
      <c r="O46"/>
      <c r="P46"/>
      <c r="Q46"/>
    </row>
    <row r="47" spans="1:17" s="37" customFormat="1" ht="24" customHeight="1" x14ac:dyDescent="0.3">
      <c r="A47" s="18" t="s">
        <v>179</v>
      </c>
      <c r="B47" s="25" t="s">
        <v>35</v>
      </c>
      <c r="C47" s="91" t="s">
        <v>185</v>
      </c>
      <c r="D47" s="53" t="s">
        <v>186</v>
      </c>
      <c r="E47" s="92"/>
      <c r="F47" s="93"/>
      <c r="G47" s="94">
        <v>525415</v>
      </c>
      <c r="H47" s="95" t="s">
        <v>55</v>
      </c>
      <c r="I47" s="46" t="s">
        <v>157</v>
      </c>
      <c r="J47" s="33"/>
      <c r="K47" s="34"/>
      <c r="L47" s="34"/>
      <c r="M47" s="35"/>
      <c r="N47"/>
      <c r="O47"/>
      <c r="P47"/>
      <c r="Q47"/>
    </row>
    <row r="48" spans="1:17" s="37" customFormat="1" ht="24" customHeight="1" x14ac:dyDescent="0.3">
      <c r="A48" s="18" t="s">
        <v>179</v>
      </c>
      <c r="B48" s="48"/>
      <c r="C48" s="91" t="s">
        <v>187</v>
      </c>
      <c r="D48" s="55" t="s">
        <v>188</v>
      </c>
      <c r="E48" s="92"/>
      <c r="F48" s="93"/>
      <c r="G48" s="94">
        <v>323203</v>
      </c>
      <c r="H48" s="95" t="s">
        <v>151</v>
      </c>
      <c r="I48" s="46"/>
      <c r="J48" s="33"/>
      <c r="K48" s="34"/>
      <c r="L48" s="34"/>
      <c r="M48" s="35"/>
      <c r="N48"/>
      <c r="O48"/>
      <c r="P48"/>
      <c r="Q48"/>
    </row>
    <row r="49" spans="1:17" s="37" customFormat="1" ht="24" customHeight="1" x14ac:dyDescent="0.3">
      <c r="A49" s="18" t="s">
        <v>124</v>
      </c>
      <c r="B49" s="25"/>
      <c r="C49" s="91" t="s">
        <v>189</v>
      </c>
      <c r="D49" s="53" t="s">
        <v>190</v>
      </c>
      <c r="E49" s="92"/>
      <c r="F49" s="93"/>
      <c r="G49" s="94">
        <v>297000</v>
      </c>
      <c r="H49" s="95" t="s">
        <v>151</v>
      </c>
      <c r="I49" s="46"/>
      <c r="J49" s="33"/>
      <c r="K49" s="34"/>
      <c r="L49" s="34"/>
      <c r="M49" s="35"/>
      <c r="N49"/>
      <c r="O49"/>
      <c r="P49"/>
      <c r="Q49"/>
    </row>
    <row r="50" spans="1:17" s="37" customFormat="1" ht="24" customHeight="1" x14ac:dyDescent="0.3">
      <c r="A50" s="18" t="s">
        <v>124</v>
      </c>
      <c r="B50" s="25"/>
      <c r="C50" s="91" t="s">
        <v>191</v>
      </c>
      <c r="D50" s="53" t="s">
        <v>192</v>
      </c>
      <c r="E50" s="92"/>
      <c r="F50" s="93"/>
      <c r="G50" s="94">
        <v>18700</v>
      </c>
      <c r="H50" s="95" t="s">
        <v>151</v>
      </c>
      <c r="I50" s="46"/>
      <c r="J50" s="33"/>
      <c r="K50" s="34"/>
      <c r="L50" s="34"/>
      <c r="M50" s="35"/>
      <c r="N50"/>
      <c r="O50"/>
      <c r="P50"/>
      <c r="Q50"/>
    </row>
    <row r="51" spans="1:17" s="37" customFormat="1" ht="24" customHeight="1" x14ac:dyDescent="0.3">
      <c r="A51" s="18" t="s">
        <v>124</v>
      </c>
      <c r="B51" s="25"/>
      <c r="C51" s="91" t="s">
        <v>193</v>
      </c>
      <c r="D51" s="53" t="s">
        <v>194</v>
      </c>
      <c r="E51" s="92"/>
      <c r="F51" s="93"/>
      <c r="G51" s="94">
        <v>4380</v>
      </c>
      <c r="H51" s="95" t="s">
        <v>195</v>
      </c>
      <c r="I51" s="46" t="s">
        <v>196</v>
      </c>
      <c r="J51" s="33"/>
      <c r="K51" s="34"/>
      <c r="L51" s="34"/>
      <c r="M51" s="35"/>
      <c r="N51"/>
      <c r="O51"/>
      <c r="P51"/>
      <c r="Q51"/>
    </row>
    <row r="52" spans="1:17" s="37" customFormat="1" ht="24" hidden="1" customHeight="1" x14ac:dyDescent="0.3">
      <c r="A52" s="18"/>
      <c r="B52" s="25"/>
      <c r="C52" s="91"/>
      <c r="D52" s="53"/>
      <c r="E52" s="92"/>
      <c r="F52" s="93"/>
      <c r="G52" s="94"/>
      <c r="H52" s="95"/>
      <c r="I52" s="46"/>
      <c r="J52" s="33"/>
      <c r="K52" s="34"/>
      <c r="L52" s="34"/>
      <c r="M52" s="35"/>
      <c r="N52"/>
      <c r="O52"/>
      <c r="P52"/>
      <c r="Q52"/>
    </row>
    <row r="53" spans="1:17" s="37" customFormat="1" ht="24" hidden="1" customHeight="1" x14ac:dyDescent="0.3">
      <c r="A53" s="18"/>
      <c r="B53" s="25"/>
      <c r="C53" s="91"/>
      <c r="D53" s="53"/>
      <c r="E53" s="92"/>
      <c r="F53" s="93"/>
      <c r="G53" s="94"/>
      <c r="H53" s="95"/>
      <c r="I53" s="46"/>
      <c r="J53" s="33"/>
      <c r="K53" s="34"/>
      <c r="L53" s="34"/>
      <c r="M53" s="35"/>
      <c r="N53"/>
      <c r="O53"/>
      <c r="P53"/>
      <c r="Q53"/>
    </row>
    <row r="54" spans="1:17" s="37" customFormat="1" ht="24" hidden="1" customHeight="1" x14ac:dyDescent="0.3">
      <c r="A54" s="18"/>
      <c r="B54" s="25"/>
      <c r="C54" s="91"/>
      <c r="D54" s="53"/>
      <c r="E54" s="92"/>
      <c r="F54" s="93"/>
      <c r="G54" s="94"/>
      <c r="H54" s="95"/>
      <c r="I54" s="46"/>
      <c r="J54" s="33"/>
      <c r="K54" s="34"/>
      <c r="L54" s="34"/>
      <c r="M54" s="35"/>
      <c r="N54"/>
      <c r="O54"/>
      <c r="P54"/>
      <c r="Q54"/>
    </row>
    <row r="55" spans="1:17" s="37" customFormat="1" ht="24" hidden="1" customHeight="1" x14ac:dyDescent="0.3">
      <c r="A55" s="18"/>
      <c r="B55" s="25"/>
      <c r="C55" s="91"/>
      <c r="D55" s="53"/>
      <c r="E55" s="92"/>
      <c r="F55" s="93"/>
      <c r="G55" s="94"/>
      <c r="H55" s="95"/>
      <c r="I55" s="46"/>
      <c r="J55" s="33"/>
      <c r="K55" s="34"/>
      <c r="L55" s="34"/>
      <c r="M55" s="35"/>
      <c r="N55"/>
      <c r="O55"/>
      <c r="P55"/>
      <c r="Q55"/>
    </row>
    <row r="56" spans="1:17" s="37" customFormat="1" ht="24" hidden="1" customHeight="1" x14ac:dyDescent="0.3">
      <c r="A56" s="18"/>
      <c r="B56" s="25"/>
      <c r="C56" s="91"/>
      <c r="D56" s="53"/>
      <c r="E56" s="92"/>
      <c r="F56" s="93"/>
      <c r="G56" s="94"/>
      <c r="H56" s="95"/>
      <c r="I56" s="46"/>
      <c r="J56" s="33"/>
      <c r="K56" s="34"/>
      <c r="L56" s="34"/>
      <c r="M56" s="35"/>
      <c r="N56"/>
      <c r="O56"/>
      <c r="P56"/>
      <c r="Q56"/>
    </row>
    <row r="57" spans="1:17" s="1" customFormat="1" ht="24" hidden="1" customHeight="1" x14ac:dyDescent="0.3">
      <c r="A57" s="47"/>
      <c r="B57" s="25"/>
      <c r="C57" s="40"/>
      <c r="D57" s="96"/>
      <c r="E57" s="42"/>
      <c r="F57" s="43"/>
      <c r="G57" s="44"/>
      <c r="H57" s="45"/>
      <c r="I57" s="46"/>
      <c r="N57"/>
      <c r="O57"/>
      <c r="P57"/>
      <c r="Q57"/>
    </row>
    <row r="58" spans="1:17" s="1" customFormat="1" ht="24" hidden="1" customHeight="1" x14ac:dyDescent="0.3">
      <c r="A58" s="47"/>
      <c r="B58" s="25"/>
      <c r="C58" s="40"/>
      <c r="D58" s="96"/>
      <c r="E58" s="42"/>
      <c r="F58" s="43"/>
      <c r="G58" s="44"/>
      <c r="H58" s="45"/>
      <c r="I58" s="46"/>
      <c r="N58"/>
      <c r="O58"/>
      <c r="P58"/>
      <c r="Q58"/>
    </row>
    <row r="59" spans="1:17" s="1" customFormat="1" ht="24" hidden="1" customHeight="1" x14ac:dyDescent="0.3">
      <c r="A59" s="47"/>
      <c r="B59" s="25"/>
      <c r="C59" s="40"/>
      <c r="D59" s="96"/>
      <c r="E59" s="42"/>
      <c r="F59" s="43"/>
      <c r="G59" s="44"/>
      <c r="H59" s="45"/>
      <c r="I59" s="46"/>
    </row>
    <row r="60" spans="1:17" s="1" customFormat="1" ht="24" hidden="1" customHeight="1" x14ac:dyDescent="0.3">
      <c r="A60" s="47"/>
      <c r="B60" s="25"/>
      <c r="C60" s="40"/>
      <c r="D60" s="96"/>
      <c r="E60" s="42"/>
      <c r="F60" s="43"/>
      <c r="G60" s="44"/>
      <c r="H60" s="45"/>
      <c r="I60" s="46"/>
    </row>
    <row r="61" spans="1:17" s="37" customFormat="1" ht="24" hidden="1" customHeight="1" x14ac:dyDescent="0.3">
      <c r="A61" s="47"/>
      <c r="B61" s="48"/>
      <c r="C61" s="91"/>
      <c r="D61" s="53"/>
      <c r="E61" s="92"/>
      <c r="F61" s="93"/>
      <c r="G61" s="94"/>
      <c r="H61" s="45"/>
      <c r="I61" s="46"/>
      <c r="J61" s="90"/>
    </row>
    <row r="62" spans="1:17" s="37" customFormat="1" ht="24" hidden="1" customHeight="1" x14ac:dyDescent="0.3">
      <c r="A62" s="18"/>
      <c r="B62" s="48"/>
      <c r="C62" s="91"/>
      <c r="D62" s="53"/>
      <c r="E62" s="92"/>
      <c r="F62" s="93"/>
      <c r="G62" s="94"/>
      <c r="H62" s="45"/>
      <c r="I62" s="46"/>
      <c r="J62" s="90"/>
    </row>
    <row r="63" spans="1:17" s="37" customFormat="1" ht="24" hidden="1" customHeight="1" x14ac:dyDescent="0.3">
      <c r="A63" s="18"/>
      <c r="B63" s="48"/>
      <c r="C63" s="91"/>
      <c r="D63" s="53"/>
      <c r="E63" s="92"/>
      <c r="F63" s="93"/>
      <c r="G63" s="94"/>
      <c r="H63" s="45"/>
      <c r="I63" s="46"/>
      <c r="J63" s="90"/>
    </row>
    <row r="64" spans="1:17" s="37" customFormat="1" ht="24" hidden="1" customHeight="1" x14ac:dyDescent="0.3">
      <c r="A64" s="47"/>
      <c r="B64" s="48"/>
      <c r="C64" s="91"/>
      <c r="D64" s="53"/>
      <c r="E64" s="92"/>
      <c r="F64" s="93"/>
      <c r="G64" s="94"/>
      <c r="H64" s="45"/>
      <c r="I64" s="46"/>
      <c r="J64" s="90"/>
    </row>
    <row r="65" spans="1:14" s="37" customFormat="1" ht="24" hidden="1" customHeight="1" x14ac:dyDescent="0.3">
      <c r="A65" s="18"/>
      <c r="B65" s="48"/>
      <c r="C65" s="91"/>
      <c r="D65" s="53"/>
      <c r="E65" s="92"/>
      <c r="F65" s="93"/>
      <c r="G65" s="94"/>
      <c r="H65" s="95"/>
      <c r="I65" s="46"/>
      <c r="J65" s="90"/>
    </row>
    <row r="66" spans="1:14" s="37" customFormat="1" ht="24" hidden="1" customHeight="1" x14ac:dyDescent="0.3">
      <c r="A66" s="18"/>
      <c r="B66" s="48"/>
      <c r="C66" s="91"/>
      <c r="D66" s="53"/>
      <c r="E66" s="92"/>
      <c r="F66" s="93"/>
      <c r="G66" s="94"/>
      <c r="H66" s="95"/>
      <c r="I66" s="46"/>
      <c r="J66" s="90"/>
    </row>
    <row r="67" spans="1:14" s="37" customFormat="1" ht="24" hidden="1" customHeight="1" x14ac:dyDescent="0.3">
      <c r="A67" s="18"/>
      <c r="B67" s="48"/>
      <c r="C67" s="91"/>
      <c r="D67" s="53"/>
      <c r="E67" s="92"/>
      <c r="F67" s="93"/>
      <c r="G67" s="94"/>
      <c r="H67" s="95"/>
      <c r="I67" s="46"/>
      <c r="J67" s="90"/>
    </row>
    <row r="68" spans="1:14" s="37" customFormat="1" ht="24" hidden="1" customHeight="1" x14ac:dyDescent="0.3">
      <c r="A68" s="18"/>
      <c r="B68" s="48"/>
      <c r="C68" s="91"/>
      <c r="D68" s="53"/>
      <c r="E68" s="92"/>
      <c r="F68" s="93"/>
      <c r="G68" s="94"/>
      <c r="H68" s="95"/>
      <c r="I68" s="46"/>
      <c r="J68" s="33"/>
      <c r="K68" s="34"/>
      <c r="L68" s="34"/>
      <c r="M68" s="35"/>
      <c r="N68" s="34"/>
    </row>
    <row r="69" spans="1:14" s="37" customFormat="1" ht="24" hidden="1" customHeight="1" x14ac:dyDescent="0.3">
      <c r="A69" s="18"/>
      <c r="B69" s="48"/>
      <c r="C69" s="91"/>
      <c r="D69" s="53"/>
      <c r="E69" s="92"/>
      <c r="F69" s="93"/>
      <c r="G69" s="94"/>
      <c r="H69" s="95"/>
      <c r="I69" s="46"/>
      <c r="J69" s="90"/>
    </row>
    <row r="70" spans="1:14" s="37" customFormat="1" ht="24" hidden="1" customHeight="1" x14ac:dyDescent="0.3">
      <c r="A70" s="18"/>
      <c r="B70" s="48"/>
      <c r="C70" s="91"/>
      <c r="D70" s="53"/>
      <c r="E70" s="92"/>
      <c r="F70" s="93"/>
      <c r="G70" s="94"/>
      <c r="H70" s="95"/>
      <c r="I70" s="46"/>
      <c r="J70" s="90"/>
    </row>
    <row r="71" spans="1:14" s="37" customFormat="1" ht="24" hidden="1" customHeight="1" x14ac:dyDescent="0.3">
      <c r="A71" s="18"/>
      <c r="B71" s="48"/>
      <c r="C71" s="91"/>
      <c r="D71" s="53"/>
      <c r="E71" s="92"/>
      <c r="F71" s="93"/>
      <c r="G71" s="94"/>
      <c r="H71" s="95"/>
      <c r="I71" s="46"/>
      <c r="J71" s="90"/>
    </row>
    <row r="72" spans="1:14" s="37" customFormat="1" ht="24" hidden="1" customHeight="1" x14ac:dyDescent="0.3">
      <c r="A72" s="18"/>
      <c r="B72" s="48"/>
      <c r="C72" s="91"/>
      <c r="D72" s="53"/>
      <c r="E72" s="92"/>
      <c r="F72" s="93"/>
      <c r="G72" s="94"/>
      <c r="H72" s="95"/>
      <c r="I72" s="46"/>
      <c r="J72" s="90"/>
    </row>
    <row r="73" spans="1:14" s="37" customFormat="1" ht="24" hidden="1" customHeight="1" x14ac:dyDescent="0.3">
      <c r="A73" s="18"/>
      <c r="B73" s="48"/>
      <c r="C73" s="91"/>
      <c r="D73" s="53"/>
      <c r="E73" s="92"/>
      <c r="F73" s="93"/>
      <c r="G73" s="94"/>
      <c r="H73" s="95"/>
      <c r="I73" s="46"/>
      <c r="J73" s="90"/>
    </row>
    <row r="74" spans="1:14" s="37" customFormat="1" ht="24" hidden="1" customHeight="1" x14ac:dyDescent="0.3">
      <c r="A74" s="18"/>
      <c r="B74" s="48"/>
      <c r="C74" s="91"/>
      <c r="D74" s="53"/>
      <c r="E74" s="92"/>
      <c r="F74" s="93"/>
      <c r="G74" s="94"/>
      <c r="H74" s="95"/>
      <c r="I74" s="46"/>
      <c r="J74" s="90"/>
    </row>
    <row r="75" spans="1:14" s="37" customFormat="1" ht="24" hidden="1" customHeight="1" x14ac:dyDescent="0.3">
      <c r="A75" s="18"/>
      <c r="B75" s="48"/>
      <c r="C75" s="91"/>
      <c r="D75" s="53"/>
      <c r="E75" s="92"/>
      <c r="F75" s="93"/>
      <c r="G75" s="94"/>
      <c r="H75" s="95"/>
      <c r="I75" s="46"/>
      <c r="J75" s="90"/>
    </row>
    <row r="76" spans="1:14" s="37" customFormat="1" ht="24" hidden="1" customHeight="1" x14ac:dyDescent="0.3">
      <c r="A76" s="18"/>
      <c r="B76" s="48"/>
      <c r="C76" s="91"/>
      <c r="D76" s="53"/>
      <c r="E76" s="92"/>
      <c r="F76" s="93"/>
      <c r="G76" s="94"/>
      <c r="H76" s="95"/>
      <c r="I76" s="46"/>
      <c r="J76" s="90"/>
    </row>
    <row r="77" spans="1:14" s="37" customFormat="1" ht="24" hidden="1" customHeight="1" x14ac:dyDescent="0.3">
      <c r="A77" s="18"/>
      <c r="B77" s="48"/>
      <c r="C77" s="91"/>
      <c r="D77" s="53"/>
      <c r="E77" s="92"/>
      <c r="F77" s="93"/>
      <c r="G77" s="94"/>
      <c r="H77" s="95"/>
      <c r="I77" s="46"/>
      <c r="J77" s="90"/>
    </row>
    <row r="78" spans="1:14" s="37" customFormat="1" ht="24" hidden="1" customHeight="1" x14ac:dyDescent="0.3">
      <c r="A78" s="18"/>
      <c r="B78" s="48"/>
      <c r="C78" s="91"/>
      <c r="D78" s="53"/>
      <c r="E78" s="92"/>
      <c r="F78" s="93"/>
      <c r="G78" s="94"/>
      <c r="H78" s="95"/>
      <c r="I78" s="46"/>
      <c r="J78" s="90"/>
    </row>
    <row r="79" spans="1:14" s="37" customFormat="1" ht="24" hidden="1" customHeight="1" x14ac:dyDescent="0.3">
      <c r="A79" s="18"/>
      <c r="B79" s="48"/>
      <c r="C79" s="91"/>
      <c r="D79" s="53"/>
      <c r="E79" s="92"/>
      <c r="F79" s="93"/>
      <c r="G79" s="94"/>
      <c r="H79" s="95"/>
      <c r="I79" s="46"/>
      <c r="J79" s="90"/>
    </row>
    <row r="80" spans="1:14" s="37" customFormat="1" ht="24" hidden="1" customHeight="1" x14ac:dyDescent="0.3">
      <c r="A80" s="18"/>
      <c r="B80" s="48"/>
      <c r="C80" s="91"/>
      <c r="D80" s="53"/>
      <c r="E80" s="92"/>
      <c r="F80" s="93"/>
      <c r="G80" s="94"/>
      <c r="H80" s="95"/>
      <c r="I80" s="46"/>
      <c r="J80" s="90"/>
    </row>
    <row r="81" spans="1:10" s="37" customFormat="1" ht="24" hidden="1" customHeight="1" x14ac:dyDescent="0.3">
      <c r="A81" s="18"/>
      <c r="B81" s="48"/>
      <c r="C81" s="91"/>
      <c r="D81" s="53"/>
      <c r="E81" s="92"/>
      <c r="F81" s="93"/>
      <c r="G81" s="94"/>
      <c r="H81" s="95"/>
      <c r="I81" s="46"/>
      <c r="J81" s="90"/>
    </row>
    <row r="82" spans="1:10" s="37" customFormat="1" ht="24" hidden="1" customHeight="1" x14ac:dyDescent="0.3">
      <c r="A82" s="18"/>
      <c r="B82" s="48"/>
      <c r="C82" s="91"/>
      <c r="D82" s="53"/>
      <c r="E82" s="92"/>
      <c r="F82" s="93"/>
      <c r="G82" s="94"/>
      <c r="H82" s="95"/>
      <c r="I82" s="46"/>
      <c r="J82" s="90"/>
    </row>
    <row r="83" spans="1:10" s="37" customFormat="1" ht="24" hidden="1" customHeight="1" x14ac:dyDescent="0.3">
      <c r="A83" s="18"/>
      <c r="B83" s="48"/>
      <c r="C83" s="91"/>
      <c r="D83" s="53"/>
      <c r="E83" s="92"/>
      <c r="F83" s="93"/>
      <c r="G83" s="94"/>
      <c r="H83" s="95"/>
      <c r="I83" s="46"/>
      <c r="J83" s="90"/>
    </row>
    <row r="84" spans="1:10" s="37" customFormat="1" ht="24" hidden="1" customHeight="1" x14ac:dyDescent="0.3">
      <c r="A84" s="18"/>
      <c r="B84" s="48"/>
      <c r="C84" s="91"/>
      <c r="D84" s="53"/>
      <c r="E84" s="92"/>
      <c r="F84" s="93"/>
      <c r="G84" s="94"/>
      <c r="H84" s="95"/>
      <c r="I84" s="46"/>
      <c r="J84" s="90"/>
    </row>
    <row r="85" spans="1:10" s="37" customFormat="1" ht="24" hidden="1" customHeight="1" x14ac:dyDescent="0.3">
      <c r="A85" s="18"/>
      <c r="B85" s="48"/>
      <c r="C85" s="91"/>
      <c r="D85" s="53"/>
      <c r="E85" s="92"/>
      <c r="F85" s="93"/>
      <c r="G85" s="94"/>
      <c r="H85" s="95"/>
      <c r="I85" s="46"/>
      <c r="J85" s="90"/>
    </row>
    <row r="86" spans="1:10" s="37" customFormat="1" ht="24" hidden="1" customHeight="1" x14ac:dyDescent="0.3">
      <c r="A86" s="18"/>
      <c r="B86" s="48"/>
      <c r="C86" s="91"/>
      <c r="D86" s="53"/>
      <c r="E86" s="92"/>
      <c r="F86" s="93"/>
      <c r="G86" s="94"/>
      <c r="H86" s="95"/>
      <c r="I86" s="46"/>
      <c r="J86" s="90"/>
    </row>
    <row r="87" spans="1:10" s="37" customFormat="1" ht="24" hidden="1" customHeight="1" x14ac:dyDescent="0.3">
      <c r="A87" s="18"/>
      <c r="B87" s="48"/>
      <c r="C87" s="91"/>
      <c r="D87" s="53"/>
      <c r="E87" s="92"/>
      <c r="F87" s="93"/>
      <c r="G87" s="94"/>
      <c r="H87" s="95"/>
      <c r="I87" s="46"/>
      <c r="J87" s="90"/>
    </row>
    <row r="88" spans="1:10" s="37" customFormat="1" ht="24" hidden="1" customHeight="1" x14ac:dyDescent="0.3">
      <c r="A88" s="18"/>
      <c r="B88" s="48"/>
      <c r="C88" s="91"/>
      <c r="D88" s="53"/>
      <c r="E88" s="92"/>
      <c r="F88" s="93"/>
      <c r="G88" s="94"/>
      <c r="H88" s="95"/>
      <c r="I88" s="46"/>
      <c r="J88" s="90"/>
    </row>
    <row r="89" spans="1:10" s="37" customFormat="1" ht="24" hidden="1" customHeight="1" x14ac:dyDescent="0.3">
      <c r="A89" s="18"/>
      <c r="B89" s="48"/>
      <c r="C89" s="91"/>
      <c r="D89" s="53"/>
      <c r="E89" s="92"/>
      <c r="F89" s="93"/>
      <c r="G89" s="94"/>
      <c r="H89" s="95"/>
      <c r="I89" s="46"/>
      <c r="J89" s="90"/>
    </row>
    <row r="90" spans="1:10" s="37" customFormat="1" ht="24" hidden="1" customHeight="1" x14ac:dyDescent="0.3">
      <c r="A90" s="18"/>
      <c r="B90" s="48"/>
      <c r="C90" s="91"/>
      <c r="D90" s="53"/>
      <c r="E90" s="92"/>
      <c r="F90" s="93"/>
      <c r="G90" s="94"/>
      <c r="H90" s="95"/>
      <c r="I90" s="46"/>
      <c r="J90" s="90"/>
    </row>
    <row r="91" spans="1:10" s="37" customFormat="1" ht="24" hidden="1" customHeight="1" x14ac:dyDescent="0.3">
      <c r="A91" s="18"/>
      <c r="B91" s="48"/>
      <c r="C91" s="91"/>
      <c r="D91" s="53"/>
      <c r="E91" s="92"/>
      <c r="F91" s="93"/>
      <c r="G91" s="94"/>
      <c r="H91" s="95"/>
      <c r="I91" s="46"/>
      <c r="J91" s="90"/>
    </row>
    <row r="92" spans="1:10" s="37" customFormat="1" ht="24" hidden="1" customHeight="1" x14ac:dyDescent="0.3">
      <c r="A92" s="18"/>
      <c r="B92" s="48"/>
      <c r="C92" s="91"/>
      <c r="D92" s="53"/>
      <c r="E92" s="92"/>
      <c r="F92" s="93"/>
      <c r="G92" s="94"/>
      <c r="H92" s="95"/>
      <c r="I92" s="46"/>
      <c r="J92" s="90"/>
    </row>
    <row r="93" spans="1:10" s="37" customFormat="1" ht="24" hidden="1" customHeight="1" x14ac:dyDescent="0.3">
      <c r="A93" s="18"/>
      <c r="B93" s="48"/>
      <c r="C93" s="91"/>
      <c r="D93" s="53"/>
      <c r="E93" s="92"/>
      <c r="F93" s="93"/>
      <c r="G93" s="94"/>
      <c r="H93" s="95"/>
      <c r="I93" s="46"/>
      <c r="J93" s="90"/>
    </row>
    <row r="94" spans="1:10" s="37" customFormat="1" ht="24" hidden="1" customHeight="1" x14ac:dyDescent="0.3">
      <c r="A94" s="18"/>
      <c r="B94" s="48"/>
      <c r="C94" s="91"/>
      <c r="D94" s="53"/>
      <c r="E94" s="92"/>
      <c r="F94" s="93"/>
      <c r="G94" s="94"/>
      <c r="H94" s="95"/>
      <c r="I94" s="46"/>
      <c r="J94" s="90"/>
    </row>
    <row r="95" spans="1:10" s="37" customFormat="1" ht="24" hidden="1" customHeight="1" x14ac:dyDescent="0.3">
      <c r="A95" s="18"/>
      <c r="B95" s="48"/>
      <c r="C95" s="91"/>
      <c r="D95" s="53"/>
      <c r="E95" s="92"/>
      <c r="F95" s="93"/>
      <c r="G95" s="94"/>
      <c r="H95" s="95"/>
      <c r="I95" s="46"/>
      <c r="J95" s="90"/>
    </row>
    <row r="96" spans="1:10" s="37" customFormat="1" ht="24" hidden="1" customHeight="1" x14ac:dyDescent="0.3">
      <c r="A96" s="18"/>
      <c r="B96" s="48"/>
      <c r="C96" s="91"/>
      <c r="D96" s="53"/>
      <c r="E96" s="92"/>
      <c r="F96" s="93"/>
      <c r="G96" s="94"/>
      <c r="H96" s="95"/>
      <c r="I96" s="46"/>
      <c r="J96" s="90"/>
    </row>
    <row r="97" spans="1:13" s="37" customFormat="1" ht="24" hidden="1" customHeight="1" x14ac:dyDescent="0.3">
      <c r="A97" s="18"/>
      <c r="B97" s="48"/>
      <c r="C97" s="91"/>
      <c r="D97" s="53"/>
      <c r="E97" s="92"/>
      <c r="F97" s="93"/>
      <c r="G97" s="94"/>
      <c r="H97" s="95"/>
      <c r="I97" s="46"/>
      <c r="J97" s="90"/>
    </row>
    <row r="98" spans="1:13" s="37" customFormat="1" ht="24" hidden="1" customHeight="1" x14ac:dyDescent="0.3">
      <c r="A98" s="18"/>
      <c r="B98" s="48"/>
      <c r="C98" s="91"/>
      <c r="D98" s="53"/>
      <c r="E98" s="92"/>
      <c r="F98" s="93"/>
      <c r="G98" s="94"/>
      <c r="H98" s="95"/>
      <c r="I98" s="46"/>
      <c r="J98" s="90"/>
    </row>
    <row r="99" spans="1:13" s="37" customFormat="1" ht="24" hidden="1" customHeight="1" x14ac:dyDescent="0.3">
      <c r="A99" s="18"/>
      <c r="B99" s="48"/>
      <c r="C99" s="91"/>
      <c r="D99" s="53"/>
      <c r="E99" s="92"/>
      <c r="F99" s="93"/>
      <c r="G99" s="94"/>
      <c r="H99" s="95"/>
      <c r="I99" s="46"/>
      <c r="J99" s="90"/>
    </row>
    <row r="100" spans="1:13" s="37" customFormat="1" ht="24" hidden="1" customHeight="1" x14ac:dyDescent="0.3">
      <c r="A100" s="18"/>
      <c r="B100" s="48"/>
      <c r="C100" s="91"/>
      <c r="D100" s="53"/>
      <c r="E100" s="92"/>
      <c r="F100" s="93"/>
      <c r="G100" s="94"/>
      <c r="H100" s="95"/>
      <c r="I100" s="46"/>
      <c r="J100" s="90"/>
    </row>
    <row r="101" spans="1:13" s="37" customFormat="1" ht="24" hidden="1" customHeight="1" x14ac:dyDescent="0.3">
      <c r="A101" s="18"/>
      <c r="B101" s="48"/>
      <c r="C101" s="91"/>
      <c r="D101" s="53"/>
      <c r="E101" s="92"/>
      <c r="F101" s="93"/>
      <c r="G101" s="94"/>
      <c r="H101" s="95"/>
      <c r="I101" s="46"/>
      <c r="J101" s="90"/>
    </row>
    <row r="102" spans="1:13" s="37" customFormat="1" ht="24" customHeight="1" x14ac:dyDescent="0.3">
      <c r="A102" s="18"/>
      <c r="B102" s="67"/>
      <c r="C102" s="68"/>
      <c r="D102" s="68"/>
      <c r="E102" s="69" t="s">
        <v>30</v>
      </c>
      <c r="F102" s="70">
        <f>SUM(F47:F101)</f>
        <v>0</v>
      </c>
      <c r="G102" s="71">
        <f>SUM(G47:G101)</f>
        <v>1168698</v>
      </c>
      <c r="H102" s="24"/>
      <c r="I102" s="72"/>
      <c r="J102" s="90"/>
    </row>
    <row r="103" spans="1:13" s="37" customFormat="1" ht="24" customHeight="1" x14ac:dyDescent="0.3">
      <c r="A103" s="18"/>
      <c r="B103" s="74" t="s">
        <v>31</v>
      </c>
      <c r="C103" s="97"/>
      <c r="D103" s="98"/>
      <c r="E103" s="77"/>
      <c r="F103" s="78"/>
      <c r="G103" s="79"/>
      <c r="H103" s="45"/>
      <c r="I103" s="80"/>
      <c r="J103" s="90"/>
      <c r="M103" s="34"/>
    </row>
    <row r="104" spans="1:13" s="37" customFormat="1" ht="24" hidden="1" customHeight="1" x14ac:dyDescent="0.3">
      <c r="A104" s="18"/>
      <c r="B104" s="48"/>
      <c r="C104" s="99"/>
      <c r="D104" s="100"/>
      <c r="E104" s="101"/>
      <c r="F104" s="102"/>
      <c r="G104" s="103"/>
      <c r="H104" s="104"/>
      <c r="I104" s="105"/>
      <c r="J104" s="90"/>
      <c r="M104" s="34"/>
    </row>
    <row r="105" spans="1:13" s="37" customFormat="1" ht="24" hidden="1" customHeight="1" x14ac:dyDescent="0.3">
      <c r="A105" s="18"/>
      <c r="B105" s="48"/>
      <c r="C105" s="106"/>
      <c r="D105" s="100"/>
      <c r="E105" s="107"/>
      <c r="F105" s="108"/>
      <c r="G105" s="109"/>
      <c r="H105" s="31"/>
      <c r="I105" s="32"/>
      <c r="J105" s="90"/>
      <c r="M105" s="34"/>
    </row>
    <row r="106" spans="1:13" s="37" customFormat="1" ht="24" hidden="1" customHeight="1" x14ac:dyDescent="0.3">
      <c r="A106" s="18"/>
      <c r="B106" s="59"/>
      <c r="C106" s="110"/>
      <c r="D106" s="111"/>
      <c r="E106" s="62"/>
      <c r="F106" s="112"/>
      <c r="G106" s="113"/>
      <c r="H106" s="65"/>
      <c r="I106" s="66"/>
      <c r="J106" s="90"/>
      <c r="M106" s="34"/>
    </row>
    <row r="107" spans="1:13" s="37" customFormat="1" ht="24" customHeight="1" x14ac:dyDescent="0.3">
      <c r="A107" s="18"/>
      <c r="B107" s="67"/>
      <c r="C107" s="68"/>
      <c r="D107" s="68"/>
      <c r="E107" s="69" t="s">
        <v>32</v>
      </c>
      <c r="F107" s="114">
        <f>SUM(F103:F106)</f>
        <v>0</v>
      </c>
      <c r="G107" s="83">
        <f>SUM(G103:G106)</f>
        <v>0</v>
      </c>
      <c r="H107" s="24"/>
      <c r="I107" s="72"/>
      <c r="J107" s="90"/>
    </row>
    <row r="108" spans="1:13" s="37" customFormat="1" ht="24" hidden="1" customHeight="1" outlineLevel="1" x14ac:dyDescent="0.3">
      <c r="A108" s="18"/>
      <c r="B108" s="17" t="s">
        <v>36</v>
      </c>
      <c r="C108" s="115"/>
      <c r="D108" s="116"/>
      <c r="E108" s="116"/>
      <c r="F108" s="117"/>
      <c r="G108" s="117"/>
      <c r="H108" s="116"/>
      <c r="I108" s="118"/>
      <c r="J108" s="90"/>
    </row>
    <row r="109" spans="1:13" s="37" customFormat="1" ht="24" hidden="1" customHeight="1" outlineLevel="1" x14ac:dyDescent="0.3">
      <c r="A109" s="18"/>
      <c r="B109" s="119" t="s">
        <v>37</v>
      </c>
      <c r="C109" s="119"/>
      <c r="D109" s="116" t="s">
        <v>38</v>
      </c>
      <c r="E109" s="116"/>
      <c r="F109" s="120" t="s">
        <v>39</v>
      </c>
      <c r="G109" s="121" t="s">
        <v>39</v>
      </c>
      <c r="H109" s="116"/>
      <c r="I109" s="122" t="s">
        <v>40</v>
      </c>
      <c r="J109" s="90"/>
    </row>
    <row r="110" spans="1:13" s="37" customFormat="1" ht="24" hidden="1" customHeight="1" outlineLevel="1" x14ac:dyDescent="0.3">
      <c r="A110" s="18"/>
      <c r="B110" s="19" t="s">
        <v>17</v>
      </c>
      <c r="C110" s="19" t="s">
        <v>18</v>
      </c>
      <c r="D110" s="196" t="s">
        <v>19</v>
      </c>
      <c r="E110" s="195"/>
      <c r="F110" s="21" t="s">
        <v>20</v>
      </c>
      <c r="G110" s="22" t="s">
        <v>21</v>
      </c>
      <c r="H110" s="23" t="s">
        <v>22</v>
      </c>
      <c r="I110" s="20" t="s">
        <v>23</v>
      </c>
      <c r="J110" s="90"/>
    </row>
    <row r="111" spans="1:13" s="37" customFormat="1" ht="24" hidden="1" customHeight="1" outlineLevel="1" x14ac:dyDescent="0.3">
      <c r="A111" s="18"/>
      <c r="B111" s="25"/>
      <c r="C111" s="91"/>
      <c r="D111" s="53"/>
      <c r="E111" s="92"/>
      <c r="F111" s="93"/>
      <c r="G111" s="94"/>
      <c r="H111" s="95"/>
      <c r="I111" s="46"/>
      <c r="J111" s="90"/>
    </row>
    <row r="112" spans="1:13" s="37" customFormat="1" ht="24" hidden="1" customHeight="1" outlineLevel="1" x14ac:dyDescent="0.3">
      <c r="A112" s="18"/>
      <c r="B112" s="48"/>
      <c r="C112" s="91"/>
      <c r="D112" s="55"/>
      <c r="E112" s="92"/>
      <c r="F112" s="93"/>
      <c r="G112" s="94"/>
      <c r="H112" s="95"/>
      <c r="I112" s="46"/>
      <c r="J112" s="90"/>
    </row>
    <row r="113" spans="1:13" s="37" customFormat="1" ht="24" hidden="1" customHeight="1" outlineLevel="1" x14ac:dyDescent="0.3">
      <c r="A113" s="18"/>
      <c r="B113" s="25"/>
      <c r="C113" s="91"/>
      <c r="D113" s="53"/>
      <c r="E113" s="92"/>
      <c r="F113" s="93"/>
      <c r="G113" s="94"/>
      <c r="H113" s="95"/>
      <c r="I113" s="46"/>
      <c r="J113" s="90"/>
    </row>
    <row r="114" spans="1:13" s="37" customFormat="1" ht="24" hidden="1" customHeight="1" outlineLevel="1" x14ac:dyDescent="0.3">
      <c r="A114" s="18"/>
      <c r="B114" s="25"/>
      <c r="C114" s="91"/>
      <c r="D114" s="53"/>
      <c r="E114" s="92"/>
      <c r="F114" s="93"/>
      <c r="G114" s="94"/>
      <c r="H114" s="95"/>
      <c r="I114" s="46"/>
      <c r="J114" s="90"/>
    </row>
    <row r="115" spans="1:13" s="37" customFormat="1" ht="24" hidden="1" customHeight="1" outlineLevel="1" x14ac:dyDescent="0.3">
      <c r="A115" s="18"/>
      <c r="B115" s="25"/>
      <c r="C115" s="123"/>
      <c r="D115" s="124"/>
      <c r="E115" s="125"/>
      <c r="F115" s="126"/>
      <c r="G115" s="127"/>
      <c r="H115" s="95"/>
      <c r="I115" s="80"/>
      <c r="J115" s="90"/>
    </row>
    <row r="116" spans="1:13" s="37" customFormat="1" ht="24" hidden="1" customHeight="1" outlineLevel="1" x14ac:dyDescent="0.3">
      <c r="A116" s="18"/>
      <c r="B116" s="67"/>
      <c r="C116" s="68"/>
      <c r="D116" s="68"/>
      <c r="E116" s="69" t="s">
        <v>30</v>
      </c>
      <c r="F116" s="70">
        <f>SUM(F111:F115)</f>
        <v>0</v>
      </c>
      <c r="G116" s="71">
        <f>SUM(G111:G115)</f>
        <v>0</v>
      </c>
      <c r="H116" s="24"/>
      <c r="I116" s="72"/>
      <c r="J116" s="90"/>
    </row>
    <row r="117" spans="1:13" s="1" customFormat="1" ht="24" customHeight="1" collapsed="1" x14ac:dyDescent="0.3">
      <c r="C117" s="84"/>
      <c r="D117" s="84"/>
      <c r="E117" s="84"/>
      <c r="F117" s="128"/>
      <c r="G117" s="128"/>
      <c r="H117" s="84"/>
      <c r="I117" s="86"/>
      <c r="J117" s="129"/>
    </row>
    <row r="118" spans="1:13" s="1" customFormat="1" ht="24" customHeight="1" x14ac:dyDescent="0.3">
      <c r="B118" s="17" t="s">
        <v>41</v>
      </c>
      <c r="C118" s="115"/>
      <c r="D118" s="116"/>
      <c r="E118" s="116"/>
      <c r="F118" s="117"/>
      <c r="G118" s="117"/>
      <c r="H118" s="116"/>
      <c r="I118" s="118"/>
    </row>
    <row r="119" spans="1:13" s="1" customFormat="1" ht="24" customHeight="1" x14ac:dyDescent="0.3">
      <c r="B119" s="119" t="s">
        <v>37</v>
      </c>
      <c r="C119" s="119"/>
      <c r="D119" s="116" t="s">
        <v>38</v>
      </c>
      <c r="E119" s="116"/>
      <c r="F119" s="120" t="s">
        <v>39</v>
      </c>
      <c r="G119" s="121" t="s">
        <v>39</v>
      </c>
      <c r="H119" s="116"/>
      <c r="I119" s="122" t="s">
        <v>40</v>
      </c>
    </row>
    <row r="120" spans="1:13" s="1" customFormat="1" ht="24" customHeight="1" x14ac:dyDescent="0.3">
      <c r="B120" s="130" t="s">
        <v>42</v>
      </c>
      <c r="C120" s="190" t="s">
        <v>43</v>
      </c>
      <c r="D120" s="191"/>
      <c r="E120" s="130" t="s">
        <v>44</v>
      </c>
      <c r="F120" s="19" t="s">
        <v>45</v>
      </c>
      <c r="G120" s="131" t="s">
        <v>46</v>
      </c>
      <c r="H120" s="23" t="s">
        <v>47</v>
      </c>
      <c r="I120" s="23" t="s">
        <v>23</v>
      </c>
    </row>
    <row r="121" spans="1:13" s="1" customFormat="1" ht="24" customHeight="1" x14ac:dyDescent="0.3">
      <c r="B121" s="132" t="s">
        <v>48</v>
      </c>
      <c r="C121" s="133" t="s">
        <v>49</v>
      </c>
      <c r="D121" s="134" t="s">
        <v>50</v>
      </c>
      <c r="E121" s="135">
        <f>'0820'!H121+SUMIF($H$8:$H$35,J121,$F$8:$F$35)-SUMIF($H$8:$H$35,J121,$G$8:$G$35)</f>
        <v>115935</v>
      </c>
      <c r="F121" s="136">
        <f>SUMIF($H$47:$H$102,J121,$F$47:$F$102)+SUMIF($H$110:$H$116,J121,$F$110:$F$116)</f>
        <v>0</v>
      </c>
      <c r="G121" s="137">
        <f>SUMIF($H$47:$H$102,J121,$G$47:$G$102)+SUMIF($H$110:$H$116,J121,$G$110:$G$116)</f>
        <v>0</v>
      </c>
      <c r="H121" s="138">
        <f>E121+F121-G121</f>
        <v>115935</v>
      </c>
      <c r="I121" s="139" t="s">
        <v>51</v>
      </c>
      <c r="J121" s="140" t="s">
        <v>29</v>
      </c>
    </row>
    <row r="122" spans="1:13" s="1" customFormat="1" ht="24" customHeight="1" x14ac:dyDescent="0.3">
      <c r="B122" s="132" t="s">
        <v>48</v>
      </c>
      <c r="C122" s="133" t="s">
        <v>52</v>
      </c>
      <c r="D122" s="134" t="s">
        <v>53</v>
      </c>
      <c r="E122" s="135">
        <f>'0820'!H122+SUMIF($H$8:$H$35,J122,$F$8:$F$35)-SUMIF($H$8:$H$35,J122,$G$8:$G$35)</f>
        <v>269080426</v>
      </c>
      <c r="F122" s="136">
        <f>SUMIF($H$47:$H$101,J122,$F$47:$F$101)+F116</f>
        <v>0</v>
      </c>
      <c r="G122" s="137">
        <f>SUMIF($H$47:$H$101,J122,$G$47:$G$101)</f>
        <v>1168698</v>
      </c>
      <c r="H122" s="138">
        <f>E122+F122-G122</f>
        <v>267911728</v>
      </c>
      <c r="I122" s="139" t="s">
        <v>54</v>
      </c>
      <c r="J122" s="140" t="s">
        <v>55</v>
      </c>
      <c r="M122" s="73"/>
    </row>
    <row r="123" spans="1:13" s="1" customFormat="1" ht="24" customHeight="1" x14ac:dyDescent="0.3">
      <c r="B123" s="132" t="s">
        <v>48</v>
      </c>
      <c r="C123" s="133" t="s">
        <v>56</v>
      </c>
      <c r="D123" s="134" t="s">
        <v>53</v>
      </c>
      <c r="E123" s="135">
        <f>'0820'!H123+SUMIF($H$8:$H$35,J123,$F$8:$F$35)-SUMIF($H$8:$H$35,J123,$G$8:$G$35)+SUMIF($H$110:$H$116,J123,$F$110:$F$116)</f>
        <v>78020</v>
      </c>
      <c r="F123" s="136">
        <f>SUMIF($H$47:$H$101,J123,$F$47:$F$101)+SUMIF($H$110:$H$116,J123,$F$110:$F$116)</f>
        <v>0</v>
      </c>
      <c r="G123" s="137">
        <f>SUMIF($H$47:$H$101,J123,$G$47:$G$101)+SUMIF($H$110:$H$116,J123,$G$110:$G$116)</f>
        <v>0</v>
      </c>
      <c r="H123" s="138">
        <f>E123+F123-G123</f>
        <v>78020</v>
      </c>
      <c r="I123" s="139" t="s">
        <v>57</v>
      </c>
      <c r="J123" s="140" t="s">
        <v>58</v>
      </c>
    </row>
    <row r="124" spans="1:13" s="1" customFormat="1" ht="24" customHeight="1" x14ac:dyDescent="0.3">
      <c r="B124" s="132" t="s">
        <v>48</v>
      </c>
      <c r="C124" s="133" t="s">
        <v>59</v>
      </c>
      <c r="D124" s="134" t="s">
        <v>53</v>
      </c>
      <c r="E124" s="135">
        <f>'0820'!H124+SUMIF($H$8:$H$35,J124,$F$8:$F$35)-SUMIF($H$8:$H$35,J124,$G$8:$G$35)</f>
        <v>0</v>
      </c>
      <c r="F124" s="136">
        <f t="shared" ref="F124:F129" si="0">SUMIF($H$47:$H$101,J124,$F$47:$F$101)</f>
        <v>0</v>
      </c>
      <c r="G124" s="137">
        <f t="shared" ref="G124:G129" si="1">SUMIF($H$47:$H$101,J124,$G$47:$G$101)</f>
        <v>0</v>
      </c>
      <c r="H124" s="138">
        <f t="shared" ref="H124:H129" si="2">E124+F124-G124</f>
        <v>0</v>
      </c>
      <c r="I124" s="139" t="s">
        <v>60</v>
      </c>
      <c r="J124" s="140" t="s">
        <v>61</v>
      </c>
    </row>
    <row r="125" spans="1:13" s="1" customFormat="1" ht="24" customHeight="1" x14ac:dyDescent="0.3">
      <c r="B125" s="132" t="s">
        <v>48</v>
      </c>
      <c r="C125" s="133" t="s">
        <v>62</v>
      </c>
      <c r="D125" s="134" t="s">
        <v>53</v>
      </c>
      <c r="E125" s="135">
        <f>'0820'!H125+SUMIF($H$8:$H$35,J125,$F$8:$F$35)-SUMIF($H$8:$H$35,J125,$G$8:$G$35)</f>
        <v>0</v>
      </c>
      <c r="F125" s="136">
        <f t="shared" si="0"/>
        <v>0</v>
      </c>
      <c r="G125" s="137">
        <f t="shared" si="1"/>
        <v>0</v>
      </c>
      <c r="H125" s="138">
        <f t="shared" si="2"/>
        <v>0</v>
      </c>
      <c r="I125" s="139" t="s">
        <v>63</v>
      </c>
      <c r="J125" s="140" t="s">
        <v>64</v>
      </c>
    </row>
    <row r="126" spans="1:13" s="1" customFormat="1" ht="24" customHeight="1" x14ac:dyDescent="0.3">
      <c r="B126" s="132" t="s">
        <v>48</v>
      </c>
      <c r="C126" s="133" t="s">
        <v>65</v>
      </c>
      <c r="D126" s="134" t="s">
        <v>53</v>
      </c>
      <c r="E126" s="135">
        <f>'0820'!H126+SUMIF($H$8:$H$35,J126,$F$8:$F$35)-SUMIF($H$8:$H$35,J126,$G$8:$G$35)</f>
        <v>0</v>
      </c>
      <c r="F126" s="136">
        <f t="shared" si="0"/>
        <v>0</v>
      </c>
      <c r="G126" s="137">
        <f t="shared" si="1"/>
        <v>0</v>
      </c>
      <c r="H126" s="138">
        <f t="shared" si="2"/>
        <v>0</v>
      </c>
      <c r="I126" s="141" t="s">
        <v>66</v>
      </c>
      <c r="J126" s="140" t="s">
        <v>67</v>
      </c>
    </row>
    <row r="127" spans="1:13" s="1" customFormat="1" ht="24" customHeight="1" x14ac:dyDescent="0.3">
      <c r="B127" s="132" t="s">
        <v>68</v>
      </c>
      <c r="C127" s="133" t="s">
        <v>69</v>
      </c>
      <c r="D127" s="134" t="s">
        <v>53</v>
      </c>
      <c r="E127" s="135">
        <f>'0820'!H127+SUMIF($H$8:$H$35,J127,$F$8:$F$35)-SUMIF($H$8:$H$35,J127,$G$8:$G$35)</f>
        <v>22177082</v>
      </c>
      <c r="F127" s="136">
        <f t="shared" si="0"/>
        <v>0</v>
      </c>
      <c r="G127" s="137">
        <f t="shared" si="1"/>
        <v>0</v>
      </c>
      <c r="H127" s="142">
        <f t="shared" si="2"/>
        <v>22177082</v>
      </c>
      <c r="I127" s="139" t="s">
        <v>54</v>
      </c>
      <c r="J127" s="140" t="s">
        <v>70</v>
      </c>
    </row>
    <row r="128" spans="1:13" s="1" customFormat="1" ht="24" customHeight="1" x14ac:dyDescent="0.3">
      <c r="B128" s="132" t="s">
        <v>71</v>
      </c>
      <c r="C128" s="133" t="s">
        <v>72</v>
      </c>
      <c r="D128" s="134" t="s">
        <v>53</v>
      </c>
      <c r="E128" s="135">
        <f>'0820'!H128+SUMIF($H$8:$H$35,J128,$F$8:$F$35)-SUMIF($H$8:$H$35,J128,$G$8:$G$35)</f>
        <v>0</v>
      </c>
      <c r="F128" s="136">
        <f t="shared" si="0"/>
        <v>0</v>
      </c>
      <c r="G128" s="137">
        <f t="shared" si="1"/>
        <v>0</v>
      </c>
      <c r="H128" s="142">
        <f t="shared" si="2"/>
        <v>0</v>
      </c>
      <c r="I128" s="139" t="s">
        <v>73</v>
      </c>
      <c r="J128" s="140" t="s">
        <v>74</v>
      </c>
    </row>
    <row r="129" spans="2:13" s="1" customFormat="1" ht="24" customHeight="1" x14ac:dyDescent="0.3">
      <c r="B129" s="132" t="s">
        <v>75</v>
      </c>
      <c r="C129" s="133" t="s">
        <v>76</v>
      </c>
      <c r="D129" s="134" t="s">
        <v>50</v>
      </c>
      <c r="E129" s="135">
        <f>'0820'!H129+SUMIF($H$8:$H$35,J129,$F$8:$F$35)-SUMIF($H$8:$H$35,J129,$G$8:$G$35)</f>
        <v>33952</v>
      </c>
      <c r="F129" s="136">
        <f t="shared" si="0"/>
        <v>0</v>
      </c>
      <c r="G129" s="137">
        <f t="shared" si="1"/>
        <v>0</v>
      </c>
      <c r="H129" s="142">
        <f t="shared" si="2"/>
        <v>33952</v>
      </c>
      <c r="I129" s="143" t="s">
        <v>73</v>
      </c>
      <c r="J129" s="140" t="s">
        <v>77</v>
      </c>
    </row>
    <row r="130" spans="2:13" s="1" customFormat="1" ht="22.5" customHeight="1" x14ac:dyDescent="0.3">
      <c r="B130" s="144"/>
      <c r="C130" s="145"/>
      <c r="D130" s="146" t="s">
        <v>78</v>
      </c>
      <c r="E130" s="147">
        <f>SUM(E121:E129)</f>
        <v>291485415</v>
      </c>
      <c r="F130" s="148">
        <f>SUM(F121:F128)</f>
        <v>0</v>
      </c>
      <c r="G130" s="149">
        <f>SUM(G121:G128)</f>
        <v>1168698</v>
      </c>
      <c r="H130" s="150">
        <f>SUM(H121:H129)</f>
        <v>290316717</v>
      </c>
      <c r="I130" s="151"/>
      <c r="J130" s="37"/>
    </row>
    <row r="131" spans="2:13" s="1" customFormat="1" ht="22.5" customHeight="1" x14ac:dyDescent="0.3">
      <c r="C131" s="84"/>
      <c r="D131" s="84"/>
      <c r="E131" s="152"/>
      <c r="F131" s="152"/>
      <c r="G131" s="152"/>
      <c r="H131" s="152"/>
      <c r="I131" s="153"/>
    </row>
    <row r="132" spans="2:13" s="1" customFormat="1" ht="24" customHeight="1" x14ac:dyDescent="0.3">
      <c r="B132" s="119" t="s">
        <v>79</v>
      </c>
      <c r="C132" s="119"/>
      <c r="D132" s="116" t="s">
        <v>38</v>
      </c>
      <c r="E132" s="116"/>
      <c r="F132" s="120" t="s">
        <v>39</v>
      </c>
      <c r="G132" s="121" t="s">
        <v>39</v>
      </c>
      <c r="H132" s="116"/>
      <c r="I132" s="122" t="s">
        <v>80</v>
      </c>
    </row>
    <row r="133" spans="2:13" s="1" customFormat="1" ht="24" customHeight="1" x14ac:dyDescent="0.3">
      <c r="B133" s="130" t="s">
        <v>42</v>
      </c>
      <c r="C133" s="190" t="s">
        <v>43</v>
      </c>
      <c r="D133" s="191"/>
      <c r="E133" s="130" t="s">
        <v>44</v>
      </c>
      <c r="F133" s="19" t="s">
        <v>45</v>
      </c>
      <c r="G133" s="131" t="s">
        <v>46</v>
      </c>
      <c r="H133" s="23" t="s">
        <v>47</v>
      </c>
      <c r="I133" s="23" t="s">
        <v>23</v>
      </c>
    </row>
    <row r="134" spans="2:13" s="1" customFormat="1" ht="24" customHeight="1" x14ac:dyDescent="0.3">
      <c r="B134" s="132" t="s">
        <v>81</v>
      </c>
      <c r="C134" s="133" t="s">
        <v>82</v>
      </c>
      <c r="D134" s="134" t="s">
        <v>83</v>
      </c>
      <c r="E134" s="154">
        <f>'0820'!H134</f>
        <v>0</v>
      </c>
      <c r="F134" s="155">
        <f>SUMIF($H$103:$H$106,J134,$F$103:$F$106)</f>
        <v>0</v>
      </c>
      <c r="G134" s="156">
        <f>SUMIF($H$103:$H$106,J134,$G$103:$G$106)</f>
        <v>0</v>
      </c>
      <c r="H134" s="157">
        <f>E134+F134-G134</f>
        <v>0</v>
      </c>
      <c r="I134" s="158" t="s">
        <v>84</v>
      </c>
      <c r="J134" s="159" t="s">
        <v>84</v>
      </c>
    </row>
    <row r="135" spans="2:13" s="1" customFormat="1" ht="22.5" customHeight="1" x14ac:dyDescent="0.3">
      <c r="B135" s="144"/>
      <c r="C135" s="145"/>
      <c r="D135" s="146" t="s">
        <v>78</v>
      </c>
      <c r="E135" s="160">
        <f>SUM(E134)</f>
        <v>0</v>
      </c>
      <c r="F135" s="161">
        <f>SUM(F134)</f>
        <v>0</v>
      </c>
      <c r="G135" s="162">
        <f>SUM(G134)</f>
        <v>0</v>
      </c>
      <c r="H135" s="160">
        <f>SUM(H134)</f>
        <v>0</v>
      </c>
      <c r="I135" s="151"/>
    </row>
    <row r="136" spans="2:13" s="1" customFormat="1" ht="24" customHeight="1" x14ac:dyDescent="0.3"/>
    <row r="137" spans="2:13" s="1" customFormat="1" ht="24" customHeight="1" x14ac:dyDescent="0.3">
      <c r="B137" s="119" t="s">
        <v>85</v>
      </c>
      <c r="C137" s="119"/>
      <c r="D137" s="116" t="s">
        <v>38</v>
      </c>
      <c r="E137" s="116"/>
      <c r="F137" s="120" t="s">
        <v>39</v>
      </c>
      <c r="G137" s="121" t="s">
        <v>39</v>
      </c>
      <c r="H137" s="116"/>
      <c r="I137" s="122" t="s">
        <v>40</v>
      </c>
    </row>
    <row r="138" spans="2:13" s="1" customFormat="1" ht="24" customHeight="1" x14ac:dyDescent="0.3">
      <c r="B138" s="130" t="s">
        <v>42</v>
      </c>
      <c r="C138" s="190" t="s">
        <v>43</v>
      </c>
      <c r="D138" s="191"/>
      <c r="E138" s="130" t="s">
        <v>44</v>
      </c>
      <c r="F138" s="19" t="s">
        <v>45</v>
      </c>
      <c r="G138" s="131" t="s">
        <v>46</v>
      </c>
      <c r="H138" s="23" t="s">
        <v>47</v>
      </c>
      <c r="I138" s="23" t="s">
        <v>23</v>
      </c>
    </row>
    <row r="139" spans="2:13" s="1" customFormat="1" ht="24" customHeight="1" x14ac:dyDescent="0.3">
      <c r="B139" s="132" t="s">
        <v>48</v>
      </c>
      <c r="C139" s="133" t="s">
        <v>86</v>
      </c>
      <c r="D139" s="163" t="s">
        <v>87</v>
      </c>
      <c r="E139" s="164">
        <f>'0820'!H139</f>
        <v>2100000000</v>
      </c>
      <c r="F139" s="136"/>
      <c r="G139" s="137"/>
      <c r="H139" s="142">
        <f>E139+F139-G139</f>
        <v>2100000000</v>
      </c>
      <c r="I139" s="141" t="s">
        <v>88</v>
      </c>
      <c r="J139" s="1" t="s">
        <v>89</v>
      </c>
      <c r="M139" s="73">
        <f>H139-2057169001</f>
        <v>42830999</v>
      </c>
    </row>
    <row r="140" spans="2:13" s="1" customFormat="1" ht="24" hidden="1" customHeight="1" x14ac:dyDescent="0.3">
      <c r="B140" s="132" t="s">
        <v>48</v>
      </c>
      <c r="C140" s="133" t="s">
        <v>90</v>
      </c>
      <c r="D140" s="163" t="s">
        <v>91</v>
      </c>
      <c r="E140" s="165">
        <f>'0820'!H140</f>
        <v>0</v>
      </c>
      <c r="F140" s="136"/>
      <c r="G140" s="137"/>
      <c r="H140" s="142">
        <f>E140+F140-G140</f>
        <v>0</v>
      </c>
      <c r="I140" s="141"/>
      <c r="J140" s="1" t="s">
        <v>92</v>
      </c>
    </row>
    <row r="141" spans="2:13" s="1" customFormat="1" ht="22.5" customHeight="1" x14ac:dyDescent="0.3">
      <c r="B141" s="144"/>
      <c r="C141" s="145"/>
      <c r="D141" s="146" t="s">
        <v>78</v>
      </c>
      <c r="E141" s="147">
        <f>SUM(E139:E140)</f>
        <v>2100000000</v>
      </c>
      <c r="F141" s="166">
        <f>SUM(F139:F140)</f>
        <v>0</v>
      </c>
      <c r="G141" s="167">
        <f>SUM(G139:G140)</f>
        <v>0</v>
      </c>
      <c r="H141" s="147">
        <f>SUM(H139:H140)</f>
        <v>2100000000</v>
      </c>
      <c r="I141" s="151"/>
    </row>
    <row r="146" spans="1:4" ht="23.45" customHeight="1" outlineLevel="1" x14ac:dyDescent="0.3">
      <c r="B146" s="1"/>
      <c r="C146" s="1"/>
      <c r="D146" s="168" t="s">
        <v>93</v>
      </c>
    </row>
    <row r="147" spans="1:4" ht="24" customHeight="1" outlineLevel="1" x14ac:dyDescent="0.3">
      <c r="A147" s="169" t="s">
        <v>94</v>
      </c>
      <c r="B147" s="169" t="s">
        <v>95</v>
      </c>
      <c r="C147" s="169" t="s">
        <v>96</v>
      </c>
      <c r="D147" s="169" t="s">
        <v>23</v>
      </c>
    </row>
    <row r="148" spans="1:4" ht="24" customHeight="1" outlineLevel="1" x14ac:dyDescent="0.3">
      <c r="A148" s="170" t="s">
        <v>97</v>
      </c>
      <c r="B148" s="171" t="s">
        <v>25</v>
      </c>
      <c r="C148" s="172">
        <f>SUMIF($A$46:$A$101,$B148,$F$46:$F$101)</f>
        <v>0</v>
      </c>
      <c r="D148" s="170"/>
    </row>
    <row r="149" spans="1:4" ht="24" customHeight="1" outlineLevel="1" x14ac:dyDescent="0.3">
      <c r="A149" s="170"/>
      <c r="B149" s="171" t="s">
        <v>98</v>
      </c>
      <c r="C149" s="172">
        <f>SUMIF($A$46:$A$101,$B149,$F$46:$F$101)</f>
        <v>0</v>
      </c>
      <c r="D149" s="170"/>
    </row>
    <row r="150" spans="1:4" ht="24" customHeight="1" outlineLevel="1" x14ac:dyDescent="0.3">
      <c r="A150" s="170"/>
      <c r="B150" s="171" t="s">
        <v>99</v>
      </c>
      <c r="C150" s="172">
        <f>SUMIF($A$46:$A$101,$B150,$F$46:$F$101)</f>
        <v>0</v>
      </c>
      <c r="D150" s="170"/>
    </row>
    <row r="151" spans="1:4" ht="24" customHeight="1" outlineLevel="1" x14ac:dyDescent="0.3">
      <c r="A151" s="170"/>
      <c r="B151" s="171" t="s">
        <v>100</v>
      </c>
      <c r="C151" s="172">
        <f>SUMIF($A$46:$A$101,$B151,$F$46:$F$101)</f>
        <v>0</v>
      </c>
      <c r="D151" s="170"/>
    </row>
    <row r="152" spans="1:4" ht="24" customHeight="1" outlineLevel="1" x14ac:dyDescent="0.3">
      <c r="A152" s="170"/>
      <c r="B152" s="171" t="s">
        <v>101</v>
      </c>
      <c r="C152" s="172">
        <f>SUMIF($A$46:$A$101,$B152,$F$46:$F$101)</f>
        <v>0</v>
      </c>
      <c r="D152" s="170"/>
    </row>
    <row r="153" spans="1:4" ht="24" customHeight="1" outlineLevel="1" x14ac:dyDescent="0.3">
      <c r="A153" s="173"/>
      <c r="B153" s="174" t="s">
        <v>102</v>
      </c>
      <c r="C153" s="175">
        <f>SUM(C148:C152)</f>
        <v>0</v>
      </c>
      <c r="D153" s="139"/>
    </row>
    <row r="154" spans="1:4" ht="24" customHeight="1" outlineLevel="1" x14ac:dyDescent="0.3">
      <c r="A154" s="176" t="s">
        <v>103</v>
      </c>
      <c r="B154" s="177" t="s">
        <v>104</v>
      </c>
      <c r="C154" s="178">
        <f t="shared" ref="C154:C167" si="3">SUMIF($A$46:$A$101,$B154,$G$46:$G$101)</f>
        <v>0</v>
      </c>
      <c r="D154" s="176"/>
    </row>
    <row r="155" spans="1:4" ht="24" customHeight="1" outlineLevel="1" x14ac:dyDescent="0.3">
      <c r="A155" s="170"/>
      <c r="B155" s="171" t="s">
        <v>105</v>
      </c>
      <c r="C155" s="172">
        <f t="shared" si="3"/>
        <v>0</v>
      </c>
      <c r="D155" s="170"/>
    </row>
    <row r="156" spans="1:4" ht="24" customHeight="1" outlineLevel="1" x14ac:dyDescent="0.3">
      <c r="A156" s="170"/>
      <c r="B156" s="171" t="s">
        <v>106</v>
      </c>
      <c r="C156" s="172">
        <f t="shared" si="3"/>
        <v>0</v>
      </c>
      <c r="D156" s="170"/>
    </row>
    <row r="157" spans="1:4" ht="24" customHeight="1" outlineLevel="1" x14ac:dyDescent="0.3">
      <c r="A157" s="170"/>
      <c r="B157" s="171" t="s">
        <v>107</v>
      </c>
      <c r="C157" s="172">
        <f t="shared" si="3"/>
        <v>0</v>
      </c>
      <c r="D157" s="170"/>
    </row>
    <row r="158" spans="1:4" ht="24" customHeight="1" outlineLevel="1" x14ac:dyDescent="0.3">
      <c r="A158" s="170"/>
      <c r="B158" s="171" t="s">
        <v>108</v>
      </c>
      <c r="C158" s="172">
        <f t="shared" si="3"/>
        <v>0</v>
      </c>
      <c r="D158" s="170"/>
    </row>
    <row r="159" spans="1:4" ht="24" customHeight="1" outlineLevel="1" x14ac:dyDescent="0.3">
      <c r="A159" s="170"/>
      <c r="B159" s="171" t="s">
        <v>109</v>
      </c>
      <c r="C159" s="172">
        <f t="shared" si="3"/>
        <v>0</v>
      </c>
      <c r="D159" s="170"/>
    </row>
    <row r="160" spans="1:4" ht="24" customHeight="1" outlineLevel="1" x14ac:dyDescent="0.3">
      <c r="A160" s="170"/>
      <c r="B160" s="171" t="s">
        <v>110</v>
      </c>
      <c r="C160" s="172">
        <f t="shared" si="3"/>
        <v>0</v>
      </c>
      <c r="D160" s="170"/>
    </row>
    <row r="161" spans="1:6" ht="24" customHeight="1" outlineLevel="1" x14ac:dyDescent="0.3">
      <c r="A161" s="170"/>
      <c r="B161" s="171" t="s">
        <v>111</v>
      </c>
      <c r="C161" s="172">
        <f t="shared" si="3"/>
        <v>0</v>
      </c>
      <c r="D161" s="170"/>
    </row>
    <row r="162" spans="1:6" ht="24" customHeight="1" outlineLevel="1" x14ac:dyDescent="0.3">
      <c r="A162" s="170"/>
      <c r="B162" s="171" t="s">
        <v>112</v>
      </c>
      <c r="C162" s="172">
        <f t="shared" si="3"/>
        <v>0</v>
      </c>
      <c r="D162" s="170"/>
    </row>
    <row r="163" spans="1:6" ht="24" customHeight="1" outlineLevel="1" x14ac:dyDescent="0.3">
      <c r="A163" s="170"/>
      <c r="B163" s="171" t="s">
        <v>113</v>
      </c>
      <c r="C163" s="172">
        <f t="shared" si="3"/>
        <v>0</v>
      </c>
      <c r="D163" s="170"/>
    </row>
    <row r="164" spans="1:6" ht="24" customHeight="1" outlineLevel="1" x14ac:dyDescent="0.3">
      <c r="A164" s="170"/>
      <c r="B164" s="171" t="s">
        <v>114</v>
      </c>
      <c r="C164" s="172">
        <f t="shared" si="3"/>
        <v>0</v>
      </c>
      <c r="D164" s="170"/>
    </row>
    <row r="165" spans="1:6" ht="24" customHeight="1" outlineLevel="1" x14ac:dyDescent="0.3">
      <c r="A165" s="170"/>
      <c r="B165" s="171" t="s">
        <v>115</v>
      </c>
      <c r="C165" s="172">
        <f t="shared" si="3"/>
        <v>0</v>
      </c>
      <c r="D165" s="170"/>
    </row>
    <row r="166" spans="1:6" ht="24" customHeight="1" outlineLevel="1" x14ac:dyDescent="0.3">
      <c r="A166" s="170"/>
      <c r="B166" s="171" t="s">
        <v>116</v>
      </c>
      <c r="C166" s="172">
        <f t="shared" si="3"/>
        <v>0</v>
      </c>
      <c r="D166" s="170"/>
    </row>
    <row r="167" spans="1:6" ht="24" customHeight="1" outlineLevel="1" x14ac:dyDescent="0.3">
      <c r="A167" s="170"/>
      <c r="B167" s="171" t="s">
        <v>117</v>
      </c>
      <c r="C167" s="172">
        <f t="shared" si="3"/>
        <v>0</v>
      </c>
      <c r="D167" s="170"/>
    </row>
    <row r="168" spans="1:6" ht="24" customHeight="1" outlineLevel="1" x14ac:dyDescent="0.3">
      <c r="A168" s="170"/>
      <c r="B168" s="171" t="s">
        <v>118</v>
      </c>
      <c r="C168" s="172">
        <f>SUMIF($A$46:$A$101,"전산유지비",$G$46:$G$101)</f>
        <v>848618</v>
      </c>
      <c r="D168" s="170"/>
    </row>
    <row r="169" spans="1:6" ht="24" customHeight="1" outlineLevel="1" x14ac:dyDescent="0.3">
      <c r="A169" s="170"/>
      <c r="B169" s="171" t="s">
        <v>119</v>
      </c>
      <c r="C169" s="172">
        <f>SUMIF($A$46:$A$101,$B169,$G$46:$G$101)</f>
        <v>0</v>
      </c>
      <c r="D169" s="170" t="s">
        <v>120</v>
      </c>
    </row>
    <row r="170" spans="1:6" ht="24" customHeight="1" outlineLevel="1" x14ac:dyDescent="0.3">
      <c r="A170" s="170"/>
      <c r="B170" s="171" t="s">
        <v>121</v>
      </c>
      <c r="C170" s="172">
        <f>SUMIF($A$46:$A$101,$B170,$G$46:$G$101)</f>
        <v>0</v>
      </c>
      <c r="D170" s="170"/>
    </row>
    <row r="171" spans="1:6" ht="24" customHeight="1" outlineLevel="1" x14ac:dyDescent="0.3">
      <c r="A171" s="170"/>
      <c r="B171" s="171" t="s">
        <v>122</v>
      </c>
      <c r="C171" s="172">
        <f>SUMIF($A$46:$A$101,$B171,$G$46:$G$101)</f>
        <v>0</v>
      </c>
      <c r="D171" s="170"/>
    </row>
    <row r="172" spans="1:6" ht="24" customHeight="1" outlineLevel="1" x14ac:dyDescent="0.3">
      <c r="A172" s="170"/>
      <c r="B172" s="171" t="s">
        <v>123</v>
      </c>
      <c r="C172" s="172">
        <f>SUMIF($A$46:$A$101,$B172,$G$46:$G$101)</f>
        <v>0</v>
      </c>
      <c r="D172" s="170"/>
    </row>
    <row r="173" spans="1:6" ht="24" customHeight="1" outlineLevel="1" x14ac:dyDescent="0.3">
      <c r="A173" s="170"/>
      <c r="B173" s="171" t="s">
        <v>124</v>
      </c>
      <c r="C173" s="179">
        <f>SUMIF($A$46:$A$101,$B173,$G$46:$G$101)+SUMIF($A$46:$A$101,$D173,$G$46:$G$101)</f>
        <v>320080</v>
      </c>
      <c r="D173" s="180" t="s">
        <v>125</v>
      </c>
      <c r="F173" s="181"/>
    </row>
    <row r="174" spans="1:6" ht="24" customHeight="1" outlineLevel="1" x14ac:dyDescent="0.3">
      <c r="A174" s="173"/>
      <c r="B174" s="182" t="s">
        <v>126</v>
      </c>
      <c r="C174" s="183">
        <f>SUM(C154:C173)</f>
        <v>1168698</v>
      </c>
      <c r="D174" s="182"/>
    </row>
    <row r="175" spans="1:6" ht="24" customHeight="1" outlineLevel="1" x14ac:dyDescent="0.3">
      <c r="A175" s="176" t="s">
        <v>127</v>
      </c>
      <c r="B175" s="177" t="s">
        <v>128</v>
      </c>
      <c r="C175" s="172">
        <f>SUMIF($A$7:$A$39,$B175,$F$7:$F$39)+SUMIF($A$46:$A$101,$B175,$F$46:$F$101)</f>
        <v>0</v>
      </c>
      <c r="D175" s="176"/>
    </row>
    <row r="176" spans="1:6" ht="24" customHeight="1" outlineLevel="1" x14ac:dyDescent="0.3">
      <c r="A176" s="184" t="s">
        <v>129</v>
      </c>
      <c r="B176" s="184" t="s">
        <v>50</v>
      </c>
      <c r="C176" s="185">
        <f>SUMIF($A$7:$A$39,$B176,$F$7:$F$39)+SUMIF($A$46:$A$101,$B176,$F$46:$F$101)</f>
        <v>0</v>
      </c>
      <c r="D176" s="186" t="str">
        <f>IF($C$153+$C$176=$F$130-$F$116,"TRUE","FALSE")</f>
        <v>TRUE</v>
      </c>
      <c r="E176" s="181"/>
      <c r="F176" s="181"/>
    </row>
    <row r="177" spans="1:14" ht="24" customHeight="1" outlineLevel="1" x14ac:dyDescent="0.3">
      <c r="A177" s="173" t="s">
        <v>130</v>
      </c>
      <c r="B177" s="173" t="s">
        <v>50</v>
      </c>
      <c r="C177" s="179">
        <f>SUMIF($A$7:$A$39,$B177,$G$7:$G$39)+SUMIF($A$46:$A$101,$B177,$G$46:$G$101)</f>
        <v>0</v>
      </c>
      <c r="D177" s="187" t="str">
        <f>IF($C$174+$C$177=$G$130-$G$116,"TRUE","FALSE")</f>
        <v>TRUE</v>
      </c>
    </row>
    <row r="178" spans="1:14" s="1" customFormat="1" ht="24" customHeight="1" outlineLevel="1" x14ac:dyDescent="0.3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s="1" customFormat="1" ht="24" customHeight="1" x14ac:dyDescent="0.3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</sheetData>
  <mergeCells count="8">
    <mergeCell ref="C133:D133"/>
    <mergeCell ref="C138:D138"/>
    <mergeCell ref="B1:E2"/>
    <mergeCell ref="B3:E3"/>
    <mergeCell ref="D7:E7"/>
    <mergeCell ref="D46:E46"/>
    <mergeCell ref="D110:E110"/>
    <mergeCell ref="C120:D120"/>
  </mergeCells>
  <phoneticPr fontId="4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8" fitToHeight="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FD41B-549D-400F-9086-DB2DC6AB9386}">
  <dimension ref="A1:Q179"/>
  <sheetViews>
    <sheetView tabSelected="1" showWhiteSpace="0" view="pageBreakPreview" topLeftCell="B1" zoomScaleNormal="70" zoomScaleSheetLayoutView="100" zoomScalePageLayoutView="50" workbookViewId="0">
      <selection activeCell="B1" sqref="B1:E2"/>
    </sheetView>
  </sheetViews>
  <sheetFormatPr defaultColWidth="9" defaultRowHeight="24" customHeight="1" outlineLevelRow="1" outlineLevelCol="1" x14ac:dyDescent="0.3"/>
  <cols>
    <col min="1" max="1" width="21.875" style="1" hidden="1" customWidth="1" outlineLevel="1"/>
    <col min="2" max="2" width="13" style="3" customWidth="1" collapsed="1"/>
    <col min="3" max="3" width="24.75" style="3" customWidth="1"/>
    <col min="4" max="4" width="42.125" style="3" customWidth="1"/>
    <col min="5" max="5" width="16.625" style="3" customWidth="1"/>
    <col min="6" max="9" width="17.75" style="3" customWidth="1"/>
    <col min="10" max="10" width="19.875" style="3" customWidth="1"/>
    <col min="11" max="11" width="11" style="3" hidden="1" customWidth="1" outlineLevel="1"/>
    <col min="12" max="12" width="20" style="3" hidden="1" customWidth="1" outlineLevel="1"/>
    <col min="13" max="13" width="14.125" style="3" customWidth="1" collapsed="1"/>
    <col min="14" max="14" width="18.375" style="3" customWidth="1"/>
    <col min="15" max="15" width="11.25" style="3" bestFit="1" customWidth="1"/>
    <col min="16" max="16" width="9" style="3"/>
    <col min="17" max="17" width="10" style="3" bestFit="1" customWidth="1"/>
    <col min="18" max="16384" width="9" style="3"/>
  </cols>
  <sheetData>
    <row r="1" spans="1:15" ht="24" customHeight="1" x14ac:dyDescent="0.3">
      <c r="B1" s="192" t="s">
        <v>0</v>
      </c>
      <c r="C1" s="192"/>
      <c r="D1" s="192"/>
      <c r="E1" s="192"/>
      <c r="F1" s="2" t="s">
        <v>1</v>
      </c>
      <c r="G1" s="2" t="s">
        <v>2</v>
      </c>
      <c r="H1" s="2" t="s">
        <v>3</v>
      </c>
      <c r="I1" s="2" t="s">
        <v>4</v>
      </c>
    </row>
    <row r="2" spans="1:15" ht="57" customHeight="1" x14ac:dyDescent="0.3">
      <c r="B2" s="192"/>
      <c r="C2" s="192"/>
      <c r="D2" s="192"/>
      <c r="E2" s="192"/>
      <c r="F2" s="4"/>
      <c r="G2" s="4"/>
      <c r="H2" s="4"/>
      <c r="I2" s="4"/>
      <c r="K2" s="5"/>
      <c r="L2" s="5"/>
    </row>
    <row r="3" spans="1:15" ht="24" customHeight="1" x14ac:dyDescent="0.3">
      <c r="B3" s="193" t="s">
        <v>5</v>
      </c>
      <c r="C3" s="193"/>
      <c r="D3" s="193"/>
      <c r="E3" s="193"/>
      <c r="F3" s="2" t="s">
        <v>6</v>
      </c>
      <c r="G3" s="2" t="s">
        <v>7</v>
      </c>
      <c r="H3" s="2" t="s">
        <v>8</v>
      </c>
      <c r="I3" s="2" t="s">
        <v>9</v>
      </c>
      <c r="K3" s="5"/>
      <c r="L3" s="5"/>
    </row>
    <row r="4" spans="1:15" ht="24" customHeight="1" x14ac:dyDescent="0.3">
      <c r="B4" s="7"/>
      <c r="C4" s="7"/>
      <c r="D4" s="7"/>
      <c r="E4" s="7"/>
      <c r="F4" s="8" t="s">
        <v>200</v>
      </c>
      <c r="G4" s="2" t="s">
        <v>201</v>
      </c>
      <c r="H4" s="2" t="s">
        <v>12</v>
      </c>
      <c r="I4" s="2" t="s">
        <v>13</v>
      </c>
      <c r="K4" s="5"/>
      <c r="L4" s="5"/>
    </row>
    <row r="5" spans="1:15" ht="24" customHeight="1" x14ac:dyDescent="0.3">
      <c r="C5" s="9"/>
      <c r="D5" s="9"/>
      <c r="E5" s="9"/>
      <c r="F5" s="10"/>
      <c r="G5" s="10"/>
      <c r="H5" s="6"/>
      <c r="I5" s="11"/>
    </row>
    <row r="6" spans="1:15" s="1" customFormat="1" ht="24" customHeight="1" x14ac:dyDescent="0.3">
      <c r="B6" s="12" t="s">
        <v>14</v>
      </c>
      <c r="C6" s="13"/>
      <c r="D6" s="14"/>
      <c r="E6" s="14"/>
      <c r="F6" s="15"/>
      <c r="G6" s="15"/>
      <c r="H6" s="14"/>
      <c r="I6" s="16"/>
      <c r="K6" s="17" t="s">
        <v>15</v>
      </c>
    </row>
    <row r="7" spans="1:15" s="1" customFormat="1" ht="24" customHeight="1" x14ac:dyDescent="0.3">
      <c r="A7" s="18" t="s">
        <v>16</v>
      </c>
      <c r="B7" s="19" t="s">
        <v>17</v>
      </c>
      <c r="C7" s="19" t="s">
        <v>18</v>
      </c>
      <c r="D7" s="194" t="s">
        <v>19</v>
      </c>
      <c r="E7" s="195"/>
      <c r="F7" s="21" t="s">
        <v>20</v>
      </c>
      <c r="G7" s="22" t="s">
        <v>21</v>
      </c>
      <c r="H7" s="23" t="s">
        <v>22</v>
      </c>
      <c r="I7" s="20" t="s">
        <v>23</v>
      </c>
      <c r="K7" s="1" t="s">
        <v>24</v>
      </c>
    </row>
    <row r="8" spans="1:15" s="37" customFormat="1" ht="24" customHeight="1" x14ac:dyDescent="0.3">
      <c r="A8" s="24" t="s">
        <v>205</v>
      </c>
      <c r="B8" s="25" t="s">
        <v>26</v>
      </c>
      <c r="C8" s="26" t="s">
        <v>202</v>
      </c>
      <c r="D8" s="27" t="s">
        <v>203</v>
      </c>
      <c r="E8" s="28"/>
      <c r="F8" s="29">
        <v>168355</v>
      </c>
      <c r="G8" s="30"/>
      <c r="H8" s="31" t="s">
        <v>204</v>
      </c>
      <c r="I8" s="32"/>
      <c r="J8" s="33"/>
      <c r="K8" s="34"/>
      <c r="L8" s="34"/>
      <c r="M8" s="35"/>
      <c r="N8" s="35"/>
      <c r="O8" s="36"/>
    </row>
    <row r="9" spans="1:15" s="37" customFormat="1" ht="24" hidden="1" customHeight="1" x14ac:dyDescent="0.3">
      <c r="A9" s="38"/>
      <c r="B9" s="25"/>
      <c r="C9" s="26"/>
      <c r="D9" s="27"/>
      <c r="E9" s="28"/>
      <c r="F9" s="29"/>
      <c r="G9" s="30"/>
      <c r="H9" s="31"/>
      <c r="I9" s="32"/>
      <c r="J9" s="33"/>
      <c r="K9" s="34"/>
      <c r="L9" s="34"/>
      <c r="M9" s="35"/>
      <c r="N9" s="35"/>
      <c r="O9" s="36"/>
    </row>
    <row r="10" spans="1:15" s="37" customFormat="1" ht="24" hidden="1" customHeight="1" x14ac:dyDescent="0.3">
      <c r="A10" s="38"/>
      <c r="B10" s="25"/>
      <c r="C10" s="26"/>
      <c r="D10" s="27"/>
      <c r="E10" s="28"/>
      <c r="F10" s="29"/>
      <c r="G10" s="30"/>
      <c r="H10" s="31"/>
      <c r="I10" s="32"/>
      <c r="J10" s="33"/>
      <c r="K10" s="34"/>
      <c r="L10" s="34"/>
      <c r="M10" s="35"/>
      <c r="N10" s="35"/>
      <c r="O10" s="36"/>
    </row>
    <row r="11" spans="1:15" s="1" customFormat="1" ht="24" hidden="1" customHeight="1" x14ac:dyDescent="0.3">
      <c r="A11" s="47"/>
      <c r="B11" s="48"/>
      <c r="C11" s="40"/>
      <c r="D11" s="41"/>
      <c r="E11" s="42"/>
      <c r="F11" s="43"/>
      <c r="G11" s="44"/>
      <c r="H11" s="45"/>
      <c r="I11" s="46"/>
    </row>
    <row r="12" spans="1:15" s="1" customFormat="1" ht="24" hidden="1" customHeight="1" x14ac:dyDescent="0.3">
      <c r="A12" s="47"/>
      <c r="B12" s="48"/>
      <c r="C12" s="40"/>
      <c r="D12" s="41"/>
      <c r="E12" s="42"/>
      <c r="F12" s="43"/>
      <c r="G12" s="44"/>
      <c r="H12" s="45"/>
      <c r="I12" s="46"/>
    </row>
    <row r="13" spans="1:15" s="1" customFormat="1" ht="24" hidden="1" customHeight="1" x14ac:dyDescent="0.3">
      <c r="A13" s="47"/>
      <c r="B13" s="48"/>
      <c r="C13" s="40"/>
      <c r="D13" s="49"/>
      <c r="E13" s="42"/>
      <c r="F13" s="43"/>
      <c r="G13" s="44"/>
      <c r="H13" s="45"/>
      <c r="I13" s="46"/>
    </row>
    <row r="14" spans="1:15" s="1" customFormat="1" ht="24" hidden="1" customHeight="1" x14ac:dyDescent="0.3">
      <c r="A14" s="47"/>
      <c r="B14" s="48"/>
      <c r="C14" s="40"/>
      <c r="D14" s="49"/>
      <c r="E14" s="42"/>
      <c r="F14" s="43"/>
      <c r="G14" s="44"/>
      <c r="H14" s="45"/>
      <c r="I14" s="46"/>
    </row>
    <row r="15" spans="1:15" s="1" customFormat="1" ht="24" hidden="1" customHeight="1" x14ac:dyDescent="0.3">
      <c r="A15" s="47"/>
      <c r="B15" s="48"/>
      <c r="C15" s="40"/>
      <c r="D15" s="49"/>
      <c r="E15" s="42"/>
      <c r="F15" s="43"/>
      <c r="G15" s="44"/>
      <c r="H15" s="45"/>
      <c r="I15" s="46"/>
    </row>
    <row r="16" spans="1:15" s="1" customFormat="1" ht="24" hidden="1" customHeight="1" x14ac:dyDescent="0.3">
      <c r="A16" s="47"/>
      <c r="B16" s="48"/>
      <c r="C16" s="40"/>
      <c r="D16" s="49"/>
      <c r="E16" s="42"/>
      <c r="F16" s="43"/>
      <c r="G16" s="44"/>
      <c r="H16" s="45"/>
      <c r="I16" s="46"/>
    </row>
    <row r="17" spans="1:9" s="1" customFormat="1" ht="24" hidden="1" customHeight="1" x14ac:dyDescent="0.3">
      <c r="A17" s="47"/>
      <c r="B17" s="48"/>
      <c r="C17" s="40"/>
      <c r="D17" s="49"/>
      <c r="E17" s="42"/>
      <c r="F17" s="43"/>
      <c r="G17" s="44"/>
      <c r="H17" s="45"/>
      <c r="I17" s="46"/>
    </row>
    <row r="18" spans="1:9" s="1" customFormat="1" ht="24" hidden="1" customHeight="1" x14ac:dyDescent="0.3">
      <c r="A18" s="47"/>
      <c r="B18" s="48"/>
      <c r="C18" s="40"/>
      <c r="D18" s="49"/>
      <c r="E18" s="42"/>
      <c r="F18" s="43"/>
      <c r="G18" s="44"/>
      <c r="H18" s="45"/>
      <c r="I18" s="46"/>
    </row>
    <row r="19" spans="1:9" s="1" customFormat="1" ht="24" hidden="1" customHeight="1" x14ac:dyDescent="0.3">
      <c r="A19" s="47"/>
      <c r="B19" s="48"/>
      <c r="C19" s="40"/>
      <c r="D19" s="49"/>
      <c r="E19" s="42"/>
      <c r="F19" s="43"/>
      <c r="G19" s="44"/>
      <c r="H19" s="45"/>
      <c r="I19" s="46"/>
    </row>
    <row r="20" spans="1:9" s="1" customFormat="1" ht="24" hidden="1" customHeight="1" x14ac:dyDescent="0.3">
      <c r="A20" s="47"/>
      <c r="B20" s="48"/>
      <c r="C20" s="40"/>
      <c r="D20" s="49"/>
      <c r="E20" s="42"/>
      <c r="F20" s="43"/>
      <c r="G20" s="44"/>
      <c r="H20" s="45"/>
      <c r="I20" s="46"/>
    </row>
    <row r="21" spans="1:9" s="1" customFormat="1" ht="24" hidden="1" customHeight="1" x14ac:dyDescent="0.3">
      <c r="A21" s="47"/>
      <c r="B21" s="48"/>
      <c r="C21" s="40"/>
      <c r="D21" s="49"/>
      <c r="E21" s="42"/>
      <c r="F21" s="43"/>
      <c r="G21" s="44"/>
      <c r="H21" s="45"/>
      <c r="I21" s="46"/>
    </row>
    <row r="22" spans="1:9" s="1" customFormat="1" ht="24" hidden="1" customHeight="1" x14ac:dyDescent="0.3">
      <c r="A22" s="47"/>
      <c r="B22" s="48"/>
      <c r="C22" s="40"/>
      <c r="D22" s="49"/>
      <c r="E22" s="42"/>
      <c r="F22" s="43"/>
      <c r="G22" s="44"/>
      <c r="H22" s="45"/>
      <c r="I22" s="46"/>
    </row>
    <row r="23" spans="1:9" s="1" customFormat="1" ht="24" hidden="1" customHeight="1" x14ac:dyDescent="0.3">
      <c r="A23" s="47"/>
      <c r="B23" s="48"/>
      <c r="C23" s="40"/>
      <c r="D23" s="50"/>
      <c r="E23" s="42"/>
      <c r="F23" s="43"/>
      <c r="G23" s="44"/>
      <c r="H23" s="45"/>
      <c r="I23" s="46"/>
    </row>
    <row r="24" spans="1:9" s="1" customFormat="1" ht="24" hidden="1" customHeight="1" x14ac:dyDescent="0.3">
      <c r="A24" s="47"/>
      <c r="B24" s="48"/>
      <c r="C24" s="40"/>
      <c r="D24" s="50"/>
      <c r="E24" s="42"/>
      <c r="F24" s="43"/>
      <c r="G24" s="44"/>
      <c r="H24" s="45"/>
      <c r="I24" s="46"/>
    </row>
    <row r="25" spans="1:9" s="1" customFormat="1" ht="24" hidden="1" customHeight="1" x14ac:dyDescent="0.3">
      <c r="A25" s="47"/>
      <c r="B25" s="48"/>
      <c r="C25" s="40"/>
      <c r="D25" s="51"/>
      <c r="E25" s="42"/>
      <c r="F25" s="43"/>
      <c r="G25" s="44"/>
      <c r="H25" s="45"/>
      <c r="I25" s="46"/>
    </row>
    <row r="26" spans="1:9" s="1" customFormat="1" ht="24" hidden="1" customHeight="1" x14ac:dyDescent="0.3">
      <c r="A26" s="47"/>
      <c r="B26" s="52"/>
      <c r="C26" s="40"/>
      <c r="D26" s="51"/>
      <c r="E26" s="42"/>
      <c r="F26" s="43"/>
      <c r="G26" s="44"/>
      <c r="H26" s="45"/>
      <c r="I26" s="46"/>
    </row>
    <row r="27" spans="1:9" s="1" customFormat="1" ht="24" hidden="1" customHeight="1" x14ac:dyDescent="0.3">
      <c r="A27" s="47"/>
      <c r="B27" s="52"/>
      <c r="C27" s="40"/>
      <c r="D27" s="53"/>
      <c r="E27" s="42"/>
      <c r="F27" s="43"/>
      <c r="G27" s="44"/>
      <c r="H27" s="45"/>
      <c r="I27" s="46"/>
    </row>
    <row r="28" spans="1:9" s="1" customFormat="1" ht="24" hidden="1" customHeight="1" x14ac:dyDescent="0.3">
      <c r="A28" s="47"/>
      <c r="B28" s="52"/>
      <c r="C28" s="40"/>
      <c r="D28" s="53"/>
      <c r="E28" s="42"/>
      <c r="F28" s="43"/>
      <c r="G28" s="44"/>
      <c r="H28" s="45"/>
      <c r="I28" s="46"/>
    </row>
    <row r="29" spans="1:9" s="1" customFormat="1" ht="24" hidden="1" customHeight="1" x14ac:dyDescent="0.3">
      <c r="A29" s="47"/>
      <c r="B29" s="52"/>
      <c r="C29" s="40"/>
      <c r="D29" s="53"/>
      <c r="E29" s="42"/>
      <c r="F29" s="43"/>
      <c r="G29" s="44"/>
      <c r="H29" s="45"/>
      <c r="I29" s="46"/>
    </row>
    <row r="30" spans="1:9" s="1" customFormat="1" ht="24" hidden="1" customHeight="1" x14ac:dyDescent="0.3">
      <c r="A30" s="54"/>
      <c r="B30" s="52"/>
      <c r="C30" s="40"/>
      <c r="D30" s="53"/>
      <c r="E30" s="42"/>
      <c r="F30" s="43"/>
      <c r="G30" s="44"/>
      <c r="H30" s="45"/>
      <c r="I30" s="46"/>
    </row>
    <row r="31" spans="1:9" s="1" customFormat="1" ht="24" hidden="1" customHeight="1" x14ac:dyDescent="0.3">
      <c r="A31" s="54"/>
      <c r="B31" s="52"/>
      <c r="C31" s="40"/>
      <c r="D31" s="53"/>
      <c r="E31" s="42"/>
      <c r="F31" s="43"/>
      <c r="G31" s="44"/>
      <c r="H31" s="45"/>
      <c r="I31" s="46"/>
    </row>
    <row r="32" spans="1:9" s="1" customFormat="1" ht="24" hidden="1" customHeight="1" x14ac:dyDescent="0.3">
      <c r="A32" s="54"/>
      <c r="B32" s="52"/>
      <c r="C32" s="40"/>
      <c r="D32" s="53"/>
      <c r="E32" s="42"/>
      <c r="F32" s="43"/>
      <c r="G32" s="44"/>
      <c r="H32" s="45"/>
      <c r="I32" s="46"/>
    </row>
    <row r="33" spans="1:17" s="1" customFormat="1" ht="24" hidden="1" customHeight="1" x14ac:dyDescent="0.3">
      <c r="A33" s="54"/>
      <c r="B33" s="48"/>
      <c r="C33" s="40"/>
      <c r="D33" s="53"/>
      <c r="E33" s="42"/>
      <c r="F33" s="43"/>
      <c r="G33" s="44"/>
      <c r="H33" s="45"/>
      <c r="I33" s="46"/>
    </row>
    <row r="34" spans="1:17" s="1" customFormat="1" ht="24" hidden="1" customHeight="1" x14ac:dyDescent="0.3">
      <c r="A34" s="54"/>
      <c r="B34" s="48"/>
      <c r="C34" s="40"/>
      <c r="D34" s="55"/>
      <c r="E34" s="42"/>
      <c r="F34" s="43"/>
      <c r="G34" s="44"/>
      <c r="H34" s="45"/>
      <c r="I34" s="46"/>
    </row>
    <row r="35" spans="1:17" s="1" customFormat="1" ht="24" hidden="1" customHeight="1" x14ac:dyDescent="0.3">
      <c r="A35" s="54"/>
      <c r="B35" s="48"/>
      <c r="C35" s="40"/>
      <c r="D35" s="55"/>
      <c r="E35" s="42"/>
      <c r="F35" s="43"/>
      <c r="G35" s="44"/>
      <c r="H35" s="45"/>
      <c r="I35" s="46"/>
    </row>
    <row r="36" spans="1:17" s="1" customFormat="1" ht="24" hidden="1" customHeight="1" x14ac:dyDescent="0.3">
      <c r="A36" s="54"/>
      <c r="B36" s="48"/>
      <c r="C36" s="40"/>
      <c r="D36" s="56"/>
      <c r="E36" s="42"/>
      <c r="F36" s="43"/>
      <c r="G36" s="44"/>
      <c r="H36" s="45"/>
      <c r="I36" s="46"/>
    </row>
    <row r="37" spans="1:17" s="1" customFormat="1" ht="24" hidden="1" customHeight="1" x14ac:dyDescent="0.3">
      <c r="A37" s="54"/>
      <c r="B37" s="48"/>
      <c r="C37" s="40"/>
      <c r="D37" s="56"/>
      <c r="E37" s="42"/>
      <c r="F37" s="43"/>
      <c r="G37" s="44"/>
      <c r="H37" s="45"/>
      <c r="I37" s="46"/>
    </row>
    <row r="38" spans="1:17" s="1" customFormat="1" ht="24" hidden="1" customHeight="1" x14ac:dyDescent="0.3">
      <c r="A38" s="54"/>
      <c r="B38" s="48"/>
      <c r="C38" s="40"/>
      <c r="D38" s="57"/>
      <c r="E38" s="42"/>
      <c r="F38" s="43"/>
      <c r="G38" s="44"/>
      <c r="H38" s="45"/>
      <c r="I38" s="46"/>
    </row>
    <row r="39" spans="1:17" s="1" customFormat="1" ht="24" hidden="1" customHeight="1" x14ac:dyDescent="0.3">
      <c r="A39" s="58"/>
      <c r="B39" s="59"/>
      <c r="C39" s="60"/>
      <c r="D39" s="61"/>
      <c r="E39" s="62"/>
      <c r="F39" s="63"/>
      <c r="G39" s="64"/>
      <c r="H39" s="65"/>
      <c r="I39" s="66"/>
    </row>
    <row r="40" spans="1:17" s="1" customFormat="1" ht="24" customHeight="1" x14ac:dyDescent="0.3">
      <c r="A40" s="18"/>
      <c r="B40" s="67"/>
      <c r="C40" s="68"/>
      <c r="D40" s="68"/>
      <c r="E40" s="69" t="s">
        <v>30</v>
      </c>
      <c r="F40" s="70">
        <f>SUM(F8:F39)</f>
        <v>168355</v>
      </c>
      <c r="G40" s="71">
        <f>SUM(G8:G39)</f>
        <v>0</v>
      </c>
      <c r="H40" s="24"/>
      <c r="I40" s="72"/>
      <c r="O40" s="73"/>
    </row>
    <row r="41" spans="1:17" s="1" customFormat="1" ht="24" customHeight="1" x14ac:dyDescent="0.3">
      <c r="A41" s="18"/>
      <c r="B41" s="74" t="s">
        <v>31</v>
      </c>
      <c r="C41" s="75"/>
      <c r="D41" s="76"/>
      <c r="E41" s="77"/>
      <c r="F41" s="78"/>
      <c r="G41" s="79"/>
      <c r="H41" s="45"/>
      <c r="I41" s="80"/>
    </row>
    <row r="42" spans="1:17" s="1" customFormat="1" ht="24" hidden="1" customHeight="1" x14ac:dyDescent="0.3">
      <c r="A42" s="18"/>
      <c r="B42" s="48"/>
      <c r="C42" s="81"/>
      <c r="D42" s="56"/>
      <c r="E42" s="77"/>
      <c r="F42" s="78"/>
      <c r="G42" s="79"/>
      <c r="H42" s="45"/>
      <c r="I42" s="80"/>
    </row>
    <row r="43" spans="1:17" s="1" customFormat="1" ht="24" customHeight="1" x14ac:dyDescent="0.3">
      <c r="A43" s="18"/>
      <c r="B43" s="67"/>
      <c r="C43" s="68"/>
      <c r="D43" s="68"/>
      <c r="E43" s="69" t="s">
        <v>32</v>
      </c>
      <c r="F43" s="82">
        <f>SUM(F41:F42)</f>
        <v>0</v>
      </c>
      <c r="G43" s="83">
        <f>SUM(G41:G42)</f>
        <v>0</v>
      </c>
      <c r="H43" s="24"/>
      <c r="I43" s="72"/>
    </row>
    <row r="44" spans="1:17" s="37" customFormat="1" ht="24" customHeight="1" x14ac:dyDescent="0.3">
      <c r="C44" s="84"/>
      <c r="D44" s="84"/>
      <c r="E44" s="84"/>
      <c r="F44" s="85"/>
      <c r="G44" s="85"/>
      <c r="H44" s="84"/>
      <c r="I44" s="86"/>
      <c r="N44"/>
      <c r="O44"/>
      <c r="P44"/>
      <c r="Q44"/>
    </row>
    <row r="45" spans="1:17" s="37" customFormat="1" ht="24" customHeight="1" x14ac:dyDescent="0.3">
      <c r="B45" s="12" t="s">
        <v>33</v>
      </c>
      <c r="C45" s="13"/>
      <c r="D45" s="13"/>
      <c r="E45" s="14"/>
      <c r="F45" s="87"/>
      <c r="G45" s="87"/>
      <c r="H45" s="88"/>
      <c r="I45" s="89"/>
      <c r="J45" s="90"/>
      <c r="K45" s="37" t="s">
        <v>34</v>
      </c>
      <c r="N45"/>
      <c r="O45"/>
      <c r="P45"/>
      <c r="Q45"/>
    </row>
    <row r="46" spans="1:17" s="37" customFormat="1" ht="24" customHeight="1" x14ac:dyDescent="0.3">
      <c r="A46" s="18" t="s">
        <v>16</v>
      </c>
      <c r="B46" s="19" t="s">
        <v>17</v>
      </c>
      <c r="C46" s="19" t="s">
        <v>18</v>
      </c>
      <c r="D46" s="196" t="s">
        <v>19</v>
      </c>
      <c r="E46" s="195"/>
      <c r="F46" s="21" t="s">
        <v>20</v>
      </c>
      <c r="G46" s="22" t="s">
        <v>21</v>
      </c>
      <c r="H46" s="23" t="s">
        <v>22</v>
      </c>
      <c r="I46" s="20" t="s">
        <v>23</v>
      </c>
      <c r="J46" s="90"/>
      <c r="N46"/>
      <c r="O46"/>
      <c r="P46"/>
      <c r="Q46"/>
    </row>
    <row r="47" spans="1:17" s="37" customFormat="1" ht="24" customHeight="1" x14ac:dyDescent="0.3">
      <c r="A47" s="18"/>
      <c r="B47" s="25" t="s">
        <v>35</v>
      </c>
      <c r="C47" s="91"/>
      <c r="D47" s="53"/>
      <c r="E47" s="92"/>
      <c r="F47" s="93"/>
      <c r="G47" s="94"/>
      <c r="H47" s="95"/>
      <c r="I47" s="46"/>
      <c r="J47" s="33"/>
      <c r="K47" s="34"/>
      <c r="L47" s="34"/>
      <c r="M47" s="35"/>
      <c r="N47"/>
      <c r="O47"/>
      <c r="P47"/>
      <c r="Q47"/>
    </row>
    <row r="48" spans="1:17" s="37" customFormat="1" ht="24" hidden="1" customHeight="1" x14ac:dyDescent="0.3">
      <c r="A48" s="18"/>
      <c r="B48" s="48"/>
      <c r="C48" s="91"/>
      <c r="D48" s="55"/>
      <c r="E48" s="92"/>
      <c r="F48" s="93"/>
      <c r="G48" s="94"/>
      <c r="H48" s="95"/>
      <c r="I48" s="46"/>
      <c r="J48" s="33"/>
      <c r="K48" s="34"/>
      <c r="L48" s="34"/>
      <c r="M48" s="35"/>
      <c r="N48"/>
      <c r="O48"/>
      <c r="P48"/>
      <c r="Q48"/>
    </row>
    <row r="49" spans="1:17" s="37" customFormat="1" ht="24" hidden="1" customHeight="1" x14ac:dyDescent="0.3">
      <c r="A49" s="18"/>
      <c r="B49" s="25"/>
      <c r="C49" s="91"/>
      <c r="D49" s="53"/>
      <c r="E49" s="92"/>
      <c r="F49" s="93"/>
      <c r="G49" s="94"/>
      <c r="H49" s="95"/>
      <c r="I49" s="46"/>
      <c r="J49" s="33"/>
      <c r="K49" s="34"/>
      <c r="L49" s="34"/>
      <c r="M49" s="35"/>
      <c r="N49"/>
      <c r="O49"/>
      <c r="P49"/>
      <c r="Q49"/>
    </row>
    <row r="50" spans="1:17" s="37" customFormat="1" ht="24" hidden="1" customHeight="1" x14ac:dyDescent="0.3">
      <c r="A50" s="18"/>
      <c r="B50" s="25"/>
      <c r="C50" s="91"/>
      <c r="D50" s="53"/>
      <c r="E50" s="92"/>
      <c r="F50" s="93"/>
      <c r="G50" s="94"/>
      <c r="H50" s="95"/>
      <c r="I50" s="46"/>
      <c r="J50" s="33"/>
      <c r="K50" s="34"/>
      <c r="L50" s="34"/>
      <c r="M50" s="35"/>
      <c r="N50"/>
      <c r="O50"/>
      <c r="P50"/>
      <c r="Q50"/>
    </row>
    <row r="51" spans="1:17" s="37" customFormat="1" ht="24" hidden="1" customHeight="1" x14ac:dyDescent="0.3">
      <c r="A51" s="18"/>
      <c r="B51" s="25"/>
      <c r="C51" s="91"/>
      <c r="D51" s="53"/>
      <c r="E51" s="92"/>
      <c r="F51" s="93"/>
      <c r="G51" s="94"/>
      <c r="H51" s="95"/>
      <c r="I51" s="46"/>
      <c r="J51" s="33"/>
      <c r="K51" s="34"/>
      <c r="L51" s="34"/>
      <c r="M51" s="35"/>
      <c r="N51"/>
      <c r="O51"/>
      <c r="P51"/>
      <c r="Q51"/>
    </row>
    <row r="52" spans="1:17" s="37" customFormat="1" ht="24" hidden="1" customHeight="1" x14ac:dyDescent="0.3">
      <c r="A52" s="18"/>
      <c r="B52" s="25"/>
      <c r="C52" s="91"/>
      <c r="D52" s="53"/>
      <c r="E52" s="92"/>
      <c r="F52" s="93"/>
      <c r="G52" s="94"/>
      <c r="H52" s="95"/>
      <c r="I52" s="46"/>
      <c r="J52" s="33"/>
      <c r="K52" s="34"/>
      <c r="L52" s="34"/>
      <c r="M52" s="35"/>
      <c r="N52"/>
      <c r="O52"/>
      <c r="P52"/>
      <c r="Q52"/>
    </row>
    <row r="53" spans="1:17" s="37" customFormat="1" ht="24" hidden="1" customHeight="1" x14ac:dyDescent="0.3">
      <c r="A53" s="18"/>
      <c r="B53" s="25"/>
      <c r="C53" s="91"/>
      <c r="D53" s="53"/>
      <c r="E53" s="92"/>
      <c r="F53" s="93"/>
      <c r="G53" s="94"/>
      <c r="H53" s="95"/>
      <c r="I53" s="46"/>
      <c r="J53" s="33"/>
      <c r="K53" s="34"/>
      <c r="L53" s="34"/>
      <c r="M53" s="35"/>
      <c r="N53"/>
      <c r="O53"/>
      <c r="P53"/>
      <c r="Q53"/>
    </row>
    <row r="54" spans="1:17" s="37" customFormat="1" ht="24" hidden="1" customHeight="1" x14ac:dyDescent="0.3">
      <c r="A54" s="18"/>
      <c r="B54" s="25"/>
      <c r="C54" s="91"/>
      <c r="D54" s="53"/>
      <c r="E54" s="92"/>
      <c r="F54" s="93"/>
      <c r="G54" s="94"/>
      <c r="H54" s="95"/>
      <c r="I54" s="46"/>
      <c r="J54" s="33"/>
      <c r="K54" s="34"/>
      <c r="L54" s="34"/>
      <c r="M54" s="35"/>
      <c r="N54"/>
      <c r="O54"/>
      <c r="P54"/>
      <c r="Q54"/>
    </row>
    <row r="55" spans="1:17" s="37" customFormat="1" ht="24" hidden="1" customHeight="1" x14ac:dyDescent="0.3">
      <c r="A55" s="18"/>
      <c r="B55" s="25"/>
      <c r="C55" s="91"/>
      <c r="D55" s="53"/>
      <c r="E55" s="92"/>
      <c r="F55" s="93"/>
      <c r="G55" s="94"/>
      <c r="H55" s="95"/>
      <c r="I55" s="46"/>
      <c r="J55" s="33"/>
      <c r="K55" s="34"/>
      <c r="L55" s="34"/>
      <c r="M55" s="35"/>
      <c r="N55"/>
      <c r="O55"/>
      <c r="P55"/>
      <c r="Q55"/>
    </row>
    <row r="56" spans="1:17" s="37" customFormat="1" ht="24" hidden="1" customHeight="1" x14ac:dyDescent="0.3">
      <c r="A56" s="18"/>
      <c r="B56" s="25"/>
      <c r="C56" s="91"/>
      <c r="D56" s="53"/>
      <c r="E56" s="92"/>
      <c r="F56" s="93"/>
      <c r="G56" s="94"/>
      <c r="H56" s="95"/>
      <c r="I56" s="46"/>
      <c r="J56" s="33"/>
      <c r="K56" s="34"/>
      <c r="L56" s="34"/>
      <c r="M56" s="35"/>
      <c r="N56"/>
      <c r="O56"/>
      <c r="P56"/>
      <c r="Q56"/>
    </row>
    <row r="57" spans="1:17" s="1" customFormat="1" ht="24" hidden="1" customHeight="1" x14ac:dyDescent="0.3">
      <c r="A57" s="47"/>
      <c r="B57" s="25"/>
      <c r="C57" s="40"/>
      <c r="D57" s="96"/>
      <c r="E57" s="42"/>
      <c r="F57" s="43"/>
      <c r="G57" s="44"/>
      <c r="H57" s="45"/>
      <c r="I57" s="46"/>
      <c r="N57"/>
      <c r="O57"/>
      <c r="P57"/>
      <c r="Q57"/>
    </row>
    <row r="58" spans="1:17" s="1" customFormat="1" ht="24" hidden="1" customHeight="1" x14ac:dyDescent="0.3">
      <c r="A58" s="47"/>
      <c r="B58" s="25"/>
      <c r="C58" s="40"/>
      <c r="D58" s="96"/>
      <c r="E58" s="42"/>
      <c r="F58" s="43"/>
      <c r="G58" s="44"/>
      <c r="H58" s="45"/>
      <c r="I58" s="46"/>
      <c r="N58"/>
      <c r="O58"/>
      <c r="P58"/>
      <c r="Q58"/>
    </row>
    <row r="59" spans="1:17" s="1" customFormat="1" ht="24" hidden="1" customHeight="1" x14ac:dyDescent="0.3">
      <c r="A59" s="47"/>
      <c r="B59" s="25"/>
      <c r="C59" s="40"/>
      <c r="D59" s="96"/>
      <c r="E59" s="42"/>
      <c r="F59" s="43"/>
      <c r="G59" s="44"/>
      <c r="H59" s="45"/>
      <c r="I59" s="46"/>
    </row>
    <row r="60" spans="1:17" s="1" customFormat="1" ht="24" hidden="1" customHeight="1" x14ac:dyDescent="0.3">
      <c r="A60" s="47"/>
      <c r="B60" s="25"/>
      <c r="C60" s="40"/>
      <c r="D60" s="96"/>
      <c r="E60" s="42"/>
      <c r="F60" s="43"/>
      <c r="G60" s="44"/>
      <c r="H60" s="45"/>
      <c r="I60" s="46"/>
    </row>
    <row r="61" spans="1:17" s="37" customFormat="1" ht="24" hidden="1" customHeight="1" x14ac:dyDescent="0.3">
      <c r="A61" s="47"/>
      <c r="B61" s="48"/>
      <c r="C61" s="91"/>
      <c r="D61" s="53"/>
      <c r="E61" s="92"/>
      <c r="F61" s="93"/>
      <c r="G61" s="94"/>
      <c r="H61" s="45"/>
      <c r="I61" s="46"/>
      <c r="J61" s="90"/>
    </row>
    <row r="62" spans="1:17" s="37" customFormat="1" ht="24" hidden="1" customHeight="1" x14ac:dyDescent="0.3">
      <c r="A62" s="18"/>
      <c r="B62" s="48"/>
      <c r="C62" s="91"/>
      <c r="D62" s="53"/>
      <c r="E62" s="92"/>
      <c r="F62" s="93"/>
      <c r="G62" s="94"/>
      <c r="H62" s="45"/>
      <c r="I62" s="46"/>
      <c r="J62" s="90"/>
    </row>
    <row r="63" spans="1:17" s="37" customFormat="1" ht="24" hidden="1" customHeight="1" x14ac:dyDescent="0.3">
      <c r="A63" s="18"/>
      <c r="B63" s="48"/>
      <c r="C63" s="91"/>
      <c r="D63" s="53"/>
      <c r="E63" s="92"/>
      <c r="F63" s="93"/>
      <c r="G63" s="94"/>
      <c r="H63" s="45"/>
      <c r="I63" s="46"/>
      <c r="J63" s="90"/>
    </row>
    <row r="64" spans="1:17" s="37" customFormat="1" ht="24" hidden="1" customHeight="1" x14ac:dyDescent="0.3">
      <c r="A64" s="47"/>
      <c r="B64" s="48"/>
      <c r="C64" s="91"/>
      <c r="D64" s="53"/>
      <c r="E64" s="92"/>
      <c r="F64" s="93"/>
      <c r="G64" s="94"/>
      <c r="H64" s="45"/>
      <c r="I64" s="46"/>
      <c r="J64" s="90"/>
    </row>
    <row r="65" spans="1:14" s="37" customFormat="1" ht="24" hidden="1" customHeight="1" x14ac:dyDescent="0.3">
      <c r="A65" s="18"/>
      <c r="B65" s="48"/>
      <c r="C65" s="91"/>
      <c r="D65" s="53"/>
      <c r="E65" s="92"/>
      <c r="F65" s="93"/>
      <c r="G65" s="94"/>
      <c r="H65" s="95"/>
      <c r="I65" s="46"/>
      <c r="J65" s="90"/>
    </row>
    <row r="66" spans="1:14" s="37" customFormat="1" ht="24" hidden="1" customHeight="1" x14ac:dyDescent="0.3">
      <c r="A66" s="18"/>
      <c r="B66" s="48"/>
      <c r="C66" s="91"/>
      <c r="D66" s="53"/>
      <c r="E66" s="92"/>
      <c r="F66" s="93"/>
      <c r="G66" s="94"/>
      <c r="H66" s="95"/>
      <c r="I66" s="46"/>
      <c r="J66" s="90"/>
    </row>
    <row r="67" spans="1:14" s="37" customFormat="1" ht="24" hidden="1" customHeight="1" x14ac:dyDescent="0.3">
      <c r="A67" s="18"/>
      <c r="B67" s="48"/>
      <c r="C67" s="91"/>
      <c r="D67" s="53"/>
      <c r="E67" s="92"/>
      <c r="F67" s="93"/>
      <c r="G67" s="94"/>
      <c r="H67" s="95"/>
      <c r="I67" s="46"/>
      <c r="J67" s="90"/>
    </row>
    <row r="68" spans="1:14" s="37" customFormat="1" ht="24" hidden="1" customHeight="1" x14ac:dyDescent="0.3">
      <c r="A68" s="18"/>
      <c r="B68" s="48"/>
      <c r="C68" s="91"/>
      <c r="D68" s="53"/>
      <c r="E68" s="92"/>
      <c r="F68" s="93"/>
      <c r="G68" s="94"/>
      <c r="H68" s="95"/>
      <c r="I68" s="46"/>
      <c r="J68" s="33"/>
      <c r="K68" s="34"/>
      <c r="L68" s="34"/>
      <c r="M68" s="35"/>
      <c r="N68" s="34"/>
    </row>
    <row r="69" spans="1:14" s="37" customFormat="1" ht="24" hidden="1" customHeight="1" x14ac:dyDescent="0.3">
      <c r="A69" s="18"/>
      <c r="B69" s="48"/>
      <c r="C69" s="91"/>
      <c r="D69" s="53"/>
      <c r="E69" s="92"/>
      <c r="F69" s="93"/>
      <c r="G69" s="94"/>
      <c r="H69" s="95"/>
      <c r="I69" s="46"/>
      <c r="J69" s="90"/>
    </row>
    <row r="70" spans="1:14" s="37" customFormat="1" ht="24" hidden="1" customHeight="1" x14ac:dyDescent="0.3">
      <c r="A70" s="18"/>
      <c r="B70" s="48"/>
      <c r="C70" s="91"/>
      <c r="D70" s="53"/>
      <c r="E70" s="92"/>
      <c r="F70" s="93"/>
      <c r="G70" s="94"/>
      <c r="H70" s="95"/>
      <c r="I70" s="46"/>
      <c r="J70" s="90"/>
    </row>
    <row r="71" spans="1:14" s="37" customFormat="1" ht="24" hidden="1" customHeight="1" x14ac:dyDescent="0.3">
      <c r="A71" s="18"/>
      <c r="B71" s="48"/>
      <c r="C71" s="91"/>
      <c r="D71" s="53"/>
      <c r="E71" s="92"/>
      <c r="F71" s="93"/>
      <c r="G71" s="94"/>
      <c r="H71" s="95"/>
      <c r="I71" s="46"/>
      <c r="J71" s="90"/>
    </row>
    <row r="72" spans="1:14" s="37" customFormat="1" ht="24" hidden="1" customHeight="1" x14ac:dyDescent="0.3">
      <c r="A72" s="18"/>
      <c r="B72" s="48"/>
      <c r="C72" s="91"/>
      <c r="D72" s="53"/>
      <c r="E72" s="92"/>
      <c r="F72" s="93"/>
      <c r="G72" s="94"/>
      <c r="H72" s="95"/>
      <c r="I72" s="46"/>
      <c r="J72" s="90"/>
    </row>
    <row r="73" spans="1:14" s="37" customFormat="1" ht="24" hidden="1" customHeight="1" x14ac:dyDescent="0.3">
      <c r="A73" s="18"/>
      <c r="B73" s="48"/>
      <c r="C73" s="91"/>
      <c r="D73" s="53"/>
      <c r="E73" s="92"/>
      <c r="F73" s="93"/>
      <c r="G73" s="94"/>
      <c r="H73" s="95"/>
      <c r="I73" s="46"/>
      <c r="J73" s="90"/>
    </row>
    <row r="74" spans="1:14" s="37" customFormat="1" ht="24" hidden="1" customHeight="1" x14ac:dyDescent="0.3">
      <c r="A74" s="18"/>
      <c r="B74" s="48"/>
      <c r="C74" s="91"/>
      <c r="D74" s="53"/>
      <c r="E74" s="92"/>
      <c r="F74" s="93"/>
      <c r="G74" s="94"/>
      <c r="H74" s="95"/>
      <c r="I74" s="46"/>
      <c r="J74" s="90"/>
    </row>
    <row r="75" spans="1:14" s="37" customFormat="1" ht="24" hidden="1" customHeight="1" x14ac:dyDescent="0.3">
      <c r="A75" s="18"/>
      <c r="B75" s="48"/>
      <c r="C75" s="91"/>
      <c r="D75" s="53"/>
      <c r="E75" s="92"/>
      <c r="F75" s="93"/>
      <c r="G75" s="94"/>
      <c r="H75" s="95"/>
      <c r="I75" s="46"/>
      <c r="J75" s="90"/>
    </row>
    <row r="76" spans="1:14" s="37" customFormat="1" ht="24" hidden="1" customHeight="1" x14ac:dyDescent="0.3">
      <c r="A76" s="18"/>
      <c r="B76" s="48"/>
      <c r="C76" s="91"/>
      <c r="D76" s="53"/>
      <c r="E76" s="92"/>
      <c r="F76" s="93"/>
      <c r="G76" s="94"/>
      <c r="H76" s="95"/>
      <c r="I76" s="46"/>
      <c r="J76" s="90"/>
    </row>
    <row r="77" spans="1:14" s="37" customFormat="1" ht="24" hidden="1" customHeight="1" x14ac:dyDescent="0.3">
      <c r="A77" s="18"/>
      <c r="B77" s="48"/>
      <c r="C77" s="91"/>
      <c r="D77" s="53"/>
      <c r="E77" s="92"/>
      <c r="F77" s="93"/>
      <c r="G77" s="94"/>
      <c r="H77" s="95"/>
      <c r="I77" s="46"/>
      <c r="J77" s="90"/>
    </row>
    <row r="78" spans="1:14" s="37" customFormat="1" ht="24" hidden="1" customHeight="1" x14ac:dyDescent="0.3">
      <c r="A78" s="18"/>
      <c r="B78" s="48"/>
      <c r="C78" s="91"/>
      <c r="D78" s="53"/>
      <c r="E78" s="92"/>
      <c r="F78" s="93"/>
      <c r="G78" s="94"/>
      <c r="H78" s="95"/>
      <c r="I78" s="46"/>
      <c r="J78" s="90"/>
    </row>
    <row r="79" spans="1:14" s="37" customFormat="1" ht="24" hidden="1" customHeight="1" x14ac:dyDescent="0.3">
      <c r="A79" s="18"/>
      <c r="B79" s="48"/>
      <c r="C79" s="91"/>
      <c r="D79" s="53"/>
      <c r="E79" s="92"/>
      <c r="F79" s="93"/>
      <c r="G79" s="94"/>
      <c r="H79" s="95"/>
      <c r="I79" s="46"/>
      <c r="J79" s="90"/>
    </row>
    <row r="80" spans="1:14" s="37" customFormat="1" ht="24" hidden="1" customHeight="1" x14ac:dyDescent="0.3">
      <c r="A80" s="18"/>
      <c r="B80" s="48"/>
      <c r="C80" s="91"/>
      <c r="D80" s="53"/>
      <c r="E80" s="92"/>
      <c r="F80" s="93"/>
      <c r="G80" s="94"/>
      <c r="H80" s="95"/>
      <c r="I80" s="46"/>
      <c r="J80" s="90"/>
    </row>
    <row r="81" spans="1:10" s="37" customFormat="1" ht="24" hidden="1" customHeight="1" x14ac:dyDescent="0.3">
      <c r="A81" s="18"/>
      <c r="B81" s="48"/>
      <c r="C81" s="91"/>
      <c r="D81" s="53"/>
      <c r="E81" s="92"/>
      <c r="F81" s="93"/>
      <c r="G81" s="94"/>
      <c r="H81" s="95"/>
      <c r="I81" s="46"/>
      <c r="J81" s="90"/>
    </row>
    <row r="82" spans="1:10" s="37" customFormat="1" ht="24" hidden="1" customHeight="1" x14ac:dyDescent="0.3">
      <c r="A82" s="18"/>
      <c r="B82" s="48"/>
      <c r="C82" s="91"/>
      <c r="D82" s="53"/>
      <c r="E82" s="92"/>
      <c r="F82" s="93"/>
      <c r="G82" s="94"/>
      <c r="H82" s="95"/>
      <c r="I82" s="46"/>
      <c r="J82" s="90"/>
    </row>
    <row r="83" spans="1:10" s="37" customFormat="1" ht="24" hidden="1" customHeight="1" x14ac:dyDescent="0.3">
      <c r="A83" s="18"/>
      <c r="B83" s="48"/>
      <c r="C83" s="91"/>
      <c r="D83" s="53"/>
      <c r="E83" s="92"/>
      <c r="F83" s="93"/>
      <c r="G83" s="94"/>
      <c r="H83" s="95"/>
      <c r="I83" s="46"/>
      <c r="J83" s="90"/>
    </row>
    <row r="84" spans="1:10" s="37" customFormat="1" ht="24" hidden="1" customHeight="1" x14ac:dyDescent="0.3">
      <c r="A84" s="18"/>
      <c r="B84" s="48"/>
      <c r="C84" s="91"/>
      <c r="D84" s="53"/>
      <c r="E84" s="92"/>
      <c r="F84" s="93"/>
      <c r="G84" s="94"/>
      <c r="H84" s="95"/>
      <c r="I84" s="46"/>
      <c r="J84" s="90"/>
    </row>
    <row r="85" spans="1:10" s="37" customFormat="1" ht="24" hidden="1" customHeight="1" x14ac:dyDescent="0.3">
      <c r="A85" s="18"/>
      <c r="B85" s="48"/>
      <c r="C85" s="91"/>
      <c r="D85" s="53"/>
      <c r="E85" s="92"/>
      <c r="F85" s="93"/>
      <c r="G85" s="94"/>
      <c r="H85" s="95"/>
      <c r="I85" s="46"/>
      <c r="J85" s="90"/>
    </row>
    <row r="86" spans="1:10" s="37" customFormat="1" ht="24" hidden="1" customHeight="1" x14ac:dyDescent="0.3">
      <c r="A86" s="18"/>
      <c r="B86" s="48"/>
      <c r="C86" s="91"/>
      <c r="D86" s="53"/>
      <c r="E86" s="92"/>
      <c r="F86" s="93"/>
      <c r="G86" s="94"/>
      <c r="H86" s="95"/>
      <c r="I86" s="46"/>
      <c r="J86" s="90"/>
    </row>
    <row r="87" spans="1:10" s="37" customFormat="1" ht="24" hidden="1" customHeight="1" x14ac:dyDescent="0.3">
      <c r="A87" s="18"/>
      <c r="B87" s="48"/>
      <c r="C87" s="91"/>
      <c r="D87" s="53"/>
      <c r="E87" s="92"/>
      <c r="F87" s="93"/>
      <c r="G87" s="94"/>
      <c r="H87" s="95"/>
      <c r="I87" s="46"/>
      <c r="J87" s="90"/>
    </row>
    <row r="88" spans="1:10" s="37" customFormat="1" ht="24" hidden="1" customHeight="1" x14ac:dyDescent="0.3">
      <c r="A88" s="18"/>
      <c r="B88" s="48"/>
      <c r="C88" s="91"/>
      <c r="D88" s="53"/>
      <c r="E88" s="92"/>
      <c r="F88" s="93"/>
      <c r="G88" s="94"/>
      <c r="H88" s="95"/>
      <c r="I88" s="46"/>
      <c r="J88" s="90"/>
    </row>
    <row r="89" spans="1:10" s="37" customFormat="1" ht="24" hidden="1" customHeight="1" x14ac:dyDescent="0.3">
      <c r="A89" s="18"/>
      <c r="B89" s="48"/>
      <c r="C89" s="91"/>
      <c r="D89" s="53"/>
      <c r="E89" s="92"/>
      <c r="F89" s="93"/>
      <c r="G89" s="94"/>
      <c r="H89" s="95"/>
      <c r="I89" s="46"/>
      <c r="J89" s="90"/>
    </row>
    <row r="90" spans="1:10" s="37" customFormat="1" ht="24" hidden="1" customHeight="1" x14ac:dyDescent="0.3">
      <c r="A90" s="18"/>
      <c r="B90" s="48"/>
      <c r="C90" s="91"/>
      <c r="D90" s="53"/>
      <c r="E90" s="92"/>
      <c r="F90" s="93"/>
      <c r="G90" s="94"/>
      <c r="H90" s="95"/>
      <c r="I90" s="46"/>
      <c r="J90" s="90"/>
    </row>
    <row r="91" spans="1:10" s="37" customFormat="1" ht="24" hidden="1" customHeight="1" x14ac:dyDescent="0.3">
      <c r="A91" s="18"/>
      <c r="B91" s="48"/>
      <c r="C91" s="91"/>
      <c r="D91" s="53"/>
      <c r="E91" s="92"/>
      <c r="F91" s="93"/>
      <c r="G91" s="94"/>
      <c r="H91" s="95"/>
      <c r="I91" s="46"/>
      <c r="J91" s="90"/>
    </row>
    <row r="92" spans="1:10" s="37" customFormat="1" ht="24" hidden="1" customHeight="1" x14ac:dyDescent="0.3">
      <c r="A92" s="18"/>
      <c r="B92" s="48"/>
      <c r="C92" s="91"/>
      <c r="D92" s="53"/>
      <c r="E92" s="92"/>
      <c r="F92" s="93"/>
      <c r="G92" s="94"/>
      <c r="H92" s="95"/>
      <c r="I92" s="46"/>
      <c r="J92" s="90"/>
    </row>
    <row r="93" spans="1:10" s="37" customFormat="1" ht="24" hidden="1" customHeight="1" x14ac:dyDescent="0.3">
      <c r="A93" s="18"/>
      <c r="B93" s="48"/>
      <c r="C93" s="91"/>
      <c r="D93" s="53"/>
      <c r="E93" s="92"/>
      <c r="F93" s="93"/>
      <c r="G93" s="94"/>
      <c r="H93" s="95"/>
      <c r="I93" s="46"/>
      <c r="J93" s="90"/>
    </row>
    <row r="94" spans="1:10" s="37" customFormat="1" ht="24" hidden="1" customHeight="1" x14ac:dyDescent="0.3">
      <c r="A94" s="18"/>
      <c r="B94" s="48"/>
      <c r="C94" s="91"/>
      <c r="D94" s="53"/>
      <c r="E94" s="92"/>
      <c r="F94" s="93"/>
      <c r="G94" s="94"/>
      <c r="H94" s="95"/>
      <c r="I94" s="46"/>
      <c r="J94" s="90"/>
    </row>
    <row r="95" spans="1:10" s="37" customFormat="1" ht="24" hidden="1" customHeight="1" x14ac:dyDescent="0.3">
      <c r="A95" s="18"/>
      <c r="B95" s="48"/>
      <c r="C95" s="91"/>
      <c r="D95" s="53"/>
      <c r="E95" s="92"/>
      <c r="F95" s="93"/>
      <c r="G95" s="94"/>
      <c r="H95" s="95"/>
      <c r="I95" s="46"/>
      <c r="J95" s="90"/>
    </row>
    <row r="96" spans="1:10" s="37" customFormat="1" ht="24" hidden="1" customHeight="1" x14ac:dyDescent="0.3">
      <c r="A96" s="18"/>
      <c r="B96" s="48"/>
      <c r="C96" s="91"/>
      <c r="D96" s="53"/>
      <c r="E96" s="92"/>
      <c r="F96" s="93"/>
      <c r="G96" s="94"/>
      <c r="H96" s="95"/>
      <c r="I96" s="46"/>
      <c r="J96" s="90"/>
    </row>
    <row r="97" spans="1:13" s="37" customFormat="1" ht="24" hidden="1" customHeight="1" x14ac:dyDescent="0.3">
      <c r="A97" s="18"/>
      <c r="B97" s="48"/>
      <c r="C97" s="91"/>
      <c r="D97" s="53"/>
      <c r="E97" s="92"/>
      <c r="F97" s="93"/>
      <c r="G97" s="94"/>
      <c r="H97" s="95"/>
      <c r="I97" s="46"/>
      <c r="J97" s="90"/>
    </row>
    <row r="98" spans="1:13" s="37" customFormat="1" ht="24" hidden="1" customHeight="1" x14ac:dyDescent="0.3">
      <c r="A98" s="18"/>
      <c r="B98" s="48"/>
      <c r="C98" s="91"/>
      <c r="D98" s="53"/>
      <c r="E98" s="92"/>
      <c r="F98" s="93"/>
      <c r="G98" s="94"/>
      <c r="H98" s="95"/>
      <c r="I98" s="46"/>
      <c r="J98" s="90"/>
    </row>
    <row r="99" spans="1:13" s="37" customFormat="1" ht="24" hidden="1" customHeight="1" x14ac:dyDescent="0.3">
      <c r="A99" s="18"/>
      <c r="B99" s="48"/>
      <c r="C99" s="91"/>
      <c r="D99" s="53"/>
      <c r="E99" s="92"/>
      <c r="F99" s="93"/>
      <c r="G99" s="94"/>
      <c r="H99" s="95"/>
      <c r="I99" s="46"/>
      <c r="J99" s="90"/>
    </row>
    <row r="100" spans="1:13" s="37" customFormat="1" ht="24" hidden="1" customHeight="1" x14ac:dyDescent="0.3">
      <c r="A100" s="18"/>
      <c r="B100" s="48"/>
      <c r="C100" s="91"/>
      <c r="D100" s="53"/>
      <c r="E100" s="92"/>
      <c r="F100" s="93"/>
      <c r="G100" s="94"/>
      <c r="H100" s="95"/>
      <c r="I100" s="46"/>
      <c r="J100" s="90"/>
    </row>
    <row r="101" spans="1:13" s="37" customFormat="1" ht="24" hidden="1" customHeight="1" x14ac:dyDescent="0.3">
      <c r="A101" s="18"/>
      <c r="B101" s="48"/>
      <c r="C101" s="91"/>
      <c r="D101" s="53"/>
      <c r="E101" s="92"/>
      <c r="F101" s="93"/>
      <c r="G101" s="94"/>
      <c r="H101" s="95"/>
      <c r="I101" s="46"/>
      <c r="J101" s="90"/>
    </row>
    <row r="102" spans="1:13" s="37" customFormat="1" ht="24" customHeight="1" x14ac:dyDescent="0.3">
      <c r="A102" s="18"/>
      <c r="B102" s="67"/>
      <c r="C102" s="68"/>
      <c r="D102" s="68"/>
      <c r="E102" s="69" t="s">
        <v>30</v>
      </c>
      <c r="F102" s="70">
        <f>SUM(F47:F101)</f>
        <v>0</v>
      </c>
      <c r="G102" s="71">
        <f>SUM(G47:G101)</f>
        <v>0</v>
      </c>
      <c r="H102" s="24"/>
      <c r="I102" s="72"/>
      <c r="J102" s="90"/>
    </row>
    <row r="103" spans="1:13" s="37" customFormat="1" ht="24" customHeight="1" x14ac:dyDescent="0.3">
      <c r="A103" s="18"/>
      <c r="B103" s="74" t="s">
        <v>31</v>
      </c>
      <c r="C103" s="97"/>
      <c r="D103" s="98"/>
      <c r="E103" s="77"/>
      <c r="F103" s="78"/>
      <c r="G103" s="79"/>
      <c r="H103" s="45"/>
      <c r="I103" s="80"/>
      <c r="J103" s="90"/>
      <c r="M103" s="34"/>
    </row>
    <row r="104" spans="1:13" s="37" customFormat="1" ht="24" hidden="1" customHeight="1" x14ac:dyDescent="0.3">
      <c r="A104" s="18"/>
      <c r="B104" s="48"/>
      <c r="C104" s="99"/>
      <c r="D104" s="100"/>
      <c r="E104" s="101"/>
      <c r="F104" s="102"/>
      <c r="G104" s="103"/>
      <c r="H104" s="104"/>
      <c r="I104" s="105"/>
      <c r="J104" s="90"/>
      <c r="M104" s="34"/>
    </row>
    <row r="105" spans="1:13" s="37" customFormat="1" ht="24" hidden="1" customHeight="1" x14ac:dyDescent="0.3">
      <c r="A105" s="18"/>
      <c r="B105" s="48"/>
      <c r="C105" s="106"/>
      <c r="D105" s="100"/>
      <c r="E105" s="107"/>
      <c r="F105" s="108"/>
      <c r="G105" s="109"/>
      <c r="H105" s="31"/>
      <c r="I105" s="32"/>
      <c r="J105" s="90"/>
      <c r="M105" s="34"/>
    </row>
    <row r="106" spans="1:13" s="37" customFormat="1" ht="24" hidden="1" customHeight="1" x14ac:dyDescent="0.3">
      <c r="A106" s="18"/>
      <c r="B106" s="59"/>
      <c r="C106" s="110"/>
      <c r="D106" s="111"/>
      <c r="E106" s="62"/>
      <c r="F106" s="112"/>
      <c r="G106" s="113"/>
      <c r="H106" s="65"/>
      <c r="I106" s="66"/>
      <c r="J106" s="90"/>
      <c r="M106" s="34"/>
    </row>
    <row r="107" spans="1:13" s="37" customFormat="1" ht="24" customHeight="1" x14ac:dyDescent="0.3">
      <c r="A107" s="18"/>
      <c r="B107" s="67"/>
      <c r="C107" s="68"/>
      <c r="D107" s="68"/>
      <c r="E107" s="69" t="s">
        <v>32</v>
      </c>
      <c r="F107" s="114">
        <f>SUM(F103:F106)</f>
        <v>0</v>
      </c>
      <c r="G107" s="83">
        <f>SUM(G103:G106)</f>
        <v>0</v>
      </c>
      <c r="H107" s="24"/>
      <c r="I107" s="72"/>
      <c r="J107" s="90"/>
    </row>
    <row r="108" spans="1:13" s="37" customFormat="1" ht="24" hidden="1" customHeight="1" outlineLevel="1" x14ac:dyDescent="0.3">
      <c r="A108" s="18"/>
      <c r="B108" s="17" t="s">
        <v>36</v>
      </c>
      <c r="C108" s="115"/>
      <c r="D108" s="116"/>
      <c r="E108" s="116"/>
      <c r="F108" s="117"/>
      <c r="G108" s="117"/>
      <c r="H108" s="116"/>
      <c r="I108" s="118"/>
      <c r="J108" s="90"/>
    </row>
    <row r="109" spans="1:13" s="37" customFormat="1" ht="24" hidden="1" customHeight="1" outlineLevel="1" x14ac:dyDescent="0.3">
      <c r="A109" s="18"/>
      <c r="B109" s="119" t="s">
        <v>37</v>
      </c>
      <c r="C109" s="119"/>
      <c r="D109" s="116" t="s">
        <v>38</v>
      </c>
      <c r="E109" s="116"/>
      <c r="F109" s="120" t="s">
        <v>39</v>
      </c>
      <c r="G109" s="121" t="s">
        <v>39</v>
      </c>
      <c r="H109" s="116"/>
      <c r="I109" s="122" t="s">
        <v>40</v>
      </c>
      <c r="J109" s="90"/>
    </row>
    <row r="110" spans="1:13" s="37" customFormat="1" ht="24" hidden="1" customHeight="1" outlineLevel="1" x14ac:dyDescent="0.3">
      <c r="A110" s="18"/>
      <c r="B110" s="19" t="s">
        <v>17</v>
      </c>
      <c r="C110" s="19" t="s">
        <v>18</v>
      </c>
      <c r="D110" s="196" t="s">
        <v>19</v>
      </c>
      <c r="E110" s="195"/>
      <c r="F110" s="21" t="s">
        <v>20</v>
      </c>
      <c r="G110" s="22" t="s">
        <v>21</v>
      </c>
      <c r="H110" s="23" t="s">
        <v>22</v>
      </c>
      <c r="I110" s="20" t="s">
        <v>23</v>
      </c>
      <c r="J110" s="90"/>
    </row>
    <row r="111" spans="1:13" s="37" customFormat="1" ht="24" hidden="1" customHeight="1" outlineLevel="1" x14ac:dyDescent="0.3">
      <c r="A111" s="18"/>
      <c r="B111" s="25"/>
      <c r="C111" s="91"/>
      <c r="D111" s="53"/>
      <c r="E111" s="92"/>
      <c r="F111" s="93"/>
      <c r="G111" s="94"/>
      <c r="H111" s="95"/>
      <c r="I111" s="46"/>
      <c r="J111" s="90"/>
    </row>
    <row r="112" spans="1:13" s="37" customFormat="1" ht="24" hidden="1" customHeight="1" outlineLevel="1" x14ac:dyDescent="0.3">
      <c r="A112" s="18"/>
      <c r="B112" s="48"/>
      <c r="C112" s="91"/>
      <c r="D112" s="55"/>
      <c r="E112" s="92"/>
      <c r="F112" s="93"/>
      <c r="G112" s="94"/>
      <c r="H112" s="95"/>
      <c r="I112" s="46"/>
      <c r="J112" s="90"/>
    </row>
    <row r="113" spans="1:13" s="37" customFormat="1" ht="24" hidden="1" customHeight="1" outlineLevel="1" x14ac:dyDescent="0.3">
      <c r="A113" s="18"/>
      <c r="B113" s="25"/>
      <c r="C113" s="91"/>
      <c r="D113" s="53"/>
      <c r="E113" s="92"/>
      <c r="F113" s="93"/>
      <c r="G113" s="94"/>
      <c r="H113" s="95"/>
      <c r="I113" s="46"/>
      <c r="J113" s="90"/>
    </row>
    <row r="114" spans="1:13" s="37" customFormat="1" ht="24" hidden="1" customHeight="1" outlineLevel="1" x14ac:dyDescent="0.3">
      <c r="A114" s="18"/>
      <c r="B114" s="25"/>
      <c r="C114" s="91"/>
      <c r="D114" s="53"/>
      <c r="E114" s="92"/>
      <c r="F114" s="93"/>
      <c r="G114" s="94"/>
      <c r="H114" s="95"/>
      <c r="I114" s="46"/>
      <c r="J114" s="90"/>
    </row>
    <row r="115" spans="1:13" s="37" customFormat="1" ht="24" hidden="1" customHeight="1" outlineLevel="1" x14ac:dyDescent="0.3">
      <c r="A115" s="18"/>
      <c r="B115" s="25"/>
      <c r="C115" s="123"/>
      <c r="D115" s="124"/>
      <c r="E115" s="125"/>
      <c r="F115" s="126"/>
      <c r="G115" s="127"/>
      <c r="H115" s="95"/>
      <c r="I115" s="80"/>
      <c r="J115" s="90"/>
    </row>
    <row r="116" spans="1:13" s="37" customFormat="1" ht="24" hidden="1" customHeight="1" outlineLevel="1" x14ac:dyDescent="0.3">
      <c r="A116" s="18"/>
      <c r="B116" s="67"/>
      <c r="C116" s="68"/>
      <c r="D116" s="68"/>
      <c r="E116" s="69" t="s">
        <v>30</v>
      </c>
      <c r="F116" s="70">
        <f>SUM(F111:F115)</f>
        <v>0</v>
      </c>
      <c r="G116" s="71">
        <f>SUM(G111:G115)</f>
        <v>0</v>
      </c>
      <c r="H116" s="24"/>
      <c r="I116" s="72"/>
      <c r="J116" s="90"/>
    </row>
    <row r="117" spans="1:13" s="1" customFormat="1" ht="24" customHeight="1" collapsed="1" x14ac:dyDescent="0.3">
      <c r="C117" s="84"/>
      <c r="D117" s="84"/>
      <c r="E117" s="84"/>
      <c r="F117" s="128"/>
      <c r="G117" s="128"/>
      <c r="H117" s="84"/>
      <c r="I117" s="86"/>
      <c r="J117" s="129"/>
    </row>
    <row r="118" spans="1:13" s="1" customFormat="1" ht="24" customHeight="1" x14ac:dyDescent="0.3">
      <c r="B118" s="17" t="s">
        <v>41</v>
      </c>
      <c r="C118" s="115"/>
      <c r="D118" s="116"/>
      <c r="E118" s="116"/>
      <c r="F118" s="117"/>
      <c r="G118" s="117"/>
      <c r="H118" s="116"/>
      <c r="I118" s="118"/>
    </row>
    <row r="119" spans="1:13" s="1" customFormat="1" ht="24" customHeight="1" x14ac:dyDescent="0.3">
      <c r="B119" s="119" t="s">
        <v>37</v>
      </c>
      <c r="C119" s="119"/>
      <c r="D119" s="116" t="s">
        <v>38</v>
      </c>
      <c r="E119" s="116"/>
      <c r="F119" s="120" t="s">
        <v>39</v>
      </c>
      <c r="G119" s="121" t="s">
        <v>39</v>
      </c>
      <c r="H119" s="116"/>
      <c r="I119" s="122" t="s">
        <v>40</v>
      </c>
    </row>
    <row r="120" spans="1:13" s="1" customFormat="1" ht="24" customHeight="1" x14ac:dyDescent="0.3">
      <c r="B120" s="130" t="s">
        <v>42</v>
      </c>
      <c r="C120" s="190" t="s">
        <v>43</v>
      </c>
      <c r="D120" s="191"/>
      <c r="E120" s="130" t="s">
        <v>44</v>
      </c>
      <c r="F120" s="19" t="s">
        <v>45</v>
      </c>
      <c r="G120" s="131" t="s">
        <v>46</v>
      </c>
      <c r="H120" s="23" t="s">
        <v>47</v>
      </c>
      <c r="I120" s="23" t="s">
        <v>23</v>
      </c>
    </row>
    <row r="121" spans="1:13" s="1" customFormat="1" ht="24" customHeight="1" x14ac:dyDescent="0.3">
      <c r="B121" s="132" t="s">
        <v>48</v>
      </c>
      <c r="C121" s="133" t="s">
        <v>49</v>
      </c>
      <c r="D121" s="134" t="s">
        <v>50</v>
      </c>
      <c r="E121" s="135">
        <f>'0831'!H121+SUMIF($H$8:$H$35,J121,$F$8:$F$35)-SUMIF($H$8:$H$35,J121,$G$8:$G$35)</f>
        <v>284290</v>
      </c>
      <c r="F121" s="136">
        <f>SUMIF($H$47:$H$102,J121,$F$47:$F$102)+SUMIF($H$110:$H$116,J121,$F$110:$F$116)</f>
        <v>0</v>
      </c>
      <c r="G121" s="137">
        <f>SUMIF($H$47:$H$102,J121,$G$47:$G$102)+SUMIF($H$110:$H$116,J121,$G$110:$G$116)</f>
        <v>0</v>
      </c>
      <c r="H121" s="138">
        <f>E121+F121-G121</f>
        <v>284290</v>
      </c>
      <c r="I121" s="139" t="s">
        <v>51</v>
      </c>
      <c r="J121" s="140" t="s">
        <v>29</v>
      </c>
    </row>
    <row r="122" spans="1:13" s="1" customFormat="1" ht="24" customHeight="1" x14ac:dyDescent="0.3">
      <c r="B122" s="132" t="s">
        <v>48</v>
      </c>
      <c r="C122" s="133" t="s">
        <v>52</v>
      </c>
      <c r="D122" s="134" t="s">
        <v>53</v>
      </c>
      <c r="E122" s="135">
        <f>'0831'!H122+SUMIF($H$8:$H$35,J122,$F$8:$F$35)-SUMIF($H$8:$H$35,J122,$G$8:$G$35)</f>
        <v>267911728</v>
      </c>
      <c r="F122" s="136">
        <f>SUMIF($H$47:$H$101,J122,$F$47:$F$101)+F116</f>
        <v>0</v>
      </c>
      <c r="G122" s="137">
        <f>SUMIF($H$47:$H$101,J122,$G$47:$G$101)</f>
        <v>0</v>
      </c>
      <c r="H122" s="138">
        <f>E122+F122-G122</f>
        <v>267911728</v>
      </c>
      <c r="I122" s="139" t="s">
        <v>54</v>
      </c>
      <c r="J122" s="140" t="s">
        <v>55</v>
      </c>
      <c r="M122" s="73"/>
    </row>
    <row r="123" spans="1:13" s="1" customFormat="1" ht="24" customHeight="1" x14ac:dyDescent="0.3">
      <c r="B123" s="132" t="s">
        <v>48</v>
      </c>
      <c r="C123" s="133" t="s">
        <v>56</v>
      </c>
      <c r="D123" s="134" t="s">
        <v>53</v>
      </c>
      <c r="E123" s="135">
        <f>'0831'!H123+SUMIF($H$8:$H$35,J123,$F$8:$F$35)-SUMIF($H$8:$H$35,J123,$G$8:$G$35)+SUMIF($H$110:$H$116,J123,$F$110:$F$116)</f>
        <v>78020</v>
      </c>
      <c r="F123" s="136">
        <f>SUMIF($H$47:$H$101,J123,$F$47:$F$101)+SUMIF($H$110:$H$116,J123,$F$110:$F$116)</f>
        <v>0</v>
      </c>
      <c r="G123" s="137">
        <f>SUMIF($H$47:$H$101,J123,$G$47:$G$101)+SUMIF($H$110:$H$116,J123,$G$110:$G$116)</f>
        <v>0</v>
      </c>
      <c r="H123" s="138">
        <f>E123+F123-G123</f>
        <v>78020</v>
      </c>
      <c r="I123" s="139" t="s">
        <v>57</v>
      </c>
      <c r="J123" s="140" t="s">
        <v>58</v>
      </c>
    </row>
    <row r="124" spans="1:13" s="1" customFormat="1" ht="24" customHeight="1" x14ac:dyDescent="0.3">
      <c r="B124" s="132" t="s">
        <v>48</v>
      </c>
      <c r="C124" s="133" t="s">
        <v>59</v>
      </c>
      <c r="D124" s="134" t="s">
        <v>53</v>
      </c>
      <c r="E124" s="135">
        <f>'0831'!H124+SUMIF($H$8:$H$35,J124,$F$8:$F$35)-SUMIF($H$8:$H$35,J124,$G$8:$G$35)</f>
        <v>0</v>
      </c>
      <c r="F124" s="136">
        <f t="shared" ref="F124:F129" si="0">SUMIF($H$47:$H$101,J124,$F$47:$F$101)</f>
        <v>0</v>
      </c>
      <c r="G124" s="137">
        <f t="shared" ref="G124:G129" si="1">SUMIF($H$47:$H$101,J124,$G$47:$G$101)</f>
        <v>0</v>
      </c>
      <c r="H124" s="138">
        <f t="shared" ref="H124:H129" si="2">E124+F124-G124</f>
        <v>0</v>
      </c>
      <c r="I124" s="139" t="s">
        <v>60</v>
      </c>
      <c r="J124" s="140" t="s">
        <v>61</v>
      </c>
    </row>
    <row r="125" spans="1:13" s="1" customFormat="1" ht="24" customHeight="1" x14ac:dyDescent="0.3">
      <c r="B125" s="132" t="s">
        <v>48</v>
      </c>
      <c r="C125" s="133" t="s">
        <v>62</v>
      </c>
      <c r="D125" s="134" t="s">
        <v>53</v>
      </c>
      <c r="E125" s="135">
        <f>'0831'!H125+SUMIF($H$8:$H$35,J125,$F$8:$F$35)-SUMIF($H$8:$H$35,J125,$G$8:$G$35)</f>
        <v>0</v>
      </c>
      <c r="F125" s="136">
        <f t="shared" si="0"/>
        <v>0</v>
      </c>
      <c r="G125" s="137">
        <f t="shared" si="1"/>
        <v>0</v>
      </c>
      <c r="H125" s="138">
        <f t="shared" si="2"/>
        <v>0</v>
      </c>
      <c r="I125" s="139" t="s">
        <v>63</v>
      </c>
      <c r="J125" s="140" t="s">
        <v>64</v>
      </c>
    </row>
    <row r="126" spans="1:13" s="1" customFormat="1" ht="24" customHeight="1" x14ac:dyDescent="0.3">
      <c r="B126" s="132" t="s">
        <v>48</v>
      </c>
      <c r="C126" s="133" t="s">
        <v>65</v>
      </c>
      <c r="D126" s="134" t="s">
        <v>53</v>
      </c>
      <c r="E126" s="135">
        <f>'0831'!H126+SUMIF($H$8:$H$35,J126,$F$8:$F$35)-SUMIF($H$8:$H$35,J126,$G$8:$G$35)</f>
        <v>0</v>
      </c>
      <c r="F126" s="136">
        <f t="shared" si="0"/>
        <v>0</v>
      </c>
      <c r="G126" s="137">
        <f t="shared" si="1"/>
        <v>0</v>
      </c>
      <c r="H126" s="138">
        <f t="shared" si="2"/>
        <v>0</v>
      </c>
      <c r="I126" s="141" t="s">
        <v>66</v>
      </c>
      <c r="J126" s="140" t="s">
        <v>67</v>
      </c>
    </row>
    <row r="127" spans="1:13" s="1" customFormat="1" ht="24" customHeight="1" x14ac:dyDescent="0.3">
      <c r="B127" s="132" t="s">
        <v>68</v>
      </c>
      <c r="C127" s="133" t="s">
        <v>69</v>
      </c>
      <c r="D127" s="134" t="s">
        <v>53</v>
      </c>
      <c r="E127" s="135">
        <f>'0831'!H127+SUMIF($H$8:$H$35,J127,$F$8:$F$35)-SUMIF($H$8:$H$35,J127,$G$8:$G$35)</f>
        <v>22177082</v>
      </c>
      <c r="F127" s="136">
        <f t="shared" si="0"/>
        <v>0</v>
      </c>
      <c r="G127" s="137">
        <f t="shared" si="1"/>
        <v>0</v>
      </c>
      <c r="H127" s="142">
        <f t="shared" si="2"/>
        <v>22177082</v>
      </c>
      <c r="I127" s="139" t="s">
        <v>54</v>
      </c>
      <c r="J127" s="140" t="s">
        <v>70</v>
      </c>
    </row>
    <row r="128" spans="1:13" s="1" customFormat="1" ht="24" customHeight="1" x14ac:dyDescent="0.3">
      <c r="B128" s="132" t="s">
        <v>71</v>
      </c>
      <c r="C128" s="133" t="s">
        <v>72</v>
      </c>
      <c r="D128" s="134" t="s">
        <v>53</v>
      </c>
      <c r="E128" s="135">
        <f>'0831'!H128+SUMIF($H$8:$H$35,J128,$F$8:$F$35)-SUMIF($H$8:$H$35,J128,$G$8:$G$35)</f>
        <v>0</v>
      </c>
      <c r="F128" s="136">
        <f t="shared" si="0"/>
        <v>0</v>
      </c>
      <c r="G128" s="137">
        <f t="shared" si="1"/>
        <v>0</v>
      </c>
      <c r="H128" s="142">
        <f t="shared" si="2"/>
        <v>0</v>
      </c>
      <c r="I128" s="139" t="s">
        <v>73</v>
      </c>
      <c r="J128" s="140" t="s">
        <v>74</v>
      </c>
    </row>
    <row r="129" spans="2:13" s="1" customFormat="1" ht="24" customHeight="1" x14ac:dyDescent="0.3">
      <c r="B129" s="132" t="s">
        <v>75</v>
      </c>
      <c r="C129" s="133" t="s">
        <v>76</v>
      </c>
      <c r="D129" s="134" t="s">
        <v>50</v>
      </c>
      <c r="E129" s="135">
        <f>'0831'!H129+SUMIF($H$8:$H$35,J129,$F$8:$F$35)-SUMIF($H$8:$H$35,J129,$G$8:$G$35)</f>
        <v>33952</v>
      </c>
      <c r="F129" s="136">
        <f t="shared" si="0"/>
        <v>0</v>
      </c>
      <c r="G129" s="137">
        <f t="shared" si="1"/>
        <v>0</v>
      </c>
      <c r="H129" s="142">
        <f t="shared" si="2"/>
        <v>33952</v>
      </c>
      <c r="I129" s="143" t="s">
        <v>73</v>
      </c>
      <c r="J129" s="140" t="s">
        <v>77</v>
      </c>
    </row>
    <row r="130" spans="2:13" s="1" customFormat="1" ht="22.5" customHeight="1" x14ac:dyDescent="0.3">
      <c r="B130" s="144"/>
      <c r="C130" s="145"/>
      <c r="D130" s="146" t="s">
        <v>78</v>
      </c>
      <c r="E130" s="147">
        <f>SUM(E121:E129)</f>
        <v>290485072</v>
      </c>
      <c r="F130" s="148">
        <f>SUM(F121:F128)</f>
        <v>0</v>
      </c>
      <c r="G130" s="149">
        <f>SUM(G121:G128)</f>
        <v>0</v>
      </c>
      <c r="H130" s="150">
        <f>SUM(H121:H129)</f>
        <v>290485072</v>
      </c>
      <c r="I130" s="151"/>
      <c r="J130" s="37"/>
    </row>
    <row r="131" spans="2:13" s="1" customFormat="1" ht="22.5" customHeight="1" x14ac:dyDescent="0.3">
      <c r="C131" s="84"/>
      <c r="D131" s="84"/>
      <c r="E131" s="152"/>
      <c r="F131" s="152"/>
      <c r="G131" s="152"/>
      <c r="H131" s="152"/>
      <c r="I131" s="153"/>
    </row>
    <row r="132" spans="2:13" s="1" customFormat="1" ht="24" customHeight="1" x14ac:dyDescent="0.3">
      <c r="B132" s="119" t="s">
        <v>79</v>
      </c>
      <c r="C132" s="119"/>
      <c r="D132" s="116" t="s">
        <v>38</v>
      </c>
      <c r="E132" s="116"/>
      <c r="F132" s="120" t="s">
        <v>39</v>
      </c>
      <c r="G132" s="121" t="s">
        <v>39</v>
      </c>
      <c r="H132" s="116"/>
      <c r="I132" s="122" t="s">
        <v>80</v>
      </c>
    </row>
    <row r="133" spans="2:13" s="1" customFormat="1" ht="24" customHeight="1" x14ac:dyDescent="0.3">
      <c r="B133" s="130" t="s">
        <v>42</v>
      </c>
      <c r="C133" s="190" t="s">
        <v>43</v>
      </c>
      <c r="D133" s="191"/>
      <c r="E133" s="130" t="s">
        <v>44</v>
      </c>
      <c r="F133" s="19" t="s">
        <v>45</v>
      </c>
      <c r="G133" s="131" t="s">
        <v>46</v>
      </c>
      <c r="H133" s="23" t="s">
        <v>47</v>
      </c>
      <c r="I133" s="23" t="s">
        <v>23</v>
      </c>
    </row>
    <row r="134" spans="2:13" s="1" customFormat="1" ht="24" customHeight="1" x14ac:dyDescent="0.3">
      <c r="B134" s="132" t="s">
        <v>81</v>
      </c>
      <c r="C134" s="133" t="s">
        <v>82</v>
      </c>
      <c r="D134" s="134" t="s">
        <v>83</v>
      </c>
      <c r="E134" s="154">
        <f>'0831'!H134</f>
        <v>0</v>
      </c>
      <c r="F134" s="155">
        <f>SUMIF($H$103:$H$106,J134,$F$103:$F$106)</f>
        <v>0</v>
      </c>
      <c r="G134" s="156">
        <f>SUMIF($H$103:$H$106,J134,$G$103:$G$106)</f>
        <v>0</v>
      </c>
      <c r="H134" s="157">
        <f>E134+F134-G134</f>
        <v>0</v>
      </c>
      <c r="I134" s="158" t="s">
        <v>84</v>
      </c>
      <c r="J134" s="159" t="s">
        <v>84</v>
      </c>
    </row>
    <row r="135" spans="2:13" s="1" customFormat="1" ht="22.5" customHeight="1" x14ac:dyDescent="0.3">
      <c r="B135" s="144"/>
      <c r="C135" s="145"/>
      <c r="D135" s="146" t="s">
        <v>78</v>
      </c>
      <c r="E135" s="160">
        <f>SUM(E134)</f>
        <v>0</v>
      </c>
      <c r="F135" s="161">
        <f>SUM(F134)</f>
        <v>0</v>
      </c>
      <c r="G135" s="162">
        <f>SUM(G134)</f>
        <v>0</v>
      </c>
      <c r="H135" s="160">
        <f>SUM(H134)</f>
        <v>0</v>
      </c>
      <c r="I135" s="151"/>
    </row>
    <row r="136" spans="2:13" s="1" customFormat="1" ht="24" customHeight="1" x14ac:dyDescent="0.3"/>
    <row r="137" spans="2:13" s="1" customFormat="1" ht="24" customHeight="1" x14ac:dyDescent="0.3">
      <c r="B137" s="119" t="s">
        <v>85</v>
      </c>
      <c r="C137" s="119"/>
      <c r="D137" s="116" t="s">
        <v>38</v>
      </c>
      <c r="E137" s="116"/>
      <c r="F137" s="120" t="s">
        <v>39</v>
      </c>
      <c r="G137" s="121" t="s">
        <v>39</v>
      </c>
      <c r="H137" s="116"/>
      <c r="I137" s="122" t="s">
        <v>40</v>
      </c>
    </row>
    <row r="138" spans="2:13" s="1" customFormat="1" ht="24" customHeight="1" x14ac:dyDescent="0.3">
      <c r="B138" s="130" t="s">
        <v>42</v>
      </c>
      <c r="C138" s="190" t="s">
        <v>43</v>
      </c>
      <c r="D138" s="191"/>
      <c r="E138" s="130" t="s">
        <v>44</v>
      </c>
      <c r="F138" s="19" t="s">
        <v>45</v>
      </c>
      <c r="G138" s="131" t="s">
        <v>46</v>
      </c>
      <c r="H138" s="23" t="s">
        <v>47</v>
      </c>
      <c r="I138" s="23" t="s">
        <v>23</v>
      </c>
    </row>
    <row r="139" spans="2:13" s="1" customFormat="1" ht="24" customHeight="1" x14ac:dyDescent="0.3">
      <c r="B139" s="132" t="s">
        <v>48</v>
      </c>
      <c r="C139" s="133" t="s">
        <v>86</v>
      </c>
      <c r="D139" s="163" t="s">
        <v>87</v>
      </c>
      <c r="E139" s="164">
        <f>'0820'!H139</f>
        <v>2100000000</v>
      </c>
      <c r="F139" s="136"/>
      <c r="G139" s="137"/>
      <c r="H139" s="142">
        <f>E139+F139-G139</f>
        <v>2100000000</v>
      </c>
      <c r="I139" s="141" t="s">
        <v>88</v>
      </c>
      <c r="J139" s="1" t="s">
        <v>89</v>
      </c>
      <c r="M139" s="73">
        <f>H139-2057169001</f>
        <v>42830999</v>
      </c>
    </row>
    <row r="140" spans="2:13" s="1" customFormat="1" ht="24" hidden="1" customHeight="1" x14ac:dyDescent="0.3">
      <c r="B140" s="132" t="s">
        <v>48</v>
      </c>
      <c r="C140" s="133" t="s">
        <v>90</v>
      </c>
      <c r="D140" s="163" t="s">
        <v>91</v>
      </c>
      <c r="E140" s="165">
        <f>'0820'!H140</f>
        <v>0</v>
      </c>
      <c r="F140" s="136"/>
      <c r="G140" s="137"/>
      <c r="H140" s="142">
        <f>E140+F140-G140</f>
        <v>0</v>
      </c>
      <c r="I140" s="141"/>
      <c r="J140" s="1" t="s">
        <v>92</v>
      </c>
    </row>
    <row r="141" spans="2:13" s="1" customFormat="1" ht="22.5" customHeight="1" x14ac:dyDescent="0.3">
      <c r="B141" s="144"/>
      <c r="C141" s="145"/>
      <c r="D141" s="146" t="s">
        <v>78</v>
      </c>
      <c r="E141" s="147">
        <f>SUM(E139:E140)</f>
        <v>2100000000</v>
      </c>
      <c r="F141" s="166">
        <f>SUM(F139:F140)</f>
        <v>0</v>
      </c>
      <c r="G141" s="167">
        <f>SUM(G139:G140)</f>
        <v>0</v>
      </c>
      <c r="H141" s="147">
        <f>SUM(H139:H140)</f>
        <v>2100000000</v>
      </c>
      <c r="I141" s="151"/>
    </row>
    <row r="146" spans="1:4" ht="23.45" customHeight="1" outlineLevel="1" x14ac:dyDescent="0.3">
      <c r="B146" s="1"/>
      <c r="C146" s="1"/>
      <c r="D146" s="168" t="s">
        <v>93</v>
      </c>
    </row>
    <row r="147" spans="1:4" ht="24" customHeight="1" outlineLevel="1" x14ac:dyDescent="0.3">
      <c r="A147" s="169" t="s">
        <v>94</v>
      </c>
      <c r="B147" s="169" t="s">
        <v>95</v>
      </c>
      <c r="C147" s="169" t="s">
        <v>96</v>
      </c>
      <c r="D147" s="169" t="s">
        <v>23</v>
      </c>
    </row>
    <row r="148" spans="1:4" ht="24" customHeight="1" outlineLevel="1" x14ac:dyDescent="0.3">
      <c r="A148" s="170" t="s">
        <v>97</v>
      </c>
      <c r="B148" s="171" t="s">
        <v>25</v>
      </c>
      <c r="C148" s="172">
        <f>SUMIF($A$46:$A$101,$B148,$F$46:$F$101)</f>
        <v>0</v>
      </c>
      <c r="D148" s="170"/>
    </row>
    <row r="149" spans="1:4" ht="24" customHeight="1" outlineLevel="1" x14ac:dyDescent="0.3">
      <c r="A149" s="170"/>
      <c r="B149" s="171" t="s">
        <v>98</v>
      </c>
      <c r="C149" s="172">
        <f>SUMIF($A$46:$A$101,$B149,$F$46:$F$101)</f>
        <v>0</v>
      </c>
      <c r="D149" s="170"/>
    </row>
    <row r="150" spans="1:4" ht="24" customHeight="1" outlineLevel="1" x14ac:dyDescent="0.3">
      <c r="A150" s="170"/>
      <c r="B150" s="171" t="s">
        <v>99</v>
      </c>
      <c r="C150" s="172">
        <f>SUMIF($A$46:$A$101,$B150,$F$46:$F$101)</f>
        <v>0</v>
      </c>
      <c r="D150" s="170"/>
    </row>
    <row r="151" spans="1:4" ht="24" customHeight="1" outlineLevel="1" x14ac:dyDescent="0.3">
      <c r="A151" s="170"/>
      <c r="B151" s="171" t="s">
        <v>100</v>
      </c>
      <c r="C151" s="172">
        <f>SUMIF($A$46:$A$101,$B151,$F$46:$F$101)</f>
        <v>0</v>
      </c>
      <c r="D151" s="170"/>
    </row>
    <row r="152" spans="1:4" ht="24" customHeight="1" outlineLevel="1" x14ac:dyDescent="0.3">
      <c r="A152" s="170"/>
      <c r="B152" s="171" t="s">
        <v>101</v>
      </c>
      <c r="C152" s="172">
        <f>SUMIF($A$46:$A$101,$B152,$F$46:$F$101)</f>
        <v>0</v>
      </c>
      <c r="D152" s="170"/>
    </row>
    <row r="153" spans="1:4" ht="24" customHeight="1" outlineLevel="1" x14ac:dyDescent="0.3">
      <c r="A153" s="173"/>
      <c r="B153" s="174" t="s">
        <v>102</v>
      </c>
      <c r="C153" s="175">
        <f>SUM(C148:C152)</f>
        <v>0</v>
      </c>
      <c r="D153" s="139"/>
    </row>
    <row r="154" spans="1:4" ht="24" customHeight="1" outlineLevel="1" x14ac:dyDescent="0.3">
      <c r="A154" s="176" t="s">
        <v>103</v>
      </c>
      <c r="B154" s="177" t="s">
        <v>104</v>
      </c>
      <c r="C154" s="178">
        <f t="shared" ref="C154:C167" si="3">SUMIF($A$46:$A$101,$B154,$G$46:$G$101)</f>
        <v>0</v>
      </c>
      <c r="D154" s="176"/>
    </row>
    <row r="155" spans="1:4" ht="24" customHeight="1" outlineLevel="1" x14ac:dyDescent="0.3">
      <c r="A155" s="170"/>
      <c r="B155" s="171" t="s">
        <v>105</v>
      </c>
      <c r="C155" s="172">
        <f t="shared" si="3"/>
        <v>0</v>
      </c>
      <c r="D155" s="170"/>
    </row>
    <row r="156" spans="1:4" ht="24" customHeight="1" outlineLevel="1" x14ac:dyDescent="0.3">
      <c r="A156" s="170"/>
      <c r="B156" s="171" t="s">
        <v>106</v>
      </c>
      <c r="C156" s="172">
        <f t="shared" si="3"/>
        <v>0</v>
      </c>
      <c r="D156" s="170"/>
    </row>
    <row r="157" spans="1:4" ht="24" customHeight="1" outlineLevel="1" x14ac:dyDescent="0.3">
      <c r="A157" s="170"/>
      <c r="B157" s="171" t="s">
        <v>107</v>
      </c>
      <c r="C157" s="172">
        <f t="shared" si="3"/>
        <v>0</v>
      </c>
      <c r="D157" s="170"/>
    </row>
    <row r="158" spans="1:4" ht="24" customHeight="1" outlineLevel="1" x14ac:dyDescent="0.3">
      <c r="A158" s="170"/>
      <c r="B158" s="171" t="s">
        <v>108</v>
      </c>
      <c r="C158" s="172">
        <f t="shared" si="3"/>
        <v>0</v>
      </c>
      <c r="D158" s="170"/>
    </row>
    <row r="159" spans="1:4" ht="24" customHeight="1" outlineLevel="1" x14ac:dyDescent="0.3">
      <c r="A159" s="170"/>
      <c r="B159" s="171" t="s">
        <v>109</v>
      </c>
      <c r="C159" s="172">
        <f t="shared" si="3"/>
        <v>0</v>
      </c>
      <c r="D159" s="170"/>
    </row>
    <row r="160" spans="1:4" ht="24" customHeight="1" outlineLevel="1" x14ac:dyDescent="0.3">
      <c r="A160" s="170"/>
      <c r="B160" s="171" t="s">
        <v>110</v>
      </c>
      <c r="C160" s="172">
        <f t="shared" si="3"/>
        <v>0</v>
      </c>
      <c r="D160" s="170"/>
    </row>
    <row r="161" spans="1:6" ht="24" customHeight="1" outlineLevel="1" x14ac:dyDescent="0.3">
      <c r="A161" s="170"/>
      <c r="B161" s="171" t="s">
        <v>111</v>
      </c>
      <c r="C161" s="172">
        <f t="shared" si="3"/>
        <v>0</v>
      </c>
      <c r="D161" s="170"/>
    </row>
    <row r="162" spans="1:6" ht="24" customHeight="1" outlineLevel="1" x14ac:dyDescent="0.3">
      <c r="A162" s="170"/>
      <c r="B162" s="171" t="s">
        <v>112</v>
      </c>
      <c r="C162" s="172">
        <f t="shared" si="3"/>
        <v>0</v>
      </c>
      <c r="D162" s="170"/>
    </row>
    <row r="163" spans="1:6" ht="24" customHeight="1" outlineLevel="1" x14ac:dyDescent="0.3">
      <c r="A163" s="170"/>
      <c r="B163" s="171" t="s">
        <v>113</v>
      </c>
      <c r="C163" s="172">
        <f t="shared" si="3"/>
        <v>0</v>
      </c>
      <c r="D163" s="170"/>
    </row>
    <row r="164" spans="1:6" ht="24" customHeight="1" outlineLevel="1" x14ac:dyDescent="0.3">
      <c r="A164" s="170"/>
      <c r="B164" s="171" t="s">
        <v>114</v>
      </c>
      <c r="C164" s="172">
        <f t="shared" si="3"/>
        <v>0</v>
      </c>
      <c r="D164" s="170"/>
    </row>
    <row r="165" spans="1:6" ht="24" customHeight="1" outlineLevel="1" x14ac:dyDescent="0.3">
      <c r="A165" s="170"/>
      <c r="B165" s="171" t="s">
        <v>115</v>
      </c>
      <c r="C165" s="172">
        <f t="shared" si="3"/>
        <v>0</v>
      </c>
      <c r="D165" s="170"/>
    </row>
    <row r="166" spans="1:6" ht="24" customHeight="1" outlineLevel="1" x14ac:dyDescent="0.3">
      <c r="A166" s="170"/>
      <c r="B166" s="171" t="s">
        <v>116</v>
      </c>
      <c r="C166" s="172">
        <f t="shared" si="3"/>
        <v>0</v>
      </c>
      <c r="D166" s="170"/>
    </row>
    <row r="167" spans="1:6" ht="24" customHeight="1" outlineLevel="1" x14ac:dyDescent="0.3">
      <c r="A167" s="170"/>
      <c r="B167" s="171" t="s">
        <v>117</v>
      </c>
      <c r="C167" s="172">
        <f t="shared" si="3"/>
        <v>0</v>
      </c>
      <c r="D167" s="170"/>
    </row>
    <row r="168" spans="1:6" ht="24" customHeight="1" outlineLevel="1" x14ac:dyDescent="0.3">
      <c r="A168" s="170"/>
      <c r="B168" s="171" t="s">
        <v>118</v>
      </c>
      <c r="C168" s="172">
        <f>SUMIF($A$46:$A$101,"전산유지비",$G$46:$G$101)</f>
        <v>0</v>
      </c>
      <c r="D168" s="170"/>
    </row>
    <row r="169" spans="1:6" ht="24" customHeight="1" outlineLevel="1" x14ac:dyDescent="0.3">
      <c r="A169" s="170"/>
      <c r="B169" s="171" t="s">
        <v>119</v>
      </c>
      <c r="C169" s="172">
        <f>SUMIF($A$46:$A$101,$B169,$G$46:$G$101)</f>
        <v>0</v>
      </c>
      <c r="D169" s="170" t="s">
        <v>120</v>
      </c>
    </row>
    <row r="170" spans="1:6" ht="24" customHeight="1" outlineLevel="1" x14ac:dyDescent="0.3">
      <c r="A170" s="170"/>
      <c r="B170" s="171" t="s">
        <v>121</v>
      </c>
      <c r="C170" s="172">
        <f>SUMIF($A$46:$A$101,$B170,$G$46:$G$101)</f>
        <v>0</v>
      </c>
      <c r="D170" s="170"/>
    </row>
    <row r="171" spans="1:6" ht="24" customHeight="1" outlineLevel="1" x14ac:dyDescent="0.3">
      <c r="A171" s="170"/>
      <c r="B171" s="171" t="s">
        <v>122</v>
      </c>
      <c r="C171" s="172">
        <f>SUMIF($A$46:$A$101,$B171,$G$46:$G$101)</f>
        <v>0</v>
      </c>
      <c r="D171" s="170"/>
    </row>
    <row r="172" spans="1:6" ht="24" customHeight="1" outlineLevel="1" x14ac:dyDescent="0.3">
      <c r="A172" s="170"/>
      <c r="B172" s="171" t="s">
        <v>123</v>
      </c>
      <c r="C172" s="172">
        <f>SUMIF($A$46:$A$101,$B172,$G$46:$G$101)</f>
        <v>0</v>
      </c>
      <c r="D172" s="170"/>
    </row>
    <row r="173" spans="1:6" ht="24" customHeight="1" outlineLevel="1" x14ac:dyDescent="0.3">
      <c r="A173" s="170"/>
      <c r="B173" s="171" t="s">
        <v>124</v>
      </c>
      <c r="C173" s="179">
        <f>SUMIF($A$46:$A$101,$B173,$G$46:$G$101)+SUMIF($A$46:$A$101,$D173,$G$46:$G$101)</f>
        <v>0</v>
      </c>
      <c r="D173" s="180" t="s">
        <v>125</v>
      </c>
      <c r="F173" s="181"/>
    </row>
    <row r="174" spans="1:6" ht="24" customHeight="1" outlineLevel="1" x14ac:dyDescent="0.3">
      <c r="A174" s="173"/>
      <c r="B174" s="182" t="s">
        <v>126</v>
      </c>
      <c r="C174" s="183">
        <f>SUM(C154:C173)</f>
        <v>0</v>
      </c>
      <c r="D174" s="182"/>
    </row>
    <row r="175" spans="1:6" ht="24" customHeight="1" outlineLevel="1" x14ac:dyDescent="0.3">
      <c r="A175" s="176" t="s">
        <v>127</v>
      </c>
      <c r="B175" s="177" t="s">
        <v>128</v>
      </c>
      <c r="C175" s="172">
        <f>SUMIF($A$7:$A$39,$B175,$F$7:$F$39)+SUMIF($A$46:$A$101,$B175,$F$46:$F$101)</f>
        <v>0</v>
      </c>
      <c r="D175" s="176"/>
    </row>
    <row r="176" spans="1:6" ht="24" customHeight="1" outlineLevel="1" x14ac:dyDescent="0.3">
      <c r="A176" s="184" t="s">
        <v>129</v>
      </c>
      <c r="B176" s="184" t="s">
        <v>50</v>
      </c>
      <c r="C176" s="185">
        <f>SUMIF($A$7:$A$39,$B176,$F$7:$F$39)+SUMIF($A$46:$A$101,$B176,$F$46:$F$101)</f>
        <v>0</v>
      </c>
      <c r="D176" s="186" t="str">
        <f>IF($C$153+$C$176=$F$130-$F$116,"TRUE","FALSE")</f>
        <v>TRUE</v>
      </c>
      <c r="E176" s="181"/>
      <c r="F176" s="181"/>
    </row>
    <row r="177" spans="1:14" ht="24" customHeight="1" outlineLevel="1" x14ac:dyDescent="0.3">
      <c r="A177" s="173" t="s">
        <v>130</v>
      </c>
      <c r="B177" s="173" t="s">
        <v>50</v>
      </c>
      <c r="C177" s="179">
        <f>SUMIF($A$7:$A$39,$B177,$G$7:$G$39)+SUMIF($A$46:$A$101,$B177,$G$46:$G$101)</f>
        <v>0</v>
      </c>
      <c r="D177" s="187" t="str">
        <f>IF($C$174+$C$177=$G$130-$G$116,"TRUE","FALSE")</f>
        <v>TRUE</v>
      </c>
    </row>
    <row r="178" spans="1:14" s="1" customFormat="1" ht="24" customHeight="1" outlineLevel="1" x14ac:dyDescent="0.3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s="1" customFormat="1" ht="24" customHeight="1" x14ac:dyDescent="0.3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</sheetData>
  <mergeCells count="8">
    <mergeCell ref="C133:D133"/>
    <mergeCell ref="C138:D138"/>
    <mergeCell ref="B1:E2"/>
    <mergeCell ref="B3:E3"/>
    <mergeCell ref="D7:E7"/>
    <mergeCell ref="D46:E46"/>
    <mergeCell ref="D110:E110"/>
    <mergeCell ref="C120:D120"/>
  </mergeCells>
  <phoneticPr fontId="4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8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0731-1</vt:lpstr>
      <vt:lpstr>0810</vt:lpstr>
      <vt:lpstr>0820</vt:lpstr>
      <vt:lpstr>0831</vt:lpstr>
      <vt:lpstr>0831-1</vt:lpstr>
      <vt:lpstr>'0731-1'!Print_Area</vt:lpstr>
      <vt:lpstr>'0810'!Print_Area</vt:lpstr>
      <vt:lpstr>'0820'!Print_Area</vt:lpstr>
      <vt:lpstr>'0831'!Print_Area</vt:lpstr>
      <vt:lpstr>'0831-1'!Print_Area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com2usholdings14</dc:creator>
  <cp:lastModifiedBy>com2usholdings14</cp:lastModifiedBy>
  <cp:lastPrinted>2026-08-31T00:42:45Z</cp:lastPrinted>
  <dcterms:created xsi:type="dcterms:W3CDTF">2026-08-07T02:46:52Z</dcterms:created>
  <dcterms:modified xsi:type="dcterms:W3CDTF">2026-09-01T01:32:22Z</dcterms:modified>
</cp:coreProperties>
</file>